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autoCompressPictures="0" defaultThemeVersion="124226"/>
  <bookViews>
    <workbookView xWindow="0" yWindow="45" windowWidth="19215" windowHeight="8685" tabRatio="525"/>
  </bookViews>
  <sheets>
    <sheet name="Master List ALL Programs" sheetId="1" r:id="rId1"/>
    <sheet name="YTD FY2014" sheetId="4" r:id="rId2"/>
    <sheet name="June 2014" sheetId="14" r:id="rId3"/>
    <sheet name="May 2014" sheetId="13" r:id="rId4"/>
    <sheet name="April 2014" sheetId="12" r:id="rId5"/>
    <sheet name="March 2014" sheetId="11" r:id="rId6"/>
    <sheet name="February 2014" sheetId="10" r:id="rId7"/>
    <sheet name="January 2014" sheetId="9" r:id="rId8"/>
    <sheet name="December 2013" sheetId="8" r:id="rId9"/>
    <sheet name="November 2013" sheetId="7" r:id="rId10"/>
    <sheet name="October 2013" sheetId="6" r:id="rId11"/>
    <sheet name="September 2013" sheetId="5" r:id="rId12"/>
    <sheet name="August 2013" sheetId="3" r:id="rId13"/>
    <sheet name="July 2013" sheetId="2" r:id="rId14"/>
  </sheets>
  <calcPr calcId="145621"/>
  <extLst>
    <ext xmlns:mx="http://schemas.microsoft.com/office/mac/excel/2008/main" uri="{7523E5D3-25F3-A5E0-1632-64F254C22452}">
      <mx:ArchID Flags="2"/>
    </ext>
  </extLst>
</workbook>
</file>

<file path=xl/calcChain.xml><?xml version="1.0" encoding="utf-8"?>
<calcChain xmlns="http://schemas.openxmlformats.org/spreadsheetml/2006/main">
  <c r="B50" i="4" l="1"/>
  <c r="C50" i="4"/>
  <c r="B37" i="4"/>
  <c r="C37" i="4"/>
  <c r="B24" i="4"/>
  <c r="C24" i="4"/>
  <c r="B11" i="4"/>
  <c r="C11" i="4"/>
  <c r="C50" i="14" l="1"/>
  <c r="B50" i="14"/>
  <c r="C24" i="14"/>
  <c r="B24" i="14"/>
  <c r="C37" i="14" l="1"/>
  <c r="B37" i="14"/>
  <c r="C11" i="14"/>
  <c r="B11" i="14"/>
  <c r="N3926" i="1" l="1"/>
  <c r="K3926" i="1"/>
  <c r="L3926" i="1"/>
  <c r="M3926" i="1"/>
  <c r="O3926" i="1"/>
  <c r="P3926" i="1"/>
  <c r="Q3926" i="1"/>
  <c r="R3926" i="1"/>
  <c r="S3926" i="1"/>
  <c r="T3926" i="1"/>
  <c r="U3926" i="1"/>
  <c r="V3926" i="1"/>
  <c r="J3926" i="1"/>
</calcChain>
</file>

<file path=xl/sharedStrings.xml><?xml version="1.0" encoding="utf-8"?>
<sst xmlns="http://schemas.openxmlformats.org/spreadsheetml/2006/main" count="32338" uniqueCount="8501">
  <si>
    <t>Timestamp</t>
  </si>
  <si>
    <t>Region</t>
  </si>
  <si>
    <t>Site Name</t>
  </si>
  <si>
    <t>Program Title or Group Name</t>
  </si>
  <si>
    <t>Program Type</t>
  </si>
  <si>
    <t>Program Description</t>
  </si>
  <si>
    <t>Program Fee Revenue</t>
  </si>
  <si>
    <t>Did this program generate indirect revenue?</t>
  </si>
  <si>
    <t>Historic Site Admission</t>
  </si>
  <si>
    <t>Park Pass</t>
  </si>
  <si>
    <t>Gift Shop Sales</t>
  </si>
  <si>
    <t>Camping</t>
  </si>
  <si>
    <t>Cabins</t>
  </si>
  <si>
    <t>Revenue to Friends</t>
  </si>
  <si>
    <t>Other Indirect Revenue</t>
  </si>
  <si>
    <t>Comments</t>
  </si>
  <si>
    <t>Region 2</t>
  </si>
  <si>
    <t>Gordonia</t>
  </si>
  <si>
    <t>Tuesday 9 A.M.</t>
  </si>
  <si>
    <t>Reidsville Headstart</t>
  </si>
  <si>
    <t>School Program</t>
  </si>
  <si>
    <t>Nature Hike</t>
  </si>
  <si>
    <t>No</t>
  </si>
  <si>
    <t>Mistletoe</t>
  </si>
  <si>
    <t>Monday 10-11:30 am</t>
  </si>
  <si>
    <t>Create a Patroitic Craft</t>
  </si>
  <si>
    <t>Public Program</t>
  </si>
  <si>
    <t>Red White &amp; blue Kite</t>
  </si>
  <si>
    <t>Tuesday 8:30- 9:30 pm</t>
  </si>
  <si>
    <t>Bingo</t>
  </si>
  <si>
    <t>bingo</t>
  </si>
  <si>
    <t>donations for prizes</t>
  </si>
  <si>
    <t>Wednesday  10-11 am</t>
  </si>
  <si>
    <t>Game Time</t>
  </si>
  <si>
    <t>yard games &amp; board games</t>
  </si>
  <si>
    <t>Thursday 12:00</t>
  </si>
  <si>
    <t>Campsite decorating Contest</t>
  </si>
  <si>
    <t>most patriotic campsite</t>
  </si>
  <si>
    <t>Region 3</t>
  </si>
  <si>
    <t>Roosevelt's Little White House</t>
  </si>
  <si>
    <t>Wed 11-1 pm</t>
  </si>
  <si>
    <t>Child Care Network/history tour</t>
  </si>
  <si>
    <t>Group Program</t>
  </si>
  <si>
    <t>tour of the historic site</t>
  </si>
  <si>
    <t>Yes</t>
  </si>
  <si>
    <t>Mon 1-3pm</t>
  </si>
  <si>
    <t>Lagrange UMC/History tour</t>
  </si>
  <si>
    <t>Reed Bingham</t>
  </si>
  <si>
    <t>Thursday, 12-1pm</t>
  </si>
  <si>
    <t>Fourth of July Face Paint</t>
  </si>
  <si>
    <t>Face Painting</t>
  </si>
  <si>
    <t>Thursday, 2:30-3:30pm</t>
  </si>
  <si>
    <t>Reptile Rodeo</t>
  </si>
  <si>
    <t>Live Reptile Program</t>
  </si>
  <si>
    <t>Thursday, 5-5:30pm</t>
  </si>
  <si>
    <t>Red White and Blue Lanterns</t>
  </si>
  <si>
    <t>Paper Lantern Crafts</t>
  </si>
  <si>
    <t>Severe weather started up with rain and flooding so there was no participation</t>
  </si>
  <si>
    <t>Friday, 2-2:15pm</t>
  </si>
  <si>
    <t>No Nomadic Firewood</t>
  </si>
  <si>
    <t>Intro to Site</t>
  </si>
  <si>
    <t>Don't Move Firewood Talk</t>
  </si>
  <si>
    <t>Hard Labor Creek</t>
  </si>
  <si>
    <t>Saturday, 8:30 - 10:30 p.m.</t>
  </si>
  <si>
    <t>4rth July Kayak Tour</t>
  </si>
  <si>
    <t>Night-time kayak program Lake Rutledge</t>
  </si>
  <si>
    <t>Rained on and off all day, this family of four came because most of the July 4rth festivities had cancelled. Great Firefly night.</t>
  </si>
  <si>
    <t>Friday, 4-5pm</t>
  </si>
  <si>
    <t>Leaf Prints</t>
  </si>
  <si>
    <t>Leaf Imprint Crafts</t>
  </si>
  <si>
    <t>Rain kept a lot of people away</t>
  </si>
  <si>
    <t>Friday 7-9pm</t>
  </si>
  <si>
    <t>Putt Putt After Dark</t>
  </si>
  <si>
    <t>Recreational Putt Putt</t>
  </si>
  <si>
    <t>Thunderstorms and Rain Flooded the Course, Event was Canceled</t>
  </si>
  <si>
    <t>Saturday 9:30-10am</t>
  </si>
  <si>
    <t>Bicycle Decorating</t>
  </si>
  <si>
    <t>Saturday 10-10:30am</t>
  </si>
  <si>
    <t>Red, White, Blue Bicycle Parade</t>
  </si>
  <si>
    <t>Bicycle Parade</t>
  </si>
  <si>
    <t>People that were camping watched the parade however they were not tallied in the total program person count</t>
  </si>
  <si>
    <t>Saturday, 1:30-2:30pm</t>
  </si>
  <si>
    <t>Red, White, and Blue Face Paint</t>
  </si>
  <si>
    <t>Victoria Bryant</t>
  </si>
  <si>
    <t>Wednesday July 3rd 3 pm</t>
  </si>
  <si>
    <t>Paracord Bracelets</t>
  </si>
  <si>
    <t>Craft making paracord bracelets</t>
  </si>
  <si>
    <t>Popular craft for adults and children, in the future have an assistant</t>
  </si>
  <si>
    <t>Thursday July 4th 3 pm</t>
  </si>
  <si>
    <t>4th of July Kid's Activities</t>
  </si>
  <si>
    <t>Coloring pages, crosswords and wordsearches</t>
  </si>
  <si>
    <t>Very rainy day, killed all attendance and all programs had to be designed as indoor activities.</t>
  </si>
  <si>
    <t>Thursday July 4th 4 pm</t>
  </si>
  <si>
    <t>Tie Dye Butterfly</t>
  </si>
  <si>
    <t>Making red, white, and blue butterflies from coffee filters</t>
  </si>
  <si>
    <t>Simple craft for future events</t>
  </si>
  <si>
    <t>Friday July 5th 4:30 pm</t>
  </si>
  <si>
    <t>Color a Critter</t>
  </si>
  <si>
    <t>Educational coloring pages with native wildlife</t>
  </si>
  <si>
    <t>Good rainy day activity, allows discussion about wildlife to develop easily with children</t>
  </si>
  <si>
    <t>Friday July 5th 7:30 pm</t>
  </si>
  <si>
    <t>Campfire Fun</t>
  </si>
  <si>
    <t>Games and smores at campfire</t>
  </si>
  <si>
    <t>Another rainy night made this program difficult.</t>
  </si>
  <si>
    <t>Saturday July 6th 2 pm</t>
  </si>
  <si>
    <t>Name the Turtle Vote</t>
  </si>
  <si>
    <t>Campers and swimmers suggested and voted on a name for our program box turtle</t>
  </si>
  <si>
    <t>Very fun event.  Campers submitted their suggestions and a list of names was compiled that everyone then chose from.</t>
  </si>
  <si>
    <t>Saturday July 6th 3 pm</t>
  </si>
  <si>
    <t>Make a Magnet</t>
  </si>
  <si>
    <t>Making turtle magnets out of tree cookies</t>
  </si>
  <si>
    <t>Fun craft with the kids, and a good one for Junior Ranger Camp.</t>
  </si>
  <si>
    <t>Sunday July 7th 11 am</t>
  </si>
  <si>
    <t>Tree ID Hike</t>
  </si>
  <si>
    <t>Tree ID Hike on Nature Trail</t>
  </si>
  <si>
    <t>Sunday is a difficult day for programming.  People are at church in the morning and leaving in the afternoon.  Focus programs in campground.</t>
  </si>
  <si>
    <t>Saturday, 4-5pm</t>
  </si>
  <si>
    <t>Live Reptile Show</t>
  </si>
  <si>
    <t>Saturday, 8:30-9:30pm</t>
  </si>
  <si>
    <t>Fire Fly Frolic</t>
  </si>
  <si>
    <t>Night Hike</t>
  </si>
  <si>
    <t>Sunday, 1:30-2:30pm</t>
  </si>
  <si>
    <t>It sprinkled during the face painting. Sunday people are leaving the park or at church it was slow.</t>
  </si>
  <si>
    <t>Sunday, 3:30-4:30 pm</t>
  </si>
  <si>
    <t>Recycle Rocket Crafts</t>
  </si>
  <si>
    <t>Rocket Crafts</t>
  </si>
  <si>
    <t>Weather was hot, and very few people were on the park.</t>
  </si>
  <si>
    <t>Sunday 3:30-4:30pm</t>
  </si>
  <si>
    <t>Turtle Time</t>
  </si>
  <si>
    <t>Hike and Turtle Program</t>
  </si>
  <si>
    <t>Offered in the campground where visitors were present. Visitors were not interested. Programs may be discontinued on Sundays due to low traffic</t>
  </si>
  <si>
    <t>Friday 10-11 am</t>
  </si>
  <si>
    <t>Build &amp; Decorate Birdhouse</t>
  </si>
  <si>
    <t>build bird houses &amp; deocrate them red white &amp; blue</t>
  </si>
  <si>
    <t>bird houses left ofer from Jr. Ranger Program</t>
  </si>
  <si>
    <t>Friday 8:30- 9:30 pm</t>
  </si>
  <si>
    <t>Hayride</t>
  </si>
  <si>
    <t>hayride around campground</t>
  </si>
  <si>
    <t>Saturday 7-8 pm</t>
  </si>
  <si>
    <t>Kelley Family Bluegrass</t>
  </si>
  <si>
    <t>bluegrass concert presented by Kelly Family</t>
  </si>
  <si>
    <t>Monday 10:30-12</t>
  </si>
  <si>
    <t>Life Enrichment/ Fish Kite</t>
  </si>
  <si>
    <t>create a red white &amp; blue fish kite</t>
  </si>
  <si>
    <t>Monday, 9-11 a.m.</t>
  </si>
  <si>
    <t>Morning Kayak Paddle</t>
  </si>
  <si>
    <t>Paddled Lake Rutledge in a program geared toward beginners</t>
  </si>
  <si>
    <t>Threat of rain from previous days may have hindered participation.</t>
  </si>
  <si>
    <t>Monday, 1-3 p.m.</t>
  </si>
  <si>
    <t>Frog Slog</t>
  </si>
  <si>
    <t>Kayaked out to a wetland area of Lake Rutledge and hunted for frogs.</t>
  </si>
  <si>
    <t>Need to better advertise this program</t>
  </si>
  <si>
    <t>Region 1</t>
  </si>
  <si>
    <t>Fort Mountain</t>
  </si>
  <si>
    <t>Saturday 2:00</t>
  </si>
  <si>
    <t>Fourth of July</t>
  </si>
  <si>
    <t>Special Event</t>
  </si>
  <si>
    <t>We had a break in the rain, so the kids decorated their bikes, but just as we started the parade, it poured.  We gave everyone a prize for being such good sports.</t>
  </si>
  <si>
    <t>Saturday 3:00</t>
  </si>
  <si>
    <t>Sunday, 1-3 p.m.</t>
  </si>
  <si>
    <t>Audubon Society Bird Walk</t>
  </si>
  <si>
    <t>Walked around different areas of the park bird watching</t>
  </si>
  <si>
    <t>Participant seemed very interested in participating at bird walks at other parks</t>
  </si>
  <si>
    <t>Children Unique/Wildlife</t>
  </si>
  <si>
    <t>Nature center visit, hike &amp; craft-  Wildlife focus</t>
  </si>
  <si>
    <t>Black Rock Mt.</t>
  </si>
  <si>
    <t>Tues 11 a.m.</t>
  </si>
  <si>
    <t>Patriotic Necklaces</t>
  </si>
  <si>
    <t>Craft - r,w,b beaded necklaces</t>
  </si>
  <si>
    <t>Tuesday 2 p.m.</t>
  </si>
  <si>
    <t>Patriotic Hats, Bandanas, Bottle Holders</t>
  </si>
  <si>
    <t>Craft - r,w,b, paint, markers</t>
  </si>
  <si>
    <t>Tues 4 p.m.</t>
  </si>
  <si>
    <t>Decorate and Celebrate for Fourth</t>
  </si>
  <si>
    <t>Decorate campground, nature center, fill water balloons</t>
  </si>
  <si>
    <t>Wednesday 10 a.m.</t>
  </si>
  <si>
    <t>Tie Dye T Shirts</t>
  </si>
  <si>
    <t>Tie Dye shirts r,w,b</t>
  </si>
  <si>
    <t>Wednesday 2 p.m.</t>
  </si>
  <si>
    <t>T Shirt Embellishment</t>
  </si>
  <si>
    <t>Fringe and r,w,b beads on shirts</t>
  </si>
  <si>
    <t>Thursday, 9:30-2</t>
  </si>
  <si>
    <t>Learning, Laughter &amp; Love</t>
  </si>
  <si>
    <t>wildlife, nature hike, lake ecology, habitat craft &amp; water games</t>
  </si>
  <si>
    <t>2 volunteers helped</t>
  </si>
  <si>
    <t>Tuesday, 11:30am-12:30pm</t>
  </si>
  <si>
    <t>Nnashville Methodist/Reptile Rodeo</t>
  </si>
  <si>
    <t>Panola Mt.</t>
  </si>
  <si>
    <t>Saturday, 10 a.m.</t>
  </si>
  <si>
    <t>Panola Mountain Hike</t>
  </si>
  <si>
    <t>Walk on Panola Mountain</t>
  </si>
  <si>
    <t>Large turnout despite gloomy weather.  Lead by E.M.</t>
  </si>
  <si>
    <t>Sunday 10 am til 12 pm</t>
  </si>
  <si>
    <t>Incredible Nature Crafts</t>
  </si>
  <si>
    <t>Made crafts with nature as an inspiration</t>
  </si>
  <si>
    <t>Some showed up without calling in</t>
  </si>
  <si>
    <t>Saturday, 7-9 p.m.</t>
  </si>
  <si>
    <t>Twilight Paddle</t>
  </si>
  <si>
    <t>Paddled Lake Rutledge on kayaks</t>
  </si>
  <si>
    <t>It rained pretty hard, but no lightening.  Everyone stayed until almost the end</t>
  </si>
  <si>
    <t>Sat/Sun 10-4</t>
  </si>
  <si>
    <t>75th Anniversary Celebration</t>
  </si>
  <si>
    <t>Various events to celebrate and inform about the history  of the park</t>
  </si>
  <si>
    <t>Weather was a factor, for we had fewer people in the park than anticipated.  Some of the speakers were unable to come because of illness.
We could repeat the event annually calling it CCC days.  The old-fashioned kid games were very popular by the beach area.</t>
  </si>
  <si>
    <t>Tuesday, 10-11</t>
  </si>
  <si>
    <t>First Baptist Church Franklin Georgia</t>
  </si>
  <si>
    <t>Historic Tour of LWH</t>
  </si>
  <si>
    <t>Tuesdy 2-4 p.m.</t>
  </si>
  <si>
    <t>Hall Grand Youth Chapter/ Historic Tour</t>
  </si>
  <si>
    <t>Historic Tour</t>
  </si>
  <si>
    <t>Tuesday, 9:30-2 pm</t>
  </si>
  <si>
    <t>Jr Rangers</t>
  </si>
  <si>
    <t>Nature hike, seining, created dip nets &amp; fish kites, water games</t>
  </si>
  <si>
    <t>Etowah Indian Mounds</t>
  </si>
  <si>
    <t>'7/17/13  10:30</t>
  </si>
  <si>
    <t>North Cobb Senior Center</t>
  </si>
  <si>
    <t>Museum and Movie</t>
  </si>
  <si>
    <t>Wednesday 7/10/13 9:30</t>
  </si>
  <si>
    <t>NWGA Christian Academy</t>
  </si>
  <si>
    <t>Site tour, video, and tools and weapons program</t>
  </si>
  <si>
    <t>Wednesday 7/3/13 2:00</t>
  </si>
  <si>
    <t>Museum Introduction</t>
  </si>
  <si>
    <t>Abbreviated tour of the site focused around the diarama</t>
  </si>
  <si>
    <t>Wednesday 7/3/13 3:45</t>
  </si>
  <si>
    <t>Thursday 7/4/2013</t>
  </si>
  <si>
    <t>Friday 1:00</t>
  </si>
  <si>
    <t>Dig Box: Kids learn about excavations</t>
  </si>
  <si>
    <t>Wednesday 7/17/13</t>
  </si>
  <si>
    <t>Thursday, 9:30-2 pm</t>
  </si>
  <si>
    <t>Learning, Laughter, &amp; Love Daycare, Jr. Rangers level 2</t>
  </si>
  <si>
    <t>Animal Tracks, nature hike, recreation games &amp; kite craft</t>
  </si>
  <si>
    <t>Friday, 10-12</t>
  </si>
  <si>
    <t>Oakbrook Daycare/ Scavenger Hunt</t>
  </si>
  <si>
    <t>Scavenger hunt &amp; nature center visit</t>
  </si>
  <si>
    <t>Monday 10:30-12</t>
  </si>
  <si>
    <t>Life Enrichment/ Woodpeckers</t>
  </si>
  <si>
    <t>focus woodpeckers nature hike &amp; craft</t>
  </si>
  <si>
    <t>Thursday 7/18/2013   12:30</t>
  </si>
  <si>
    <t>Bright-view Academy</t>
  </si>
  <si>
    <t>Video, Dig box, and tour of excavation</t>
  </si>
  <si>
    <t>Not all showed up that said they would.</t>
  </si>
  <si>
    <t>'7/5/2013     9:30</t>
  </si>
  <si>
    <t>Brentwood Academy</t>
  </si>
  <si>
    <t>'7/18/2013</t>
  </si>
  <si>
    <t>Saturday 7/13/2013 10am-4pm</t>
  </si>
  <si>
    <t>Day of Discovery for kids</t>
  </si>
  <si>
    <t>Games and activities aimed at teaching kids about Archaeology, Lecture by Dr. Adam King on Recent excavations</t>
  </si>
  <si>
    <t>Chief Vann House</t>
  </si>
  <si>
    <t>Wed 9am-2pm</t>
  </si>
  <si>
    <t>Murray County 4-H Volunteer Day</t>
  </si>
  <si>
    <t>Volunteer service program</t>
  </si>
  <si>
    <t>Local 4-H students helped weed, prune, plant, etc in preparation for Vann House Days 2013.  Afterwards, the group received a guided tour of the house, grounds, and museum.</t>
  </si>
  <si>
    <t>Friday 10-11:30 am</t>
  </si>
  <si>
    <t>Wheeler Pine/ Scavenger Hunt</t>
  </si>
  <si>
    <t>Seminole</t>
  </si>
  <si>
    <t>Thursday, 1-3 p.m.</t>
  </si>
  <si>
    <t>Rainy Day Activities</t>
  </si>
  <si>
    <t>Activities provided for park guests to get kids out of cottages and campers for the afternoon. Games, arts and crafts</t>
  </si>
  <si>
    <t>M-F 9-1:30</t>
  </si>
  <si>
    <t>Junior Ranger Camp</t>
  </si>
  <si>
    <t>The new activities that were included this year were a big hit--especially canoeing.  Next year we may have a theme per day to change the format of the camp for repeat participants.</t>
  </si>
  <si>
    <t>Saturday, 2-4 p.m.</t>
  </si>
  <si>
    <t>Introduction to Archery</t>
  </si>
  <si>
    <t>Intro to Archery</t>
  </si>
  <si>
    <t>This was the most successful archery program to date at this park.  Many vistors are repeat visitors from prior programs.</t>
  </si>
  <si>
    <t>Sunday 8 - 11:30</t>
  </si>
  <si>
    <t>Atlanta Audubon Intro to Birdwatching</t>
  </si>
  <si>
    <t>Bird Watching</t>
  </si>
  <si>
    <t>Awesome birds, including American Kestrel - really unsual for summer.  45 spp total.</t>
  </si>
  <si>
    <t>Sat/Sun 8:00/10:30</t>
  </si>
  <si>
    <t>Geology Hike</t>
  </si>
  <si>
    <t>Guided Hikes with Bill Witherspoon</t>
  </si>
  <si>
    <t>Saturday, 8:30-10:30 P.M.</t>
  </si>
  <si>
    <t>Full Moon Kayak Tour</t>
  </si>
  <si>
    <t>Kayaked on Lake Rutledge during a full moon</t>
  </si>
  <si>
    <t>This is a very popular program</t>
  </si>
  <si>
    <t>Prattville Senior Adults</t>
  </si>
  <si>
    <t>Tour of Site</t>
  </si>
  <si>
    <t>Thursday, p.m.1-2</t>
  </si>
  <si>
    <t>Child Care Network</t>
  </si>
  <si>
    <t>Guided Tour of site</t>
  </si>
  <si>
    <t>James H. Floyd</t>
  </si>
  <si>
    <t>Friday, 8:30 -10:00 p.m.</t>
  </si>
  <si>
    <t>Movie Night</t>
  </si>
  <si>
    <t>Outdoor Movie Night</t>
  </si>
  <si>
    <t>There was chance of thunderstorms that evening which I believe kept some people from coming out.  The Friends of Sloppy Floyd hosted the event and paid for popcorn, cokes, and movie fee from SWANK Entertainment. We will be doing another Movie Night in the fall.</t>
  </si>
  <si>
    <t>Watson Mill</t>
  </si>
  <si>
    <t>Saturday July 20th 7 pm</t>
  </si>
  <si>
    <t>Game Time!</t>
  </si>
  <si>
    <t>Field Games</t>
  </si>
  <si>
    <t>Simple program to do while waiting for movie night to begin.</t>
  </si>
  <si>
    <t>Saturday July 20th 9 pm</t>
  </si>
  <si>
    <t>Moonlight Movie Night</t>
  </si>
  <si>
    <t>Outdoor Movie on blow up screen</t>
  </si>
  <si>
    <t>Park Pass Revenue unknown, although this event did generate park pass sales.  Very popular event, more people attended this movie night than the last.</t>
  </si>
  <si>
    <t>Sunday July 21st 1 pm</t>
  </si>
  <si>
    <t>Bridge History Tour</t>
  </si>
  <si>
    <t>History of the covered bridge at Watson Mill</t>
  </si>
  <si>
    <t>Sunday July 21st 3 pm</t>
  </si>
  <si>
    <t>Nature Craft</t>
  </si>
  <si>
    <t>Craft involves making a turtle out of a tree cookie.</t>
  </si>
  <si>
    <t>This craft is very simple and uses materials we already have.  It also allows easy discussion with children about a turtle's adaptations.</t>
  </si>
  <si>
    <t>7/15 - 7/19 9 am to 2 pm</t>
  </si>
  <si>
    <t>Junior Ranger Camp went well.  The kids participated in archery, golfing, hiking, swimming, and educational programs.</t>
  </si>
  <si>
    <t>Red Top Mt.</t>
  </si>
  <si>
    <t>Thursday, 10 am - 2 pm</t>
  </si>
  <si>
    <t>Atlanta Budokan/Animal Encounter and Animal Track Craft</t>
  </si>
  <si>
    <t>Animal Encounter with snakes and turtles and then animal track booklet craft</t>
  </si>
  <si>
    <t>Saturday 8:30-9:45 pm</t>
  </si>
  <si>
    <t>Night Hike &amp; Marshmallow Roast</t>
  </si>
  <si>
    <t>Night hike &amp; marshmallow roast</t>
  </si>
  <si>
    <t>Monday, 10:30-12</t>
  </si>
  <si>
    <t>Life Enrichment/  Tracks</t>
  </si>
  <si>
    <t>plaster-paris tracks &amp; nature hike</t>
  </si>
  <si>
    <t>Tuesday, 9:30-11:30 am</t>
  </si>
  <si>
    <t>Small Wonder Daycare/ Lake Ecology</t>
  </si>
  <si>
    <t>Seine, dip net &amp; dredge for lake critters</t>
  </si>
  <si>
    <t>'7/24/2013</t>
  </si>
  <si>
    <t>'7/24/2013</t>
  </si>
  <si>
    <t>Lumpkin Co. Historical Society</t>
  </si>
  <si>
    <t>Group with own guide</t>
  </si>
  <si>
    <t>Most of the guests had a Friends pass</t>
  </si>
  <si>
    <t>'7/25/2013</t>
  </si>
  <si>
    <t>Success Learning Academy</t>
  </si>
  <si>
    <t>Film, Tools and weapons, visit with the archaeologists</t>
  </si>
  <si>
    <t>thursday, 9:30-2</t>
  </si>
  <si>
    <t>Learning, Laughter &amp; Love Daycare/ Jr. Rangers- Level 3</t>
  </si>
  <si>
    <t>Oakbrrok Daycare/ Geocaching</t>
  </si>
  <si>
    <t>Fort Yargo</t>
  </si>
  <si>
    <t>Sunday 3PM</t>
  </si>
  <si>
    <t>Crafts</t>
  </si>
  <si>
    <t>Crafts at Nature Center</t>
  </si>
  <si>
    <t>Very rainy that day. Even though crafts were under covered pavilion no one showed up to participate.</t>
  </si>
  <si>
    <t>10:30AM Thursday</t>
  </si>
  <si>
    <t>Nature Walk and Crafts</t>
  </si>
  <si>
    <t>Nature Walk, Crafts</t>
  </si>
  <si>
    <t>7:30 PM Saturday</t>
  </si>
  <si>
    <t>Evening Kayak</t>
  </si>
  <si>
    <t>Night kayak on lake</t>
  </si>
  <si>
    <t>Event canceled bc of inclement weather</t>
  </si>
  <si>
    <t>11AM Friday</t>
  </si>
  <si>
    <t>Nature Walk, Tree ID, Craft</t>
  </si>
  <si>
    <t>Nature walk w/ tree ID, crafts</t>
  </si>
  <si>
    <t>4PM Friday</t>
  </si>
  <si>
    <t>Scavenger Hunt</t>
  </si>
  <si>
    <t>Scavenger hunt only enticed 5 kids to show up- maybe try it on Saturday next time</t>
  </si>
  <si>
    <t>7:30 PM Friday</t>
  </si>
  <si>
    <t>Night Kayak</t>
  </si>
  <si>
    <t>Event canceled due to inclement weather</t>
  </si>
  <si>
    <t>10am-2pm Saturday</t>
  </si>
  <si>
    <t>Barrow County Safety Day</t>
  </si>
  <si>
    <t>Outreach</t>
  </si>
  <si>
    <t>Outreach event. Set up a booth at local county safety day to hand out flyers and answer questions about fort yargo!</t>
  </si>
  <si>
    <t>Sat 10-4</t>
  </si>
  <si>
    <t>Dalton LDS Church</t>
  </si>
  <si>
    <t>Games and hikes</t>
  </si>
  <si>
    <t>Rented Shelter
We had to cut some of the hikes because most of the group arrived late.</t>
  </si>
  <si>
    <t>Sat 9:30</t>
  </si>
  <si>
    <t>Gilmer Cub Pack 404</t>
  </si>
  <si>
    <t>Trail work and Leave No Trace</t>
  </si>
  <si>
    <t>They were an excellent pack--well organized, disciplined and hard-working.</t>
  </si>
  <si>
    <t>Saturday 10am-4pm</t>
  </si>
  <si>
    <t>Chief Vann House Days</t>
  </si>
  <si>
    <t>living history</t>
  </si>
  <si>
    <t>Friday 8:00</t>
  </si>
  <si>
    <t>S'mores</t>
  </si>
  <si>
    <t>Teach guests to make and eat s'mores</t>
  </si>
  <si>
    <t>Friday 8:30</t>
  </si>
  <si>
    <t>Campfire talks</t>
  </si>
  <si>
    <t>Talks on a variety of topics related to camping at Fort Mountain State Park</t>
  </si>
  <si>
    <t>Sat 9:45</t>
  </si>
  <si>
    <t>Search for plant/animal/park info around lake trail</t>
  </si>
  <si>
    <t>month-long</t>
  </si>
  <si>
    <t>Roving Ranger</t>
  </si>
  <si>
    <t>Ranger meets campers and answers questions about the park</t>
  </si>
  <si>
    <t>M/Thur/F 2-3</t>
  </si>
  <si>
    <t>Lake Trail Nature Hike</t>
  </si>
  <si>
    <t>Guided Hike around Lake Trail and Big Rock</t>
  </si>
  <si>
    <t>Wagon Ride with Narration</t>
  </si>
  <si>
    <t>Wagon Ride to Old Fort with Narration about park history and life within the park</t>
  </si>
  <si>
    <t>Sun 9</t>
  </si>
  <si>
    <t>Meditations in nature</t>
  </si>
  <si>
    <t>Meditations with music and nature sounds</t>
  </si>
  <si>
    <t>Saturday 8</t>
  </si>
  <si>
    <t>Campfire cooking</t>
  </si>
  <si>
    <t>Campers learn to cook on a fire using a variety of techniques</t>
  </si>
  <si>
    <t>Sat 1:30</t>
  </si>
  <si>
    <t>Kids Activities</t>
  </si>
  <si>
    <t>Variety of kids activities for camping and nature</t>
  </si>
  <si>
    <t>Tue/Wed 9:30</t>
  </si>
  <si>
    <t>Canoeing for Beginners</t>
  </si>
  <si>
    <t>Safety and basic strokes for canoeing</t>
  </si>
  <si>
    <t>Tue/Wed 2:00</t>
  </si>
  <si>
    <t>Drop off Hike</t>
  </si>
  <si>
    <t>Wagon Ride that drops off campers to hike back to campground</t>
  </si>
  <si>
    <t>First time campers</t>
  </si>
  <si>
    <t>Introduction to tent camping</t>
  </si>
  <si>
    <t>Nature Exploration with Cory</t>
  </si>
  <si>
    <t>Variety of natural topics presented by intern</t>
  </si>
  <si>
    <t>Friday 7-10 pm, Saturday 9 am-2 pm</t>
  </si>
  <si>
    <t>Family Camp</t>
  </si>
  <si>
    <t>Introduced families to activities they can do while camping</t>
  </si>
  <si>
    <t>July 3, 6-10pm</t>
  </si>
  <si>
    <t>Fireworks</t>
  </si>
  <si>
    <t>Annual fireworks display</t>
  </si>
  <si>
    <t>Concession agreement with Lake Seminole Lions Club</t>
  </si>
  <si>
    <t>Skidaway</t>
  </si>
  <si>
    <t>Wednesday 9:00AM</t>
  </si>
  <si>
    <t>Sandpiper Trail Hike</t>
  </si>
  <si>
    <t>Meander through the marsh on a guided hike with one of our knowledgeable park rangers.</t>
  </si>
  <si>
    <t>Wednesday 2:00PM</t>
  </si>
  <si>
    <t>Insects Galore</t>
  </si>
  <si>
    <t>Learn about the different types of insects in this area.</t>
  </si>
  <si>
    <t>Thursday 11:00AM</t>
  </si>
  <si>
    <t>Island History</t>
  </si>
  <si>
    <t>Learn the history, formation and inhabitants of the Georgia barrier islands.</t>
  </si>
  <si>
    <t>Thursday 1:00PM</t>
  </si>
  <si>
    <t>July 4th Craft</t>
  </si>
  <si>
    <t>Come out to our park and create a unique 4th of July craft!</t>
  </si>
  <si>
    <t>Friday 10:00AM</t>
  </si>
  <si>
    <t>Morning Bird Watch</t>
  </si>
  <si>
    <t>Learn the basics about local bird varieties as we gaze upon our feeding stations.</t>
  </si>
  <si>
    <t>Friday 1:00PM</t>
  </si>
  <si>
    <t>Toads and Turtles</t>
  </si>
  <si>
    <t>Do you know all the differences between reptiles and amphibians? Come and learn all the differences and touch live examples.</t>
  </si>
  <si>
    <t>Saturday 11:00AM</t>
  </si>
  <si>
    <t>Mystery of the Giant Ground Sloth</t>
  </si>
  <si>
    <t>Come learn about the amazing Giant Ground Sloth and others that roamed Skidaway during the last Ice Age. See and touch real fossils.</t>
  </si>
  <si>
    <t>Saturday 3:00PM</t>
  </si>
  <si>
    <t>Wilderness Survival</t>
  </si>
  <si>
    <t>We will talk about lost prevention and show you simple items to take with you on a hike.</t>
  </si>
  <si>
    <t>Saturday 9:00PM</t>
  </si>
  <si>
    <t>Call of the Wild</t>
  </si>
  <si>
    <t>Walk the trails at night to hear nocturnal animals call. See if you can tell the difference between frogs, bugs and birds.</t>
  </si>
  <si>
    <t>Sunday 11:00AM</t>
  </si>
  <si>
    <t>Dinner Time</t>
  </si>
  <si>
    <t>Watch as the ranger feeds the reptiles, leaping lizards, chopping turtles and snakes licking their chops.</t>
  </si>
  <si>
    <t>Sunday 2:00PM</t>
  </si>
  <si>
    <t>Painted Buntings</t>
  </si>
  <si>
    <t>Keep your eyes open to see one of America's most beautiful birds right here on the park. Join a discussion to learn all about the painted bunting.</t>
  </si>
  <si>
    <t>Interpretive Center Guided Tour</t>
  </si>
  <si>
    <t>Explore our museum and get all the details about our native wildlife, the history of the island and check out some live rare birds.</t>
  </si>
  <si>
    <t>Friday 4:00PM</t>
  </si>
  <si>
    <t>Fossils Show and Tell</t>
  </si>
  <si>
    <t>Come see and talk about the collection of fossils at the Interpretive Center.</t>
  </si>
  <si>
    <t>Sunday 10:00AM</t>
  </si>
  <si>
    <t>Thursday 4:00PM</t>
  </si>
  <si>
    <t>Fire Building 101</t>
  </si>
  <si>
    <t>Learn how to build a proper campfire quickly and easily.</t>
  </si>
  <si>
    <t>Saturday 8:30PM</t>
  </si>
  <si>
    <t>Spider Seek</t>
  </si>
  <si>
    <t>Hike the trails at night to find where the spiders go to hike.</t>
  </si>
  <si>
    <t>Wednesday 3:00PM</t>
  </si>
  <si>
    <t>Thursday 3:00PM</t>
  </si>
  <si>
    <t>Friday 3:00PM</t>
  </si>
  <si>
    <t>Geology of the Coast of Georgia</t>
  </si>
  <si>
    <t>What is a barrier island? Why doesn't Georgia get hit by hurricanes very often? What is the Georgia Bight Thing? All these questions and more answered.</t>
  </si>
  <si>
    <t>Friday 9:00PM</t>
  </si>
  <si>
    <t>Fungus Among Us</t>
  </si>
  <si>
    <t>Come out into the night to look for lichen that glows in the dark!</t>
  </si>
  <si>
    <t>Saturday 1:00PM</t>
  </si>
  <si>
    <t>Whoooo is out there?</t>
  </si>
  <si>
    <t>Join us to learn about owls and their behavior and then head out into the night to try and hear a hoot.</t>
  </si>
  <si>
    <t>Knot Tying</t>
  </si>
  <si>
    <t>Learn the basics on some handy knots for everyday use.</t>
  </si>
  <si>
    <t>New Echota</t>
  </si>
  <si>
    <t>thursday; 10:30 a.m.</t>
  </si>
  <si>
    <t>Public guided tour</t>
  </si>
  <si>
    <t>guided tour of bldgs/grounds</t>
  </si>
  <si>
    <t>Sat. 10 am</t>
  </si>
  <si>
    <t>Big Ferry Hike</t>
  </si>
  <si>
    <t>3 mile hike on big ferry trail</t>
  </si>
  <si>
    <t>Sat. 3pm</t>
  </si>
  <si>
    <t>Knot tying</t>
  </si>
  <si>
    <t>learn how to tie useful knots</t>
  </si>
  <si>
    <t>Friday 4 pm</t>
  </si>
  <si>
    <t>Fossil Show and Tell</t>
  </si>
  <si>
    <t>Fossil program</t>
  </si>
  <si>
    <t>Sat 10am</t>
  </si>
  <si>
    <t>Marsh Hike</t>
  </si>
  <si>
    <t>Learn the history of skidaway  island</t>
  </si>
  <si>
    <t>Wed. 9am</t>
  </si>
  <si>
    <t>Sandpiper Hike</t>
  </si>
  <si>
    <t>Marsh Hike</t>
  </si>
  <si>
    <t>Thurs. 10am</t>
  </si>
  <si>
    <t>Painted Bunting</t>
  </si>
  <si>
    <t>Learn about this rare local bird</t>
  </si>
  <si>
    <t>Sat 1pm</t>
  </si>
  <si>
    <t>Reptile Show</t>
  </si>
  <si>
    <t>Learn about local reptiles</t>
  </si>
  <si>
    <t>Tues. 9:30 am</t>
  </si>
  <si>
    <t>Learn about wilderness survival</t>
  </si>
  <si>
    <t>Tues. 11am</t>
  </si>
  <si>
    <t>learn about wilderness Survival</t>
  </si>
  <si>
    <t>Wed. 10am</t>
  </si>
  <si>
    <t>Camp Golden Rule</t>
  </si>
  <si>
    <t>Scavenger hunt, campfire</t>
  </si>
  <si>
    <t>Thurs. 10am</t>
  </si>
  <si>
    <t>In His Arms Camp</t>
  </si>
  <si>
    <t>Friday 10am</t>
  </si>
  <si>
    <t>Mon-Fri 9am-2pm</t>
  </si>
  <si>
    <t>Jr Ranger camp</t>
  </si>
  <si>
    <t>Jr Ranger camp for 6-11 year olds</t>
  </si>
  <si>
    <t>Wed. 10 am</t>
  </si>
  <si>
    <t>Rosemary Black Urban Academy</t>
  </si>
  <si>
    <t>Hayride, Reptiles</t>
  </si>
  <si>
    <t>Wed 9 am</t>
  </si>
  <si>
    <t>Urban christen academy</t>
  </si>
  <si>
    <t>hayride, reptiles</t>
  </si>
  <si>
    <t>Wed. 10:30am</t>
  </si>
  <si>
    <t>Childcare Network</t>
  </si>
  <si>
    <t>reptiles</t>
  </si>
  <si>
    <t>General Coffee</t>
  </si>
  <si>
    <t>July 8th - 11th, 9am - 2 pm</t>
  </si>
  <si>
    <t>Heritage Farm Camp</t>
  </si>
  <si>
    <t>Day camp based on the Heritage Farm</t>
  </si>
  <si>
    <t>Only cost was purchase of veggies since our garden was not ready to harvest this year.</t>
  </si>
  <si>
    <t>July 22nd-25th, 9am - 2pm</t>
  </si>
  <si>
    <t>Outdoor Adventure Camp</t>
  </si>
  <si>
    <t>Outdoor recreation camp</t>
  </si>
  <si>
    <t>July 6th, 9am-10am</t>
  </si>
  <si>
    <t>Birding Hike</t>
  </si>
  <si>
    <t>Guided birding hike</t>
  </si>
  <si>
    <t>Saturday, 3pm</t>
  </si>
  <si>
    <t>Kids Crafts</t>
  </si>
  <si>
    <t>Hands on craft program for kids</t>
  </si>
  <si>
    <t>Saturday, 8pm</t>
  </si>
  <si>
    <t>Nike Hike- Nocturnal Animals</t>
  </si>
  <si>
    <t>Guided nature hike</t>
  </si>
  <si>
    <t>Saturday, 1-4pm</t>
  </si>
  <si>
    <t>Farm visitation/museum open</t>
  </si>
  <si>
    <t>Museum open and ranger available to answer questions about park, farm and other topics of interest</t>
  </si>
  <si>
    <t>Fort McAllister</t>
  </si>
  <si>
    <t>mon-fri 9-2 pm</t>
  </si>
  <si>
    <t>Jr Ranger Day Camp</t>
  </si>
  <si>
    <t>history, nature, crafts, recreation, cannoeing</t>
  </si>
  <si>
    <t>day camp for jr ranger program</t>
  </si>
  <si>
    <t>tue-sat 1-4pm</t>
  </si>
  <si>
    <t>ft hist &amp; demo</t>
  </si>
  <si>
    <t>hist &amp; demo</t>
  </si>
  <si>
    <t>daily program</t>
  </si>
  <si>
    <t>ft hist &amp;demo</t>
  </si>
  <si>
    <t>hist&amp;demo</t>
  </si>
  <si>
    <t>tue-sat 1-4 pm</t>
  </si>
  <si>
    <t>ft hist&amp; demo</t>
  </si>
  <si>
    <t>Fort Morris</t>
  </si>
  <si>
    <t>Thursday, 11-3 pm</t>
  </si>
  <si>
    <t>Independence Day Colonial Faire</t>
  </si>
  <si>
    <t>history, games, music, black powder from 1776</t>
  </si>
  <si>
    <t>F. D. Roosevelt</t>
  </si>
  <si>
    <t>Tuesday 9:30-12:30</t>
  </si>
  <si>
    <t>Columbus Parks &amp; Rec</t>
  </si>
  <si>
    <t>Campers working on Jr Ranger</t>
  </si>
  <si>
    <t>Do again during fall and winter school breaks</t>
  </si>
  <si>
    <t>Saturday 10-11am</t>
  </si>
  <si>
    <t>Remarkable Reptiles</t>
  </si>
  <si>
    <t>live reptile program</t>
  </si>
  <si>
    <t>Great location</t>
  </si>
  <si>
    <t>Thursday 10am-4pm</t>
  </si>
  <si>
    <t>Patriotic Face Painting</t>
  </si>
  <si>
    <t>face painting</t>
  </si>
  <si>
    <t>Sunday 10am-1pm</t>
  </si>
  <si>
    <t>Branching Out Wildlife Crafts</t>
  </si>
  <si>
    <t>natural crafts</t>
  </si>
  <si>
    <t>Thursday 10am-2pm</t>
  </si>
  <si>
    <t>LaGrange Boys and Girls Club</t>
  </si>
  <si>
    <t>reptile program &amp; hike</t>
  </si>
  <si>
    <t>Friday 8pm-9:15pm</t>
  </si>
  <si>
    <t>Twilight Adventure</t>
  </si>
  <si>
    <t>evening trail walk</t>
  </si>
  <si>
    <t>Friday 9pm-11pm</t>
  </si>
  <si>
    <t>Movie On The Mountain</t>
  </si>
  <si>
    <t>outdoor movie The Croods</t>
  </si>
  <si>
    <t>Sponsors paid for equipment rental Low attendance because of rescheduling Should have been shown on 4th July</t>
  </si>
  <si>
    <t>Sat 9-10pm</t>
  </si>
  <si>
    <t>Astronomy</t>
  </si>
  <si>
    <t>star gazing</t>
  </si>
  <si>
    <t>Bad weather indoor backup</t>
  </si>
  <si>
    <t>Sat 10am-2pm</t>
  </si>
  <si>
    <t>PMT Hike</t>
  </si>
  <si>
    <t>trail hike</t>
  </si>
  <si>
    <t>Sat 9:30-11:20am</t>
  </si>
  <si>
    <t>Walk The Talk with a Geologist</t>
  </si>
  <si>
    <t>geology walk</t>
  </si>
  <si>
    <t>bring him back again excellent program</t>
  </si>
  <si>
    <t>saturday 7pm-8:30pm</t>
  </si>
  <si>
    <t>Evening Paddle</t>
  </si>
  <si>
    <t>basic canoe/kayak class on Lake Franklin</t>
  </si>
  <si>
    <t>Community Produce Marketplace</t>
  </si>
  <si>
    <t>market/crafts</t>
  </si>
  <si>
    <t>High Falls</t>
  </si>
  <si>
    <t>Thursday 8:30 pm</t>
  </si>
  <si>
    <t>Fourth of July Campfire</t>
  </si>
  <si>
    <t>Campfire with smores</t>
  </si>
  <si>
    <t>Were going to use left over smores supplies from Geocamp. It rained all week and day.</t>
  </si>
  <si>
    <t>Friday 8:30 pm</t>
  </si>
  <si>
    <t>Looking for frogs at the pool</t>
  </si>
  <si>
    <t>Was POURING cats and dogs.</t>
  </si>
  <si>
    <t>Saturday 10am</t>
  </si>
  <si>
    <t>Historic Walk</t>
  </si>
  <si>
    <t>Walking on the Historic Trail and learning the history</t>
  </si>
  <si>
    <t>Still a little wet from the stormy week</t>
  </si>
  <si>
    <t>Saturday 2 pm</t>
  </si>
  <si>
    <t>Leaf Rubbing journals</t>
  </si>
  <si>
    <t>making leaf journals with kids</t>
  </si>
  <si>
    <t>Started to rain</t>
  </si>
  <si>
    <t>Saturday 4 pm</t>
  </si>
  <si>
    <t>Birding 101</t>
  </si>
  <si>
    <t>Learning how to id birds</t>
  </si>
  <si>
    <t>Raining</t>
  </si>
  <si>
    <t>Sunday 11 am</t>
  </si>
  <si>
    <t>Wandering Naturalist</t>
  </si>
  <si>
    <t>Walking on the trails talking to visitors</t>
  </si>
  <si>
    <t>Sunday 10 am</t>
  </si>
  <si>
    <t>Sunday 4 pm</t>
  </si>
  <si>
    <t>Waterfall Scenic Hike</t>
  </si>
  <si>
    <t>Walking on Falls view trail talking about ecology</t>
  </si>
  <si>
    <t>Tuesday 9 am</t>
  </si>
  <si>
    <t>Sheriff Gary Long Summer Camp</t>
  </si>
  <si>
    <t>Telling the history, playing team building games, and a hhike</t>
  </si>
  <si>
    <t>Wednesday 7:30 pm</t>
  </si>
  <si>
    <t>Midweek Nature Walk</t>
  </si>
  <si>
    <t>taking a walk on the Historic trail looking for something cool</t>
  </si>
  <si>
    <t>Thursday 10am</t>
  </si>
  <si>
    <t>Homeschool Thursday</t>
  </si>
  <si>
    <t>Night Awareness Hike</t>
  </si>
  <si>
    <t>Hiking on falls view trail under the full moon light</t>
  </si>
  <si>
    <t>The Dam Hike</t>
  </si>
  <si>
    <t>Walking on the rocks below the dam and talking about the ecology of the river</t>
  </si>
  <si>
    <t>Saturday 2 pm</t>
  </si>
  <si>
    <t>Editable and Medical Plants of High Falls</t>
  </si>
  <si>
    <t>Guided hike identifying plants and educating the purpose of them</t>
  </si>
  <si>
    <t>Saturday 7:00 pm</t>
  </si>
  <si>
    <t>Twilight Night Paddle</t>
  </si>
  <si>
    <t>paddle to buck creek</t>
  </si>
  <si>
    <t>had a family of 8 no show.</t>
  </si>
  <si>
    <t>Sunday 8 am</t>
  </si>
  <si>
    <t>Beat the Heat Hike</t>
  </si>
  <si>
    <t>walking on the Falls view trail</t>
  </si>
  <si>
    <t>Sunday 2 pm</t>
  </si>
  <si>
    <t>Snake encounter</t>
  </si>
  <si>
    <t>Showing off the parks snakes to visitors</t>
  </si>
  <si>
    <t>Campfire cooking</t>
  </si>
  <si>
    <t>learning how to cook over a campfire</t>
  </si>
  <si>
    <t>Saturday 2am</t>
  </si>
  <si>
    <t>Thursday 1:30 3:30 pm</t>
  </si>
  <si>
    <t>Prattville Seniors /History Tour</t>
  </si>
  <si>
    <t>Tour of the historic site</t>
  </si>
  <si>
    <t>Thursday 1-3 pm</t>
  </si>
  <si>
    <t>Child Care Network/History Tour</t>
  </si>
  <si>
    <t>Mon-Thurs, 9am-3pm</t>
  </si>
  <si>
    <t>Jr Rangers with two seasonal naturalists</t>
  </si>
  <si>
    <t>Laura Walker</t>
  </si>
  <si>
    <t>July 4th 9-11 a.m.</t>
  </si>
  <si>
    <t>July 4th games</t>
  </si>
  <si>
    <t>Watermelon seed spitting, football toss, swack race, etc</t>
  </si>
  <si>
    <t>Friday 2-5pm</t>
  </si>
  <si>
    <t>Museum open and Farm Visitation</t>
  </si>
  <si>
    <t>Museum open and ranger available to answer questions about park</t>
  </si>
  <si>
    <t>Saturday, 1-4 pm</t>
  </si>
  <si>
    <t>Museum open and farm visitation</t>
  </si>
  <si>
    <t>museum open and ranger available to answer questions about park</t>
  </si>
  <si>
    <t>Saturday, 10am - 11noon</t>
  </si>
  <si>
    <t>Farm Tour</t>
  </si>
  <si>
    <t>Tour of Heritage Farm</t>
  </si>
  <si>
    <t>Saturday, 11-12noon</t>
  </si>
  <si>
    <t>Ga. Reptiles</t>
  </si>
  <si>
    <t>Lecture type program on Georgia Reptiles</t>
  </si>
  <si>
    <t>museum open and ranger available to answer questions</t>
  </si>
  <si>
    <t>Sunday, 1-4 pm</t>
  </si>
  <si>
    <t>Elijah Clark</t>
  </si>
  <si>
    <t>Friday 9:30-10:30</t>
  </si>
  <si>
    <t>YMCA Camp Lakeside</t>
  </si>
  <si>
    <t>Reptiles Worth While</t>
  </si>
  <si>
    <t>Each event had 50 participants.  This has been a great connection with a local organization which will continue in future summers and possibly to new branches of the Y.</t>
  </si>
  <si>
    <t>Friday 9:00</t>
  </si>
  <si>
    <t>Night Hike around Lake Trail</t>
  </si>
  <si>
    <t>We thought that we would have more participants since we did it right after our S'mores program, which had 40 in attendance.  The hike itself went well.</t>
  </si>
  <si>
    <t>Daily 9-5 pm</t>
  </si>
  <si>
    <t>Ranger led scavenger hunts</t>
  </si>
  <si>
    <t>Introduction to site</t>
  </si>
  <si>
    <t>Introduction to site and film</t>
  </si>
  <si>
    <t>Kolomoki Mounds</t>
  </si>
  <si>
    <t>Tuesday, 10-11a.m.</t>
  </si>
  <si>
    <t>Angel Acaemy Daycare</t>
  </si>
  <si>
    <t>Museum tour, video, and Ranger Led Demonstrations</t>
  </si>
  <si>
    <t>Thursday, 10-11am</t>
  </si>
  <si>
    <t>Church of Christ, Albany GA</t>
  </si>
  <si>
    <t>Monday-Thursday 9am-3pm</t>
  </si>
  <si>
    <t>Junior Rangers - Week 2</t>
  </si>
  <si>
    <t>Four day Junior Ranger Day camp</t>
  </si>
  <si>
    <t>Sunday-Saturday 8am-5pm</t>
  </si>
  <si>
    <t>Historic Site Admission, video, museum, for Month of July</t>
  </si>
  <si>
    <t>Florence Marina</t>
  </si>
  <si>
    <t>4th -7th 10-4</t>
  </si>
  <si>
    <t>july4th</t>
  </si>
  <si>
    <t>holiday</t>
  </si>
  <si>
    <t>Providence Canyon</t>
  </si>
  <si>
    <t>16th-10am</t>
  </si>
  <si>
    <t>school group</t>
  </si>
  <si>
    <t>hike</t>
  </si>
  <si>
    <t>26th 10am</t>
  </si>
  <si>
    <t>schoolgroup</t>
  </si>
  <si>
    <t>31-10am</t>
  </si>
  <si>
    <t>school</t>
  </si>
  <si>
    <t>making clay pots</t>
  </si>
  <si>
    <t>Thursday</t>
  </si>
  <si>
    <t>Tugaloo</t>
  </si>
  <si>
    <t>Wednesday, 5-6:30pm</t>
  </si>
  <si>
    <t>Boy Scouts of Royston</t>
  </si>
  <si>
    <t>Fishing how to and safety</t>
  </si>
  <si>
    <t>Park Pass revenue. Contact in naturalist notebook and could be good source of contact for other Boy Scout groups in area.</t>
  </si>
  <si>
    <t>Friday, 12-1pm</t>
  </si>
  <si>
    <t>Invitation to programs, Q&amp;A</t>
  </si>
  <si>
    <t>Going through campground is a must to have good program attendance.</t>
  </si>
  <si>
    <t>Saturday 12-1pm</t>
  </si>
  <si>
    <t>Program invitation, Q&amp;A</t>
  </si>
  <si>
    <t>Several Saturday's got rained out.</t>
  </si>
  <si>
    <t>Invitation to programs, Q&amp;A</t>
  </si>
  <si>
    <t>Meet and greet with campers. Great way to introduce folks to park programs.</t>
  </si>
  <si>
    <t>Thursday, 1-4pm</t>
  </si>
  <si>
    <t>Nature Hut</t>
  </si>
  <si>
    <t>Q&amp;A on Hut displays</t>
  </si>
  <si>
    <t>Attendance is better on Fridays and Saturdays.</t>
  </si>
  <si>
    <t>Friday, 1-4pm</t>
  </si>
  <si>
    <t>Hut is mainly visited by our campers, but having this event posted on the event calendar does bring in outside folks.</t>
  </si>
  <si>
    <t>Friday, 5pm</t>
  </si>
  <si>
    <t>Mammal Tracks</t>
  </si>
  <si>
    <t>Mammal ID and track making</t>
  </si>
  <si>
    <t>Made tracks with plaster-a-paris and rubber cast.</t>
  </si>
  <si>
    <t>Friday, 7pm</t>
  </si>
  <si>
    <t>Feedin' the Snakes</t>
  </si>
  <si>
    <t>Snake ID and feeding</t>
  </si>
  <si>
    <t>Attendance increased when program title was changed to 'Feedin' the Snakes'</t>
  </si>
  <si>
    <t>Saturday, 2-3 pm</t>
  </si>
  <si>
    <t>Herbs &amp; Wild Edibles</t>
  </si>
  <si>
    <t>Shared herbs and wild edible</t>
  </si>
  <si>
    <t>Sunday, 2-3 pm</t>
  </si>
  <si>
    <t>Wild Gourmet Dinner</t>
  </si>
  <si>
    <t>Shared wild gourmet dishes</t>
  </si>
  <si>
    <t>Provided by friends of Mistletoe</t>
  </si>
  <si>
    <t>Saturday, 4pm</t>
  </si>
  <si>
    <t>Cooking with the Sun</t>
  </si>
  <si>
    <t>How to make and use a solor cooker.</t>
  </si>
  <si>
    <t>People are always amazed when they see the egg boiled with just the power of the sun. Kept the solar cooker on display in the hut with  copies of directions. Had lots of interest in the cooker outside program times.</t>
  </si>
  <si>
    <t>Thursday, 9-11am</t>
  </si>
  <si>
    <t>Lavonia Police Kids Summer Program</t>
  </si>
  <si>
    <t>Snake ID and Hike</t>
  </si>
  <si>
    <t>Good PR program with the local Police Dept.</t>
  </si>
  <si>
    <t>Friday, 4pm</t>
  </si>
  <si>
    <t>Owl ID and Sounds</t>
  </si>
  <si>
    <t>Owl ID and sounds</t>
  </si>
  <si>
    <t>Friday, 4:30pm</t>
  </si>
  <si>
    <t>Owl Craft</t>
  </si>
  <si>
    <t>Pinecone owl craft</t>
  </si>
  <si>
    <t>Saturday, 5pm</t>
  </si>
  <si>
    <t>When you do this program on a Saturday, be sure to have a campground host on hand to help.</t>
  </si>
  <si>
    <t>Saturday, 8:30pm</t>
  </si>
  <si>
    <t>Hike on trail at night</t>
  </si>
  <si>
    <t>Be sure you have two people for this program. One leading and another bring up the rear.</t>
  </si>
  <si>
    <t>Friday, 8:30pm</t>
  </si>
  <si>
    <t>Trail Hike at Night</t>
  </si>
  <si>
    <t>Frogs of Georgia</t>
  </si>
  <si>
    <t>Frog ID and sounds</t>
  </si>
  <si>
    <t>Kids had fun releasing the frogs after program.</t>
  </si>
  <si>
    <t>Wednesday, 1-4pm</t>
  </si>
  <si>
    <t>Traveler's Rest Special Group Tour</t>
  </si>
  <si>
    <t>TR tour</t>
  </si>
  <si>
    <t>Thursday, 10am</t>
  </si>
  <si>
    <t>July 4th Bike Parade</t>
  </si>
  <si>
    <t>Decorate bikes and parade the campground</t>
  </si>
  <si>
    <t>Rained all morning.</t>
  </si>
  <si>
    <t>Thursday, 11am</t>
  </si>
  <si>
    <t>Old Fashion Games</t>
  </si>
  <si>
    <t>Sack races, 3 legged races, etc..</t>
  </si>
  <si>
    <t>Rained for days and field was soaked.</t>
  </si>
  <si>
    <t>Thursday, 3pm</t>
  </si>
  <si>
    <t>Putt-Putt Tournament</t>
  </si>
  <si>
    <t>Rained all day. Played tournament in the rain.</t>
  </si>
  <si>
    <t>Saturday, 2pm</t>
  </si>
  <si>
    <t>Native Americans of the Tugaloo River Valley</t>
  </si>
  <si>
    <t>informational of the Native Americans who lived at Tugaloo</t>
  </si>
  <si>
    <t>Discussed our artifacts, wedding vase, and demo of blow-gun.</t>
  </si>
  <si>
    <t>Mon.-Fri., 9am-2pm</t>
  </si>
  <si>
    <t>Jr. Ranger Day Camp</t>
  </si>
  <si>
    <t>Jr. Ranger Camp</t>
  </si>
  <si>
    <t>Week long event.</t>
  </si>
  <si>
    <t>Friday, 1pm</t>
  </si>
  <si>
    <t>Jr. Ranger Badge Ceremony</t>
  </si>
  <si>
    <t>Jr. Ranger Badge ceremony</t>
  </si>
  <si>
    <t>Critter Call with Terry Manis</t>
  </si>
  <si>
    <t>Reptile ID</t>
  </si>
  <si>
    <t>Saturday, 9am-5pm</t>
  </si>
  <si>
    <t>Travler's Rest</t>
  </si>
  <si>
    <t>Traveler's Rest</t>
  </si>
  <si>
    <t>Opened up Traveler's Rest to give Mr. Anderson a day off.</t>
  </si>
  <si>
    <t>Nearly Normal String Band</t>
  </si>
  <si>
    <t>Folk style music group</t>
  </si>
  <si>
    <t>Rained most of that day, but cleared off that evening.</t>
  </si>
  <si>
    <t>A. H. Stephens</t>
  </si>
  <si>
    <t>Wed., 10-12 noon</t>
  </si>
  <si>
    <t>Life Enrichment Center</t>
  </si>
  <si>
    <t>Nature program</t>
  </si>
  <si>
    <t>Wed., 10-12</t>
  </si>
  <si>
    <t>Nature program with group camp</t>
  </si>
  <si>
    <t>Park history and park ranger job duties</t>
  </si>
  <si>
    <t>Program cost 925.
Friends donated 469.
Donations from guests 456.</t>
  </si>
  <si>
    <t>Friday 4 p.m.</t>
  </si>
  <si>
    <t>Sssnakes, Bears, Poison Ivy, &amp; More</t>
  </si>
  <si>
    <t>Info on identification and what to do when encountered</t>
  </si>
  <si>
    <t>Friday 5 p.m.</t>
  </si>
  <si>
    <t>Junior Ranger Program</t>
  </si>
  <si>
    <t>Intro to Junior Rangers and complete an activity in book</t>
  </si>
  <si>
    <t>Saturday 9:30 PM</t>
  </si>
  <si>
    <t>Shadow Puppet Contest</t>
  </si>
  <si>
    <t>Demonstorate and make shadow puppets</t>
  </si>
  <si>
    <t>Apparently the art of making shadow puppets has been lost on a generation.  In order to get more participation if we do it again, we should have handouts to with the demonstrations of how to make shadow puppets.</t>
  </si>
  <si>
    <t>Saturday 9 a.m.</t>
  </si>
  <si>
    <t>Leaf Prints</t>
  </si>
  <si>
    <t>Identify trees in park; leaf prints on fabric</t>
  </si>
  <si>
    <t>various</t>
  </si>
  <si>
    <t>Butterfly Suncatchers</t>
  </si>
  <si>
    <t>Identify butterflies seen in park; make suncatcher</t>
  </si>
  <si>
    <t>Wed 8:30 a.m.</t>
  </si>
  <si>
    <t>Trail Blazing Edmonds Trail</t>
  </si>
  <si>
    <t>Reblaze Edmonds trail, trim vegetation, check signs, bridges</t>
  </si>
  <si>
    <t>Thurs 9 a.m.</t>
  </si>
  <si>
    <t>Tennessee Rock Trail</t>
  </si>
  <si>
    <t>Hike</t>
  </si>
  <si>
    <t>Thurs, 7 p.m.</t>
  </si>
  <si>
    <t>Potluck Supper</t>
  </si>
  <si>
    <t>Thursday night tradition for campers, cottage guests, locals</t>
  </si>
  <si>
    <t>Saturday 2 p.m.</t>
  </si>
  <si>
    <t>Lake Critter Expedition</t>
  </si>
  <si>
    <t>Explore what's living in and around the lake; using nets, guides, specimen containers</t>
  </si>
  <si>
    <t>Friday 9 a.m.</t>
  </si>
  <si>
    <t>Spring House Trail</t>
  </si>
  <si>
    <t>Mon &amp; Tues 12:30</t>
  </si>
  <si>
    <t>Junior Ranger Camp - Tallulah Gorge</t>
  </si>
  <si>
    <t>Hiking, outdoor adventures and education, crafts</t>
  </si>
  <si>
    <t>TG and BR join together for a Tri State Park Jr Ranger Campe</t>
  </si>
  <si>
    <t>Wed, 12:30 p.m.</t>
  </si>
  <si>
    <t>Junior Ranger Camp - Moccasin Creek</t>
  </si>
  <si>
    <t>TG and BR join together for a Tri State Park Junior Ranger Camp.  Partcipants can opt for a day or the whole week.</t>
  </si>
  <si>
    <t>Thurs, Fri 12:30 p.m.</t>
  </si>
  <si>
    <t>Junior Ranger Camp - Black Rock</t>
  </si>
  <si>
    <t>TG and BR join to have a Tri Park Junior Ranger Camp at Rabun County's three parks.  Participants can opt for a day or a week.</t>
  </si>
  <si>
    <t>Vogel</t>
  </si>
  <si>
    <t>Tuesday, Thursday, Saturday &amp; Sunday, 1-3 p.m.</t>
  </si>
  <si>
    <t>CCC Museum</t>
  </si>
  <si>
    <t>Saturdays, 8-9 p.m.</t>
  </si>
  <si>
    <t>Music in the Park</t>
  </si>
  <si>
    <t>Music performance at the pavilion</t>
  </si>
  <si>
    <t>Tuesday &amp; Thursday, 5-7 p.m.</t>
  </si>
  <si>
    <t>Meet and greet of campers with QA</t>
  </si>
  <si>
    <t>Two of the programs were partially rained out otherwise the numbers would have been much higher.</t>
  </si>
  <si>
    <t>Wednesday, 8-9 p.m.</t>
  </si>
  <si>
    <t>Campfire &amp; Marshmallow Roast</t>
  </si>
  <si>
    <t>One program was rained out and the rest affected by the heavy rains experienced all month.</t>
  </si>
  <si>
    <t>Thursday, 8-9 p.m.</t>
  </si>
  <si>
    <t>Twilight Kayaking</t>
  </si>
  <si>
    <t>Twilight kayaking on Lake Trahlyta</t>
  </si>
  <si>
    <t>Saturday, 11 a.m.</t>
  </si>
  <si>
    <t>Ask the Naturalist: Animal Signs</t>
  </si>
  <si>
    <t>Lecture on local fauna and tracking</t>
  </si>
  <si>
    <t>Saturdays, 11 a.m.</t>
  </si>
  <si>
    <t>Ask the Naturalist: Black Bears</t>
  </si>
  <si>
    <t>Black Bear information</t>
  </si>
  <si>
    <t>One program was completely rained out. The purpose of the program is solely to inform park patrons about bear safety, lifestyle, and habitat.</t>
  </si>
  <si>
    <t>Friday, 8:30 p.m.</t>
  </si>
  <si>
    <t>Ultimate Frisbee</t>
  </si>
  <si>
    <t>Ultimate Frisbee game on the beach</t>
  </si>
  <si>
    <t>One game was rained out and another suffered from a delay because of two lost campers on the Bear Hair Gap.</t>
  </si>
  <si>
    <t>Various, 11 a.m.</t>
  </si>
  <si>
    <t>Nature Walk</t>
  </si>
  <si>
    <t>LOST and plant ID on Nature Trail</t>
  </si>
  <si>
    <t>Two of the programs were rained out but the third may bring in lots of photos for the photo contest.</t>
  </si>
  <si>
    <t>Wednesday, 10 a.m.</t>
  </si>
  <si>
    <t>Bear Hair Gap Hike</t>
  </si>
  <si>
    <t>Hike on the 4.4 mile BHG</t>
  </si>
  <si>
    <t>Two programs were rained out.</t>
  </si>
  <si>
    <t>Friday, 2-3 p.m.</t>
  </si>
  <si>
    <t>Stream Walk</t>
  </si>
  <si>
    <t>Water pollution and macro-invertebrae ID at Wolf Creek</t>
  </si>
  <si>
    <t>One program was rained out, another cancelled early due to lightening, and a third was cancelled because the rains had made the water run too high and fast. This is not a good program for the monsoon-like weather we have been enjoying lately.</t>
  </si>
  <si>
    <t>Thursday, 5-6 p.m.</t>
  </si>
  <si>
    <t>Volleyball</t>
  </si>
  <si>
    <t>Volleyball game</t>
  </si>
  <si>
    <t>Two programs were rained out and the wet conditions probably kept the number of participants down for the other two programs.</t>
  </si>
  <si>
    <t>Saturday, 1-3 p.m.</t>
  </si>
  <si>
    <t>Arts &amp; Crafts</t>
  </si>
  <si>
    <t>Thaumatropes at the Pavilion</t>
  </si>
  <si>
    <t>Tuesday, 9-10:30 p.m.</t>
  </si>
  <si>
    <t>Night Hike around Lake Trahlyta</t>
  </si>
  <si>
    <t>Tuesday, 8 a.m. - 7 p.m.</t>
  </si>
  <si>
    <t>Family Scavenger Hunt</t>
  </si>
  <si>
    <t>Scavenger Hunt through park for certain plants, animals, or historic monuments</t>
  </si>
  <si>
    <t>Was an off shoot of the Photo scavenger hunts and meant to provide a program while the naturalist was busy with meetings.</t>
  </si>
  <si>
    <t>Sunday, 12-1 p.m.</t>
  </si>
  <si>
    <t>Camp Adventure Family Cookout</t>
  </si>
  <si>
    <t>Kick-off for Camp Adventure Bible School - held annually at the park</t>
  </si>
  <si>
    <t>Monday-Thursday, 10 a.m.-12 p.m.</t>
  </si>
  <si>
    <t>Camp Adventure</t>
  </si>
  <si>
    <t>Bible School offered by local church and open to community and campers</t>
  </si>
  <si>
    <t>There were approximately 39 participants every day, primarily campers. Thus, the actual total for the week would be 156.</t>
  </si>
  <si>
    <t>July 4th, 8 a.m. - 4 p.m.</t>
  </si>
  <si>
    <t>4th of July Celebrations</t>
  </si>
  <si>
    <t>various activities to celebrate the 4th of July</t>
  </si>
  <si>
    <t>The day was extremely wet and rained continuously, ending with a thunderstorm at 3:30 p.m. Participation and camper numbers were down significantly because of the weather but those who did come enjoyed the day and declared it the most memorable 4th ever. The participation breaks down to: 53 for Flag ceremony, 47 for bicycle parade, 39 for boat races (19 competitors at $2 each), 21 for sandcastle competition, and 238 participants for a very muddy field games.</t>
  </si>
  <si>
    <t>July 27, 10 a.m.-4 p.m.</t>
  </si>
  <si>
    <t>Dancing in the Park: A National Dance Day Celebration</t>
  </si>
  <si>
    <t>Dance activities at the pavilion</t>
  </si>
  <si>
    <t>This was a hastily prepared program that could easily become an annual program with a few extra months of planning. All of the instruction was done by volunteers and the Naturalist. Future attempts could try to involve community dance schools and could possibly charge a fee. The breakdown of participation for the various activities was as follows: 8 for morning yoga, 52 for dance instruction, and 90 (20 dancers and 70 observers) for Zumba.</t>
  </si>
  <si>
    <t>Crooked River</t>
  </si>
  <si>
    <t>Saturday, 3:00 - 7:00 p.m.</t>
  </si>
  <si>
    <t>Kayak Trip</t>
  </si>
  <si>
    <t>Friday, 8:00 a.m. - 12:00 p.m.</t>
  </si>
  <si>
    <t>Friday, 1:00-2:00 p.m.</t>
  </si>
  <si>
    <t>Terrific Turtles</t>
  </si>
  <si>
    <t>craft</t>
  </si>
  <si>
    <t>Friday, 9:00-11:00 a.m.</t>
  </si>
  <si>
    <t>Rookery Trip</t>
  </si>
  <si>
    <t>birds</t>
  </si>
  <si>
    <t>Saturday, 10:00 a.m. - 12:00 p.m.</t>
  </si>
  <si>
    <t>Family Nature Quest</t>
  </si>
  <si>
    <t>Fundana - birds</t>
  </si>
  <si>
    <t>Saturday, 1:00-2:00 p.m.</t>
  </si>
  <si>
    <t>Live Animal</t>
  </si>
  <si>
    <t>Saturday, 2:30-3:30 p.m.</t>
  </si>
  <si>
    <t>Animal Feeding</t>
  </si>
  <si>
    <t>Saturday, 8:00-9:00 p.m.</t>
  </si>
  <si>
    <t>Campfire</t>
  </si>
  <si>
    <t>Tuesday-Thursday, 8:00 a.m.-12:00 p.m.</t>
  </si>
  <si>
    <t>Saturday, 1:00 - 2:00 p.m.</t>
  </si>
  <si>
    <t>Saturday, 6:00 - 7:00 p.m.</t>
  </si>
  <si>
    <t>Story &amp; Craft Time</t>
  </si>
  <si>
    <t>turtles</t>
  </si>
  <si>
    <t>Saturday, 10:00 a.m. - 6:00 p.m.</t>
  </si>
  <si>
    <t>Family Fun Day</t>
  </si>
  <si>
    <t>live animals &amp; bird hurdles</t>
  </si>
  <si>
    <t>Saturday, 9:00 - 10:30 a.m.</t>
  </si>
  <si>
    <t>Nature &amp; Birding Hike</t>
  </si>
  <si>
    <t>Saturday, 1:00 - 5:00 p.m.</t>
  </si>
  <si>
    <t>Pine Needle Basket Making</t>
  </si>
  <si>
    <t>with Susan Avery</t>
  </si>
  <si>
    <t>bats</t>
  </si>
  <si>
    <t>Tuesday-Thurday, 9:00 a.m. - 4:00 p.m.</t>
  </si>
  <si>
    <t>Adventure Camp</t>
  </si>
  <si>
    <t>Wednesday, 11:30 a.m. - 2:30 p.m.</t>
  </si>
  <si>
    <t>STEM Camp, Kids in College - Brunswick</t>
  </si>
  <si>
    <t>dock &amp; reptiles</t>
  </si>
  <si>
    <t>Friday, 9:00 - 10:00 a.m.</t>
  </si>
  <si>
    <t>Childtime</t>
  </si>
  <si>
    <t>live animals</t>
  </si>
  <si>
    <t>Tuesday, 6:00 - 7:00 p.m.</t>
  </si>
  <si>
    <t>Chick-fil-A; Family Fun Night</t>
  </si>
  <si>
    <t>live animals, intro to park</t>
  </si>
  <si>
    <t>Thursday, 10:00-11:00 a.m.</t>
  </si>
  <si>
    <t>Chick-fil-a, Mommy &amp; Me</t>
  </si>
  <si>
    <t>owls</t>
  </si>
  <si>
    <t>Saturday 11 a.m.</t>
  </si>
  <si>
    <t>Hiking 101 at Trailhead</t>
  </si>
  <si>
    <t>Hiking basics, safety, maps, info at main trailhead</t>
  </si>
  <si>
    <t>MC Nature Exhibit/Trail Info</t>
  </si>
  <si>
    <t>Nature exhibit and info at activity center</t>
  </si>
  <si>
    <t>Tues 2 p.m.</t>
  </si>
  <si>
    <t>Worm Hunt</t>
  </si>
  <si>
    <t>All about worms and their habitat; hunt</t>
  </si>
  <si>
    <t>Thurs 11 a.m.</t>
  </si>
  <si>
    <t>Wood Medallions</t>
  </si>
  <si>
    <t>Info on poplar trees and hx of uses; make medallions from slices of wood</t>
  </si>
  <si>
    <t>Ada Hi Falls Trail</t>
  </si>
  <si>
    <t>Interpretive hike</t>
  </si>
  <si>
    <t>ABC Scavenger Hunt</t>
  </si>
  <si>
    <t>Scavenger hunt to find each letter of alphabet in park</t>
  </si>
  <si>
    <t>Wormsloe</t>
  </si>
  <si>
    <t>tuesday-sunday 1-4:30</t>
  </si>
  <si>
    <t>Colonial Life Demonstrations</t>
  </si>
  <si>
    <t>Costumed interpreters present a variety of colonial life craft and skills  to the visitors at the Colonial Life Are</t>
  </si>
  <si>
    <t>Wed. 31st @11</t>
  </si>
  <si>
    <t>Casino Tour Group</t>
  </si>
  <si>
    <t>Interpretive Rangers gave a tour of the museum, tabby ruins, marsh walk and colonial life area</t>
  </si>
  <si>
    <t>Tues-Sunday @10, 11, 2 &amp;3</t>
  </si>
  <si>
    <t>Scheduled Tours</t>
  </si>
  <si>
    <t>Various- When needed</t>
  </si>
  <si>
    <t>Golf Cart tour of the site</t>
  </si>
  <si>
    <t>Fort King George</t>
  </si>
  <si>
    <t>Thursday, 10am-4pm</t>
  </si>
  <si>
    <t>Cannons Across the Marsh (Independence Day)</t>
  </si>
  <si>
    <t>Independence Day Celebration (blackpowder demos, blacksmithing, toys &amp; games, canoe rides, FREE watermelon &amp; lemonade</t>
  </si>
  <si>
    <t>1st Saturday Fun @ the Fort</t>
  </si>
  <si>
    <t>musket firing, toys &amp; games, soldier talks</t>
  </si>
  <si>
    <t>Saturday, 10am-2pm</t>
  </si>
  <si>
    <t>Boater Safety Course</t>
  </si>
  <si>
    <t>safe boater workshop presented by Ranger Kate Hargrove</t>
  </si>
  <si>
    <t>Sweetwater Creek</t>
  </si>
  <si>
    <t>Friday, 7:30pm-9:00pm</t>
  </si>
  <si>
    <t>Twilight Lake Paddle</t>
  </si>
  <si>
    <t>ranger-led lake paddle</t>
  </si>
  <si>
    <t>George L. Smith</t>
  </si>
  <si>
    <t>Friday July 19 7:30-9:30</t>
  </si>
  <si>
    <t>Moonlight Paddle</t>
  </si>
  <si>
    <t>Canoe/Kayak Paddle</t>
  </si>
  <si>
    <t>Saturday, 11am-12:30pm</t>
  </si>
  <si>
    <t>New Manchester History Hike</t>
  </si>
  <si>
    <t>historian or ranger-led history hike to the New Manchester Mill</t>
  </si>
  <si>
    <t>Wednesday, 7:30pm-9:00pm</t>
  </si>
  <si>
    <t>Mid-week wind down paddle</t>
  </si>
  <si>
    <t>Wednesday 9:30am-11:30am</t>
  </si>
  <si>
    <t>Weeks High/ History &amp; Nature Hike</t>
  </si>
  <si>
    <t>school nature and history hike to mill and rapids</t>
  </si>
  <si>
    <t>Friday, 7:30am-8:45am</t>
  </si>
  <si>
    <t>Yoga on the Bridge</t>
  </si>
  <si>
    <t>instructor led yoga on yellow trail bridge</t>
  </si>
  <si>
    <t>Saturday, 11:00am-12:30pm</t>
  </si>
  <si>
    <t>historian-led history hike to New Manchester mill</t>
  </si>
  <si>
    <t>Saturday, 9:00am-11:00am</t>
  </si>
  <si>
    <t>geologist-led geology hike</t>
  </si>
  <si>
    <t>Saturday, 11:00am-1:00pm</t>
  </si>
  <si>
    <t>Sweetwater Creek by Kayak</t>
  </si>
  <si>
    <t>ranger-led paddle on the creek and history walk to the mill</t>
  </si>
  <si>
    <t>Saturday, 3:00pm-4:00pm</t>
  </si>
  <si>
    <t>:Snakes Alive"</t>
  </si>
  <si>
    <t>snake awareness program</t>
  </si>
  <si>
    <t>Sunday, 2:00pm-3:30pm</t>
  </si>
  <si>
    <t>Lake Paddle</t>
  </si>
  <si>
    <t>Wed - Friday, 6-9 p.m.</t>
  </si>
  <si>
    <t>Jr Ranger Camp</t>
  </si>
  <si>
    <t>Jr Ranger Camp for Home Schools</t>
  </si>
  <si>
    <t>Many parents signed up for future events.</t>
  </si>
  <si>
    <t>Jarrell Plantation</t>
  </si>
  <si>
    <t>Friday, 10:30-12:30</t>
  </si>
  <si>
    <t>Summer camp</t>
  </si>
  <si>
    <t>guided tour</t>
  </si>
  <si>
    <t>Thurs- 1:15-2:30</t>
  </si>
  <si>
    <t>Daycare</t>
  </si>
  <si>
    <t>Cloudland Canyon</t>
  </si>
  <si>
    <t>Saturday 10-11</t>
  </si>
  <si>
    <t>Waterfall Hike</t>
  </si>
  <si>
    <t>Hike to the first waterfall and discuss the geology of the canyon.</t>
  </si>
  <si>
    <t>rain</t>
  </si>
  <si>
    <t>Saturday 11:30 - 12:00</t>
  </si>
  <si>
    <t>Cold Creatures</t>
  </si>
  <si>
    <t>All about the reptiles of Interpretive Center.</t>
  </si>
  <si>
    <t>Saturday 2:00-3:30</t>
  </si>
  <si>
    <t>Planet Earth Movie</t>
  </si>
  <si>
    <t>Screening of a segment of the Planet Earth dvd.</t>
  </si>
  <si>
    <t>Great rain activity</t>
  </si>
  <si>
    <t>Saturday 4:30-5:30</t>
  </si>
  <si>
    <t>Overlook Hike</t>
  </si>
  <si>
    <t>Hike the overlook trail.</t>
  </si>
  <si>
    <t/>
  </si>
  <si>
    <t>Saturday 10-6</t>
  </si>
  <si>
    <t>Postcards from Camp Craft</t>
  </si>
  <si>
    <t>Make a postcard about your visit to Cloudland Canyon.</t>
  </si>
  <si>
    <t>Bug Jar Craft</t>
  </si>
  <si>
    <t>Make a bug jar to collect insects for observation and identification.</t>
  </si>
  <si>
    <t>Sunday 10-11</t>
  </si>
  <si>
    <t>Sunday 11:30-12</t>
  </si>
  <si>
    <t>Sunday 2:00-3:30</t>
  </si>
  <si>
    <t>Sunday 4:30-5:30</t>
  </si>
  <si>
    <t>Sunday 10-5:30</t>
  </si>
  <si>
    <t>Saturday 10-11:30</t>
  </si>
  <si>
    <t>Orienteering</t>
  </si>
  <si>
    <t>Learn the basics of land navigation.</t>
  </si>
  <si>
    <t>Jr. Ranger Weekly Activity: Georgia Pines</t>
  </si>
  <si>
    <t>Work on Georgia Pines activity from Jr. Ranger book with a game added.</t>
  </si>
  <si>
    <t>Maybe offer Sat. as level 1 &amp; 2 and Sun as level 3.</t>
  </si>
  <si>
    <t>Saturday 5:30-6:00</t>
  </si>
  <si>
    <t>Feed the Fish</t>
  </si>
  <si>
    <t>Hike to the pond and help feed the catfish.</t>
  </si>
  <si>
    <t>Good ad for the Friday fishing program.</t>
  </si>
  <si>
    <t>Sun 10-11:30</t>
  </si>
  <si>
    <t>Sun 2-3:30</t>
  </si>
  <si>
    <t>Sunday 5:30-6:00</t>
  </si>
  <si>
    <t>Sun 10- 5:30</t>
  </si>
  <si>
    <t>Tuesday 4-8:30</t>
  </si>
  <si>
    <t>Catoosa County Public Library/Dig into Reading:Fossils &amp; Geology</t>
  </si>
  <si>
    <t>Visit to public library in Summerville for geology and fossil talk + craft for summer reading program.</t>
  </si>
  <si>
    <t>Thursday 8:30 - 11:00</t>
  </si>
  <si>
    <t>Saturday 6:00-10:30</t>
  </si>
  <si>
    <t>Georgia GeoCampers</t>
  </si>
  <si>
    <t>Night hike for Georiga GeoCampers</t>
  </si>
  <si>
    <t>Sunday 9-12</t>
  </si>
  <si>
    <t>Georgia GeoCampers/Service Project</t>
  </si>
  <si>
    <t>GeoCampers trash pick-up service project</t>
  </si>
  <si>
    <t>Monday -Friday 9-3:00</t>
  </si>
  <si>
    <t>Jr. Ranger Camp</t>
  </si>
  <si>
    <t>Jr. Ranger day camp for ages 6-8</t>
  </si>
  <si>
    <t>Jr. Ranger day camp for ages 9-12</t>
  </si>
  <si>
    <t>Tuesday 10-3</t>
  </si>
  <si>
    <t>Trenton First Baptist Day Camp/ Project Wild games</t>
  </si>
  <si>
    <t>Church day camp activity. Program presented by Manger.</t>
  </si>
  <si>
    <t>Wednesday 10-3</t>
  </si>
  <si>
    <t>Walking through the camp ground with a program animal</t>
  </si>
  <si>
    <t>S'mores, stories, &amp; games at the campfire ring</t>
  </si>
  <si>
    <t>Glow in the dark volleyball</t>
  </si>
  <si>
    <t>Volley ball match with glow in the dark volleyball and glowsticks</t>
  </si>
  <si>
    <t>Mammals of Georgia</t>
  </si>
  <si>
    <t>Information about the mammals of GA with taxidermy specimens and coloring sheets for children</t>
  </si>
  <si>
    <t>Tallulah Gorge</t>
  </si>
  <si>
    <t>all</t>
  </si>
  <si>
    <t>Friday July 26th 2013 6:30 pm</t>
  </si>
  <si>
    <t>Friday July 26th 2013 8 pm</t>
  </si>
  <si>
    <t>Friday July 26th 2013 9pm</t>
  </si>
  <si>
    <t>Saturday July 27th 5 pm</t>
  </si>
  <si>
    <t>Monday - Friday 12:30-4</t>
  </si>
  <si>
    <t>Tri Park Jr. Ranger Program</t>
  </si>
  <si>
    <t>Helped kids earn there Jr Ranger badges and participate in other outdoor activities</t>
  </si>
  <si>
    <t>Thursday Friday 8-11</t>
  </si>
  <si>
    <t>Full Moon Suspension Bridge Hike</t>
  </si>
  <si>
    <t>Hiked to Suspension bridge under a full moon</t>
  </si>
  <si>
    <t>Monday, Wesdnesday, Thursday and Friday</t>
  </si>
  <si>
    <t>Athens Y Camp</t>
  </si>
  <si>
    <t>Hiked to slidding rock</t>
  </si>
  <si>
    <t>Saturday July 27th 8pm</t>
  </si>
  <si>
    <t>A good way to distract the kids while waiting on movie night to start.</t>
  </si>
  <si>
    <t>Tuesday 10-11</t>
  </si>
  <si>
    <t>Home with a heart</t>
  </si>
  <si>
    <t>Gave a tour of interpretive center</t>
  </si>
  <si>
    <t>Monday 12-1</t>
  </si>
  <si>
    <t>Snellville seniors</t>
  </si>
  <si>
    <t>Gave a tour of Interpretive Center</t>
  </si>
  <si>
    <t>Saturday July 27th 9pm</t>
  </si>
  <si>
    <t>This was the most widely advertised movie night yet for VBSP. Attendance remained nearly the same as previous movie nights.</t>
  </si>
  <si>
    <t>Sunday July 28th 2013 10 am</t>
  </si>
  <si>
    <t>Building miniature souvenir campfires</t>
  </si>
  <si>
    <t>Move the timing of this program and location to picnic shelter in campground on a friday or saturday</t>
  </si>
  <si>
    <t>Saturday 1-2</t>
  </si>
  <si>
    <t>Ginger's Gypsies</t>
  </si>
  <si>
    <t>Led a tour of Interpretive Center</t>
  </si>
  <si>
    <t>thurs, 10:30-2:30 p.m.</t>
  </si>
  <si>
    <t>Ol' Time 4th</t>
  </si>
  <si>
    <t>special event</t>
  </si>
  <si>
    <t>Sat , 10:30-3:30p.m.</t>
  </si>
  <si>
    <t>Blacksmith Demo</t>
  </si>
  <si>
    <t>friday 7:30pm-9:00pm</t>
  </si>
  <si>
    <t>ranger-led twilight lake paddle</t>
  </si>
  <si>
    <t>Wednesday, 9am-12pm</t>
  </si>
  <si>
    <t>Gullickson School/nature, history, and green building tour</t>
  </si>
  <si>
    <t>highschool ap environmental educators/natureand history hike to the mill and green building tour    ll</t>
  </si>
  <si>
    <t>historian-led history hike to mill</t>
  </si>
  <si>
    <t>Saturday, 11am-1pm</t>
  </si>
  <si>
    <t>Sweetwater mCreeek by Kayak</t>
  </si>
  <si>
    <t>ranger-led layal on the creek and walking tour of New Manchester mill</t>
  </si>
  <si>
    <t>Saturday, 7:30pm-9:00pm</t>
  </si>
  <si>
    <t>Sunday, 9am-10:30am</t>
  </si>
  <si>
    <t>Ranger-led Lake Paddle</t>
  </si>
  <si>
    <t>ranger-led paddle on lake and up Beaver Creek</t>
  </si>
  <si>
    <t>Women's Introduction to Kayaking</t>
  </si>
  <si>
    <t>women-led introduction to kayaking for women</t>
  </si>
  <si>
    <t>Thursday , 9am-2pm</t>
  </si>
  <si>
    <t>Junior Ranger Camp-Level 1</t>
  </si>
  <si>
    <t>Stephen C. Foster</t>
  </si>
  <si>
    <t>Daily 10 a.m. &amp; 2 p.m.</t>
  </si>
  <si>
    <t>Boat Tour</t>
  </si>
  <si>
    <t>Boat tour through the Okefenokee Swamp</t>
  </si>
  <si>
    <t>Program cost figured by interpretive ranger's salary plus cost of gas for boat, upkeep of boat, etc.  Indirect revenue still needed from July budget.</t>
  </si>
  <si>
    <t>7/5/13:  7 p.m.</t>
  </si>
  <si>
    <t>Cold-Blooded Critters</t>
  </si>
  <si>
    <t>Reptile Program</t>
  </si>
  <si>
    <t>instructor-led yoga on the Yellow Trail bridge</t>
  </si>
  <si>
    <t>Saturday, 11am-12:30am</t>
  </si>
  <si>
    <t>ranger-led paddle on the creek and walking tour of mill</t>
  </si>
  <si>
    <t>Saturday, 2:30pm-4:00pm</t>
  </si>
  <si>
    <t>"Keeping it Wild"/ women's kayak instruction</t>
  </si>
  <si>
    <t>women's kayak instruction</t>
  </si>
  <si>
    <t>Saturday, 7:30pm-9:30pm</t>
  </si>
  <si>
    <t>ranger-led lake paddle and up Beaver Creek</t>
  </si>
  <si>
    <t>Sunday, 2pm-3:30pm</t>
  </si>
  <si>
    <t>Ranger-led lake paddle</t>
  </si>
  <si>
    <t>ranger-led paddle on the lake and up Beaver Creek</t>
  </si>
  <si>
    <t>Wednesday, 6:30pm- 8:00pm</t>
  </si>
  <si>
    <t>First Methodist Church of Lithia Springs/Intro to Kayaking</t>
  </si>
  <si>
    <t>private kayak instruction</t>
  </si>
  <si>
    <t>Pickett's Mill</t>
  </si>
  <si>
    <t>Saturday, 10:00 a.m. - 4:00 p.m.</t>
  </si>
  <si>
    <t>Cabin Life: Summer on the Home Front</t>
  </si>
  <si>
    <t>Living History</t>
  </si>
  <si>
    <t>Friday 8-10 p.m.</t>
  </si>
  <si>
    <t>Saturday 8-10 p.m.</t>
  </si>
  <si>
    <t>Magnolia Nights</t>
  </si>
  <si>
    <t>Night time nature hike</t>
  </si>
  <si>
    <t>Sunday 2-4 p.m.</t>
  </si>
  <si>
    <t>The Rattlesnake and the River</t>
  </si>
  <si>
    <t>talk about off shore shipwreck</t>
  </si>
  <si>
    <t>A Confederate Campfire</t>
  </si>
  <si>
    <t>campfire talk on local civil war life</t>
  </si>
  <si>
    <t>Snakes of the Summer</t>
  </si>
  <si>
    <t>talk on local snake species</t>
  </si>
  <si>
    <t>Magnolia Springs</t>
  </si>
  <si>
    <t>'July 7, 2013</t>
  </si>
  <si>
    <t>Star Talk</t>
  </si>
  <si>
    <t>Smores and star stories</t>
  </si>
  <si>
    <t>'July 21, 2013</t>
  </si>
  <si>
    <t>Even with attendance low this was the first time that locals have come specifically for a park program and shows us that are marketing efforts are starting to yield results since the two individuals saw it in their local paper.</t>
  </si>
  <si>
    <t>Smithgall Woods</t>
  </si>
  <si>
    <t>Monday - Friday</t>
  </si>
  <si>
    <t>Eco-Camps</t>
  </si>
  <si>
    <t>Camp where children learn about being better stewards of the environment</t>
  </si>
  <si>
    <t>Monday 9:00 am-4:00 p.m.</t>
  </si>
  <si>
    <t>Advanced Georgia Master Naturalist</t>
  </si>
  <si>
    <t>An advanced Master Naturalist class for those who have already attended the general Master Naturalist class</t>
  </si>
  <si>
    <t>Friday 3:00 p.m.</t>
  </si>
  <si>
    <t>Friends Friday</t>
  </si>
  <si>
    <t>An opportunity to learn more about the "Friends of Smithgall Woods"</t>
  </si>
  <si>
    <t>Tuesday 10:00 a.m. - 3:00 p.m.</t>
  </si>
  <si>
    <t>Capture the Flag Mini-Camp</t>
  </si>
  <si>
    <t>Incorporate adaptations into the very popular childrens game "Capture the Flag"</t>
  </si>
  <si>
    <t>Saturdays once a month 8 am -12 pm</t>
  </si>
  <si>
    <t>Youth Fishing Days</t>
  </si>
  <si>
    <t>Youth are able to come and fish</t>
  </si>
  <si>
    <t>Saturday 10:00 a.m.</t>
  </si>
  <si>
    <t>Bear Education</t>
  </si>
  <si>
    <t>learn about bears</t>
  </si>
  <si>
    <t>Saturday</t>
  </si>
  <si>
    <t>10:00 a.m. -12:00 p.m.</t>
  </si>
  <si>
    <t>Guided hike on the our trails</t>
  </si>
  <si>
    <t>Friday nights at 8:00 p.m.</t>
  </si>
  <si>
    <t>Park after Dark</t>
  </si>
  <si>
    <t>hike the park at dark learning about your senses</t>
  </si>
  <si>
    <t>Monday 9:00 am</t>
  </si>
  <si>
    <t>Georgia Virtual Academy- Snakes and Stream Ecology</t>
  </si>
  <si>
    <t>children taught about stream ecology and snakes</t>
  </si>
  <si>
    <t>Friday 9:00 am</t>
  </si>
  <si>
    <t>Sugar Hill Christian Acadmey Science Camp</t>
  </si>
  <si>
    <t>Tuesday 10:00 a.m.</t>
  </si>
  <si>
    <t>Helen Library- Pet Rocks and Gold Panning</t>
  </si>
  <si>
    <t>make your very own pet rocks and learn to pan for gold</t>
  </si>
  <si>
    <t>Thursdays 10:00 a.m.</t>
  </si>
  <si>
    <t>Cleveland Library-Wiggly Worms and GOld Panning</t>
  </si>
  <si>
    <t>Growing up wild learn about worms and gold panning</t>
  </si>
  <si>
    <t>Clarkesville Library</t>
  </si>
  <si>
    <t>Gold Panning</t>
  </si>
  <si>
    <t>Learn to pan for gold</t>
  </si>
  <si>
    <t>Helen Library - Snakes</t>
  </si>
  <si>
    <t>learn about snakes</t>
  </si>
  <si>
    <t>Friday 9:00 a.m.</t>
  </si>
  <si>
    <t>Brennan Child Development- Creepy Crawlers/Deer Ecology</t>
  </si>
  <si>
    <t>Wednesday 1:00 p.m.</t>
  </si>
  <si>
    <t>Georgia Aquarium Workshop - Stream</t>
  </si>
  <si>
    <t>Tuesday 9:00 am</t>
  </si>
  <si>
    <t>Smithgall 101</t>
  </si>
  <si>
    <t>learn about Smithgall Woods</t>
  </si>
  <si>
    <t>Tuesday 9:00 a.m.</t>
  </si>
  <si>
    <t>Hardman Farm Tours</t>
  </si>
  <si>
    <t>Learn about Hardman Farm</t>
  </si>
  <si>
    <t>Month/Year</t>
  </si>
  <si>
    <t>Day &amp; Time</t>
  </si>
  <si>
    <t>Attendance</t>
  </si>
  <si>
    <t xml:space="preserve"> Cost</t>
  </si>
  <si>
    <t># Programs</t>
  </si>
  <si>
    <t>Interpretive Ranger leads visitors on a walking tour of the tabby ruins, marsh edge and colonial life area</t>
  </si>
  <si>
    <t>Statewide</t>
  </si>
  <si>
    <t xml:space="preserve">Program Types </t>
  </si>
  <si>
    <t>Number of Programs</t>
  </si>
  <si>
    <t>Program Attendance</t>
  </si>
  <si>
    <t>Special Events</t>
  </si>
  <si>
    <t>Site Intro or Video Intro</t>
  </si>
  <si>
    <t>TOTAL Programs</t>
  </si>
  <si>
    <t>Statewide Revenue from Program Fees</t>
  </si>
  <si>
    <t xml:space="preserve">Statewide Indirect Revenue from Programs </t>
  </si>
  <si>
    <t>Group  Program</t>
  </si>
  <si>
    <t>Region 1 Revenue from Program Fees</t>
  </si>
  <si>
    <t xml:space="preserve">Region 1 Indirect Revenue from Programs </t>
  </si>
  <si>
    <t>Region 2 Revenue from Program Fees</t>
  </si>
  <si>
    <t xml:space="preserve">Region 2 Indirect Revenue from Programs </t>
  </si>
  <si>
    <t xml:space="preserve">Site Intro or Video Intro </t>
  </si>
  <si>
    <t>TOTAL  Programs</t>
  </si>
  <si>
    <t>Region 3 Revenue from Program Fees</t>
  </si>
  <si>
    <t xml:space="preserve">Region 3 Indirect Revenue from Programs </t>
  </si>
  <si>
    <t>July 2013 Programs in Georgia State Parks &amp; Historic Sites - 18 sites offered programs this month</t>
  </si>
  <si>
    <t>Wednesday  11:00-12:30</t>
  </si>
  <si>
    <t>Scavengwer hunt, discovery box</t>
  </si>
  <si>
    <t>Pioneer &amp; Indian Lifestyels</t>
  </si>
  <si>
    <t>Introduction to geocaching</t>
  </si>
  <si>
    <t>Happy Birthday! America BarBQ Lunch, Water Balloon, Hula Hoop Contest, Bubble Gum Blowing &amp; Live Music</t>
  </si>
  <si>
    <t>BarBQ lunch, games &amp; music</t>
  </si>
  <si>
    <t>Patriotic Bike Parade &amp; Patriotic Camp Site</t>
  </si>
  <si>
    <t>Saturday, 8-9:30 pm</t>
  </si>
  <si>
    <t>Live Bluegrass Concerts</t>
  </si>
  <si>
    <t>Live bluegrass concert at the Vaughan Log Cabin</t>
  </si>
  <si>
    <t>Friday, 8-9:0 pm</t>
  </si>
  <si>
    <t>Bonus Bluegrass Concert</t>
  </si>
  <si>
    <t>extra concert offered on 4th of July weekend</t>
  </si>
  <si>
    <t>Saturday, 7-8:30 pm</t>
  </si>
  <si>
    <t>PhotoHike</t>
  </si>
  <si>
    <t>Photohike at Iron Hill Trail</t>
  </si>
  <si>
    <t>Friday, Aug 2 9:30 - 11AM</t>
  </si>
  <si>
    <t>Wonderland Childcare Pontoon Ride</t>
  </si>
  <si>
    <t>Pontoon ride</t>
  </si>
  <si>
    <t>Life Enrichment/ Dream Catchers</t>
  </si>
  <si>
    <t>Indian traditions dream catchers</t>
  </si>
  <si>
    <t>July</t>
  </si>
  <si>
    <t>Nature Center Visitation</t>
  </si>
  <si>
    <t>guests visiting nature center</t>
  </si>
  <si>
    <t>Tuesday, 4-5p.m.</t>
  </si>
  <si>
    <t>Kelly Tours</t>
  </si>
  <si>
    <t>Tour of Historic Site</t>
  </si>
  <si>
    <t>Saturday, 9-11 a.m.</t>
  </si>
  <si>
    <t>McCuthen Family Reunion</t>
  </si>
  <si>
    <t>Thursday. 11-12p.m.</t>
  </si>
  <si>
    <t>Point University</t>
  </si>
  <si>
    <t>Friday 10:45 8/2/13</t>
  </si>
  <si>
    <t>Wednesday 8/7/2013 2:30</t>
  </si>
  <si>
    <t>Rainy day - few guests</t>
  </si>
  <si>
    <t>Saturday 8/3/2013</t>
  </si>
  <si>
    <t>Coosa River Initiative Paddle By</t>
  </si>
  <si>
    <t>Paddle group drops by for self guidedf tour</t>
  </si>
  <si>
    <t>This type of group mostly buys drinks.</t>
  </si>
  <si>
    <t>Saturday 8:30 - 10:30 p.m.</t>
  </si>
  <si>
    <t>New Moon Kayak Tour</t>
  </si>
  <si>
    <t>Night Sky watching from Kayak</t>
  </si>
  <si>
    <t>Sunday August 4th 2013 3 pm</t>
  </si>
  <si>
    <t>This is a popular program that people of all ages seem to enjoy. I plan to do this program more often in the future.</t>
  </si>
  <si>
    <t>Friday August 2nd 2013 6 pm</t>
  </si>
  <si>
    <t>Roving Ranger is always a popular program.</t>
  </si>
  <si>
    <t>Friday August 2nd 2013 8pm</t>
  </si>
  <si>
    <t>Largest attendance at a campfire program yet!</t>
  </si>
  <si>
    <t>Friday August 2nd 2013 9 pm</t>
  </si>
  <si>
    <t>Everyone seemed to enjoy this program.</t>
  </si>
  <si>
    <t>Saturday August 3rd 2013 11 am</t>
  </si>
  <si>
    <t>Tree ID hikes seem to be hit or miss -- either no one attends or many people attend. Adjust timing to see if audience size is affected.</t>
  </si>
  <si>
    <t>Saturday August 3rd 2013 2 pm</t>
  </si>
  <si>
    <t>how to tie 5 basic knots</t>
  </si>
  <si>
    <t>Saturday August 3rd 2013 4 pm</t>
  </si>
  <si>
    <t>Make your own ice cream!</t>
  </si>
  <si>
    <t>Make homemade ice cream in a zip lock bag</t>
  </si>
  <si>
    <t>Sunday August 4th 2013 10 am</t>
  </si>
  <si>
    <t>Hike the Perimeter!</t>
  </si>
  <si>
    <t>A hike along the perimeter trail</t>
  </si>
  <si>
    <t>Attendance for hikes has been consistently low.</t>
  </si>
  <si>
    <t>Astronomy Night</t>
  </si>
  <si>
    <t>It would be better to do this program at the bike parking area to avoid light pollution.</t>
  </si>
  <si>
    <t>Living with the Guale</t>
  </si>
  <si>
    <t>Campfire talk on native americans</t>
  </si>
  <si>
    <t>Friday 7:30pm</t>
  </si>
  <si>
    <t>Astronomy 101</t>
  </si>
  <si>
    <t>Astronomy, night hike, etc</t>
  </si>
  <si>
    <t>Had a guest come and teach - may want to have him simplify the information to engage all ages. Ages ranged from 2-65.</t>
  </si>
  <si>
    <t>Meteor watch and constellation information</t>
  </si>
  <si>
    <t>Saturday 7-9 pm</t>
  </si>
  <si>
    <t>Twilight Kayak Tour</t>
  </si>
  <si>
    <t>Kayak tour of Lake Rutldge at twilight</t>
  </si>
  <si>
    <t>Saturday 10 pm-12 am</t>
  </si>
  <si>
    <t>Meteor Shower Kayak Tour</t>
  </si>
  <si>
    <t>Kayak tour on Lake Rutledge watching the Perseids meteor shower</t>
  </si>
  <si>
    <t>Beautiful starry night</t>
  </si>
  <si>
    <t>Friday August 9th 5pm</t>
  </si>
  <si>
    <t>Making owl magnets out of wood cookies</t>
  </si>
  <si>
    <t>Friday August 9th 6 pm</t>
  </si>
  <si>
    <t>Friday August 9th 9pm</t>
  </si>
  <si>
    <t>Night hike along the nature trail</t>
  </si>
  <si>
    <t>Saturday August 10th 8 pm</t>
  </si>
  <si>
    <t>Field games</t>
  </si>
  <si>
    <t>Saturday August 10th 9 pm</t>
  </si>
  <si>
    <t>Rainy weather in surrounding areas diminished attendance.</t>
  </si>
  <si>
    <t>Sunday August 11th 2pm</t>
  </si>
  <si>
    <t>Ice Cream in a Bag</t>
  </si>
  <si>
    <t>Making ice cream in ziploc bags</t>
  </si>
  <si>
    <t>Sunday August 11th 4pm</t>
  </si>
  <si>
    <t>Mon-Thurs 9:30-3:00</t>
  </si>
  <si>
    <t>4-H Forestry Camp</t>
  </si>
  <si>
    <t>Focus on tree identification and other aspects of the forest</t>
  </si>
  <si>
    <t>The participants would benefit from more rote work with leaf identification. They enjoyed the leaf identification hikes and mastered many of the concepts related to forest succession. An older group of kids with more interest in forestry was suggested.</t>
  </si>
  <si>
    <t>Monday 10-11 p.m.</t>
  </si>
  <si>
    <t>Paddle Under the Persieds</t>
  </si>
  <si>
    <t>Paddle on Lake Rutledge during the Perseids Meteor Shower</t>
  </si>
  <si>
    <t>Monday 11:30 p.m. to 12:30 p.m.</t>
  </si>
  <si>
    <t>Paddle under the Perseids</t>
  </si>
  <si>
    <t>Thurs 12:30-2:30 pm</t>
  </si>
  <si>
    <t>Providence Meth Church/history tour</t>
  </si>
  <si>
    <t>Sunday 2:30 -4:30 pm</t>
  </si>
  <si>
    <t>Cobb Senior Citizens Council/History tours</t>
  </si>
  <si>
    <t>Friday, 8-9:30 pm</t>
  </si>
  <si>
    <t>Twilight Hike</t>
  </si>
  <si>
    <t>Brief snake program followed by 1-mile night hike</t>
  </si>
  <si>
    <t>Saturday, 10-11 am</t>
  </si>
  <si>
    <t>Animal Encounter</t>
  </si>
  <si>
    <t>Snakes and Turtles</t>
  </si>
  <si>
    <t>Sunday 10 p.m.- 12:30 a.m.</t>
  </si>
  <si>
    <t>Persied Meteor Shower</t>
  </si>
  <si>
    <t>Paddle on Lake Rutledge after dark to view meteors</t>
  </si>
  <si>
    <t>Great program, everyone saw a least 2 or 3 nice meteors.</t>
  </si>
  <si>
    <t>Monday 10 pm-12 am</t>
  </si>
  <si>
    <t>The first group, the sky was overcast. The second group had a great sky, but due to being on a Monday Night, the attendance dropped down. Really nice looks at meteors, however!</t>
  </si>
  <si>
    <t>Monday 10-12</t>
  </si>
  <si>
    <t>Life Enrichment/ Corn Husk Dolls</t>
  </si>
  <si>
    <t>made corn husk dolls &amp; nature hike</t>
  </si>
  <si>
    <t>Monday, 10-12</t>
  </si>
  <si>
    <t>Life Enrichment/ Animal Discovery</t>
  </si>
  <si>
    <t>life cycles and food chains</t>
  </si>
  <si>
    <t>Saturday 6:30-8:30 pm</t>
  </si>
  <si>
    <t>Twilight Paddle of Lake Rutledge</t>
  </si>
  <si>
    <t>Kayak paddle of Lake Rutledge at Twilight</t>
  </si>
  <si>
    <t>Monday, 11-12</t>
  </si>
  <si>
    <t>craft dream catchers &amp; short hike</t>
  </si>
  <si>
    <t>Wednesday 8/21/13 11:00</t>
  </si>
  <si>
    <t>Hope Academy</t>
  </si>
  <si>
    <t>Self guided tour, film, and digbox</t>
  </si>
  <si>
    <t>Dig box trinkets for program cost.</t>
  </si>
  <si>
    <t>Wednesday 8/21/13 11:30</t>
  </si>
  <si>
    <t>Horizon Academy</t>
  </si>
  <si>
    <t>Self guided tour and film/ scavenger hunt</t>
  </si>
  <si>
    <t>Creatures of the Night</t>
  </si>
  <si>
    <t>Barts/Owls/Owl pellet dissection</t>
  </si>
  <si>
    <t>We were able to gather owl pellets from the Vann House Barn and sterilize them.</t>
  </si>
  <si>
    <t>Friday 7-9 pm</t>
  </si>
  <si>
    <t>Kayak out to a twilight frog slog</t>
  </si>
  <si>
    <t>Kayaked to a marshy area and caught frogs</t>
  </si>
  <si>
    <t>Saturday 10 am-12 pm</t>
  </si>
  <si>
    <t>Making crafts inpired by nature</t>
  </si>
  <si>
    <t>Kayak tour of Lake Rutledge during a full moon</t>
  </si>
  <si>
    <t>Starlight Boat Ride</t>
  </si>
  <si>
    <t>Night boat rides around the lake with glow sticks</t>
  </si>
  <si>
    <t>The program was affected by rain. One more staff member would have been helpful. A large lantern should be posted by the tables and shed.</t>
  </si>
  <si>
    <t>Sunday 9-11 a.m.</t>
  </si>
  <si>
    <t>Morning Paddle for Beginners</t>
  </si>
  <si>
    <t>Easy paddle on Lake Rutledge for beginners</t>
  </si>
  <si>
    <t>Introduction to archery technique and safety</t>
  </si>
  <si>
    <t>Saturday 8/24/2013</t>
  </si>
  <si>
    <t>Lovinggood Middle School</t>
  </si>
  <si>
    <t>Film, tools and weapons, silfguided scavenger hunt</t>
  </si>
  <si>
    <t>Group comes every year... past 13 years.</t>
  </si>
  <si>
    <t>Brief snake program followed by 1-mile nature hike</t>
  </si>
  <si>
    <t>Saturday &amp; Sunday, 10 am - 4 pm</t>
  </si>
  <si>
    <t>Camping and Kayaking</t>
  </si>
  <si>
    <t>Participants camped at Red Top and we took them on guided kayaking tours around the park</t>
  </si>
  <si>
    <t>Wednesday 8/28/2013 10:00 AM</t>
  </si>
  <si>
    <t>The Museum School</t>
  </si>
  <si>
    <t>Film, Tour, and Tools and Weapons program</t>
  </si>
  <si>
    <t>Thursday, 10:30</t>
  </si>
  <si>
    <t>Kipp Vision Academy</t>
  </si>
  <si>
    <t>Tour, film, and Tools and Weapons program</t>
  </si>
  <si>
    <t>Thursday 9:30-11:30 am</t>
  </si>
  <si>
    <t>School of the Americas/History Tour</t>
  </si>
  <si>
    <t>Friday 8-23-2013 10am-5pm</t>
  </si>
  <si>
    <t>Dig boxes are open for kids to roam by and learn about archaeoliogy as they dig</t>
  </si>
  <si>
    <t>Thursday 11-1pm</t>
  </si>
  <si>
    <t>Morgan Smith/History Tours</t>
  </si>
  <si>
    <t>Saturday 9:30 am</t>
  </si>
  <si>
    <t>Archaeology Dig Boxes</t>
  </si>
  <si>
    <t>We open our dig boxes to allow children to learn about excavation.</t>
  </si>
  <si>
    <t>It is helpful to have a volunteer or staff at the digboxes at all times to encourage kids to dig.</t>
  </si>
  <si>
    <t>Saturday, 2:45pm</t>
  </si>
  <si>
    <t>Roaming Ranger Mini Tour</t>
  </si>
  <si>
    <t>Whiole roaming around the site, Ranger participates in question and answer... telling about the area he is at when talking to guests</t>
  </si>
  <si>
    <t>Program attendance depends on the guests you run across.</t>
  </si>
  <si>
    <t>Camping tips and topics to make the stay at Fort Mountain State Park safe and enjoyable</t>
  </si>
  <si>
    <t>Campers learn to make and eat S'mores</t>
  </si>
  <si>
    <t>Weekdays at 3:00</t>
  </si>
  <si>
    <t>Nature hike with our intern</t>
  </si>
  <si>
    <t>Nature exploration with Corey</t>
  </si>
  <si>
    <t>Introduction to basic strokes and canoe safety</t>
  </si>
  <si>
    <t>Saturday 9:00-10am</t>
  </si>
  <si>
    <t>Fishing Rodeo</t>
  </si>
  <si>
    <t>Fishing Rodeo for kids</t>
  </si>
  <si>
    <t>Participants search for information about the park and nature along the Lake Trail</t>
  </si>
  <si>
    <t>Wagon ride with hike</t>
  </si>
  <si>
    <t>Wagon ride to Old Fort and guided hike to many of the parks key features</t>
  </si>
  <si>
    <t>Bike Parade</t>
  </si>
  <si>
    <t>Kids decorate bikes and parade through the campground</t>
  </si>
  <si>
    <t>Saturday 8/31/2013</t>
  </si>
  <si>
    <t>Tools and Weapons</t>
  </si>
  <si>
    <t>Demonstration of tools and weapons used by prehistoric people</t>
  </si>
  <si>
    <t>Saturday 10-11AM</t>
  </si>
  <si>
    <t>Morning Bird Walk</t>
  </si>
  <si>
    <t>Walking on the Historic trail identify birds</t>
  </si>
  <si>
    <t>Guided tour to the power house</t>
  </si>
  <si>
    <t>Saturday 8 pm</t>
  </si>
  <si>
    <t>Astronomy for Beginners</t>
  </si>
  <si>
    <t>Learn some constellation and the stories behind them</t>
  </si>
  <si>
    <t>program was cancelled due to it was very cloudy and we could not see any stars.</t>
  </si>
  <si>
    <t>Scenic Waterfall Hike</t>
  </si>
  <si>
    <t>walking to the falls and learning about the ecology of the landscape</t>
  </si>
  <si>
    <t>Friday 8 pm</t>
  </si>
  <si>
    <t>Night Hike and Smores</t>
  </si>
  <si>
    <t>Walking to the falls at night and ending with smors!</t>
  </si>
  <si>
    <t>If posted on the web page, we would had better participation.</t>
  </si>
  <si>
    <t>Tracking Wildlife</t>
  </si>
  <si>
    <t>Making a plaster cast of their favorite local wildlife animal</t>
  </si>
  <si>
    <t>Saturday 6 PM</t>
  </si>
  <si>
    <t>Paddle from the office to buck creek and back</t>
  </si>
  <si>
    <t>First time we were full! We took all the boats we had. Everyone had a great time.</t>
  </si>
  <si>
    <t>Saturday 2-4 p.m.</t>
  </si>
  <si>
    <t>Kayak out to a Frog Slog</t>
  </si>
  <si>
    <t>Kayak on Lake Rutledge to a place to talk about and look at frogs and toads</t>
  </si>
  <si>
    <t>Saturday 6:30-8:30 p.m.</t>
  </si>
  <si>
    <t>Kayak tour of Lake Rutledge at twilight</t>
  </si>
  <si>
    <t>Saturday 9-10 p.m.</t>
  </si>
  <si>
    <t>Labor Day Weekend Night Kayak</t>
  </si>
  <si>
    <t>Kayak tour of Lake Rutledge after dark with an introduction fo astronomy</t>
  </si>
  <si>
    <t>Saturday, 10:00 AM - 12:00 PM</t>
  </si>
  <si>
    <t>outdoor safety</t>
  </si>
  <si>
    <t>Saturday 2-6pm</t>
  </si>
  <si>
    <t>Water Day 2013</t>
  </si>
  <si>
    <t>Water activities to keep cool</t>
  </si>
  <si>
    <t>Some Water Day participants did buy park passes out of honor boxes that otherwise would not have been bought (unknown amount). Marketing was better this year. Very close to breaking even.</t>
  </si>
  <si>
    <t>Saturday 2PM</t>
  </si>
  <si>
    <t>Beach Treasure Hunt</t>
  </si>
  <si>
    <t>Scavenger Hunt on the beach</t>
  </si>
  <si>
    <t>Saturday, 5-7pm</t>
  </si>
  <si>
    <t>Pontoon boat tour</t>
  </si>
  <si>
    <t>Sunday, 10 -11pm</t>
  </si>
  <si>
    <t>Friday, 9:30-10:30 PM</t>
  </si>
  <si>
    <t>Snake Show</t>
  </si>
  <si>
    <t>Thursday and Friday, 2-3 PM</t>
  </si>
  <si>
    <t>Archery</t>
  </si>
  <si>
    <t>Monday, 10-11:30 am</t>
  </si>
  <si>
    <t>Life Enrichment, Nature Hike &amp; Craft</t>
  </si>
  <si>
    <t>nature hike and nature craft with leaves and sticks</t>
  </si>
  <si>
    <t>Brief snake program followed by mile-long night hike</t>
  </si>
  <si>
    <t>Saturday, 5-7 pm</t>
  </si>
  <si>
    <t>Tandem Kayaking Tour</t>
  </si>
  <si>
    <t>Guided kayaking tour on Allatoona Lake</t>
  </si>
  <si>
    <t>Monday, 12-12:30 pm</t>
  </si>
  <si>
    <t>Impromptu program in Discovery Room about Eastern Kingsnake</t>
  </si>
  <si>
    <t>Saturday, 7-9 pm</t>
  </si>
  <si>
    <t>Sunset Photohike</t>
  </si>
  <si>
    <t>informal hiking and photography group</t>
  </si>
  <si>
    <t>Saturday 8:30</t>
  </si>
  <si>
    <t>Wagon ride/fireworks</t>
  </si>
  <si>
    <t>Wagon ride with night hike to view fireworks from the overlook</t>
  </si>
  <si>
    <t>Saturday 7pm</t>
  </si>
  <si>
    <t>evening kayak</t>
  </si>
  <si>
    <t>Wednesday 6pm</t>
  </si>
  <si>
    <t>Women's only Kayak</t>
  </si>
  <si>
    <t>women's only kayak</t>
  </si>
  <si>
    <t>canceled because of inclement weather</t>
  </si>
  <si>
    <t>Friday 8pm</t>
  </si>
  <si>
    <t>Sunset Hike</t>
  </si>
  <si>
    <t>hike along lake at sunset</t>
  </si>
  <si>
    <t>Friday 7pm</t>
  </si>
  <si>
    <t>Evening kayak</t>
  </si>
  <si>
    <t>night kayak</t>
  </si>
  <si>
    <t>Saturday 4pm</t>
  </si>
  <si>
    <t>Nature Crafts</t>
  </si>
  <si>
    <t>Nature Crafts- making pin cone critters</t>
  </si>
  <si>
    <t>canceled bc of inclement weather</t>
  </si>
  <si>
    <t>Tuesday, 3:30-5:30</t>
  </si>
  <si>
    <t>YMCA/Wagging Trails</t>
  </si>
  <si>
    <t>Kids from Waycross YMCA walk dogs, brought over from the animal shelter,</t>
  </si>
  <si>
    <t>Saturday, 6-11 a.m.</t>
  </si>
  <si>
    <t>Megan's House, Easter Seals, DRC Sports/Heels and Wheels for Megan's House Triathlon and Duathlon Challenge</t>
  </si>
  <si>
    <t>Triathlon and Duathlon challenge to benefit Megan's House and Easter Seals. Participants swim in lake, ride bicycles and run through park. There are many spectators as well.</t>
  </si>
  <si>
    <t>1 picnic shelter rental at $35.00</t>
  </si>
  <si>
    <t>picnic shelter rental at $35.00</t>
  </si>
  <si>
    <t>Thursday, 11am-12pm</t>
  </si>
  <si>
    <t>Bird ID</t>
  </si>
  <si>
    <t>Thursday 8:30-9:30pm</t>
  </si>
  <si>
    <t>Night hike</t>
  </si>
  <si>
    <t>Friday, 10-11a.m.</t>
  </si>
  <si>
    <t>Interpretive Center Tour</t>
  </si>
  <si>
    <t>Museum tour</t>
  </si>
  <si>
    <t>Friday 2-3 p.m.</t>
  </si>
  <si>
    <t>difference between reptiles and amphibians</t>
  </si>
  <si>
    <t>Saturday 10-11 a.m.</t>
  </si>
  <si>
    <t>Saturday 2-3 p.m.</t>
  </si>
  <si>
    <t>Lost prevention</t>
  </si>
  <si>
    <t>Sunday 10-11 a.m.</t>
  </si>
  <si>
    <t>Trail hike</t>
  </si>
  <si>
    <t>Sunday 3-4 p.m.</t>
  </si>
  <si>
    <t>Feeding Show</t>
  </si>
  <si>
    <t>Animal feeding</t>
  </si>
  <si>
    <t>Wednesday 11-12 p.m.</t>
  </si>
  <si>
    <t>Handy knots</t>
  </si>
  <si>
    <t>Thursday 1-2 p.m.</t>
  </si>
  <si>
    <t>History of Georgia barrier islands</t>
  </si>
  <si>
    <t>Thursday 8:30-9:30 p.m.</t>
  </si>
  <si>
    <t>Sensory Awareness Hike</t>
  </si>
  <si>
    <t>Friday 10-11 a.m.</t>
  </si>
  <si>
    <t>Big Ferry Trail Hike</t>
  </si>
  <si>
    <t>Hike through Maritime Forest</t>
  </si>
  <si>
    <t>Birds of Prey</t>
  </si>
  <si>
    <t>Learn about raptors</t>
  </si>
  <si>
    <t>Learn about native insects</t>
  </si>
  <si>
    <t>Saturday 3-4 p.m.</t>
  </si>
  <si>
    <t>Learn about the Ice Age</t>
  </si>
  <si>
    <t>Saturday 8:30-9:30 p.m.</t>
  </si>
  <si>
    <t>Animal feeding show</t>
  </si>
  <si>
    <t>Wednesday, 10-12</t>
  </si>
  <si>
    <t>Life Enrichment Ctr/Movie day</t>
  </si>
  <si>
    <t>Movie day</t>
  </si>
  <si>
    <t>Wednesday 10-12</t>
  </si>
  <si>
    <t>Life Enrichment Ctr/Fishing</t>
  </si>
  <si>
    <t>Fishing with disabled adult group</t>
  </si>
  <si>
    <t>Life Enrichment Ctr./Games</t>
  </si>
  <si>
    <t>Various games with disable adult group</t>
  </si>
  <si>
    <t>thursday, 11:00 a.m.</t>
  </si>
  <si>
    <t>public tour</t>
  </si>
  <si>
    <t>guided tour of historic buildings/grounds</t>
  </si>
  <si>
    <t>guided tour of historic grounds/buildings</t>
  </si>
  <si>
    <t>thursday; 10:00 a.m.</t>
  </si>
  <si>
    <t>guided tour of historic grounds/buildings2</t>
  </si>
  <si>
    <t>thursday; 10:15 a.m.</t>
  </si>
  <si>
    <t>Tues-Sun 1-4:30</t>
  </si>
  <si>
    <t>colonia life area</t>
  </si>
  <si>
    <t>Costumed Interpreters give demonstations of early trades, crafts and daily life in colonial times</t>
  </si>
  <si>
    <t>Saturday 17th @11am</t>
  </si>
  <si>
    <t>Girl Scout</t>
  </si>
  <si>
    <t>Costumed interpreters lead groups around the museum, on a walk to the tabby ruins, along the marsh edge and to the colonial life area where the deomonstrate early trades, crafts and daily life in Colonial times.</t>
  </si>
  <si>
    <t>Saturday 24th @10am</t>
  </si>
  <si>
    <t>Fred Weatherspoon</t>
  </si>
  <si>
    <t>Costumed interpreter lead groups around the museum, on a walk to the tabby ruins, along the marsh edge and to the colonial life area where the demonstrate of early trades, crafts and daily life in colonial times.</t>
  </si>
  <si>
    <t>Tues-Sun @ 10,11,2,&amp;3</t>
  </si>
  <si>
    <t>Interpretive Ranger Tours</t>
  </si>
  <si>
    <t>Costumed interpreters lead visitors on an interpretive walk to the tabby ruins, family grave site, along the marsh edge and to the colonial life area where the explain early colonial life area where the explain early colonial life at the colonial life area</t>
  </si>
  <si>
    <t>When requested</t>
  </si>
  <si>
    <t>Golf cart tour</t>
  </si>
  <si>
    <t>Interpreters lead visitors who have requested a golf cart on an interpretive drive to the tabby ruins, family gravesite, along the marsh edge and to the colonial life area where they explain early colonial life.</t>
  </si>
  <si>
    <t>August 10th 1-3pm</t>
  </si>
  <si>
    <t>Georgia's first fourth</t>
  </si>
  <si>
    <t>Georgia's first 4th</t>
  </si>
  <si>
    <t>Saturday 31st @1-3pm</t>
  </si>
  <si>
    <t>Tools and Skills that built a colony</t>
  </si>
  <si>
    <t>Craft demonstrations from the 18th century</t>
  </si>
  <si>
    <t>Saturday, 1:00-2:00 PM</t>
  </si>
  <si>
    <t>Saturday, 2:30-3:30 PM</t>
  </si>
  <si>
    <t>Saturday, 10:00-11:00 AM</t>
  </si>
  <si>
    <t>pinecone owls</t>
  </si>
  <si>
    <t>Saturday, 9:00-10:30 AM</t>
  </si>
  <si>
    <t>Saturday, 3:00-4:00 PM</t>
  </si>
  <si>
    <t>Saturday, 6:00-7:00 PM</t>
  </si>
  <si>
    <t>Bats</t>
  </si>
  <si>
    <t>Friday, 6:00-7:00 PM</t>
  </si>
  <si>
    <t>Saturday, 9:00-10:00 AM</t>
  </si>
  <si>
    <t>Knock on Wood</t>
  </si>
  <si>
    <t>nature hike</t>
  </si>
  <si>
    <t>Saturday, 6:30-7:30 PM</t>
  </si>
  <si>
    <t>August</t>
  </si>
  <si>
    <t>Nature Center</t>
  </si>
  <si>
    <t>general visitation</t>
  </si>
  <si>
    <t>Wednesday, 10-11 a.a.</t>
  </si>
  <si>
    <t>Thursday, 3-4 p.m.</t>
  </si>
  <si>
    <t>Scat N'Tracks</t>
  </si>
  <si>
    <t>Scat and tracks ID hike</t>
  </si>
  <si>
    <t>Friday 3-4 p.m.</t>
  </si>
  <si>
    <t>What a Hoot</t>
  </si>
  <si>
    <t>Night owl hike</t>
  </si>
  <si>
    <t>Big Ferry Guided Hike</t>
  </si>
  <si>
    <t>History hike on nature trail</t>
  </si>
  <si>
    <t>learn the difference between reptiles and amphibians</t>
  </si>
  <si>
    <t>Whooooo is out there?</t>
  </si>
  <si>
    <t>Night owl hike on nature trail</t>
  </si>
  <si>
    <t>Dinner time</t>
  </si>
  <si>
    <t>animal feeding show</t>
  </si>
  <si>
    <t>Wednesday, 11-12 p.m.</t>
  </si>
  <si>
    <t>learn about the Ice Age</t>
  </si>
  <si>
    <t>Wednesday 1-2 p.m.</t>
  </si>
  <si>
    <t>museum tour</t>
  </si>
  <si>
    <t>lost prevention</t>
  </si>
  <si>
    <t>Night hike to look for spiders</t>
  </si>
  <si>
    <t>Craft project</t>
  </si>
  <si>
    <t>Nature trail hike</t>
  </si>
  <si>
    <t>Saturday, 8:30-9:30 p.m.</t>
  </si>
  <si>
    <t>Night owl ID hike</t>
  </si>
  <si>
    <t>Sunday, 2-3 p.m.</t>
  </si>
  <si>
    <t>Sunday, 4-5 p.m.</t>
  </si>
  <si>
    <t>learn handy knots</t>
  </si>
  <si>
    <t>Wednesday 2-3 p.m.</t>
  </si>
  <si>
    <t>learn the history of the Georgia barrier islands</t>
  </si>
  <si>
    <t>Friday, 10-11 a.m.</t>
  </si>
  <si>
    <t>Learn the difference between reptiles and amphibians</t>
  </si>
  <si>
    <t>Saturday, 1-2 p.m.</t>
  </si>
  <si>
    <t>Water Balloon Games</t>
  </si>
  <si>
    <t>Water balloon games</t>
  </si>
  <si>
    <t>Night mushroom ID hike</t>
  </si>
  <si>
    <t>10am</t>
  </si>
  <si>
    <t>sumpter county day care</t>
  </si>
  <si>
    <t>making ice cream</t>
  </si>
  <si>
    <t>friends group paid for it</t>
  </si>
  <si>
    <t>girls n company</t>
  </si>
  <si>
    <t>walking sticks</t>
  </si>
  <si>
    <t>covenant woods sr center</t>
  </si>
  <si>
    <t>fishing</t>
  </si>
  <si>
    <t>labor day activities</t>
  </si>
  <si>
    <t>crafts</t>
  </si>
  <si>
    <t>Dowdell's Knob Hike</t>
  </si>
  <si>
    <t>Sat 9-10am</t>
  </si>
  <si>
    <t>Raptor Program &amp; Release</t>
  </si>
  <si>
    <t>Auburn raptor release &amp; program</t>
  </si>
  <si>
    <t>walk and intro to nocturnal animals</t>
  </si>
  <si>
    <t>Always offer</t>
  </si>
  <si>
    <t>intro to native reptiles</t>
  </si>
  <si>
    <t>Keep live animal program at amphitheater. Good program time and location.</t>
  </si>
  <si>
    <t>Sat 10:30-12:30</t>
  </si>
  <si>
    <t>Aktupo Village Marketplace</t>
  </si>
  <si>
    <t>local vendor market produce</t>
  </si>
  <si>
    <t>Sat 5-8:30 PM</t>
  </si>
  <si>
    <t>Bark In The Park Events</t>
  </si>
  <si>
    <t>dog costume contest, trick contest &amp; walk</t>
  </si>
  <si>
    <t>Had sponsors. Great event. Do again. Do not do walk after event. Too much</t>
  </si>
  <si>
    <t>nature crafts</t>
  </si>
  <si>
    <t>Guests like to make a craft for souvenirs</t>
  </si>
  <si>
    <t>Thursday &amp; Friday 4:00</t>
  </si>
  <si>
    <t>Waterfall &amp; Geology Hike for Rising Fawn Chruch Youth Group</t>
  </si>
  <si>
    <t>Hike to Cherokee Falls &amp; look at samples of rock types and fossils from area.</t>
  </si>
  <si>
    <t>Monday - Friday 9:00-3:00</t>
  </si>
  <si>
    <t>4th week of Jr Ranger camp</t>
  </si>
  <si>
    <t>E-mail parents whose children couldn't attend other weeks because of vactions.</t>
  </si>
  <si>
    <t>Sunday 9:00-11:00</t>
  </si>
  <si>
    <t>Ringgold Cub Scout Pack 3177</t>
  </si>
  <si>
    <t>Hike from Five Points trail head on Windy Shot trail.</t>
  </si>
  <si>
    <t>After checking the trail and talking with scout leader he decided to cancel because of conditions and chance of rain.</t>
  </si>
  <si>
    <t>Friday 2:00-4:00</t>
  </si>
  <si>
    <t>Wagon Rides</t>
  </si>
  <si>
    <t>Wagon rides around the day use area.</t>
  </si>
  <si>
    <t>Have parking attendant tell day visitors (especially those with kids) about the rides.</t>
  </si>
  <si>
    <t>thursday, 9 am</t>
  </si>
  <si>
    <t>soldier's tour</t>
  </si>
  <si>
    <t>film, musket demo, site tour</t>
  </si>
  <si>
    <t>Ft. Stewart Soldiers</t>
  </si>
  <si>
    <t>Film, Soldier Talk, Musket Demo &amp; Site Tour</t>
  </si>
  <si>
    <t>9:30 am - 11:00pm</t>
  </si>
  <si>
    <t>School Group</t>
  </si>
  <si>
    <t>tour</t>
  </si>
  <si>
    <t>Indian Springs</t>
  </si>
  <si>
    <t>11:30 am - 3:00pm</t>
  </si>
  <si>
    <t>Fiday, 7:30pm-9:00pm</t>
  </si>
  <si>
    <t>twilight paddle</t>
  </si>
  <si>
    <t>Saturday, 10am-12pm</t>
  </si>
  <si>
    <t>Sweetwater by Kayak</t>
  </si>
  <si>
    <t>ranger-led paddle on creek and mill tour</t>
  </si>
  <si>
    <t>New Manchester Mill Hike</t>
  </si>
  <si>
    <t>historian or ranger-led history hike to New Manchester Mill</t>
  </si>
  <si>
    <t>Saturday, 7:30pm-9pm</t>
  </si>
  <si>
    <t>sunday, 10am-11:30am</t>
  </si>
  <si>
    <t>ranger-led paddle on the lake and up beaver creek</t>
  </si>
  <si>
    <t>Friday, 7:30-8:45</t>
  </si>
  <si>
    <t>yoga on the bridge</t>
  </si>
  <si>
    <t>instructor-led yoga on yellow trail bridge</t>
  </si>
  <si>
    <t>saturday, 10am-12pm</t>
  </si>
  <si>
    <t>sweetwater by kayak</t>
  </si>
  <si>
    <t>ranger-led paddle on the creek and history tour of the mill</t>
  </si>
  <si>
    <t>saturday, 11am-12:30pm</t>
  </si>
  <si>
    <t>new manchester history hike</t>
  </si>
  <si>
    <t>historian or ranger-led history hike to the new manchester mill</t>
  </si>
  <si>
    <t>saturday, 7pm-9pm</t>
  </si>
  <si>
    <t>eastside evening hike</t>
  </si>
  <si>
    <t>guided evening hike to the eastside</t>
  </si>
  <si>
    <t>sunday, 9am -10:30am</t>
  </si>
  <si>
    <t>thursday, 9am-11am</t>
  </si>
  <si>
    <t>atlanta girls school/new manchester mill nature and history hike</t>
  </si>
  <si>
    <t>school group field trip with a nature/history hike to the mill</t>
  </si>
  <si>
    <t>sweetwater creek by kayak</t>
  </si>
  <si>
    <t>ranger-led paddle on the creek and history tour inside mill</t>
  </si>
  <si>
    <t>saturday, 12pm-2pm</t>
  </si>
  <si>
    <t>geology hike</t>
  </si>
  <si>
    <t>geologist led geology hike</t>
  </si>
  <si>
    <t>saturday, 3pm-4pm</t>
  </si>
  <si>
    <t>"snakes alive"</t>
  </si>
  <si>
    <t>educational reptile program</t>
  </si>
  <si>
    <t>wednesday, 10am-12pm</t>
  </si>
  <si>
    <t>homeschool wednesdays</t>
  </si>
  <si>
    <t>educational hike and talk for homeschoolers</t>
  </si>
  <si>
    <t>wednesday, 7pm-8:30pm</t>
  </si>
  <si>
    <t>full moon paddle</t>
  </si>
  <si>
    <t>lake paddle under the full moon</t>
  </si>
  <si>
    <t>Saturday thru Monday 9a.m.-4p.m.</t>
  </si>
  <si>
    <t>Roosevelt Days</t>
  </si>
  <si>
    <t>An all day program that included Guided Tours, Presenstations, vendors, and refershments</t>
  </si>
  <si>
    <t>. The program was well received by visitors.</t>
  </si>
  <si>
    <t>First Saturday Fun @ the Fort</t>
  </si>
  <si>
    <t>Blacksmithing, soldier talks, fort tours, musket firing</t>
  </si>
  <si>
    <t>Only one program in August, September will be much more active!</t>
  </si>
  <si>
    <t>Tuesday &amp; Friday, 5-7 pm</t>
  </si>
  <si>
    <t>Four of the five programs were rained out. The only one not rained out was the first after school started back and the before the child-free campers started arriving.</t>
  </si>
  <si>
    <t>One program was rained out</t>
  </si>
  <si>
    <t>One program was rained out. Only continued the program for two weeks after school resumed.</t>
  </si>
  <si>
    <t>One program rained out. Activity needs to be moved to weekend after the start of school.</t>
  </si>
  <si>
    <t>Wednesday, 1-3 p.m.</t>
  </si>
  <si>
    <t>This program is best on the weekend after school starts.</t>
  </si>
  <si>
    <t>Not sure why this program is not as popular as last year. May need to develop new take for next yer.</t>
  </si>
  <si>
    <t>Saturday, 10-11 a.m.</t>
  </si>
  <si>
    <t>Yoga in the Park</t>
  </si>
  <si>
    <t>Morning yoga session at the pavilion</t>
  </si>
  <si>
    <t>This program was led by one of the park's volunteer hosts and, since there was no charge, she had participants give the tips to the Vogel Volunteers. Probably managed to raise $50-60 for the volunteers. Was a popular program and should be more developed next year.</t>
  </si>
  <si>
    <t>Nature Photography Scavenger Hunt</t>
  </si>
  <si>
    <t>MC Nature Exhibit</t>
  </si>
  <si>
    <t>Nature exhibit, info on park and area</t>
  </si>
  <si>
    <t>Friday 2 p.m.</t>
  </si>
  <si>
    <t>Identify butterflies in the park and paint a suncatcher to take home</t>
  </si>
  <si>
    <t>Thursday 7 p.m.</t>
  </si>
  <si>
    <t>Potluck supper for campers, cottage guests, and local residents</t>
  </si>
  <si>
    <t>Identify trees in park and make leaf prints on fabric</t>
  </si>
  <si>
    <t>Heavy rains - 0 attendance at one program</t>
  </si>
  <si>
    <t>Sssnakes, Bears, &amp; Poision Ivy</t>
  </si>
  <si>
    <t>What to do if meet a bear on trail. Snakes venomous vs. nonvenomous. ID poison ivy.</t>
  </si>
  <si>
    <t>Friday 6 p.m., Sat 10 a.m.</t>
  </si>
  <si>
    <t>Intro to Jr Ranger Program - Be Aware</t>
  </si>
  <si>
    <t>Saturday, 10 a.m.-5 p.m.</t>
  </si>
  <si>
    <t>Picnic on Blood Mountain</t>
  </si>
  <si>
    <t>Nature and history hike to Blood Mountain with picnic on Picnic Rock</t>
  </si>
  <si>
    <t>Saturday, 9 a.m.-12 p.m.</t>
  </si>
  <si>
    <t>Volunteer Meeting at CCC Museum</t>
  </si>
  <si>
    <t>meeting of the Vogel Volunteers to discuss major upcoming projects</t>
  </si>
  <si>
    <t>Sat 7-9am</t>
  </si>
  <si>
    <t>Red Fox Fun Run</t>
  </si>
  <si>
    <t>1.5 mile run through park</t>
  </si>
  <si>
    <t>Do again. Lots of sponsors and donations from Friends Group.</t>
  </si>
  <si>
    <t>friday, 7:30-8:45</t>
  </si>
  <si>
    <t>instructor-led yoga classs on the yellow trail bridge</t>
  </si>
  <si>
    <t>friday, 7pm-8:30pm</t>
  </si>
  <si>
    <t>ranger-led evening lake paddle</t>
  </si>
  <si>
    <t>historian or ranger-led hike to the new manchester mill</t>
  </si>
  <si>
    <t>saturday 3pm-5pm</t>
  </si>
  <si>
    <t>ranger-led paddle on sweetwater creek and walking tour to mill</t>
  </si>
  <si>
    <t>saturday 11 am -3pm</t>
  </si>
  <si>
    <t>darlington school/lake paddle&amp;mil land rapids hike</t>
  </si>
  <si>
    <t>staff led lake paddle and history/nature hike to mill and rapids</t>
  </si>
  <si>
    <t>Sunday, 10:30am-12pm</t>
  </si>
  <si>
    <t>for women by women kayak</t>
  </si>
  <si>
    <t>staff-led kayak paddle on lake for women</t>
  </si>
  <si>
    <t>sunday, 2pm-3:30pm</t>
  </si>
  <si>
    <t>ranger-led paddle on the lake</t>
  </si>
  <si>
    <t>ranger-led creek paddle and walking tpour to mill</t>
  </si>
  <si>
    <t>ranger-led evening paddle</t>
  </si>
  <si>
    <t>New Manchester history hike</t>
  </si>
  <si>
    <t>friday,7pm-8:30pm</t>
  </si>
  <si>
    <t>evening paddle on the lake</t>
  </si>
  <si>
    <t>Friday August 30th 2013 7pm</t>
  </si>
  <si>
    <t>Saturday August 31st 2013 2pm</t>
  </si>
  <si>
    <t>Saturday August 31st 2013 4 pm</t>
  </si>
  <si>
    <t>Saturday August 31st 2013 8 pm</t>
  </si>
  <si>
    <t>Snakes Alive!</t>
  </si>
  <si>
    <t>Saturday, 10am-4pm August 10</t>
  </si>
  <si>
    <t>Soldier's Life program</t>
  </si>
  <si>
    <t>Life of a Civil War Soldier</t>
  </si>
  <si>
    <t>Moderate turnout because of being very hot and muggy along with heavy rain and thunderstorms.</t>
  </si>
  <si>
    <t>Thursday, 9am-2pm August 15</t>
  </si>
  <si>
    <t>Fort Benning Staff Ride</t>
  </si>
  <si>
    <t>US Army Staff Ride</t>
  </si>
  <si>
    <t>Tuesday, 10am-3pm August 27</t>
  </si>
  <si>
    <t>Wednesday, 9am-2pm August 28</t>
  </si>
  <si>
    <t>Monday at 9:00 a.m.</t>
  </si>
  <si>
    <t>Unique animals by Nikki Castlebury</t>
  </si>
  <si>
    <t>Monday-Friday 9:00 a.m.</t>
  </si>
  <si>
    <t>Entomology Camp</t>
  </si>
  <si>
    <t>children learn about the magnificance of insects</t>
  </si>
  <si>
    <t>Friends got $865.00</t>
  </si>
  <si>
    <t>Gold Fever</t>
  </si>
  <si>
    <t>learn about the history of gold mining in the area</t>
  </si>
  <si>
    <t>learn about Friends of Smithgall Woods</t>
  </si>
  <si>
    <t>First Visit Tour</t>
  </si>
  <si>
    <t>Learn about Smithgall Woods</t>
  </si>
  <si>
    <t>Saturday 8:00 a.m.</t>
  </si>
  <si>
    <t>Youth Fishing Day</t>
  </si>
  <si>
    <t>Youth can fish at the unopened state park Buck Shoals</t>
  </si>
  <si>
    <t>Saturday 10:00 a.m. -12:00 p.m.</t>
  </si>
  <si>
    <t>learn about bears from experts</t>
  </si>
  <si>
    <t>Wed, Thurs, Friday</t>
  </si>
  <si>
    <t>White County Intermediate School/Stream Ecology, Orienteering, and Archery</t>
  </si>
  <si>
    <t>students learned about stream ecology, archery and math orienteering</t>
  </si>
  <si>
    <t>Thursday and Friday 9-2:00 p.m.</t>
  </si>
  <si>
    <t>Jacksonville Eps. School/?Archery, stream, orienteering, champion trees, mystery plants,water quality</t>
  </si>
  <si>
    <t>students learned about stream ecology, archery oreinteering, water quality, how to measure trees, an dmuch more</t>
  </si>
  <si>
    <t>Monday and Tuesday 11:00 a.m.</t>
  </si>
  <si>
    <t>Native Americans</t>
  </si>
  <si>
    <t>Learn about the culture Native Americans</t>
  </si>
  <si>
    <t>Friday and Saturday</t>
  </si>
  <si>
    <t>Tuesday and Saturday</t>
  </si>
  <si>
    <t>Hardman Farm Tour</t>
  </si>
  <si>
    <t>Tour of Hardman Farm</t>
  </si>
  <si>
    <t>Saturday 11 am</t>
  </si>
  <si>
    <t>Boy Scout Hike</t>
  </si>
  <si>
    <t>Hiked the Boy Scouts to slidding rock</t>
  </si>
  <si>
    <t>Monday &amp; Tuesday 8-10 pm</t>
  </si>
  <si>
    <t>Hiked to Suspension Bridge to watch the full moon rise</t>
  </si>
  <si>
    <t>Intro to park and weekend programs to campers.</t>
  </si>
  <si>
    <t>Saturday 10</t>
  </si>
  <si>
    <t>Holiday Gorge Floor Hike</t>
  </si>
  <si>
    <t>Hiked To the sliding rock and out</t>
  </si>
  <si>
    <t>Answered camper questions about animals in Hut and park.</t>
  </si>
  <si>
    <t>owl ID and craft</t>
  </si>
  <si>
    <t>Snake ID and feeding the snakes</t>
  </si>
  <si>
    <t>Night animals and Night Hike</t>
  </si>
  <si>
    <t>One of the two Night Hike's was canceled due to rain.</t>
  </si>
  <si>
    <t>Saturday, 12-1pm</t>
  </si>
  <si>
    <t>Intro to campers and park programs</t>
  </si>
  <si>
    <t>animal ID</t>
  </si>
  <si>
    <t>Saturday, 9:30-11:30pm</t>
  </si>
  <si>
    <t>Perseid Meteor Shower</t>
  </si>
  <si>
    <t>Watch the meteors</t>
  </si>
  <si>
    <t>Mammal ID and make track cast</t>
  </si>
  <si>
    <t>Owl ID</t>
  </si>
  <si>
    <t>Jr. Ranger Mini-Camp</t>
  </si>
  <si>
    <t>Night Animals and Hike</t>
  </si>
  <si>
    <t>One of the hikes was canceled due to rain.</t>
  </si>
  <si>
    <t>Cherokees of the Tugaloo River Valley</t>
  </si>
  <si>
    <t>Cherokees of Tugaloo</t>
  </si>
  <si>
    <t>Saturday, 1pm</t>
  </si>
  <si>
    <t>Cookin' with Solar</t>
  </si>
  <si>
    <t>boiled egg with egg and demo of how to build a solar cooker</t>
  </si>
  <si>
    <t>Saturday, 9-11am</t>
  </si>
  <si>
    <t>Oconee Rivers Audubon Society Bird Walk</t>
  </si>
  <si>
    <t>Bird walk and Hike</t>
  </si>
  <si>
    <t>First time this type of program has been offered at Tugaloo in sometime. Planning on having this program again next year.</t>
  </si>
  <si>
    <t>saturday, 5-7pm</t>
  </si>
  <si>
    <t>Doggie Pageant</t>
  </si>
  <si>
    <t>This program was a great PR program for the park. We had great attendance and we started in the rain. Attendance could have been higher. We raised $45 for the Northeast Georgia Animal Shelter.</t>
  </si>
  <si>
    <t>Saturday, 9am-12pm</t>
  </si>
  <si>
    <t>Canoeing 101 for Women</t>
  </si>
  <si>
    <t>Canoeing basics and trip to an island</t>
  </si>
  <si>
    <t>This was the first time we have offered such program. Next time we should open it up to all and not just women.</t>
  </si>
  <si>
    <t>Saturday, 7:30pm</t>
  </si>
  <si>
    <t>Geo-Caching Group</t>
  </si>
  <si>
    <t>Noctural Animals</t>
  </si>
  <si>
    <t>Tugaloo hosted the Georgia Geo-Caching group for International Geo Day. They were a lot of fun.</t>
  </si>
  <si>
    <t>Saturday, 9pm</t>
  </si>
  <si>
    <t>Bonfire for the Geo-Caching Group</t>
  </si>
  <si>
    <t>Bonfire and Smores</t>
  </si>
  <si>
    <t>Made smores in the rain.</t>
  </si>
  <si>
    <t>Sunday, 1-3pm</t>
  </si>
  <si>
    <t>Had fewer participants than last year, but we charged $5 per child this year.</t>
  </si>
  <si>
    <t>Movie Night at Visitor's Center</t>
  </si>
  <si>
    <t>Showed movie at Suwannee River Visitor Center</t>
  </si>
  <si>
    <t>Boat Tour/Sunset Tour</t>
  </si>
  <si>
    <t>Indirect revenue 20% of totals of what the park made. Program cost estimated from interpretive staff's pay plus gas for the boats for boat tours.</t>
  </si>
  <si>
    <t>Friday August 16th 2013 6 pm</t>
  </si>
  <si>
    <t>Friday August 16th 2013 8 pm</t>
  </si>
  <si>
    <t>Campfire Cooking</t>
  </si>
  <si>
    <t>Making brownies at the campfire</t>
  </si>
  <si>
    <t>The campfire was rained out.</t>
  </si>
  <si>
    <t>Saturday August 17th 2013 11 am</t>
  </si>
  <si>
    <t>Discussion of the native snakes of Georgia</t>
  </si>
  <si>
    <t>Rain reduced attendance.</t>
  </si>
  <si>
    <t>Saturday August 17th 2 pm</t>
  </si>
  <si>
    <t>Volleyball Match</t>
  </si>
  <si>
    <t>Playing volleyball in the campground</t>
  </si>
  <si>
    <t>This program was rained out.</t>
  </si>
  <si>
    <t>Saturday August 17 4 pm</t>
  </si>
  <si>
    <t>Sunday August 18th 2013 10 am</t>
  </si>
  <si>
    <t>Leaf Painting</t>
  </si>
  <si>
    <t>Painting pressed leaves</t>
  </si>
  <si>
    <t>There was low attendance in the camp ground this day in general, and no children present.</t>
  </si>
  <si>
    <t>Sunday August 18th 2013 1 pm</t>
  </si>
  <si>
    <t>Program was rained out. This weekend was very low in attendance due to the bad weather.</t>
  </si>
  <si>
    <t>Monday-Sunday 8-5 pm</t>
  </si>
  <si>
    <t>Historic Site Admission, video, museum, for Month of August</t>
  </si>
  <si>
    <t>Saturday 8-10pm</t>
  </si>
  <si>
    <t>Moon Run</t>
  </si>
  <si>
    <t>5k and Fun Run Moon Run</t>
  </si>
  <si>
    <t>It rained most of the day but the rain slacked off. due to the rain program attendance was lower than anticipated.</t>
  </si>
  <si>
    <t>Monday 10am</t>
  </si>
  <si>
    <t>Crisp Academy, Cordele</t>
  </si>
  <si>
    <t>Saturday, 2 p.m.</t>
  </si>
  <si>
    <t>Lake Critter Study</t>
  </si>
  <si>
    <t>Collection and study of flora and fauna in and around lake</t>
  </si>
  <si>
    <t>Rained out</t>
  </si>
  <si>
    <t>Various</t>
  </si>
  <si>
    <t>Black Rock Lake Trail</t>
  </si>
  <si>
    <t>Hike + fitness trail</t>
  </si>
  <si>
    <t>Hiking 101 tips, info on flora &amp; fauna, maps &amp; directions</t>
  </si>
  <si>
    <t>Thurs, 9 a.m.</t>
  </si>
  <si>
    <t>Ada Hi Falls Hike</t>
  </si>
  <si>
    <t>Ranger led hike to falls</t>
  </si>
  <si>
    <t>Spring House Trail Hike</t>
  </si>
  <si>
    <t>Ranger led hike</t>
  </si>
  <si>
    <t>Thursday 5 p.m</t>
  </si>
  <si>
    <t>Wood Medallion Ornament</t>
  </si>
  <si>
    <t>Create wooden ornament from fallen poplar tree</t>
  </si>
  <si>
    <t>Friday 6 p.m.</t>
  </si>
  <si>
    <t>Nature Bingo</t>
  </si>
  <si>
    <t>Find all nature objects or do all activities on bingo sheet</t>
  </si>
  <si>
    <t>fri 7-8 pm</t>
  </si>
  <si>
    <t>nitght with the savages</t>
  </si>
  <si>
    <t>plantation life</t>
  </si>
  <si>
    <t>sat 8-9 pm</t>
  </si>
  <si>
    <t>redbird creek under the stars</t>
  </si>
  <si>
    <t>night hike</t>
  </si>
  <si>
    <t>sun 1-2pm</t>
  </si>
  <si>
    <t>walk on the water</t>
  </si>
  <si>
    <t>beach talk</t>
  </si>
  <si>
    <t>fri 8-9pm</t>
  </si>
  <si>
    <t>confederate campfire</t>
  </si>
  <si>
    <t>campfire</t>
  </si>
  <si>
    <t>sat 8-9pm</t>
  </si>
  <si>
    <t>night on magnolia trail</t>
  </si>
  <si>
    <t>sun</t>
  </si>
  <si>
    <t>1-2pm</t>
  </si>
  <si>
    <t>beach walk</t>
  </si>
  <si>
    <t>fri 8-9</t>
  </si>
  <si>
    <t>night with the natives</t>
  </si>
  <si>
    <t>fri</t>
  </si>
  <si>
    <t>nighthike</t>
  </si>
  <si>
    <t>sun 1-2 pm</t>
  </si>
  <si>
    <t>walk on redbird creek</t>
  </si>
  <si>
    <t>sat</t>
  </si>
  <si>
    <t>fri 1-4pm</t>
  </si>
  <si>
    <t>staff ride</t>
  </si>
  <si>
    <t>hist/demo/tour</t>
  </si>
  <si>
    <t>sat 10-4pm</t>
  </si>
  <si>
    <t>labor day 2013</t>
  </si>
  <si>
    <t>games/demo/cannon firing/tour</t>
  </si>
  <si>
    <t>thur-sat 1-4</t>
  </si>
  <si>
    <t>fort at war</t>
  </si>
  <si>
    <t>demo/hist/discussion</t>
  </si>
  <si>
    <t>tue-sat 1-4</t>
  </si>
  <si>
    <t>hist/demo/discussion</t>
  </si>
  <si>
    <t>tue=sat 1-4pm</t>
  </si>
  <si>
    <t>August 2013 Programs in Georgia State Parks &amp; Historic Sites - 36 sites offered programs this month</t>
  </si>
  <si>
    <t>Macrame techniques</t>
  </si>
  <si>
    <t>Presented safety talk for guest that were issued rock climbing permits</t>
  </si>
  <si>
    <t xml:space="preserve">Safety talk for Rock Climbing </t>
  </si>
  <si>
    <t xml:space="preserve">Safety talk for Rock climbing </t>
  </si>
  <si>
    <t>Presented safety talk for guests issued rock climbing permits</t>
  </si>
  <si>
    <t>* High number attributed to Roosevelt Days at LWH</t>
  </si>
  <si>
    <t>YTD 2013-14 Programs in Georgia State Parks &amp; Historic Sites</t>
  </si>
  <si>
    <t>September</t>
  </si>
  <si>
    <t>Sunday 10 a.m-12 p.m.</t>
  </si>
  <si>
    <t>This programs does well on Sundays as well as Saturdays</t>
  </si>
  <si>
    <t>Sunday 1-3 p.m.</t>
  </si>
  <si>
    <t>Atlata Audubo Society Bird Walk</t>
  </si>
  <si>
    <t>Walk in differet areas and abitats of te park looking at and listening to birds</t>
  </si>
  <si>
    <t>Cut the walk sort because of a storm</t>
  </si>
  <si>
    <t>Sunday, 8:30-10 pm</t>
  </si>
  <si>
    <t>Only campers came to this program unlike the night hike which seems to draw from the community more.</t>
  </si>
  <si>
    <t>Sunday, 2:30 - 3:30pm</t>
  </si>
  <si>
    <t>Sunday, 7 - 9pm</t>
  </si>
  <si>
    <t>Miniature golf at half price</t>
  </si>
  <si>
    <t>Sunday 9-4 pm</t>
  </si>
  <si>
    <t>Roosevelt Days/Day 2</t>
  </si>
  <si>
    <t>FDR presentaions and lectures</t>
  </si>
  <si>
    <t>Roosevelt Days served as a replacement for the Swim the Warm Springs event due to the deterioation of the pools. This new program was a tremendous success over the three day Labor Day weekend, generating great concession, admissions and program fees to replace the income generated from the annual Swim event.</t>
  </si>
  <si>
    <t>Saturday, 8-10 am</t>
  </si>
  <si>
    <t>Iron Hill Bird Walk</t>
  </si>
  <si>
    <t>Birding hike on the Iron Hill Trail</t>
  </si>
  <si>
    <t>Friday August 30th 2013 5pm</t>
  </si>
  <si>
    <t>Sunday September 1st 2013 2 pm</t>
  </si>
  <si>
    <t>Volley Ball Match</t>
  </si>
  <si>
    <t>Volley ball match in the campground</t>
  </si>
  <si>
    <t>This program was rained out</t>
  </si>
  <si>
    <t>Sunday September 1st 2013 4 pm</t>
  </si>
  <si>
    <t>Program with live snakes and a local expert</t>
  </si>
  <si>
    <t>Excellent program with good attendance. Highly recommend for future holiday events.</t>
  </si>
  <si>
    <t>Sunday September 1st 2013 6 pm</t>
  </si>
  <si>
    <t>Craft involves designing and painting a cardboard snake</t>
  </si>
  <si>
    <t>Monday September 2nd 2013 6pm</t>
  </si>
  <si>
    <t>Learning to tie 4 different knots</t>
  </si>
  <si>
    <t>Sunday September 2nd 2013 11 am</t>
  </si>
  <si>
    <t>Friday September 6th 8 pm</t>
  </si>
  <si>
    <t>Making s'mores and playing games at the campfire ring</t>
  </si>
  <si>
    <t>Friday September 6th 2013 6 pm</t>
  </si>
  <si>
    <t>Walking through the campground with a program animal</t>
  </si>
  <si>
    <t>Saturday, September 7th 2013 3 pm</t>
  </si>
  <si>
    <t>Snakes of Georgia</t>
  </si>
  <si>
    <t>Discussion of the native snakes of Georgia and how to identify venomous species</t>
  </si>
  <si>
    <t>Saturday September 7th 2013 4 pm</t>
  </si>
  <si>
    <t>Painting patterns on cardboard snakes</t>
  </si>
  <si>
    <t>Sunday September 8th 2013 10 am</t>
  </si>
  <si>
    <t>Tree identification along the nature trail</t>
  </si>
  <si>
    <t>Sunday September 8th 2013 12 pm</t>
  </si>
  <si>
    <t>Display of pelts and taxidermied specimens</t>
  </si>
  <si>
    <t>Saturday 8-10 pm</t>
  </si>
  <si>
    <t>Kayak Tour of Lake Rutledge during a new moon</t>
  </si>
  <si>
    <t>Monday, 10:30-11:30 am</t>
  </si>
  <si>
    <t>Life Enrichment/ Birds &amp; Bird Hike</t>
  </si>
  <si>
    <t>bird colors, lets find some birds with binoculars &amp; bird hike</t>
  </si>
  <si>
    <t>Wed 11-1pm</t>
  </si>
  <si>
    <t>Columbus State U/History Tours</t>
  </si>
  <si>
    <t>Dahlonega Gold Museum</t>
  </si>
  <si>
    <t>Tuesday, 10-12 p.m.</t>
  </si>
  <si>
    <t>Harmony Baptist Church</t>
  </si>
  <si>
    <t>Guided tour of Museum</t>
  </si>
  <si>
    <t>Wednesday 9/5/2013</t>
  </si>
  <si>
    <t>Eddie White Academy</t>
  </si>
  <si>
    <t>Tools and weapons with atour</t>
  </si>
  <si>
    <t>Thursday 9/6/2013</t>
  </si>
  <si>
    <t>Const. Place Elem.</t>
  </si>
  <si>
    <t>Tour, Tools and weapons, and film</t>
  </si>
  <si>
    <t>Thursday 9/11</t>
  </si>
  <si>
    <t>Inman Middle</t>
  </si>
  <si>
    <t>Tools weapons, film, and a tour</t>
  </si>
  <si>
    <t>Thursday 9:00-9:30</t>
  </si>
  <si>
    <t>Site intro</t>
  </si>
  <si>
    <t>brief indoor site tour</t>
  </si>
  <si>
    <t>Friday 10:00</t>
  </si>
  <si>
    <t>Brief introduction to the site</t>
  </si>
  <si>
    <t>Friday 10:30</t>
  </si>
  <si>
    <t>Tools and weapons</t>
  </si>
  <si>
    <t>Demonstration of tools and weapons used by Native Americans</t>
  </si>
  <si>
    <t>Wednesday 10am - 1pm</t>
  </si>
  <si>
    <t>GA Cyber Academy</t>
  </si>
  <si>
    <t>Animal Program &amp; Pontoon ride</t>
  </si>
  <si>
    <t>Saturday 9/7 11:30</t>
  </si>
  <si>
    <t>Guided Tour</t>
  </si>
  <si>
    <t>Tour of the site</t>
  </si>
  <si>
    <t>Thursday, 10AM - 3PM</t>
  </si>
  <si>
    <t>Homeschool Day</t>
  </si>
  <si>
    <t>Home school group program</t>
  </si>
  <si>
    <t>Thursday, 4:30-5 pm</t>
  </si>
  <si>
    <t>Showed three kids and their grandfather the box turtle and kingsnake and fed the snakes</t>
  </si>
  <si>
    <t>Thursday 2-4pm</t>
  </si>
  <si>
    <t>St George Esp. Church/History Tour</t>
  </si>
  <si>
    <t>Wednesday 2-4pm</t>
  </si>
  <si>
    <t>Newnan Pres Ch/History Tour</t>
  </si>
  <si>
    <t>Thursday 10-12 pm</t>
  </si>
  <si>
    <t>Dixon Grove Ch/History Tour</t>
  </si>
  <si>
    <t>Sunday 8 - 11 a.m.</t>
  </si>
  <si>
    <t>AAS bird walk</t>
  </si>
  <si>
    <t>Bird Walk</t>
  </si>
  <si>
    <t>Wildflower/Butterfly Walk</t>
  </si>
  <si>
    <t>Butterfly Walk when Yellow Daisies in Bloom</t>
  </si>
  <si>
    <t>Pretty dry the last two weeks on the mountain, but a nice walik.</t>
  </si>
  <si>
    <t>Brief snake program followed by mile-long nature hike at night</t>
  </si>
  <si>
    <t>Saturday, 2-4p.m.</t>
  </si>
  <si>
    <t>USS Prichett</t>
  </si>
  <si>
    <t>Historic group tour of LWH</t>
  </si>
  <si>
    <t>Wednesday, 2-4 p.m.</t>
  </si>
  <si>
    <t>Cancer center of America</t>
  </si>
  <si>
    <t>Historic group tour of Little White House</t>
  </si>
  <si>
    <t>Wednesday, 1-3p.m.</t>
  </si>
  <si>
    <t>Boy Scouts Camp Thunder</t>
  </si>
  <si>
    <t>Historic Group Tour of LWH</t>
  </si>
  <si>
    <t>Saturday, 10-12pm</t>
  </si>
  <si>
    <t>That Trails Thing</t>
  </si>
  <si>
    <t>students from Georgie Regency trails clean up</t>
  </si>
  <si>
    <t>share food made from the wild</t>
  </si>
  <si>
    <t>provided by friends of Mistletoe</t>
  </si>
  <si>
    <t>Monday, 10:30-12 pm</t>
  </si>
  <si>
    <t>Life Enrichment/ Campfrie Building</t>
  </si>
  <si>
    <t>how to build a campfire demo, roast marshmallow and create a campfire craft</t>
  </si>
  <si>
    <t>Thursday, 10:30- 12:30</t>
  </si>
  <si>
    <t>Wesley International Academy</t>
  </si>
  <si>
    <t>Site tour, tools and weapons program, and Film</t>
  </si>
  <si>
    <t>Friday 9:30-11:20</t>
  </si>
  <si>
    <t>Berry College Elem.</t>
  </si>
  <si>
    <t>Film, tools and weapons, and Site Tour</t>
  </si>
  <si>
    <t>Wednesday 18th 9:30-11:30</t>
  </si>
  <si>
    <t>St.Mary's School</t>
  </si>
  <si>
    <t>Tools and weapons, film, museum intro, and self guided tour</t>
  </si>
  <si>
    <t>Saturday 14th</t>
  </si>
  <si>
    <t>Program showing use of tools and weapons used by Native Americans</t>
  </si>
  <si>
    <t>Site Tour</t>
  </si>
  <si>
    <t>Tour of the mounds and defensive ditch</t>
  </si>
  <si>
    <t>Site Intro</t>
  </si>
  <si>
    <t>Introduction to site and museum</t>
  </si>
  <si>
    <t>Thursday, 6-8 pm</t>
  </si>
  <si>
    <t>Education Play Station/Geocaching 101</t>
  </si>
  <si>
    <t>Introduction to Geocaching</t>
  </si>
  <si>
    <t>Thursday, 11:30 am</t>
  </si>
  <si>
    <t>Talked to visitors about our sugar cane mill</t>
  </si>
  <si>
    <t>Girl Scout night hike</t>
  </si>
  <si>
    <t>Scouts cleaned trails, so we gave them the program at no charge.</t>
  </si>
  <si>
    <t>Tuesday 9/10, 7-8p.m</t>
  </si>
  <si>
    <t>American Legion</t>
  </si>
  <si>
    <t>Kolomoki Information and Update</t>
  </si>
  <si>
    <t>Tuesday 9/17, 6-7p.m</t>
  </si>
  <si>
    <t>Methodist Men's Program</t>
  </si>
  <si>
    <t>Thursday 9/19, 4:30-7:30</t>
  </si>
  <si>
    <t>EC Cross Country Meet</t>
  </si>
  <si>
    <t>Cross Country Meet</t>
  </si>
  <si>
    <t>Friday 7:30-9:30</t>
  </si>
  <si>
    <t>Full Moon Paddle</t>
  </si>
  <si>
    <t>Nighttime Kayak/Canoe Paddle on the lake</t>
  </si>
  <si>
    <t>Event was rescheduled at the last minute after being cancelled earlier in the week due to lack of registration. Local home football game may have lowered participation somewhat.</t>
  </si>
  <si>
    <t>Brief snake program followed by mile-long nature hike</t>
  </si>
  <si>
    <t>Sat &amp; Sun, 10 am - 4 pm</t>
  </si>
  <si>
    <t>Harvest at the Homestead</t>
  </si>
  <si>
    <t>1860s living history event</t>
  </si>
  <si>
    <t>Heavy rain on Saturday kept our attendance numbers down</t>
  </si>
  <si>
    <t>Friday 8-11</t>
  </si>
  <si>
    <t>Kayak on Lake Rutledge during a Full Moon</t>
  </si>
  <si>
    <t>Kayak Tour of Lake Rutledge during a full Moon</t>
  </si>
  <si>
    <t>Saturday 1:45-3:15</t>
  </si>
  <si>
    <t>Stone Mountain Butterfly Walk</t>
  </si>
  <si>
    <t>Butterfly walk through the Songbird nautre trail at Stone Mountain Park.</t>
  </si>
  <si>
    <t>Saturday 6-8 p.m.</t>
  </si>
  <si>
    <t>Paddle on Lake Rutledge during twilight</t>
  </si>
  <si>
    <t>Life Enrishment/ Outdoor cooking</t>
  </si>
  <si>
    <t>Variuos ways of cooking outdoors</t>
  </si>
  <si>
    <t>Wednesday, 9:30-12</t>
  </si>
  <si>
    <t>N. Harlem Ele/ Wildlife Habitats &amp; Adaptations</t>
  </si>
  <si>
    <t>nature hike, nature center visit, share beaver and other mounts</t>
  </si>
  <si>
    <t>2 volunteers &amp; 2 staff members</t>
  </si>
  <si>
    <t>Friday 6pm</t>
  </si>
  <si>
    <t>Women's Only Kayak- beginners</t>
  </si>
  <si>
    <t>Women's only beginner kayak</t>
  </si>
  <si>
    <t>Saturday 3pm</t>
  </si>
  <si>
    <t>Park wide scavenger hunt</t>
  </si>
  <si>
    <t>Saturday 11am</t>
  </si>
  <si>
    <t>Kayak Paddle</t>
  </si>
  <si>
    <t>Kayak paddle</t>
  </si>
  <si>
    <t>No one attended due to inclement weather</t>
  </si>
  <si>
    <t>Thursday 9/26</t>
  </si>
  <si>
    <t>Providence Christian Acad.</t>
  </si>
  <si>
    <t>Film, tools % weapons, self-guided tour</t>
  </si>
  <si>
    <t>Parents and chaperons used library cards from several counties to get in free.</t>
  </si>
  <si>
    <t>Saturday 9/21</t>
  </si>
  <si>
    <t>Pack 469 Den 6</t>
  </si>
  <si>
    <t>Tools and weapons , self guided tour</t>
  </si>
  <si>
    <t>Pack 6410</t>
  </si>
  <si>
    <t>Self guided tour, tools and weapons</t>
  </si>
  <si>
    <t>Thursday 3-4:30 pm</t>
  </si>
  <si>
    <t>Education Association Inc/History Tour</t>
  </si>
  <si>
    <t>Monday 9-11am</t>
  </si>
  <si>
    <t>Lovejoy HS/History Tour</t>
  </si>
  <si>
    <t>Monday 9:30-11:30 am</t>
  </si>
  <si>
    <t>Homeschool Group/History Tour</t>
  </si>
  <si>
    <t>Lamplighter Tours/history tour</t>
  </si>
  <si>
    <t>monday 11:30-1:30 pm</t>
  </si>
  <si>
    <t>Starr Group/History Tour</t>
  </si>
  <si>
    <t>Wed 9-11am</t>
  </si>
  <si>
    <t>Dallas GA Baptist Church/History Tour</t>
  </si>
  <si>
    <t>wed 1:30-3:30pm</t>
  </si>
  <si>
    <t>Cumming UMC/History Tour</t>
  </si>
  <si>
    <t>wed 1-3pm</t>
  </si>
  <si>
    <t>Jones First UMC/History Tour</t>
  </si>
  <si>
    <t>tour of the historic site`</t>
  </si>
  <si>
    <t>monday 10-12pm</t>
  </si>
  <si>
    <t>C-Life Group/History Tours</t>
  </si>
  <si>
    <t>monday 12-2pm</t>
  </si>
  <si>
    <t>Hallmark/History Tour</t>
  </si>
  <si>
    <t>Sunday, 5:30-5:45 pm</t>
  </si>
  <si>
    <t>Talked with visitors about the historic cabin</t>
  </si>
  <si>
    <t>Friday, 4:30 pm</t>
  </si>
  <si>
    <t>Talked with two visitors about wildflowers at the park</t>
  </si>
  <si>
    <t>Friday, 5-5:45 pm</t>
  </si>
  <si>
    <t>Showed visitors the Discovery Room and talked about snakes and plants at the park</t>
  </si>
  <si>
    <t>Friday, 8-9:45 pm</t>
  </si>
  <si>
    <t>Mile-long nature hike at night.</t>
  </si>
  <si>
    <t>Saturday 8 - 12pm</t>
  </si>
  <si>
    <t>Save our parks day cleanup</t>
  </si>
  <si>
    <t>Save our Parks Day mini-golf course restoration</t>
  </si>
  <si>
    <t>Volunteers for Park Day cleaned up mini-golf course</t>
  </si>
  <si>
    <t>Saturday 8AM - 12PM</t>
  </si>
  <si>
    <t>River's Alive cleanup</t>
  </si>
  <si>
    <t>Cleanup of Little River and Park Lake</t>
  </si>
  <si>
    <t>Annual River's Alive event to clean up trash around park.</t>
  </si>
  <si>
    <t>September 28th 10 am -2 pm</t>
  </si>
  <si>
    <t>State Parks Day- River Cleanup and Park Beautification</t>
  </si>
  <si>
    <t>River clean up, putting out new birdhouses, and spreading mulch on the playground</t>
  </si>
  <si>
    <t>We had a great turn out for state parks day! We accomplished a lot of tasks around the park that we had hoped to do.</t>
  </si>
  <si>
    <t>September 21st 2013 10 am-1 pm</t>
  </si>
  <si>
    <t>Royston Baptist Festival-Connections for Special Parents</t>
  </si>
  <si>
    <t>Local festival providing networking opportunities for families with special needs children.</t>
  </si>
  <si>
    <t>This festival was a nice local event and we we able to promote the park to many local families. The craft was simple and enjoyed by the children and the live animal was a great way to attract people to our booth.</t>
  </si>
  <si>
    <t>Friday September 20th 6 pm</t>
  </si>
  <si>
    <t>Walking through the campground with a program animal and event schedules</t>
  </si>
  <si>
    <t>Friday September 20th 8 pm</t>
  </si>
  <si>
    <t>Campfire Fun!</t>
  </si>
  <si>
    <t>S'mores and games at the campfire</t>
  </si>
  <si>
    <t>Saturday September 21st 3 pm</t>
  </si>
  <si>
    <t>Discussion of the native snakes of Georgia with a program snake</t>
  </si>
  <si>
    <t>Sunday September 22 2013 10 am</t>
  </si>
  <si>
    <t>Tree ID hike on nature trail</t>
  </si>
  <si>
    <t>Saturday September 14th 5 pm</t>
  </si>
  <si>
    <t>Saturday September 14th 8 pm</t>
  </si>
  <si>
    <t>Old School Movie Night</t>
  </si>
  <si>
    <t>Sunday September 15th 11 am</t>
  </si>
  <si>
    <t>Sunday September 15th 1 pm</t>
  </si>
  <si>
    <t>Discussion of the native mammals of Georgia with study skins</t>
  </si>
  <si>
    <t>Sunday September 15th 2 pm</t>
  </si>
  <si>
    <t>Making snakes out of cardboard</t>
  </si>
  <si>
    <t>September 27th 6 pm</t>
  </si>
  <si>
    <t>Walking through the camp ground with a program animal and promoting State Parks Day</t>
  </si>
  <si>
    <t>Saturday 8am-3pm</t>
  </si>
  <si>
    <t>Your State Parks Day</t>
  </si>
  <si>
    <t>Volunteer work day</t>
  </si>
  <si>
    <t>Saturday 9-12 pm</t>
  </si>
  <si>
    <t>Kid Fishing Rodeo</t>
  </si>
  <si>
    <t>kid fishing, prizes and lunch</t>
  </si>
  <si>
    <t>friendsw event Your State Parks day</t>
  </si>
  <si>
    <t>Saturday 10 am 1:30 pm</t>
  </si>
  <si>
    <t>Birthday Party/ Pioneer &amp; Indians and Camp cooking</t>
  </si>
  <si>
    <t>corn husk dools, hayride, pioneer &amp; Indain games: how to build a camp fire and s'mores</t>
  </si>
  <si>
    <t>Birthday cake $35 
Paid for kid t-shirt in birthday party parckage</t>
  </si>
  <si>
    <t>Monday; 10:30-12</t>
  </si>
  <si>
    <t>Life Enrichment/ Austrailia Animals are Different</t>
  </si>
  <si>
    <t>Austrailan animals are different than what you see here. Comparing the differences</t>
  </si>
  <si>
    <t>Sat 8</t>
  </si>
  <si>
    <t>Campfire Talks</t>
  </si>
  <si>
    <t>Two programs rained out</t>
  </si>
  <si>
    <t>Campers look for information about the park and nature</t>
  </si>
  <si>
    <t>Rangers give information about the park to campers and visitors</t>
  </si>
  <si>
    <t>Guided Hike</t>
  </si>
  <si>
    <t>Guided hike to the overlook and stone wall</t>
  </si>
  <si>
    <t>Sat 3</t>
  </si>
  <si>
    <t>Wagon ride to Old Fort with narration about park history and nature</t>
  </si>
  <si>
    <t>Morning Meditations</t>
  </si>
  <si>
    <t>Reflections on nature with music</t>
  </si>
  <si>
    <t>Sat 7:30</t>
  </si>
  <si>
    <t>Campers learn to cook a variety of foods on a camp fire</t>
  </si>
  <si>
    <t>Kids activities</t>
  </si>
  <si>
    <t>A variety of activities for kids led by a naturalist</t>
  </si>
  <si>
    <t>Sat 9</t>
  </si>
  <si>
    <t>Canoeing 101</t>
  </si>
  <si>
    <t>Instruction in basic canoe strokes and safety</t>
  </si>
  <si>
    <t>Sat 1</t>
  </si>
  <si>
    <t>Wagon Ride with Guided Hike</t>
  </si>
  <si>
    <t>Wagon ride and a guided hike to many of the park's key features</t>
  </si>
  <si>
    <t>First Time Campers</t>
  </si>
  <si>
    <t>Introduction to camping</t>
  </si>
  <si>
    <t>Sat 9-3</t>
  </si>
  <si>
    <t>Volunteers did participated in a variety of projects</t>
  </si>
  <si>
    <t>Sat 10</t>
  </si>
  <si>
    <t>Leaf ID Hike</t>
  </si>
  <si>
    <t>Drop-off hike down the Gahuti trail to identify trees and learn forest ecology</t>
  </si>
  <si>
    <t>saturday, 28th 9:00-3:00</t>
  </si>
  <si>
    <t>Your State Site Day</t>
  </si>
  <si>
    <t>guided tours of historic buildings and grounds1</t>
  </si>
  <si>
    <t>guided tours</t>
  </si>
  <si>
    <t>guided tours of buildings</t>
  </si>
  <si>
    <t>Saturday, 9:30-11:00</t>
  </si>
  <si>
    <t>UGA Students</t>
  </si>
  <si>
    <t>Thursday, 12:30-2 pm</t>
  </si>
  <si>
    <t>Trion Middle</t>
  </si>
  <si>
    <t>Friday</t>
  </si>
  <si>
    <t>Dalton College</t>
  </si>
  <si>
    <t>Golden Circle Fort Payne</t>
  </si>
  <si>
    <t>Your State Parks Day with Girl Scout Troop 8040 (12) and Leadership Murray (23)</t>
  </si>
  <si>
    <t>Girl Scouts and Leadership Murrary came on Your State Parks Day to participate and volunteer.</t>
  </si>
  <si>
    <t>Saturday, 10 am - 2 pm</t>
  </si>
  <si>
    <t>Your State Parks Day Service Project</t>
  </si>
  <si>
    <t>Volunteers removed painters tape from windows, installed bars for hanging exhibits, and gardened in the wildlife garden</t>
  </si>
  <si>
    <t>Labor Day Commemoration</t>
  </si>
  <si>
    <t>Daily 9-5pm</t>
  </si>
  <si>
    <t>Scavenger Hunts</t>
  </si>
  <si>
    <t>Ranger led Scavenger Hunts through History</t>
  </si>
  <si>
    <t>Saturday 9-5 pm</t>
  </si>
  <si>
    <t>Your Parks Day</t>
  </si>
  <si>
    <t>Sponsored by Friends</t>
  </si>
  <si>
    <t>Ranger led hike, ID flora and fauna</t>
  </si>
  <si>
    <t>Thurs, 6 p.m.</t>
  </si>
  <si>
    <t>Join campers, cottage guests, and local residents and take part in Black Rock’s traditional weekly supper. Bring a covered dish and us at the Mellinger Center for some great food and fellowship.</t>
  </si>
  <si>
    <t>Thursday, 9 a.m.</t>
  </si>
  <si>
    <t>Ranger led hike to Black Rock's waterfall. Hike through hardwood cove forest.</t>
  </si>
  <si>
    <t>Friday, 5 p.m.</t>
  </si>
  <si>
    <t>Sssnakes, Bears, Poison Ivy, &amp; more</t>
  </si>
  <si>
    <t>Learn to identify the difference between venomous and nonvenomous snakes. What do you do if you meet a bear on the trail? What does poison ivy look like?</t>
  </si>
  <si>
    <t>Saturday, 9 a.m.</t>
  </si>
  <si>
    <t>Identify some of the leaves of trees in the park. Create prints on fabric by using the Native American method of pounding leaves to extract natural dyes. These prints can later be framed or used in a quilt</t>
  </si>
  <si>
    <t>Saturday, various times</t>
  </si>
  <si>
    <t>Park staff member stationed at trailhead with hiking 101 info, distribute maps, provide trail info and answer questions</t>
  </si>
  <si>
    <t>Tiger Swallowtails, Fritillaries, Azures…What kinds of butterflies have you seen fluttering in the park? What kinds of shapes and colors? Use paint pens to decorate and take home a glittery 2 ½ “Butterfly Sun Catcher. Materials fee $1. Meet at the Mellinger Center</t>
  </si>
  <si>
    <t>Use nets and guides to discover insects and other things living in and around the lake</t>
  </si>
  <si>
    <t>Wednesday, 11:30 a.m.</t>
  </si>
  <si>
    <t>Fish Fry Lunch</t>
  </si>
  <si>
    <t>Fish fry for campers and guests</t>
  </si>
  <si>
    <t>State Parks Day-Volunteers</t>
  </si>
  <si>
    <t>Volunteers-spread mulch on playground, Norma Campbell Cove trail maintenance, Mellinger Center landscaping</t>
  </si>
  <si>
    <t>Saturday, 8 p.m.</t>
  </si>
  <si>
    <t>Flag Retirement Ceremony</t>
  </si>
  <si>
    <t>Flag Retirement Ceremony by Boy Scouts Troop 40</t>
  </si>
  <si>
    <t>Ceremony retired 4 flags, including one that had been flying at the Visitor's Center and had become ragged. Guests of the park were invited and some disabled veterans, some of who had never seen this ceremony, were able to attend.</t>
  </si>
  <si>
    <t>Sunday, 9:00 - 10:00 AM</t>
  </si>
  <si>
    <t>Animal Olympics</t>
  </si>
  <si>
    <t>Saturday 28th, 12-5 PM</t>
  </si>
  <si>
    <t>State Parks Day - Kids Fish Fest</t>
  </si>
  <si>
    <t>Kids Fish Fest</t>
  </si>
  <si>
    <t>Saturday &amp; Sunday, 9AM-4PM</t>
  </si>
  <si>
    <t>Museum Tours</t>
  </si>
  <si>
    <t>20th-22nd, 1-6PM</t>
  </si>
  <si>
    <t>Friends Bluegrass Festival</t>
  </si>
  <si>
    <t>Historic Presentation Booth</t>
  </si>
  <si>
    <t>20th-22nd, 12-9PM</t>
  </si>
  <si>
    <t>Bluegrass Music</t>
  </si>
  <si>
    <t>13th-15th, 1-6PM</t>
  </si>
  <si>
    <t>Geo Camp</t>
  </si>
  <si>
    <t>Saturday, 10AM-12PM</t>
  </si>
  <si>
    <t>Geo Caching</t>
  </si>
  <si>
    <t>Saturday, 1-3PM</t>
  </si>
  <si>
    <t>Friday, 8-10PM</t>
  </si>
  <si>
    <t>Star Light Canoe Trip</t>
  </si>
  <si>
    <t>Night Canoeing</t>
  </si>
  <si>
    <t>Saturday, 8-10PM</t>
  </si>
  <si>
    <t>Thursday,1:00-2:30</t>
  </si>
  <si>
    <t>Tuesday,1:30-3:00</t>
  </si>
  <si>
    <t>Leadership Community</t>
  </si>
  <si>
    <t>Guided tour</t>
  </si>
  <si>
    <t>Friday,11:45-3:00</t>
  </si>
  <si>
    <t>Griffin Acadamy</t>
  </si>
  <si>
    <t>Guided tour of musums</t>
  </si>
  <si>
    <t>Friday,10:00-12:00</t>
  </si>
  <si>
    <t>Griffin Christ Acadamy</t>
  </si>
  <si>
    <t>Saturday,9:15-2:00</t>
  </si>
  <si>
    <t>Jr.Angler Fishing Rodeo</t>
  </si>
  <si>
    <t>Monday, 10am-4pm</t>
  </si>
  <si>
    <t>Annual Labor Day Program</t>
  </si>
  <si>
    <t>In commemoration of Labor Day staff and volunteers did historical wood-working demos, blackpowder demos.</t>
  </si>
  <si>
    <t>Saturday, 10-4</t>
  </si>
  <si>
    <t>Ranger led soldier talks, musket firing, toys &amp; games</t>
  </si>
  <si>
    <t>Monday, 1-4</t>
  </si>
  <si>
    <t>Cannon Demo for DNR Board Members</t>
  </si>
  <si>
    <t>Cannon &amp; musket firing demos for members of the DNR Board</t>
  </si>
  <si>
    <t>This was a demonstration that was performed on a Monday when the site was closed. Staff members carried the 3# Field cannon to the DNR Region 2 Office and did cannon firing demos between rain-showers for members of the DNR Board.</t>
  </si>
  <si>
    <t>Sunday 9 am</t>
  </si>
  <si>
    <t>Backyard Games</t>
  </si>
  <si>
    <t>Playing classic backyard games for prizes</t>
  </si>
  <si>
    <t>Saturday 10 am</t>
  </si>
  <si>
    <t>Hound Hike to the Falls</t>
  </si>
  <si>
    <t>Dog walk to the falls</t>
  </si>
  <si>
    <t>Gwinnett Homeschool</t>
  </si>
  <si>
    <t>site tour, tools and weapons, and film</t>
  </si>
  <si>
    <t>Pack 15</t>
  </si>
  <si>
    <t>Site tour</t>
  </si>
  <si>
    <t>Monday 9 AM</t>
  </si>
  <si>
    <t>Labor Day Mountain Hike</t>
  </si>
  <si>
    <t>Ranger led mountain hike</t>
  </si>
  <si>
    <t>Saturday 12-2, 3-5 Sunday 2-4</t>
  </si>
  <si>
    <t>Basic Archery</t>
  </si>
  <si>
    <t>NASP Basic Archery Program</t>
  </si>
  <si>
    <t>Saturday Mountain Hike</t>
  </si>
  <si>
    <t>Saturday 1 &amp; 3 PM</t>
  </si>
  <si>
    <t>Introduction Climb</t>
  </si>
  <si>
    <t>Care TTC Tree Climb</t>
  </si>
  <si>
    <t>Saturday 7 PM</t>
  </si>
  <si>
    <t>Full Moon Night Hike</t>
  </si>
  <si>
    <t>Sunday 1-4</t>
  </si>
  <si>
    <t>Wildflowers &amp; Butterfly Walk</t>
  </si>
  <si>
    <t>Butterlfy ID Hike</t>
  </si>
  <si>
    <t>Saturday 2 PM</t>
  </si>
  <si>
    <t>Butterfly &amp; Dragonfly Safari</t>
  </si>
  <si>
    <t>Thursday 10 AM</t>
  </si>
  <si>
    <t>Home School Thursday</t>
  </si>
  <si>
    <t>Archery Tournament</t>
  </si>
  <si>
    <t>Saturday 8 a.m.</t>
  </si>
  <si>
    <t>Volunteer Work Day</t>
  </si>
  <si>
    <t>Sat 10AM-1:30PM</t>
  </si>
  <si>
    <t>Hike from Mollyhugger to Dowdell's Knob</t>
  </si>
  <si>
    <t>Sat 9:00AM-4:00PM</t>
  </si>
  <si>
    <t>Family Fishing Day</t>
  </si>
  <si>
    <t>fishing on Lake Franklin</t>
  </si>
  <si>
    <t>Do again Keep same time and location</t>
  </si>
  <si>
    <t>Sat &amp; Sun 5:30AM-5PM</t>
  </si>
  <si>
    <t>Northface Endurance Run</t>
  </si>
  <si>
    <t>Trail run challenges</t>
  </si>
  <si>
    <t>Turtle Talk</t>
  </si>
  <si>
    <t>Hands-on turtle program live &amp; props</t>
  </si>
  <si>
    <t>Sat 7:30-8:15PM</t>
  </si>
  <si>
    <t>Spectacular Spider Shine</t>
  </si>
  <si>
    <t>local spider intro &amp; walk to shine them</t>
  </si>
  <si>
    <t>Sat 8-10PM</t>
  </si>
  <si>
    <t>Star Light Star Bright</t>
  </si>
  <si>
    <t>CCSSC Astronomy</t>
  </si>
  <si>
    <t>Nature Discovery Station</t>
  </si>
  <si>
    <t>changing plant/animal display</t>
  </si>
  <si>
    <t>Col Senior Center Fishing</t>
  </si>
  <si>
    <t>nature crafts from tree cookies</t>
  </si>
  <si>
    <t>Sat 8:30AM-12:00</t>
  </si>
  <si>
    <t>local marketplace</t>
  </si>
  <si>
    <t>Wednesday, 10 am - 12</t>
  </si>
  <si>
    <t>Game day</t>
  </si>
  <si>
    <t>Wednesday 10 am - 12</t>
  </si>
  <si>
    <t>Game day/ beat the ranger</t>
  </si>
  <si>
    <t>Wednesday 10 am-12</t>
  </si>
  <si>
    <t>Nature walk, fishing campfire/smores</t>
  </si>
  <si>
    <t>Saturday 10-2</t>
  </si>
  <si>
    <t>Your state parks day</t>
  </si>
  <si>
    <t>Family fun day and ride and clip</t>
  </si>
  <si>
    <t>Saturday,9:30-2:00</t>
  </si>
  <si>
    <t>Farm&amp;Garden Cleanup</t>
  </si>
  <si>
    <t>Volunteer garden and building cleanup opportunity</t>
  </si>
  <si>
    <t>Sat., 9-5:00pm</t>
  </si>
  <si>
    <t>Free admission day, provide info on Friends of Ga. State parks to visitors</t>
  </si>
  <si>
    <t>Sunday, 8-9 a.m.</t>
  </si>
  <si>
    <t>Bird Hike</t>
  </si>
  <si>
    <t>Morning bird hike</t>
  </si>
  <si>
    <t>Sunday, 3-4 p.m.</t>
  </si>
  <si>
    <t>Monday, 11-12 p.m.</t>
  </si>
  <si>
    <t>Yard Games</t>
  </si>
  <si>
    <t>Outdoor games</t>
  </si>
  <si>
    <t>Monday 3-4, p.m.</t>
  </si>
  <si>
    <t>Craft making</t>
  </si>
  <si>
    <t>Wednesday, 2-3 p.m.</t>
  </si>
  <si>
    <t>Thursday, 10-11 a.m.</t>
  </si>
  <si>
    <t>Toddler Time</t>
  </si>
  <si>
    <t>Stories and games for toddlers</t>
  </si>
  <si>
    <t>Thursday, 2-3 p.m.</t>
  </si>
  <si>
    <t>Learn about reptiles and amphibians</t>
  </si>
  <si>
    <t>Thursday, 8:30-9:30 p.m.</t>
  </si>
  <si>
    <t>Rain</t>
  </si>
  <si>
    <t>Watch local birds at the feeding station</t>
  </si>
  <si>
    <t>Friday, 1-2 p.m.</t>
  </si>
  <si>
    <t>Scat N' Tracks</t>
  </si>
  <si>
    <t>Hike and identify animal tracks</t>
  </si>
  <si>
    <t>Friday, 8:30-9:30 p.m.</t>
  </si>
  <si>
    <t>Night Frog Hike</t>
  </si>
  <si>
    <t>Frog ID hike</t>
  </si>
  <si>
    <t>Saturday, 10 a.m.-12 p.m.</t>
  </si>
  <si>
    <t>Nature hike</t>
  </si>
  <si>
    <t>Craft hour</t>
  </si>
  <si>
    <t>Sunday 8-9 a.m.</t>
  </si>
  <si>
    <t>Bird ID hike</t>
  </si>
  <si>
    <t>Sunday 2-3 p.m.</t>
  </si>
  <si>
    <t>Wednesday, 12-1 p.m.</t>
  </si>
  <si>
    <t>Learn about Ice Age animals</t>
  </si>
  <si>
    <t>What a Hoot!</t>
  </si>
  <si>
    <t>Learn about native owls</t>
  </si>
  <si>
    <t>Painteed Buntings</t>
  </si>
  <si>
    <t>Learn about and look for painted buntings</t>
  </si>
  <si>
    <t>Saturday, 2-3 p.m.</t>
  </si>
  <si>
    <t>Wednesday, 11 a.m.-12 p.m.</t>
  </si>
  <si>
    <t>Learn the history of Skidaway Island</t>
  </si>
  <si>
    <t>Saturday 9-12</t>
  </si>
  <si>
    <t>Volunteer day where a butterfly garden was built outside of the trading post.</t>
  </si>
  <si>
    <t>Successful volunteer day. Worked with a landscape architect to create a beautiful garden.</t>
  </si>
  <si>
    <t>Sunday, 9am-1030am</t>
  </si>
  <si>
    <t>Monday, 10am-11:30</t>
  </si>
  <si>
    <t>Thursday, 9:00 AM</t>
  </si>
  <si>
    <t>Career Day White County Intermediate School</t>
  </si>
  <si>
    <t>Taught students about the career as a park ranger</t>
  </si>
  <si>
    <t>Tuesday, 9:00</t>
  </si>
  <si>
    <t>Lanier MIddle Animal Adaptations</t>
  </si>
  <si>
    <t>Students learned about the adaptations of animals</t>
  </si>
  <si>
    <t>Thursday, September 4, 9:00 a.m.</t>
  </si>
  <si>
    <t>Lainer Middle-Animal Adaptations</t>
  </si>
  <si>
    <t>Students learned about the adaptations of aniamls</t>
  </si>
  <si>
    <t>Thursday, September 5</t>
  </si>
  <si>
    <t>White County Intermediate School-Living/Non Living</t>
  </si>
  <si>
    <t>learn about living and non living things in the ecosystem</t>
  </si>
  <si>
    <t>Monday, September 9, 2013</t>
  </si>
  <si>
    <t>White County Intermediate School-LIving and non-living</t>
  </si>
  <si>
    <t>learn about living and non living things</t>
  </si>
  <si>
    <t>Friday, September 13, 1:00 p.m</t>
  </si>
  <si>
    <t>Mt. Yonah Elementary School- 84</t>
  </si>
  <si>
    <t>Students learned about being Park Ranger</t>
  </si>
  <si>
    <t>Friday, September 13, 9:00</t>
  </si>
  <si>
    <t>Towns County - Animal Adaptations</t>
  </si>
  <si>
    <t>Monday, September 17, 9:00 a.m.</t>
  </si>
  <si>
    <t>White County - Animal Adaptations</t>
  </si>
  <si>
    <t>Learn about the adaptations of animals</t>
  </si>
  <si>
    <t>Tuesday, 2:00 p.m.</t>
  </si>
  <si>
    <t>Faith Christain Academy</t>
  </si>
  <si>
    <t>Wednesday 10:00 a.m.</t>
  </si>
  <si>
    <t>Mossy Creek Elem-Snakes Alive</t>
  </si>
  <si>
    <t>Thursday, 10:00 a.m.</t>
  </si>
  <si>
    <t>North Habersham Middle-Animal Adaptations</t>
  </si>
  <si>
    <t>Friday, 10:00 a.m.</t>
  </si>
  <si>
    <t>North Gwinett - Animal Adaptations</t>
  </si>
  <si>
    <t>Monday 1:00 p.m.</t>
  </si>
  <si>
    <t>White County Middle School- Snakes Alive</t>
  </si>
  <si>
    <t>Students learned about snakes</t>
  </si>
  <si>
    <t>Wednesday 5:00 p.m.</t>
  </si>
  <si>
    <t>White County Intermediate School - Snakes Alive</t>
  </si>
  <si>
    <t>Students learn about snakes</t>
  </si>
  <si>
    <t>Thursday 10:00 a.m.</t>
  </si>
  <si>
    <t>North Habersham Middle School - Pond Studies</t>
  </si>
  <si>
    <t>Students participated in learning about pond life</t>
  </si>
  <si>
    <t>Friday, 11:00 a.m.</t>
  </si>
  <si>
    <t>Level Grove Elementary- Native Americans</t>
  </si>
  <si>
    <t>Learn about the Native Americans living in the area many years ago</t>
  </si>
  <si>
    <t>Monday 10:00 a.m.</t>
  </si>
  <si>
    <t>White County Intermediate School - Animal Adaptations</t>
  </si>
  <si>
    <t>Monday, 1:00 p.m.</t>
  </si>
  <si>
    <t>THie County Intermediate School- Snakes Alive</t>
  </si>
  <si>
    <t>Wauka Mountain - Stream Ecology, Archery, How Many Bears</t>
  </si>
  <si>
    <t>Students learned about stream ecology, archery, and How many bears</t>
  </si>
  <si>
    <t>Thursday 8:30 AM</t>
  </si>
  <si>
    <t>Georgia Connections Academy</t>
  </si>
  <si>
    <t>Students learned about Native Americans and played Oh Deer</t>
  </si>
  <si>
    <t>Monday 9:00 a.m.</t>
  </si>
  <si>
    <t>Christian Home Educators</t>
  </si>
  <si>
    <t>Students learned about the Native American people who lived her many years ago</t>
  </si>
  <si>
    <t>Georgia Connections-Archery, Orienteering</t>
  </si>
  <si>
    <t>Students participated in archery and orienteering</t>
  </si>
  <si>
    <t>Learn to tie some handy knots</t>
  </si>
  <si>
    <t>Saturday8-9 a.m.</t>
  </si>
  <si>
    <t>Saturday 11 a.m.-12 p.m.</t>
  </si>
  <si>
    <t>Make a craft using household items</t>
  </si>
  <si>
    <t>Whooo is out there?</t>
  </si>
  <si>
    <t>Owl ID hike</t>
  </si>
  <si>
    <t>Eliminate Chinese Tallow Trees</t>
  </si>
  <si>
    <t>Sunday, 11 a.m.-12 p.m.</t>
  </si>
  <si>
    <t>Learn loss prevention</t>
  </si>
  <si>
    <t>Saturday, 4-6 p.m.</t>
  </si>
  <si>
    <t>Digging Savannah Hike</t>
  </si>
  <si>
    <t>Archeology hike</t>
  </si>
  <si>
    <t>Sunday, 9 a.m.-12 p.m.</t>
  </si>
  <si>
    <t>Skidaway Narrows Clean Up</t>
  </si>
  <si>
    <t>Help clean the river</t>
  </si>
  <si>
    <t>Jr. Ranger Mini- Camp</t>
  </si>
  <si>
    <t>Monday, 1-3pm</t>
  </si>
  <si>
    <t>Royston Homeschoolers</t>
  </si>
  <si>
    <t>Owls of Georgia</t>
  </si>
  <si>
    <t>Mammal Track ID</t>
  </si>
  <si>
    <t>Saturday, 10am-1pm</t>
  </si>
  <si>
    <t>Your State Park Day- Canoe Races</t>
  </si>
  <si>
    <t>Canoes Races for various ages</t>
  </si>
  <si>
    <t>Saturday, 9am-3pm</t>
  </si>
  <si>
    <t>Lavonia Fall Festival</t>
  </si>
  <si>
    <t>Booth at Lavonia Fall Festival</t>
  </si>
  <si>
    <t>Went in with Victoria Bryant SP and was a great way to introduce our new Yurts and fun things to do at the park.</t>
  </si>
  <si>
    <t>Saturday, 8am-12pm</t>
  </si>
  <si>
    <t>Tugaloo Triathlon</t>
  </si>
  <si>
    <t>Triathlon</t>
  </si>
  <si>
    <t>Thursday 4:00 p.m.</t>
  </si>
  <si>
    <t>Smithgall Woods 101</t>
  </si>
  <si>
    <t>Visitors learn about Smithgall Woods and its history</t>
  </si>
  <si>
    <t>Monday September 14</t>
  </si>
  <si>
    <t>Advanced classes for those who have participated in the previous master naturalist programs</t>
  </si>
  <si>
    <t>Friday, September 6</t>
  </si>
  <si>
    <t>Learn about how to become Friends of Smithgall</t>
  </si>
  <si>
    <t>First Saturday of the month</t>
  </si>
  <si>
    <t>Saturday 9:00 a.m.</t>
  </si>
  <si>
    <t>Youth get to try their hand at fishing at Buck Shoals</t>
  </si>
  <si>
    <t>Tour and history of Hardman Farm</t>
  </si>
  <si>
    <t>Saturday, September 14 9:00 a.m. -5:00 p..</t>
  </si>
  <si>
    <t>Women for the Woods</t>
  </si>
  <si>
    <t>Women of all ages particpate in outdoor activities such as archery, canoeing, firearms, etc</t>
  </si>
  <si>
    <t>Saturday, September 28 9:00 a.m.</t>
  </si>
  <si>
    <t>Volunteers participated on invasive plant removal on trails</t>
  </si>
  <si>
    <t>thursday, 1pm-2:30pm</t>
  </si>
  <si>
    <t>Lake paddle</t>
  </si>
  <si>
    <t>FRiday, 6:30pm-8:00pm</t>
  </si>
  <si>
    <t>ranger-led lake evening lake paddle</t>
  </si>
  <si>
    <t>sat 1-3pm</t>
  </si>
  <si>
    <t>bsa trp 2</t>
  </si>
  <si>
    <t>hist/demo</t>
  </si>
  <si>
    <t>sat 10-12am</t>
  </si>
  <si>
    <t>bsa trp 215</t>
  </si>
  <si>
    <t>tue</t>
  </si>
  <si>
    <t>1st presby schl</t>
  </si>
  <si>
    <t>hist/tour/demo</t>
  </si>
  <si>
    <t>wed 10-12</t>
  </si>
  <si>
    <t>pulaski ele schl</t>
  </si>
  <si>
    <t>thur 1-3</t>
  </si>
  <si>
    <t>us army</t>
  </si>
  <si>
    <t>fri 11-1am&amp;pm</t>
  </si>
  <si>
    <t>walton ele schl</t>
  </si>
  <si>
    <t>Saturday, 6:30pm-8:00pm</t>
  </si>
  <si>
    <t>sat 9-3 am&amp;pm</t>
  </si>
  <si>
    <t>Parks day</t>
  </si>
  <si>
    <t>park clean up/repair</t>
  </si>
  <si>
    <t>tue-sat1-4pm</t>
  </si>
  <si>
    <t>saturday, 11am-1pm</t>
  </si>
  <si>
    <t>Sweeetwater creek Paddle</t>
  </si>
  <si>
    <t>ranger-led paddle on Sweetwater creek and history tour to mill</t>
  </si>
  <si>
    <t>instructor-led yoga class on the yellow trail bridge</t>
  </si>
  <si>
    <t>friday, 9:00am-10:30am</t>
  </si>
  <si>
    <t>Promise Christian Academy/Mill and Rapinds nature/history hike</t>
  </si>
  <si>
    <t>school group nature and history hike to the mill and creek rapids</t>
  </si>
  <si>
    <t>saturday, 3pm-6pm</t>
  </si>
  <si>
    <t>Douglasville Seventh Day Adventist Church/lake kayak</t>
  </si>
  <si>
    <t>Saturday, 3-4 p.m.</t>
  </si>
  <si>
    <t>Wiffle Ball Game</t>
  </si>
  <si>
    <t>Staff led wiffle ball game</t>
  </si>
  <si>
    <t>Farm Games</t>
  </si>
  <si>
    <t>obstacle course and games</t>
  </si>
  <si>
    <t>Kids Water games</t>
  </si>
  <si>
    <t>Kids invited to play water games in campground</t>
  </si>
  <si>
    <t>Saturday, 6-7 p.m.</t>
  </si>
  <si>
    <t>Spaghetti Dinner</t>
  </si>
  <si>
    <t>Campers Dinner for park campers</t>
  </si>
  <si>
    <t>cost of program covered by Friends Group</t>
  </si>
  <si>
    <t>Intro to Geocaching</t>
  </si>
  <si>
    <t>Introduction to geocaching on state parks</t>
  </si>
  <si>
    <t>Friday, 7:30 - 8:30 p.m.</t>
  </si>
  <si>
    <t>Campers Ice Cream Social</t>
  </si>
  <si>
    <t>saturday, 6:30pm-8:00pm</t>
  </si>
  <si>
    <t>ranger-led evening paddle on the lake</t>
  </si>
  <si>
    <t>historian-led tour to the New Manchester Mill</t>
  </si>
  <si>
    <t>ranger-led lake paddle and up beaver creek</t>
  </si>
  <si>
    <t>Wednesday, 6:30pm-8:00pm</t>
  </si>
  <si>
    <t>staff-led lake paddle</t>
  </si>
  <si>
    <t>ranger-led evening lake paddle and up beaver creek</t>
  </si>
  <si>
    <t>friday, 6:30pm-8:00pm</t>
  </si>
  <si>
    <t>sunday, 10:30am-12pm</t>
  </si>
  <si>
    <t>women's kayaking</t>
  </si>
  <si>
    <t>women-led kayak lake paddle for women</t>
  </si>
  <si>
    <t>sunday 2pm-3:30pm</t>
  </si>
  <si>
    <t>Sunday10-4</t>
  </si>
  <si>
    <t>holiday gorge floor hike</t>
  </si>
  <si>
    <t>Holiday Gorge floor Hike</t>
  </si>
  <si>
    <t>Wednesday, 10am-12pm</t>
  </si>
  <si>
    <t>Homeschool Wednesday</t>
  </si>
  <si>
    <t>talk and hike for Homeschoolers</t>
  </si>
  <si>
    <t>Thursday 6 p.m.</t>
  </si>
  <si>
    <t>Hunter Eduction</t>
  </si>
  <si>
    <t>Hunters educated about hunting</t>
  </si>
  <si>
    <t>Tuesday 10-12</t>
  </si>
  <si>
    <t>Home School Group</t>
  </si>
  <si>
    <t>Shelter Building, Fire Building, Wilderness survival</t>
  </si>
  <si>
    <t>Thursday 7-9</t>
  </si>
  <si>
    <t>Full Moon Supension Bridge Hike</t>
  </si>
  <si>
    <t>Friday 8-10</t>
  </si>
  <si>
    <t>Full moon Supension Bridge Hike</t>
  </si>
  <si>
    <t>Friday 1-6pm</t>
  </si>
  <si>
    <t>Catfish Rodeo</t>
  </si>
  <si>
    <t>Sponsored fishing event for opening catch and keep season. Also offered fishing lessons for first timers.</t>
  </si>
  <si>
    <t>Saturday 9-6</t>
  </si>
  <si>
    <t>Hemlock Help Workshop</t>
  </si>
  <si>
    <t>Hemlock Help workshop offered by the Save Georgia's Hemlocks group and hosted by the park.</t>
  </si>
  <si>
    <t>Donna has expressed interest in hosting another workshop at the park in the spring.</t>
  </si>
  <si>
    <t>Friday 9-12</t>
  </si>
  <si>
    <t>Mountain View intermediate</t>
  </si>
  <si>
    <t>Ecosystems and food chain, Tallulah Detective, Hike to overlooks</t>
  </si>
  <si>
    <t>Saturday 8-10</t>
  </si>
  <si>
    <t>Scout Troop: Compass Course and Adventure Race course</t>
  </si>
  <si>
    <t>Compass course instruction and navigation of basic compass course and Adventure Race course.</t>
  </si>
  <si>
    <t>Monday 9-11</t>
  </si>
  <si>
    <t>North Hart</t>
  </si>
  <si>
    <t>Geology, Hike to overlooks, Tallulah Detective</t>
  </si>
  <si>
    <t>Saturday 1-4</t>
  </si>
  <si>
    <t>Hemlock Help Facilitators Training</t>
  </si>
  <si>
    <t>Hemlock Help sponsored workshop to teach people how to apply treatment to trees.</t>
  </si>
  <si>
    <t>Hike to Cherokee Falls talk about geology and unique features of the park.</t>
  </si>
  <si>
    <t>Tuesday 1-5 p.m.</t>
  </si>
  <si>
    <t>Bishop Hall Charter School</t>
  </si>
  <si>
    <t>Gorge Floor Hike</t>
  </si>
  <si>
    <t>Sunday 11-12</t>
  </si>
  <si>
    <t>Shorter hike that highlights the overlooks of the canyon.</t>
  </si>
  <si>
    <t>Sweetwater Creek paddle</t>
  </si>
  <si>
    <t>ranger-led creek padddle and history tour to mill</t>
  </si>
  <si>
    <t>Sunday 2-3</t>
  </si>
  <si>
    <t>The Lost Art of Land Navigation</t>
  </si>
  <si>
    <t>Compass course instruction and navigation of basic compass course.</t>
  </si>
  <si>
    <t>Sunday 4</t>
  </si>
  <si>
    <t>Snake Feeding</t>
  </si>
  <si>
    <t>Talk about the unique adaptations of snakes (and other reptiles) and feed the corn snake and snapping turtle.</t>
  </si>
  <si>
    <t>saturday, 6:30-8PM</t>
  </si>
  <si>
    <t>ranger-led evening paddle on lake and up Beaver Creek</t>
  </si>
  <si>
    <t>Friday 9:30- 2</t>
  </si>
  <si>
    <t>Dade Middle School 8th Grade</t>
  </si>
  <si>
    <t>Orienteering, Waterfall hike and projects for symbolic migration of monarch butterflys</t>
  </si>
  <si>
    <t>Friday 11-2</t>
  </si>
  <si>
    <t>Red Cross Disaster Relief</t>
  </si>
  <si>
    <t>what to do in case of a disaster</t>
  </si>
  <si>
    <t>Saturday 11-12</t>
  </si>
  <si>
    <t>Saturday 2-3</t>
  </si>
  <si>
    <t>Saturday 4-6</t>
  </si>
  <si>
    <t>Go Fish!</t>
  </si>
  <si>
    <t>Fishing at the pond. Lesson offered for anyone interested.</t>
  </si>
  <si>
    <t>Talk about the unique adaptations of snakes (and other reptiles) and feed the corn snake.</t>
  </si>
  <si>
    <t>Sunday 4:30</t>
  </si>
  <si>
    <t>Snapping Turtle Feeding</t>
  </si>
  <si>
    <t>Feed the snapping turtle and talk about what makes them so unique.</t>
  </si>
  <si>
    <t>Wed 10-2</t>
  </si>
  <si>
    <t>Georgia K-12 Cyber School</t>
  </si>
  <si>
    <t>Monarch migration activities and water fall hike to Cherokee Falls covering the plateau region and erosion forces.</t>
  </si>
  <si>
    <t>Parking fee is an estimate. Some parents has seasonal passes.</t>
  </si>
  <si>
    <t>Your State Park Day</t>
  </si>
  <si>
    <t>Free admission to park all day. Free activities including rappelling, fishing, hayrides, crafts, black smith, disc golf, backpacking intro, trail run, mountain bike ride, etc.</t>
  </si>
  <si>
    <t>Hosted by the Friends.</t>
  </si>
  <si>
    <t>Wed 5-9</t>
  </si>
  <si>
    <t>Mountain Discovery Charter School 5th Grade</t>
  </si>
  <si>
    <t>5th grade students from charter school hike to waterfall talk about rock types and erosion. Broke open shale rock collected from park to look for fossils.</t>
  </si>
  <si>
    <t>Group Lodge rental</t>
  </si>
  <si>
    <t>Sunday 1-2</t>
  </si>
  <si>
    <t>Sunday, 1:00-2:00 PM</t>
  </si>
  <si>
    <t>Sunday, 7:00-8:00 PM</t>
  </si>
  <si>
    <t>It's a Hoot</t>
  </si>
  <si>
    <t>sensory &amp; owl prowl</t>
  </si>
  <si>
    <t>Wednesday, 9:30-11:30 AM</t>
  </si>
  <si>
    <t>nature journals</t>
  </si>
  <si>
    <t>Fundana</t>
  </si>
  <si>
    <t>bugs</t>
  </si>
  <si>
    <t>Saturday, 8:00-10:00 PM</t>
  </si>
  <si>
    <t>Nighttime Skywatch</t>
  </si>
  <si>
    <t>dark sky</t>
  </si>
  <si>
    <t>Saturday, 2:00-3:00 PM</t>
  </si>
  <si>
    <t>Live Feeding</t>
  </si>
  <si>
    <t>Thursday, 10:00-11:00 AM</t>
  </si>
  <si>
    <t>Childtime Daycare</t>
  </si>
  <si>
    <t>winter</t>
  </si>
  <si>
    <t>Tree Cookies</t>
  </si>
  <si>
    <t>Saturday, 11:00 AM - 2:00 PM</t>
  </si>
  <si>
    <t>Kingsbay Navy Base - Day for Kids</t>
  </si>
  <si>
    <t>Live Animals</t>
  </si>
  <si>
    <t>Saturday, 9:00-11:00 AM</t>
  </si>
  <si>
    <t>Park Beautification Program - Save our Parks Day</t>
  </si>
  <si>
    <t>Daily: 10am &amp; 2pm</t>
  </si>
  <si>
    <t>Boat Tour through the Okefenokee</t>
  </si>
  <si>
    <t>9/6/13: 7 p.m.</t>
  </si>
  <si>
    <t>Showed a movie at the Suwannee River Visitor Center</t>
  </si>
  <si>
    <t>9/22/13: 6 pm</t>
  </si>
  <si>
    <t>Twilight Canoe Tour</t>
  </si>
  <si>
    <t>Took a sunset paddle out on Billy's Lake.</t>
  </si>
  <si>
    <t>Tuesday, 3:30-5:30 pm</t>
  </si>
  <si>
    <t>Dog walking on nature trail</t>
  </si>
  <si>
    <t>Saturday, 8-1</t>
  </si>
  <si>
    <t>Friends of Laura S. Walker Golf Tournament</t>
  </si>
  <si>
    <t>scramble golf tournament for foursome's</t>
  </si>
  <si>
    <t>We needed more foursome's to sign up in advance. More advertisement is needed next year.</t>
  </si>
  <si>
    <t>Saturday, 9-12</t>
  </si>
  <si>
    <t>Your State Parks Day Volunteer Work Day</t>
  </si>
  <si>
    <t>Volunteers help clean-up brush at park entrance and pull weeds in the flower beds</t>
  </si>
  <si>
    <t>Target church youth groups again next year if we host another volunteer clean-up day again.</t>
  </si>
  <si>
    <t>Colonial Life Area</t>
  </si>
  <si>
    <t>Costumed Interpreters give demonstrations of early trades, crafts, and daily life in Colonial times.</t>
  </si>
  <si>
    <t>Weds 11th@2:45pm</t>
  </si>
  <si>
    <t>Ann Tatum Group</t>
  </si>
  <si>
    <t>Costumed Interpreters lead school groups around the museum, on a walk to the tabby ruins, along the marsh edge, to the Colonial life area where they demonstrate early trades, crafts, and daily life in Colonial times. A Game of Cricket is played upon the schools request.</t>
  </si>
  <si>
    <t>Tues-Sun@10,11,2,3</t>
  </si>
  <si>
    <t>Costumed Interpreters lead visitors on an interpretive walk to the tabby ruins, family gravesite,along the marsh edge,and to the Colonial Life area where they explain early colonial life.</t>
  </si>
  <si>
    <t>Golf Cart Tour</t>
  </si>
  <si>
    <t>Interpreters lead visitors who have requested a golf cart on an interpretive drive to the tabby ruins, family grave site, along the marsh edge,and to the colonial life area where they explain early colonial life through the blacksmiths shop, wattle and daub house, garden, and various projects.</t>
  </si>
  <si>
    <t>Sunday 1st, 1-4pm</t>
  </si>
  <si>
    <t>Tools and Skills</t>
  </si>
  <si>
    <t>Educating the public on the tools and trades that built a colony using costumed interpretive rangers, tradesmen, and volunteers.</t>
  </si>
  <si>
    <t>Monday</t>
  </si>
  <si>
    <t>Soldier Talk, Musket Demo, Cannon Demo, Toys n games</t>
  </si>
  <si>
    <t>Community Showcase on Fr. Stewart</t>
  </si>
  <si>
    <t>Promotion of Site, and its Program</t>
  </si>
  <si>
    <t>other revenue from annual park passes</t>
  </si>
  <si>
    <t>Invasive Species Removal</t>
  </si>
  <si>
    <t>Archery Touranment</t>
  </si>
  <si>
    <t>September 2013 Programs in Georgia State Parks &amp; Historic Sites -  38 sites offered programs this month</t>
  </si>
  <si>
    <t>Rock Eagle</t>
  </si>
  <si>
    <t>Intro to Video and Museum</t>
  </si>
  <si>
    <t>video, museum, for Month of September</t>
  </si>
  <si>
    <t>Increase in volunteers from approx. 50 last year to 183 this year. Planted over 300 native plants in a field.</t>
  </si>
  <si>
    <t>Monday 10-4</t>
  </si>
  <si>
    <t xml:space="preserve"> Intro to Video and Museum</t>
  </si>
  <si>
    <t>Program Presenter</t>
  </si>
  <si>
    <t>Atlanta Audubon Bird Walk</t>
  </si>
  <si>
    <t>Wednesday, 10-12 noon</t>
  </si>
  <si>
    <t>Saturday 2-6</t>
  </si>
  <si>
    <t>Land Navigation</t>
  </si>
  <si>
    <t>Lunch with Sally and Bowser</t>
  </si>
  <si>
    <t>Saturday 10-4</t>
  </si>
  <si>
    <t>Constellations by Carriage</t>
  </si>
  <si>
    <t>Volunteer</t>
  </si>
  <si>
    <t>Tuesday, 9:30-11:45 am</t>
  </si>
  <si>
    <t>Self-guided tour, tools and weapons program, and Film</t>
  </si>
  <si>
    <t>Haunted Hayride</t>
  </si>
  <si>
    <t>Thursday, 10-12</t>
  </si>
  <si>
    <t>Nature Hut was open to campers.</t>
  </si>
  <si>
    <t>Royston Fall Festival</t>
  </si>
  <si>
    <t>Greeted folks at the festival and handed out park literature.</t>
  </si>
  <si>
    <t>Tuesday, 10am-12pm</t>
  </si>
  <si>
    <t>Homeschool Tuesday's</t>
  </si>
  <si>
    <t>Snake ID, anatomy,and feeding for homeschooled kids.</t>
  </si>
  <si>
    <t>Saturday, 7-9pm</t>
  </si>
  <si>
    <t>Havest Happenings</t>
  </si>
  <si>
    <t>Story Time and Hay Ride</t>
  </si>
  <si>
    <t>Family Fishing</t>
  </si>
  <si>
    <t>Sunday</t>
  </si>
  <si>
    <t>Friday 7-9 p.m.</t>
  </si>
  <si>
    <t>Sat 9-10AM</t>
  </si>
  <si>
    <t>Friday 10-12 pm</t>
  </si>
  <si>
    <t>Colonial demonstrations by costumed interpretters</t>
  </si>
  <si>
    <t>Soon we will be fully staffed allowing for colonial life demonstrations on a more regular basis (close to every day).</t>
  </si>
  <si>
    <t>Thursday 12th, 1:30 PM</t>
  </si>
  <si>
    <t>Fall Road Scholars</t>
  </si>
  <si>
    <t>Tour of museum and tabby ruins</t>
  </si>
  <si>
    <t>Friday, 13th 9:30 AM</t>
  </si>
  <si>
    <t>The Travel Store</t>
  </si>
  <si>
    <t>Tabby ruins tour and Colonial Life Demonstration</t>
  </si>
  <si>
    <t>School group - we are really good at these :)
Need blackpowder certification!</t>
  </si>
  <si>
    <t>Saturday, 14th 10AM</t>
  </si>
  <si>
    <t>Tales of the South</t>
  </si>
  <si>
    <t>Tabby ruins tour and colonial life demonstration</t>
  </si>
  <si>
    <t>Need blackpowder certification!</t>
  </si>
  <si>
    <t>Wednesday 18th, 10 AM</t>
  </si>
  <si>
    <t>Coastal Middle School</t>
  </si>
  <si>
    <t>Tabby ruins tour, colonial life demonstration</t>
  </si>
  <si>
    <t>Thursday 19th, 10 AM</t>
  </si>
  <si>
    <t>Davis Middle School</t>
  </si>
  <si>
    <t>Tuesday-Sunday 10 AM - 4 PM</t>
  </si>
  <si>
    <t>Guided tour of site</t>
  </si>
  <si>
    <t>Tour to ruins, marsh, and colonial life area</t>
  </si>
  <si>
    <t>Tours remain very popular!</t>
  </si>
  <si>
    <t>Tuesday-Sunday 9-5</t>
  </si>
  <si>
    <t>Golf Cart Tours</t>
  </si>
  <si>
    <t>Tour on golf cart</t>
  </si>
  <si>
    <t>People love the golf cart tours.  If attendance continues to increase we will require an additional cart.</t>
  </si>
  <si>
    <t>students learn about the adaptations of animals</t>
  </si>
  <si>
    <t>students learn about snakes</t>
  </si>
  <si>
    <t>students learn about adaptations of animals</t>
  </si>
  <si>
    <t>Wednesday 9:00 a.m.</t>
  </si>
  <si>
    <t>Thursday 10:00</t>
  </si>
  <si>
    <t>Reptiles and Amphibians</t>
  </si>
  <si>
    <t>October 19, 12:00-8:00</t>
  </si>
  <si>
    <t>Fall Hoedown</t>
  </si>
  <si>
    <t>Fall Hoedown dancing, hayrides, storytelling, bonfires, volunteer food sales, &amp; cakewalk</t>
  </si>
  <si>
    <t>Fri &amp; Sat 7-11PM</t>
  </si>
  <si>
    <t>haunted walk and hayride at stables</t>
  </si>
  <si>
    <t>Friday, 7:00pm-8:30pm</t>
  </si>
  <si>
    <t>Saturday, 6:00pm-7:30pm</t>
  </si>
  <si>
    <t>Sunday, 11:00am-12:30pm</t>
  </si>
  <si>
    <t>Hayride and S'mores</t>
  </si>
  <si>
    <t>Historic New Manchester Mill Hike</t>
  </si>
  <si>
    <t>ranger led evening lake paddle</t>
  </si>
  <si>
    <t>Saturday, 10am-12:00pm</t>
  </si>
  <si>
    <t>Chattahoochee Riverkeeper/ history &amp; nature hike to mill</t>
  </si>
  <si>
    <t>ranger led nature and history hike to New Manchester mill</t>
  </si>
  <si>
    <t>Fall Foliage Lake Paddle</t>
  </si>
  <si>
    <t>ranger led lake paddle</t>
  </si>
  <si>
    <t>hiked to the supension bridge under a full moon</t>
  </si>
  <si>
    <t>Sat5urday 7:30-9:30 pm</t>
  </si>
  <si>
    <t>Full moon Suspension Bridge Hike</t>
  </si>
  <si>
    <t>Hiked to Supension bridge under a full moon</t>
  </si>
  <si>
    <t>Hiked to suspension bridge under a full moon</t>
  </si>
  <si>
    <t>Monday 11-12</t>
  </si>
  <si>
    <t>Intro to park</t>
  </si>
  <si>
    <t>gave a quick tour of the interpretive center</t>
  </si>
  <si>
    <t>Sunday 11-4</t>
  </si>
  <si>
    <t>Boy Scout Gorge Floor Hike</t>
  </si>
  <si>
    <t>Hiked boy scouts to gorge floor hike</t>
  </si>
  <si>
    <t>Learning Tree Academy</t>
  </si>
  <si>
    <t>set up Tallulah Detective and hike for them</t>
  </si>
  <si>
    <t>Monday 9:30-1</t>
  </si>
  <si>
    <t>Commerce Middle Scholl</t>
  </si>
  <si>
    <t>Snake program Tallulah Detective and hike</t>
  </si>
  <si>
    <t>Tuesday 9-12</t>
  </si>
  <si>
    <t>Tadmore Elemantary</t>
  </si>
  <si>
    <t>Tallulah detective and Hike</t>
  </si>
  <si>
    <t>Friday 9:30-12</t>
  </si>
  <si>
    <t>Ebanzer Elemantary</t>
  </si>
  <si>
    <t>Tallulah Detective and Hike</t>
  </si>
  <si>
    <t>Tuesday Wednesday 6-10</t>
  </si>
  <si>
    <t>Hunter education</t>
  </si>
  <si>
    <t>Hunter educatin class</t>
  </si>
  <si>
    <t>Thursday 6-8</t>
  </si>
  <si>
    <t>Hunter Education</t>
  </si>
  <si>
    <t>gave test for hunter education</t>
  </si>
  <si>
    <t>Friday, 10am-12pm</t>
  </si>
  <si>
    <t>Kendred Elementary/ nature and history hike to mill</t>
  </si>
  <si>
    <t>nature and history hike to mill and green building tour</t>
  </si>
  <si>
    <t>Fall Craft</t>
  </si>
  <si>
    <t>Saturday, 1:00 p.m. - 2:00 p.m.</t>
  </si>
  <si>
    <t>ranger-led hayride to Jack's Hill and bonfire with S'mores</t>
  </si>
  <si>
    <t>Women's Kayak</t>
  </si>
  <si>
    <t>Lake kayak for women</t>
  </si>
  <si>
    <t>Wednesday, 10:00am-12:00pm</t>
  </si>
  <si>
    <t>Home School Wednesdays</t>
  </si>
  <si>
    <t>History/naturehike to mill for homeschoolers</t>
  </si>
  <si>
    <t>Sweetwater creek by Kayak</t>
  </si>
  <si>
    <t>ranger-led creek kayak and hike to New Manchester Mill</t>
  </si>
  <si>
    <t>Historic New Manchester Hike</t>
  </si>
  <si>
    <t>history hike to and inside New Manchester Mill</t>
  </si>
  <si>
    <t>ft hist</t>
  </si>
  <si>
    <t>All staff</t>
  </si>
  <si>
    <t>Wednesday, 9am-2pm</t>
  </si>
  <si>
    <t>Manager</t>
  </si>
  <si>
    <t>Assistant Manager</t>
  </si>
  <si>
    <t>October 2013 Programs in Georgia State Parks &amp; Historic Sites -  39 sites offered programs this month</t>
  </si>
  <si>
    <t>Thursday 10/17  2:00</t>
  </si>
  <si>
    <t>Life Enrichment/ Fall</t>
  </si>
  <si>
    <t>Nature hIke &amp; fall craft</t>
  </si>
  <si>
    <t>Monday, 10 am-12 pm</t>
  </si>
  <si>
    <t>Weber School/Volunteer Project</t>
  </si>
  <si>
    <t>46 Sophomores built benches, sign posts, and installed a garden terrace</t>
  </si>
  <si>
    <t>South Columbia Ele./ Circle of Life</t>
  </si>
  <si>
    <t>Nature hike, nature center visit, share mounts, puppets, &amp; furs, life cycle craft.  Focus Life Cycles</t>
  </si>
  <si>
    <t>3 volunteers &amp; 2 staff members</t>
  </si>
  <si>
    <t>Life Enrichment Center/Fishing</t>
  </si>
  <si>
    <t>Fishing</t>
  </si>
  <si>
    <t>Wednesday, 9:30-11:45</t>
  </si>
  <si>
    <t>Lewsiton Ele/ Circle of Life</t>
  </si>
  <si>
    <t>Nature hike, share mounts and puppets, nature center visit, nature craft &amp; plant craft- focus Life cycles of Plants &amp; Animals</t>
  </si>
  <si>
    <t>2 staff members
2 volunteers</t>
  </si>
  <si>
    <t>Martinez Ele.Kindergarten/ Nature Sense</t>
  </si>
  <si>
    <t>Scavenger hunt, nature hike, share furs &amp; puppets, nature senter visit and rock hunt/  Focus similarities &amp; Differences</t>
  </si>
  <si>
    <t>2 staff members 
4 volunteers</t>
  </si>
  <si>
    <t>Friday 9:30</t>
  </si>
  <si>
    <t>Renfro Middle School</t>
  </si>
  <si>
    <t>Friday 11:00 am</t>
  </si>
  <si>
    <t>Pointe South Middle</t>
  </si>
  <si>
    <t>Wednesday 10:00am</t>
  </si>
  <si>
    <t>Atlanta Speech School</t>
  </si>
  <si>
    <t>Thursday 9:30</t>
  </si>
  <si>
    <t>Pace Academy</t>
  </si>
  <si>
    <t>This group prepaid. Children not allowed to make purchases.</t>
  </si>
  <si>
    <t>Thursday 1:30pm</t>
  </si>
  <si>
    <t>Murray County Home School</t>
  </si>
  <si>
    <t>Friends passes were used to pay for many in the group.</t>
  </si>
  <si>
    <t>Saturday 7-9 p.m.</t>
  </si>
  <si>
    <t>Description of constellations by carriage.</t>
  </si>
  <si>
    <t>Friday, 10-11 am</t>
  </si>
  <si>
    <t>Wheeler Pine Pre-K/ Night &amp; Day Animals</t>
  </si>
  <si>
    <t>Shared puppets &amp; furs focus; focus day &amp; night animals</t>
  </si>
  <si>
    <t>Saturday/ 10-12</t>
  </si>
  <si>
    <t>Dulcimer Music</t>
  </si>
  <si>
    <t>Garden strummers played dulcimer music for the public</t>
  </si>
  <si>
    <t>provided by friends</t>
  </si>
  <si>
    <t>Saturday, 2 - 8 pm</t>
  </si>
  <si>
    <t>Iron Pour</t>
  </si>
  <si>
    <t>Visitors can etch designs into molds and then watch them be filled with molten iron</t>
  </si>
  <si>
    <t>Scratch block sale policy needs to be more clearly defined to make it as fair as possible. This year there were several large groups of people purchasing 15-20 at a time and we sold out in nine minutes (a new record!).</t>
  </si>
  <si>
    <t>Thursday, 7-8 pm</t>
  </si>
  <si>
    <t>Bartow Ancestors/Radio Program</t>
  </si>
  <si>
    <t>Went on Bartow Ancestors radio show to promote special events and discuss the park's history</t>
  </si>
  <si>
    <t>Great resource for promoting events and learning/sharing about the park's history.</t>
  </si>
  <si>
    <t>Sat 1-4:30 pm</t>
  </si>
  <si>
    <t>Ken Burns/PBS/Roosevelt Reunion</t>
  </si>
  <si>
    <t>PBS and Ken Burns visit the Roosevelt Family Reunion</t>
  </si>
  <si>
    <t>Cost of chef and catered dinner for the Roosevelt families of Theodore, FDR and Eleanor - along with PBS, GPB Ken Burns and staff of Florentine Films, was paid for by Friends of LWH. We had a raffel for a framed set of silver Roosevelt dimes as well as a silent auction for some paintings donated to the site through a former college intern. This was to raise money for the Friends group.</t>
  </si>
  <si>
    <t>Life Enrichment/ Celebrate Veterans Day</t>
  </si>
  <si>
    <t>Patriotic Craft</t>
  </si>
  <si>
    <t>Tuesday, 9:45-11:45</t>
  </si>
  <si>
    <t>Lewiston Elementary/ Circle of Life</t>
  </si>
  <si>
    <t>nature hike, nature center visit, share puppets &amp; mounts,  create life cycle wheel/  Focus Life cycles</t>
  </si>
  <si>
    <t>2 staff
7 volunteers/ 5 in training</t>
  </si>
  <si>
    <t>Gideon Elem.</t>
  </si>
  <si>
    <t>Interpretive Ranger</t>
  </si>
  <si>
    <t>Friday 10:00am</t>
  </si>
  <si>
    <t>GA connections Acad.</t>
  </si>
  <si>
    <t>Friday 1pm</t>
  </si>
  <si>
    <t>Georgia Perimeter College</t>
  </si>
  <si>
    <t>The Homeschool Group</t>
  </si>
  <si>
    <t>Wednesday 12:30pm</t>
  </si>
  <si>
    <t>Chatahoochee Tech.</t>
  </si>
  <si>
    <t>Martinez Ele/ Birds of Prey</t>
  </si>
  <si>
    <t>nature hike, disect owl pellets, scavenger hunt</t>
  </si>
  <si>
    <t>clerk, seasonal naturalist &amp; volunteers</t>
  </si>
  <si>
    <t>4 volunteers in  training</t>
  </si>
  <si>
    <t>Saturday 10 a.m. - 1:30 p.m.</t>
  </si>
  <si>
    <t>Fall Color Hike</t>
  </si>
  <si>
    <t>Hike on the horse trails enjoying the fall color.</t>
  </si>
  <si>
    <t>Part-time Interpretive Staff</t>
  </si>
  <si>
    <t>Hike went very well, with many compliments from patrons.</t>
  </si>
  <si>
    <t>Wednesday, 10 - 12 noon</t>
  </si>
  <si>
    <t>Life Enrichment Ctr/movie day</t>
  </si>
  <si>
    <t>Movie</t>
  </si>
  <si>
    <t>Thursday, 9:30-12</t>
  </si>
  <si>
    <t>Martinez Elemtary/ Birds of Prey</t>
  </si>
  <si>
    <t>clerk, seasonal naturalist and volunteers</t>
  </si>
  <si>
    <t>7 volunteers in training</t>
  </si>
  <si>
    <t>Bright Eyes Pre-K</t>
  </si>
  <si>
    <t>Film, museum tour, &amp; Tools and Weapons</t>
  </si>
  <si>
    <t>Thursday 10:00 am</t>
  </si>
  <si>
    <t>Mnt. Paran Christian School</t>
  </si>
  <si>
    <t>Saturday 10AM-12PM</t>
  </si>
  <si>
    <t>Girl Scout Geocache</t>
  </si>
  <si>
    <t>Hiking and Geocaching program</t>
  </si>
  <si>
    <t>Scouts cleaned beach area</t>
  </si>
  <si>
    <t>Friday 10:30 AM</t>
  </si>
  <si>
    <t>Montessori School of Rome</t>
  </si>
  <si>
    <t>Rain cut the tour short.</t>
  </si>
  <si>
    <t>Friday, 9:30-12</t>
  </si>
  <si>
    <t>John Hancock Academy/ Pioneer &amp; Indians</t>
  </si>
  <si>
    <t>History of thinsgiving, corn husk dolls. butter making, corn/maize craft and Pioneer &amp; Indian games</t>
  </si>
  <si>
    <t>Clerk, Part-time Interpretive Staff</t>
  </si>
  <si>
    <t>Friday, 3pm</t>
  </si>
  <si>
    <t>D.A.R.</t>
  </si>
  <si>
    <t>DAR Reception &amp; Tea</t>
  </si>
  <si>
    <t>The local chapter of the DAR held a graveside service at a nearby cemetery and we allowed them to have a reception &amp; tea at the museum afterward.  They provided their own refreshments so there was no cost to the site.  Afterward they gave us a $50 donation for the Friends group.</t>
  </si>
  <si>
    <t>Friday, 9:30am</t>
  </si>
  <si>
    <t>Antioch Elem.</t>
  </si>
  <si>
    <t>Friday, 8:30am</t>
  </si>
  <si>
    <t>Dawnville Elem.</t>
  </si>
  <si>
    <t>Saturday, 10 - 11 am</t>
  </si>
  <si>
    <t>Kennesaw Charter Science &amp; Math/Animal Encounter</t>
  </si>
  <si>
    <t>Live animal program with snakes and turtles</t>
  </si>
  <si>
    <t>Full Moon Carriage Ride</t>
  </si>
  <si>
    <t>Carriage ride during a full moon.</t>
  </si>
  <si>
    <t>Resource Manager</t>
  </si>
  <si>
    <t>The weather was rainy and cloudy, but we still had a decent amount of people.  If the sky had been clear, more people would have come.</t>
  </si>
  <si>
    <t>Geocaching for Girl Scouts</t>
  </si>
  <si>
    <t>Saturday 3PM</t>
  </si>
  <si>
    <t>Thurs 11-1 pm</t>
  </si>
  <si>
    <t>Odyssey School Tours</t>
  </si>
  <si>
    <t>Interpretive Ranger and Part TIme Interpretive Staff</t>
  </si>
  <si>
    <t>Sunday 10-12 pm</t>
  </si>
  <si>
    <t>Philadelphia Baptist /History Tour</t>
  </si>
  <si>
    <t>Friday 2:30-4:30</t>
  </si>
  <si>
    <t>Crestwood Christian Acad/History Tours</t>
  </si>
  <si>
    <t>Home School Group/History Tours</t>
  </si>
  <si>
    <t>Sat 10-12 pm</t>
  </si>
  <si>
    <t>Carrollton BOE/History Tour</t>
  </si>
  <si>
    <t>Saturday, 5:30-8 pm</t>
  </si>
  <si>
    <t>Meteors and More</t>
  </si>
  <si>
    <t>Indoor astronomy presentation followed by outdoor night sky viewing</t>
  </si>
  <si>
    <t>Program usually has attendance over 100 but cloud cover kept numbers low this year.</t>
  </si>
  <si>
    <t>Friday10:30-12:30 pm</t>
  </si>
  <si>
    <t>Phenix City Board of Ed/History Tour</t>
  </si>
  <si>
    <t>Interpretive and Part Time staff</t>
  </si>
  <si>
    <t>Life Enrichment/ Indians</t>
  </si>
  <si>
    <t>Medicine Man/ Create a Medicine Bag &amp; Maize craft</t>
  </si>
  <si>
    <t>Wed 2:50-4 pm</t>
  </si>
  <si>
    <t>Connestation Tours/History Tour</t>
  </si>
  <si>
    <t>Interpretive Ranger and Part Time Staff</t>
  </si>
  <si>
    <t>Friday 9-12 pm</t>
  </si>
  <si>
    <t>Freemandd Middle Sch/History Tour</t>
  </si>
  <si>
    <t>Mtn DeSales Acad/History Tour</t>
  </si>
  <si>
    <t>Wednesday 9:15</t>
  </si>
  <si>
    <t>Gordon Co. Schools</t>
  </si>
  <si>
    <t>Teachers made it a point that the kids had time to shop for gifts.</t>
  </si>
  <si>
    <t>Life Enrichment Ctr/Nature walk</t>
  </si>
  <si>
    <t>Guided nature walk</t>
  </si>
  <si>
    <t>Friday, Aug 2 9:30 - 1PM</t>
  </si>
  <si>
    <t>Quitman Elementary</t>
  </si>
  <si>
    <t>Thursday 9:30 -1:30</t>
  </si>
  <si>
    <t>North Whitfield School</t>
  </si>
  <si>
    <t>Resource Manager/ Interpretive Ranger/ Clerk</t>
  </si>
  <si>
    <t>Wednesday 9am - 2pm</t>
  </si>
  <si>
    <t>ABAC Career Day</t>
  </si>
  <si>
    <t>Career day booth</t>
  </si>
  <si>
    <t>9am-2pm</t>
  </si>
  <si>
    <t>Brookwood Elem.</t>
  </si>
  <si>
    <t>Native American Day</t>
  </si>
  <si>
    <t>Using the Trail of Tears traveling trunk a Friends of the Vann House volunteer manned a station at Brookwood Elementary's (Whitfiled County) Native American Day.</t>
  </si>
  <si>
    <t>9am &amp; 12:30pm</t>
  </si>
  <si>
    <t>Coker Elementary</t>
  </si>
  <si>
    <t>Friday, 9:30am-1:30pm</t>
  </si>
  <si>
    <t>Seminole County 2nd Grade</t>
  </si>
  <si>
    <t>Nature Hike and Snake Feeding</t>
  </si>
  <si>
    <t>Manager, Assistant Manager, Intern</t>
  </si>
  <si>
    <t>This was our first large school group since coming to Seminole. We used this group as a guinea pig to test our plans and see what needed to change before the next group. For that reason, we did not charge. Will charge the next group.</t>
  </si>
  <si>
    <t>Saturday 9 AM -3 PM</t>
  </si>
  <si>
    <t>3rd Annual Sugar Cane Festival</t>
  </si>
  <si>
    <t>Festival with cane grinding, food and crafts vendors, music, civil war reenactors, tractors, helicopter &amp; Smokey Bear</t>
  </si>
  <si>
    <t>Entire park staff, (full-time and part time) plus campground hosts and Friends Group volunteers</t>
  </si>
  <si>
    <t>Snake Animal Encounter</t>
  </si>
  <si>
    <t>Live animal program w/ two of Georgia's native snakes</t>
  </si>
  <si>
    <t>Friday 2pm</t>
  </si>
  <si>
    <t>Morningside Assisted Living</t>
  </si>
  <si>
    <t>Saturday 8 - 11 a.m.</t>
  </si>
  <si>
    <t>Bird Walk to Grasslands</t>
  </si>
  <si>
    <t>40 spp of birds</t>
  </si>
  <si>
    <t>AAS bird Walk</t>
  </si>
  <si>
    <t>25 species of birds, but folks seemed to enjoy the morning.</t>
  </si>
  <si>
    <t>Tuesday, 9:30-2</t>
  </si>
  <si>
    <t>Pioneer &amp; Indians</t>
  </si>
  <si>
    <t>Pioneer &amp; Indian crafts, Indian sign language, butter making</t>
  </si>
  <si>
    <t>Cllerk</t>
  </si>
  <si>
    <t>Friday 2-4pm</t>
  </si>
  <si>
    <t>Wildlife Viewing Hike</t>
  </si>
  <si>
    <t>Hike to the Wildlife Viewing Tower to try to call turkey and deer.</t>
  </si>
  <si>
    <t>Saturday 9-5</t>
  </si>
  <si>
    <t>Mountain Arts and Crafts Celebration</t>
  </si>
  <si>
    <t>Arts and Crafts Festival organized by FOCCSP</t>
  </si>
  <si>
    <t>Friends of Cloudland Canyon</t>
  </si>
  <si>
    <t>Sunday 10-4</t>
  </si>
  <si>
    <t>Saturday 1-6</t>
  </si>
  <si>
    <t>Hope Rebirth Homeless Shelter</t>
  </si>
  <si>
    <t>Hayride and fishing fun day for children (and some adults) from shelter.</t>
  </si>
  <si>
    <t>Hayrides and Campfire</t>
  </si>
  <si>
    <t>Hayrides every hour from 2-6</t>
  </si>
  <si>
    <t>Saturday 10-12</t>
  </si>
  <si>
    <t>Girl Scout Troop</t>
  </si>
  <si>
    <t>Geocaching</t>
  </si>
  <si>
    <t>Saturday 1-1:30</t>
  </si>
  <si>
    <t>Corn Shuck Dolls</t>
  </si>
  <si>
    <t>Made dolls out of corn shucks.</t>
  </si>
  <si>
    <t>Corn Shuck Creations</t>
  </si>
  <si>
    <t>Made corn shuck figures.</t>
  </si>
  <si>
    <t>Cloudland Connector Trail Hike</t>
  </si>
  <si>
    <t>Hike on the newest part of the connector trail.</t>
  </si>
  <si>
    <t>Sunday 11-1</t>
  </si>
  <si>
    <t>Sunday 3-4</t>
  </si>
  <si>
    <t>Feed the snapping turtle and corn snake and talk about what makes them so unique.</t>
  </si>
  <si>
    <t>DECS Childcare</t>
  </si>
  <si>
    <t>Site tour, Museum tour, tools and weapons program, and Film</t>
  </si>
  <si>
    <t>Thursday 11:00</t>
  </si>
  <si>
    <t>Saturday 2:00 pm</t>
  </si>
  <si>
    <t>Museum intro</t>
  </si>
  <si>
    <t>brief introduction to the site and museum</t>
  </si>
  <si>
    <t>Clerk</t>
  </si>
  <si>
    <t>museum introduction</t>
  </si>
  <si>
    <t>Friday, 1-3 pm</t>
  </si>
  <si>
    <t>Viking Chess Yard Game</t>
  </si>
  <si>
    <t>Taught visitors how to play the yard game "Viking Chess"</t>
  </si>
  <si>
    <t>Talked with visitors about trails, Discovery Room, volunteer opportunities, etc</t>
  </si>
  <si>
    <t>thursday, noon</t>
  </si>
  <si>
    <t>trinity christian school</t>
  </si>
  <si>
    <t>film,museum,soldier talk,musket demo, toys n games</t>
  </si>
  <si>
    <t>manager and volunteer</t>
  </si>
  <si>
    <t>saturday, 10 am</t>
  </si>
  <si>
    <t>student work day</t>
  </si>
  <si>
    <t>work day</t>
  </si>
  <si>
    <t>manager and volunteers</t>
  </si>
  <si>
    <t>friday 8-230 pm</t>
  </si>
  <si>
    <t>colonial skills day</t>
  </si>
  <si>
    <t>out reach program at kessler ele with a wide variety of colonial skills</t>
  </si>
  <si>
    <t>this event was off--site at a local elementary school</t>
  </si>
  <si>
    <t>saturday, 10-4 pm</t>
  </si>
  <si>
    <t>Come and Take It</t>
  </si>
  <si>
    <t>Revolutionary War commemoration and encampment</t>
  </si>
  <si>
    <t>Daily 9-5</t>
  </si>
  <si>
    <t>Site Introductions and films</t>
  </si>
  <si>
    <t>Introduction of film</t>
  </si>
  <si>
    <t>Friday, 1-3PM, 11/15/13</t>
  </si>
  <si>
    <t>Boy Scouts/ Snake Show</t>
  </si>
  <si>
    <t>Friday, 9-12AM, 11/22/13</t>
  </si>
  <si>
    <t>Washington Wilkes 8th Grade/Snake Show</t>
  </si>
  <si>
    <t>Washington Wilkes 8th Grade/GA Living History</t>
  </si>
  <si>
    <t>Living History / Museum Tour</t>
  </si>
  <si>
    <t>Washington Wilkes 8th Grade/OLS</t>
  </si>
  <si>
    <t>Ranger</t>
  </si>
  <si>
    <t>sat 10-12pm</t>
  </si>
  <si>
    <t>colonial trailway/history tour</t>
  </si>
  <si>
    <t>Interpretive Ranger and Part Time staff</t>
  </si>
  <si>
    <t>sat 11:30-1:30</t>
  </si>
  <si>
    <t>General Group/History Tour</t>
  </si>
  <si>
    <t>Friday 9:30-11:30</t>
  </si>
  <si>
    <t>Evansdale Elem/History Tour</t>
  </si>
  <si>
    <t>friday 12:30-2:30</t>
  </si>
  <si>
    <t>Faith Christian Acad/History Tour</t>
  </si>
  <si>
    <t>tour of historic site</t>
  </si>
  <si>
    <t>tuesday 12-2 pm</t>
  </si>
  <si>
    <t>Golden Grp/History Tour</t>
  </si>
  <si>
    <t>Sun-Sat 9-5</t>
  </si>
  <si>
    <t>ranger led scavenger hunt</t>
  </si>
  <si>
    <t>Rock Hill School</t>
  </si>
  <si>
    <t>school tour</t>
  </si>
  <si>
    <t>self-guided tour</t>
  </si>
  <si>
    <t>$131.75 in admission revenue; other retail revenue not tracked</t>
  </si>
  <si>
    <t>friday 10:00</t>
  </si>
  <si>
    <t>school field trip</t>
  </si>
  <si>
    <t>107 students and teachers total</t>
  </si>
  <si>
    <t>wednesday, 13th @9:00</t>
  </si>
  <si>
    <t>guided tours and demonstrations</t>
  </si>
  <si>
    <t>site staff and volunteers and paid resource participants</t>
  </si>
  <si>
    <t>friday 15th @10:00</t>
  </si>
  <si>
    <t>thursday, 21st @9:00</t>
  </si>
  <si>
    <t>Friday 6:30pm</t>
  </si>
  <si>
    <t>Night Hike for boy scout group</t>
  </si>
  <si>
    <t>Nature inspired/thankgsiving/fall crafts</t>
  </si>
  <si>
    <t>Saturday 6pm</t>
  </si>
  <si>
    <t>NightHike</t>
  </si>
  <si>
    <t>night hike along lake trail</t>
  </si>
  <si>
    <t>nov 1st 10am</t>
  </si>
  <si>
    <t>Salem Middle School</t>
  </si>
  <si>
    <t>2nd  6pm</t>
  </si>
  <si>
    <t>night program</t>
  </si>
  <si>
    <t>Columbus State University puts this program on for free</t>
  </si>
  <si>
    <t>8th 10am</t>
  </si>
  <si>
    <t>McBride Elementry</t>
  </si>
  <si>
    <t>15th 10am</t>
  </si>
  <si>
    <t>Bryer Lake Elementry</t>
  </si>
  <si>
    <t>11am</t>
  </si>
  <si>
    <t>Auburn University</t>
  </si>
  <si>
    <t>geology</t>
  </si>
  <si>
    <t>22nd 10am</t>
  </si>
  <si>
    <t>Ahanaha Elementry</t>
  </si>
  <si>
    <t>Learn about the Ice Age.</t>
  </si>
  <si>
    <t>Animal feeding show.</t>
  </si>
  <si>
    <t>Learn about owls.</t>
  </si>
  <si>
    <t>Stories and games for toddlers.</t>
  </si>
  <si>
    <t>Friday, 4-5 p.m.</t>
  </si>
  <si>
    <t>Ranger walks through campground.</t>
  </si>
  <si>
    <t>Friday, 6-8 p.m.</t>
  </si>
  <si>
    <t>Stories and S'mores around the fire.</t>
  </si>
  <si>
    <t>Learn about reptiles and amphibians and see live examples.</t>
  </si>
  <si>
    <t>Monday, 2-3 p.m.</t>
  </si>
  <si>
    <t>Learn about birds and watch feeding stations.</t>
  </si>
  <si>
    <t>Wednesday, 1-2 p.m.</t>
  </si>
  <si>
    <t>Learn about lost prevention.</t>
  </si>
  <si>
    <t>Thursday 10-11 a.m.</t>
  </si>
  <si>
    <t>History of Skidaway Island.</t>
  </si>
  <si>
    <t>Learn to tie knots.</t>
  </si>
  <si>
    <t>Ranger walks through the campground.</t>
  </si>
  <si>
    <t>Saturday, 11-12 p.m.</t>
  </si>
  <si>
    <t>Nature trail hike.</t>
  </si>
  <si>
    <t>Saturday, 6-8 p.m.</t>
  </si>
  <si>
    <t>Identify tracks and scat.</t>
  </si>
  <si>
    <t>Tour the IC with the ranger.</t>
  </si>
  <si>
    <t>Wednesday, 3-4 p.m.</t>
  </si>
  <si>
    <t>Lean about reptiles and amphibians and see live examples.</t>
  </si>
  <si>
    <t>Friday, 11-12 p.m.</t>
  </si>
  <si>
    <t>Learn the history of Skidaway Island.</t>
  </si>
  <si>
    <t>Friday, 2-4 p.m.</t>
  </si>
  <si>
    <t>Nature and history trail hike.</t>
  </si>
  <si>
    <t>Learn about birds and observe feeding stations.</t>
  </si>
  <si>
    <t>Saturday, 8-11 am</t>
  </si>
  <si>
    <t>Cabin Open House</t>
  </si>
  <si>
    <t>Log cabin open</t>
  </si>
  <si>
    <t>Saturday, 6-8 pm</t>
  </si>
  <si>
    <t>Frosty 5k/Merry Mile</t>
  </si>
  <si>
    <t>Holiday 5k and fun run</t>
  </si>
  <si>
    <t>Hayrides after the run were packed - plenty of community support and interest. Great turn out.</t>
  </si>
  <si>
    <t>Sunday 11/2 5:00 pm</t>
  </si>
  <si>
    <t>Twilight Canoe Trip</t>
  </si>
  <si>
    <t>Sunset Canoe Trip Through the Swamp</t>
  </si>
  <si>
    <t>11/9 Saturday 10:00 am</t>
  </si>
  <si>
    <t>Kayak Trip for OWLS</t>
  </si>
  <si>
    <t>Took a group kayaking to Billy's Island</t>
  </si>
  <si>
    <t>First Visit Tours</t>
  </si>
  <si>
    <t>Visitors can learn about Smithgall with a van tour</t>
  </si>
  <si>
    <t>Saturday 9:00 am</t>
  </si>
  <si>
    <t>Make your own basket</t>
  </si>
  <si>
    <t>learn to make your own fabric basket</t>
  </si>
  <si>
    <t>Paid Presenter (Not PRHS Staff)</t>
  </si>
  <si>
    <t>learn about land navigation</t>
  </si>
  <si>
    <t>Saturday 12:00</t>
  </si>
  <si>
    <t>Public tours of Hardman Farm</t>
  </si>
  <si>
    <t>Fall Guided Hike</t>
  </si>
  <si>
    <t>enjoy the fall leaves on Smithgalls trails</t>
  </si>
  <si>
    <t>Interpretive Ranger and Volunteer</t>
  </si>
  <si>
    <t>learn to make your own basket</t>
  </si>
  <si>
    <t>Mt. Yonah Elementary -  Succession, Orieentering, and Champion Trees</t>
  </si>
  <si>
    <t>children learned about succession of plants, how use a compass, and how to measure trees</t>
  </si>
  <si>
    <t>11/9 Saturday 9:00 pm</t>
  </si>
  <si>
    <t>11/22 Friday 8:30 am</t>
  </si>
  <si>
    <t>Sara Vinson/Guided Boardwalk Hike</t>
  </si>
  <si>
    <t>11/23 Saturday 9 pm</t>
  </si>
  <si>
    <t>11/29 Friday 7 pm</t>
  </si>
  <si>
    <t>Clarkesville Elementary - LIfe Cycles, Native Americans, and Oh Deer!</t>
  </si>
  <si>
    <t>students learn about life cycles, native americans, and carrying capacity</t>
  </si>
  <si>
    <t>3 interpretive rangers</t>
  </si>
  <si>
    <t>Saturday and Sunday</t>
  </si>
  <si>
    <t>Hemlock Fest- Furs and Skulls</t>
  </si>
  <si>
    <t>table of skulls and furs where festival goers can see the animals first hand</t>
  </si>
  <si>
    <t>students learn about native americans</t>
  </si>
  <si>
    <t>Historic Site Admission, video, museum, for Month of November</t>
  </si>
  <si>
    <t>White County High - Raptors and Reptiles</t>
  </si>
  <si>
    <t>high school students learn about raptors and reptiles</t>
  </si>
  <si>
    <t>Thursday 9:30am</t>
  </si>
  <si>
    <t>Ga Virtual School</t>
  </si>
  <si>
    <t>Tuesday</t>
  </si>
  <si>
    <t>Chestatee Academy - Snakes Alive</t>
  </si>
  <si>
    <t>Miller County Pre-K</t>
  </si>
  <si>
    <t>Wednesday 9:00 am</t>
  </si>
  <si>
    <t>Summerour Middle School - Animal Adaptations</t>
  </si>
  <si>
    <t>students learn about animal adaptions</t>
  </si>
  <si>
    <t>Wednesday 11:30</t>
  </si>
  <si>
    <t>Andrew College</t>
  </si>
  <si>
    <t>Tuesday 9:30</t>
  </si>
  <si>
    <t>Deerfield Windsor</t>
  </si>
  <si>
    <t>Thursday 9:00 am</t>
  </si>
  <si>
    <t>Toccoa Falls College - Stream ecology and fly fishing</t>
  </si>
  <si>
    <t>college students learn about stream ecology and fly fishing</t>
  </si>
  <si>
    <t>ranger and volunteer</t>
  </si>
  <si>
    <t>Wednesday 10:30</t>
  </si>
  <si>
    <t>Rehoboth Elementary</t>
  </si>
  <si>
    <t>Manager and Part time interpretive staff</t>
  </si>
  <si>
    <t>Habersham 9th grade academy -  native americans</t>
  </si>
  <si>
    <t>Chestatee Academy - CSI Mammals ID</t>
  </si>
  <si>
    <t>students learn first hand how to identify mammals</t>
  </si>
  <si>
    <t>Bainbridge Middle school</t>
  </si>
  <si>
    <t>Assistant Manager and Part time interpretive staff</t>
  </si>
  <si>
    <t>Whigham Elementary School</t>
  </si>
  <si>
    <t>White County Middle SOAR - Native Americans</t>
  </si>
  <si>
    <t>students learn about the Cherokee Indians</t>
  </si>
  <si>
    <t>Monday 9:30</t>
  </si>
  <si>
    <t>Grace Christian Academy</t>
  </si>
  <si>
    <t>Union County</t>
  </si>
  <si>
    <t>students learned about snakes</t>
  </si>
  <si>
    <t>Baldwin Elementary - Animal Adaptions</t>
  </si>
  <si>
    <t>Thursday 12:00 pm</t>
  </si>
  <si>
    <t>Baldwin Elementary - Native Americans</t>
  </si>
  <si>
    <t>students learn about Native Americans</t>
  </si>
  <si>
    <t>Mossy Creek Elementary - Native Americans</t>
  </si>
  <si>
    <t>students learn about the life and weapons of native americans</t>
  </si>
  <si>
    <t>Novemeber 2:00 p.m.</t>
  </si>
  <si>
    <t>mt. vernon elementary - animal adaptations</t>
  </si>
  <si>
    <t>Monday 1:00 pm</t>
  </si>
  <si>
    <t>Banks County Primary -  Survey of Vertebrates</t>
  </si>
  <si>
    <t>students survey and learn about vertebrates</t>
  </si>
  <si>
    <t>Tuesday 4:00 p.m.</t>
  </si>
  <si>
    <t>Hardman Farm Tour - White COunty Leadership</t>
  </si>
  <si>
    <t>group learned about hardman farm</t>
  </si>
  <si>
    <t>Tuesday 10:00</t>
  </si>
  <si>
    <t>Hardman Farm Tour - Cindy</t>
  </si>
  <si>
    <t>Group learned about Hardman Farm</t>
  </si>
  <si>
    <t>Beta Kappa - Van tour and Holiday Spice</t>
  </si>
  <si>
    <t>group learned about the smithgall site by taking a van tour and making holiday spice tea</t>
  </si>
  <si>
    <t>Webelos Pack 259 - Snakes, Archery</t>
  </si>
  <si>
    <t>scout group learned about snakes and archery</t>
  </si>
  <si>
    <t>Smithgall 101 - Groups inhouse</t>
  </si>
  <si>
    <t>Tuesday, 10am-1pm</t>
  </si>
  <si>
    <t>Homeschool Tuesday at Tugaloo</t>
  </si>
  <si>
    <t>Owl ID, facts and craft</t>
  </si>
  <si>
    <t>Spring may be a better time to do this type of program.</t>
  </si>
  <si>
    <t>fri 2-4pm</t>
  </si>
  <si>
    <t>ga geo cash</t>
  </si>
  <si>
    <t>bsa trp150</t>
  </si>
  <si>
    <t>wed 10-12pm</t>
  </si>
  <si>
    <t>christian school</t>
  </si>
  <si>
    <t>ft gordon sig crps sch</t>
  </si>
  <si>
    <t>wed 11-1pm</t>
  </si>
  <si>
    <t>corbatt sch</t>
  </si>
  <si>
    <t>sat 3-5pm</t>
  </si>
  <si>
    <t>geocash</t>
  </si>
  <si>
    <t>sat 2-4pm</t>
  </si>
  <si>
    <t>ga pub broadcasting</t>
  </si>
  <si>
    <t>iinterview</t>
  </si>
  <si>
    <t>ft mcall.hist</t>
  </si>
  <si>
    <t>Wednesday, 10-11:30am</t>
  </si>
  <si>
    <t>Living Salt Marsh</t>
  </si>
  <si>
    <t>Hike through marsh and learn about marsh life.</t>
  </si>
  <si>
    <t>Friday, 10-11:30 a.m.</t>
  </si>
  <si>
    <t>Classifying Organisms</t>
  </si>
  <si>
    <t>Learn how to classify organisms.</t>
  </si>
  <si>
    <t>Wednesday, 10-11:30</t>
  </si>
  <si>
    <t>Environmental Education</t>
  </si>
  <si>
    <t>Learn about sustainable practices for the environment</t>
  </si>
  <si>
    <t>Friday, 9:30-10:30 a.m.</t>
  </si>
  <si>
    <t>Hubert Middle/Food Chain</t>
  </si>
  <si>
    <t>Learn about the food chain.</t>
  </si>
  <si>
    <t>Hubert Middle/Classifying Organisms</t>
  </si>
  <si>
    <t>Learn about lifecycles and classifying organisms.</t>
  </si>
  <si>
    <t>Friday, 8-10 p.m.</t>
  </si>
  <si>
    <t>Savannah State/Sensory Night Hike</t>
  </si>
  <si>
    <t>Monday, 10-12 p.m.</t>
  </si>
  <si>
    <t>Charles Ellis/ Living Salt Marsh</t>
  </si>
  <si>
    <t>Hike and learn about the salt marsh ecosystem.</t>
  </si>
  <si>
    <t>Thursday, 10-11:30 a.m.</t>
  </si>
  <si>
    <t>Charles Ellis/Salty Marsh</t>
  </si>
  <si>
    <t>Learn about life in the salt marsh.</t>
  </si>
  <si>
    <t>Monday, 9:30-11 a.m.</t>
  </si>
  <si>
    <t>High School/Living Salt Marsh</t>
  </si>
  <si>
    <t>Wednesday, 10-11 a.m.</t>
  </si>
  <si>
    <t>Homeschool/Where are the animals</t>
  </si>
  <si>
    <t>Hubert Middle/History Trail Hike</t>
  </si>
  <si>
    <t>Learn the history of the Big Ferry Trail.</t>
  </si>
  <si>
    <t>Friday, 10:30-11:30 a.m.</t>
  </si>
  <si>
    <t>Hubert Middle/Living Salt Marsh</t>
  </si>
  <si>
    <t>Learn about life in the salt marsh and take a trail hike.</t>
  </si>
  <si>
    <t>Wednesday, 9:30-10:30 a.m.</t>
  </si>
  <si>
    <t>Godley Middle/Living Salt Marsh</t>
  </si>
  <si>
    <t>Hike through marsh and learn about this ecosystem.</t>
  </si>
  <si>
    <t>10:30-11:30 a.m.</t>
  </si>
  <si>
    <t>Godley Middle/Classifying Organisms</t>
  </si>
  <si>
    <t>Sunday, 10:30-3 p.m.</t>
  </si>
  <si>
    <t>Marine Science Fair</t>
  </si>
  <si>
    <t>Fair at the UGA Marine Science Center</t>
  </si>
  <si>
    <t>Friday, 10-12 p.m.</t>
  </si>
  <si>
    <t>Hope K-8/Classifying Organisms</t>
  </si>
  <si>
    <t>Learn lifecycles and classifying organisms.</t>
  </si>
  <si>
    <t>Wednesday, 9:45-10:45 a.m.</t>
  </si>
  <si>
    <t>Pulaski Elementary/Life Cycles</t>
  </si>
  <si>
    <t>Hike through salt marsh and learn about lifecycles.</t>
  </si>
  <si>
    <t>Thursday, 9:45-10:45 a.m.</t>
  </si>
  <si>
    <t>Myers Middle/Barrier Islands</t>
  </si>
  <si>
    <t>Learn about the barrier islands of the Low country.</t>
  </si>
  <si>
    <t>Friday, 1:15-2:15 p.m.</t>
  </si>
  <si>
    <t>Docents/Interpretive Center Tour</t>
  </si>
  <si>
    <t>Tour the Interpretive Center</t>
  </si>
  <si>
    <t>Sunday, 1:45-2:45 p.m.</t>
  </si>
  <si>
    <t>Cub Scouts/Nature hike</t>
  </si>
  <si>
    <t>Trail hike.</t>
  </si>
  <si>
    <t>Savannah State/Life Cycles</t>
  </si>
  <si>
    <t>Sat 7-9 AM</t>
  </si>
  <si>
    <t>Pine Ridge Fun Run</t>
  </si>
  <si>
    <t>fun run through park</t>
  </si>
  <si>
    <t>Pine Ridge Elem parents/vol</t>
  </si>
  <si>
    <t>Good partnership</t>
  </si>
  <si>
    <t>Sat 6:30-7:30PM</t>
  </si>
  <si>
    <t>Creek Indian Campfire with Billy Winn</t>
  </si>
  <si>
    <t>guest speaker/author tells us about Creeks</t>
  </si>
  <si>
    <t>Billy Winn, author</t>
  </si>
  <si>
    <t>Repeat-Excellent-loved portable fire pit</t>
  </si>
  <si>
    <t>Bad weather-coordinated by stables</t>
  </si>
  <si>
    <t>Sat 7-9 PM</t>
  </si>
  <si>
    <t>Fall Hayrides</t>
  </si>
  <si>
    <t>tractor pulled hayride through campground</t>
  </si>
  <si>
    <t>Friends Group vol time and paid for diesel</t>
  </si>
  <si>
    <t>Sat 9AM-4PM</t>
  </si>
  <si>
    <t>AARP Safe Driving Class</t>
  </si>
  <si>
    <t>learn about safe driving</t>
  </si>
  <si>
    <t>Campground Host taught-different audience-will do again</t>
  </si>
  <si>
    <t>Bird Walk near park office</t>
  </si>
  <si>
    <t>Had Volunteer help for 3 programs b/o scout group needs-rained 2 days</t>
  </si>
  <si>
    <t>Sat 1-2:30 PM</t>
  </si>
  <si>
    <t>Have You Thanked A Tree Today</t>
  </si>
  <si>
    <t>Interactive Tree Answer Game &amp; Walk</t>
  </si>
  <si>
    <t>Easy to set-up, Great for adults and families</t>
  </si>
  <si>
    <t>Sat 10AM-4PM</t>
  </si>
  <si>
    <t>Tree Discovery &amp; Seedling give-a-way</t>
  </si>
  <si>
    <t>discovery table with tree info and free oak or maple seedling</t>
  </si>
  <si>
    <t>grant from NWF to giveaway trees and educate public</t>
  </si>
  <si>
    <t>Sat 9:30AM-1:30PM</t>
  </si>
  <si>
    <t>Waterfall Picnic Hike</t>
  </si>
  <si>
    <t>4 mi PMT fall hike</t>
  </si>
  <si>
    <t>Varied public skills just go to Slippery Rock Falls &amp; turn around</t>
  </si>
  <si>
    <t>Daily 10 am, 2 pm, &amp; 5 pm</t>
  </si>
  <si>
    <t>Boat tour through the Okefenokee</t>
  </si>
  <si>
    <t>sun 10AM-1PM</t>
  </si>
  <si>
    <t>Cornshuck Doll Craft</t>
  </si>
  <si>
    <t>make cornshuck dolls</t>
  </si>
  <si>
    <t>Had two additional volunteers on two crowded days</t>
  </si>
  <si>
    <t>Sun 12noon-4PM</t>
  </si>
  <si>
    <t>Adventure Girl Cadettes</t>
  </si>
  <si>
    <t>guided waterfall hike</t>
  </si>
  <si>
    <t>Will look at shorter hike intro, maybe 2 miles and then turn the group loose to hike on their own</t>
  </si>
  <si>
    <t>10AM-12noon</t>
  </si>
  <si>
    <t>Pine Ridge Career Day</t>
  </si>
  <si>
    <t>intro to park and career</t>
  </si>
  <si>
    <t>Sat 7:30-10:30PM</t>
  </si>
  <si>
    <t>Mountain Creek-Beaver Moon Night Hike</t>
  </si>
  <si>
    <t>Mt Creek night hike</t>
  </si>
  <si>
    <t>PMT hike</t>
  </si>
  <si>
    <t>Indoor - Rain</t>
  </si>
  <si>
    <t>Saturday, 1:00 p.m.  2:00 p.m.</t>
  </si>
  <si>
    <t>Saturday, 3:00 p.m. - 4:00 p.m.</t>
  </si>
  <si>
    <t>Wednesday, 9:30 a.m. - 11:30 a.m.</t>
  </si>
  <si>
    <t>Marsh Ecology</t>
  </si>
  <si>
    <t>Interpretive Ranger &amp; Part-time Interpretive Staff</t>
  </si>
  <si>
    <t>Friday, 7:00 p.m. - 8:00 p.m.</t>
  </si>
  <si>
    <t>owl prowl</t>
  </si>
  <si>
    <t>Saturday, 8:30 a.m. - 12:30 p.m.</t>
  </si>
  <si>
    <t>Digital Nature Photography</t>
  </si>
  <si>
    <t>Story &amp; Craft</t>
  </si>
  <si>
    <t>Saturday, 7:00 p.m. - 8:00 p.m.</t>
  </si>
  <si>
    <t>Sunday, 6:00 p.m. - 7:00 p.m.</t>
  </si>
  <si>
    <t>Monday, 8:30 a.m. - 12:30 p.m.</t>
  </si>
  <si>
    <t>Nature Camp</t>
  </si>
  <si>
    <t>Interpretive Staff &amp; Volunteer</t>
  </si>
  <si>
    <t>10:00 a.m. - 11:30 a.m.</t>
  </si>
  <si>
    <t>Tuesday, 10:00 a.m. - 12:00 p.m.</t>
  </si>
  <si>
    <t>live animal &amp; hike</t>
  </si>
  <si>
    <t>Owl Prowl</t>
  </si>
  <si>
    <t>Beginner Birding</t>
  </si>
  <si>
    <t>Saturday, 2:00 p.m. - 3:00 p.m.</t>
  </si>
  <si>
    <t>Pinecone Birdfeeders</t>
  </si>
  <si>
    <t>Friday, 1:00 p.m. - 2:00 p.m.</t>
  </si>
  <si>
    <t>Friday, 6:00 p.m. - 7:00 p.m.</t>
  </si>
  <si>
    <t>Saturday, 9:00 a.m. - 11:30 a.m.</t>
  </si>
  <si>
    <t>Saturday, 6:00 p.m. - 7:00 p.m.</t>
  </si>
  <si>
    <t>November</t>
  </si>
  <si>
    <t>Interpretive Ranger, Part-time Interpretive Staff &amp; Volunteer</t>
  </si>
  <si>
    <t>November 1, 2013 1-3pm</t>
  </si>
  <si>
    <t>Walkin's Welcome Historic Tour</t>
  </si>
  <si>
    <t>Historic Tour on historic trail</t>
  </si>
  <si>
    <t>November 2nd, 2013 11 am and 3 pm</t>
  </si>
  <si>
    <t>Historic Trail Tour</t>
  </si>
  <si>
    <t>History tour that takes place on historic trail</t>
  </si>
  <si>
    <t>November 3rd, 2013 2-3 pm</t>
  </si>
  <si>
    <t>Edible Plant Tour</t>
  </si>
  <si>
    <t>Edible Plant identification tour.</t>
  </si>
  <si>
    <t>November 8th, 2013</t>
  </si>
  <si>
    <t>LNT Presentation</t>
  </si>
  <si>
    <t>Short informational presentation on the seven leave no trace principles.</t>
  </si>
  <si>
    <t>November 9th, 2013</t>
  </si>
  <si>
    <t>Plaster Track Molding</t>
  </si>
  <si>
    <t>Assisted children in making plaster track moldings of local wildlife.</t>
  </si>
  <si>
    <t>History tour that takes place on historic trail.</t>
  </si>
  <si>
    <t>November 10th, 2013 1-2 pm</t>
  </si>
  <si>
    <t>Birding Basics</t>
  </si>
  <si>
    <t>Beginner informational of the foundations of briding.</t>
  </si>
  <si>
    <t>Birding tours must take place in morning for more chances to witness birds during thier most active hours.</t>
  </si>
  <si>
    <t>November 15th, 2013 1-2 pm</t>
  </si>
  <si>
    <t>Keep the Park Beautiful Litter Walk</t>
  </si>
  <si>
    <t>A hike on the park's trail to clean up litter.</t>
  </si>
  <si>
    <t>November 16th, 2013 11-12:30 pm</t>
  </si>
  <si>
    <t>Geography of High Falls Tour</t>
  </si>
  <si>
    <t>Walk on the trails and discuss the geography and topography of the park.</t>
  </si>
  <si>
    <t>November 16th, 2013 3pm</t>
  </si>
  <si>
    <t>November 17th, 2013 10 am- 1 pm</t>
  </si>
  <si>
    <t>Local Wildlife Campground Walk-about</t>
  </si>
  <si>
    <t>Interpretive ranger talk about local wildife to park users.</t>
  </si>
  <si>
    <t>November 22nd, 2013 1-2:30 pm</t>
  </si>
  <si>
    <t>Thanksgiving Arts and Crafts</t>
  </si>
  <si>
    <t>Crafting hour where interpretive ranger creates thanksgving themed decorations with campers.</t>
  </si>
  <si>
    <t>November 23rd, 2013 8-10 am</t>
  </si>
  <si>
    <t>Beginner Photography Workshop</t>
  </si>
  <si>
    <t>Beginner photography workshop lead by Rena Johnson that covered fall themed aspects.</t>
  </si>
  <si>
    <t>Offer a photography workshop with Rena every other month to draw patrons into the park.</t>
  </si>
  <si>
    <t>November 23rd, 2013 11am- 12 pm</t>
  </si>
  <si>
    <t>Yoga at the Falls</t>
  </si>
  <si>
    <t>Beginner restorative yoga that took place on park grounds and is lead by interpretive ranger.</t>
  </si>
  <si>
    <t>Offer this program at least once a month.</t>
  </si>
  <si>
    <t>November 25th, 2013 10 am-12</t>
  </si>
  <si>
    <t>Turkey Waddle Hike</t>
  </si>
  <si>
    <t>3.0 mile hike that takes place on historic trail and tranquil trail the day after Thanksgiving.</t>
  </si>
  <si>
    <t>November 25th, 2013 1pm-2pm</t>
  </si>
  <si>
    <t>Habitats of High Falls</t>
  </si>
  <si>
    <t>Tour that explores the different habitats that exist at high falls and what animals reside within them.</t>
  </si>
  <si>
    <t>November 30th, 2013 11am and 3pm</t>
  </si>
  <si>
    <t>History tour that takes place on histoirc trail.</t>
  </si>
  <si>
    <t>First Saturday Fun at the Fort</t>
  </si>
  <si>
    <t>Soldier talks, musket demo, toys &amp; games</t>
  </si>
  <si>
    <t>Friday, 10am</t>
  </si>
  <si>
    <t>Autumn Encampment Student Day</t>
  </si>
  <si>
    <t>site video, American Indian, Doctor, Colonial Foodways, blacksmithing, blackpowder, spanish soldados, weaving, cavalry</t>
  </si>
  <si>
    <t>Saturday, 10am-4pm</t>
  </si>
  <si>
    <t>The Debatable Land Autumn Encampment</t>
  </si>
  <si>
    <t>A living history event (18th century)</t>
  </si>
  <si>
    <t>Friday, 930am</t>
  </si>
  <si>
    <t>G.W. Carver Elementary</t>
  </si>
  <si>
    <t>site video, fort tour, soldier talk,blackpowder demo</t>
  </si>
  <si>
    <t>Saturday, 1-3pm</t>
  </si>
  <si>
    <t>Zane Blackmon's 7th Birthday Party</t>
  </si>
  <si>
    <t>Birthday party for 7 year old</t>
  </si>
  <si>
    <t>Friday, 9am</t>
  </si>
  <si>
    <t>Kingsland Elementary</t>
  </si>
  <si>
    <t>site video, fort tour, soldier talk, musket demo</t>
  </si>
  <si>
    <t>Thursday, 930am</t>
  </si>
  <si>
    <t>Carver Elementary</t>
  </si>
  <si>
    <t>Friday 10</t>
  </si>
  <si>
    <t>Enotah School</t>
  </si>
  <si>
    <t>Hiked to overlooks 1,2&amp;3 watched the movie and</t>
  </si>
  <si>
    <t>Monday 10</t>
  </si>
  <si>
    <t>Heritage Academy</t>
  </si>
  <si>
    <t>Forest Ecology and ecosystems</t>
  </si>
  <si>
    <t>Perkins Elementary</t>
  </si>
  <si>
    <t>forest ecology and ecosystems</t>
  </si>
  <si>
    <t>Thursday 10</t>
  </si>
  <si>
    <t>Blackburn Elementary</t>
  </si>
  <si>
    <t>Habitats of Tallulah</t>
  </si>
  <si>
    <t>Howard School</t>
  </si>
  <si>
    <t>Tallulah Detective and hike</t>
  </si>
  <si>
    <t>Tuesday 9am - 11am</t>
  </si>
  <si>
    <t>Ben Hill 1st grade</t>
  </si>
  <si>
    <t>History Programs on Farm</t>
  </si>
  <si>
    <t>I. Ranger, Manager, Assistant Manager, Clerk</t>
  </si>
  <si>
    <t>Wednesday 9am - 11am</t>
  </si>
  <si>
    <t>Friday 9am - 11am</t>
  </si>
  <si>
    <t>Thursday 11am - 2pm</t>
  </si>
  <si>
    <t>Fishy Fish Day</t>
  </si>
  <si>
    <t>Home School program on fish anatomy and identification</t>
  </si>
  <si>
    <t>Saturday 10-5</t>
  </si>
  <si>
    <t>Cane Boiling</t>
  </si>
  <si>
    <t>Syrup Making Program</t>
  </si>
  <si>
    <t>Int. Ranger, Park Manager, Maint. Staff and Volunteers</t>
  </si>
  <si>
    <t>Syrup made during the cane boiling will be sold in park trading post as resale item.</t>
  </si>
  <si>
    <t>Okefenokee NWR Cane Boiling</t>
  </si>
  <si>
    <t>Soap Making as demonstration at the Oke NWR event</t>
  </si>
  <si>
    <t>Pioneer Harvest Festival</t>
  </si>
  <si>
    <t>Annual History Event</t>
  </si>
  <si>
    <t>All Staff and Volunteers</t>
  </si>
  <si>
    <t>Booth fees for Pioneer Harvest Arts and Craft Vendors</t>
  </si>
  <si>
    <t>Friday/Saturday P.M.</t>
  </si>
  <si>
    <t>Fireside Programs</t>
  </si>
  <si>
    <t>Campfire talks, storytelling, etc.</t>
  </si>
  <si>
    <t>Naturalist</t>
  </si>
  <si>
    <t>Cold/rainy weather produced few campers which limited the number of programs provided.</t>
  </si>
  <si>
    <t>Smores and campfire</t>
  </si>
  <si>
    <t>How to make smores</t>
  </si>
  <si>
    <t>Cold/rainy weather limited number of campers</t>
  </si>
  <si>
    <t>Saturday AM</t>
  </si>
  <si>
    <t>Search for park info.</t>
  </si>
  <si>
    <t>Cold/rainy weather limited number of campers available.</t>
  </si>
  <si>
    <t>Month long</t>
  </si>
  <si>
    <t>Ranger responds to questions and provides impromtu activity</t>
  </si>
  <si>
    <t>cold/rainy weather limited number of visitors to park.</t>
  </si>
  <si>
    <t>Saturday 1-3:00 p.m.</t>
  </si>
  <si>
    <t>wagon rides</t>
  </si>
  <si>
    <t>wagon rides with narriation about the park</t>
  </si>
  <si>
    <t>Cold/rainy weather limited number of visitors to park.</t>
  </si>
  <si>
    <t>Sunday 9:00 AM</t>
  </si>
  <si>
    <t>Sunday meditation</t>
  </si>
  <si>
    <t>time of singing/sharing</t>
  </si>
  <si>
    <t>cold/rainy weather limited number of visitors to park</t>
  </si>
  <si>
    <t>Saturday 1:00 P.M.</t>
  </si>
  <si>
    <t>Kids activity</t>
  </si>
  <si>
    <t>variety of fun and educational programs for kids</t>
  </si>
  <si>
    <t>Friday, 9:30am-11:30am</t>
  </si>
  <si>
    <t>Decatur Elementary/History&amp;Nature Hike</t>
  </si>
  <si>
    <t>nature and history hike to the mill and rapids</t>
  </si>
  <si>
    <t>Saturday, 12pm-2pm</t>
  </si>
  <si>
    <t>Saturday, 3:30pm-5pm</t>
  </si>
  <si>
    <t>history hike to the mill</t>
  </si>
  <si>
    <t>Saturday, 6pm-8pm</t>
  </si>
  <si>
    <t>tractor pulled interpretive hayride with campfire and s'mores</t>
  </si>
  <si>
    <t>Saturday,7pm-9pm</t>
  </si>
  <si>
    <t>Night Sky Watch</t>
  </si>
  <si>
    <t>Sunday, 11am-12:30pm</t>
  </si>
  <si>
    <t>Women's introduction to kayaking</t>
  </si>
  <si>
    <t>women led intro to kayaking for women</t>
  </si>
  <si>
    <t>Ranger-led Fall Foliage Lake Paddle</t>
  </si>
  <si>
    <t>ranger led interpretive lake paddle</t>
  </si>
  <si>
    <t>Thursday, 10am-12pm</t>
  </si>
  <si>
    <t>Georgia Connections Academy/ History and Nature hike to mill</t>
  </si>
  <si>
    <t>nature and history hike to New Manchester Mill and rapids</t>
  </si>
  <si>
    <t>kayak on Sweetwater Creek and walking history tour of mill</t>
  </si>
  <si>
    <t>Saturday, 9:30am-11am</t>
  </si>
  <si>
    <t>Cub Scout Troop 53/ Mill history and nature hike</t>
  </si>
  <si>
    <t>history and nature hike to mill and rapids</t>
  </si>
  <si>
    <t>Ramger-led fall Foliage Lake Paddle</t>
  </si>
  <si>
    <t>Monday, 2:30pm-4pm</t>
  </si>
  <si>
    <t>paddle on the lake and up Beaver Creek</t>
  </si>
  <si>
    <t>Saturday, 1pm-2:30pm</t>
  </si>
  <si>
    <t>history hike to New Manchester Mill</t>
  </si>
  <si>
    <t>Saturday, 5pm-7pm</t>
  </si>
  <si>
    <t>interpretive hayride with campfire and s'mores</t>
  </si>
  <si>
    <t>Saturday, 7pm-9pm</t>
  </si>
  <si>
    <t>"ruins to Rapids"  Full Moon Hike</t>
  </si>
  <si>
    <t>night hike to New Manchester Mill</t>
  </si>
  <si>
    <t>Wednesday, 1pm-3pm</t>
  </si>
  <si>
    <t>Reptiles of Sweetwater Creek</t>
  </si>
  <si>
    <t>Thursday, 12:30pm-2pm</t>
  </si>
  <si>
    <t>Federal Aviation Administration/ Mill history hike</t>
  </si>
  <si>
    <t>history hike to New3 Manchester Mill</t>
  </si>
  <si>
    <t>history hike to the New Manchester Mill</t>
  </si>
  <si>
    <t>interpretive hayride and campfire with S'mores</t>
  </si>
  <si>
    <t>Junior Ranger Day Camp</t>
  </si>
  <si>
    <t>5 hour camp focusing on attaining the Level 1 Junior Ranger patch</t>
  </si>
  <si>
    <t>10:00am -11:30 am</t>
  </si>
  <si>
    <t>Boy Scouts</t>
  </si>
  <si>
    <t>9:00am - 4:00</t>
  </si>
  <si>
    <t>Syurp Day</t>
  </si>
  <si>
    <t>Cane Syrup Day</t>
  </si>
  <si>
    <t>9:30am - 12:00 pm</t>
  </si>
  <si>
    <t>1st baptist church</t>
  </si>
  <si>
    <t>Preschool group</t>
  </si>
  <si>
    <t>9:00am -1:30pm</t>
  </si>
  <si>
    <t>Griswoldville</t>
  </si>
  <si>
    <t>griswoldville battle ground</t>
  </si>
  <si>
    <t>10:00am- 12:00pm</t>
  </si>
  <si>
    <t>school program</t>
  </si>
  <si>
    <t>November 30th, 9 a.m. - 1 p.m.</t>
  </si>
  <si>
    <t>Fire Wise Volunteer Day</t>
  </si>
  <si>
    <t>Volunteer Day, Promoting firewise communities</t>
  </si>
  <si>
    <t>Resource Manager and Naturalist</t>
  </si>
  <si>
    <t>Great project held at Camp Rutledge.  Good turnout, cleaned debris from around buildings, cabins, roof-tops to reduce fuel around structures.</t>
  </si>
  <si>
    <t>Daily 1-4 PM</t>
  </si>
  <si>
    <t>Woodworking, blacksmithing</t>
  </si>
  <si>
    <t>Wednesday November 8th</t>
  </si>
  <si>
    <t>Adult tour group</t>
  </si>
  <si>
    <t>Tour of site</t>
  </si>
  <si>
    <t>We probably need another large (6 seater) golf cart for these larger adult groups.  Most of the adults are normally elderly and require assistance getting around.</t>
  </si>
  <si>
    <t>Friday November 10th</t>
  </si>
  <si>
    <t>Lowndes Middle School</t>
  </si>
  <si>
    <t>Tuesday December 15th</t>
  </si>
  <si>
    <t>Homeschool group</t>
  </si>
  <si>
    <t>Thursday November 16</t>
  </si>
  <si>
    <t>Friday November 17</t>
  </si>
  <si>
    <t>Davenport House</t>
  </si>
  <si>
    <t>Tour was for the docents at the Davenport House and should yield extra revenue for site as they tell visitors to the Davenport House about Wormsloe.</t>
  </si>
  <si>
    <t>November 23rd</t>
  </si>
  <si>
    <t>Adult Tour Group</t>
  </si>
  <si>
    <t>Daily</t>
  </si>
  <si>
    <t>Ranger Tours</t>
  </si>
  <si>
    <t>Historic Site Welcome</t>
  </si>
  <si>
    <t>9:00 am</t>
  </si>
  <si>
    <t>Montessori School</t>
  </si>
  <si>
    <t>November 2013 Programs in Georgia State Parks &amp; Historic Sites -   33 sites offered programs this month</t>
  </si>
  <si>
    <t>Monday, 10-11:45 am</t>
  </si>
  <si>
    <t>Life Enrichment/ Deer Craft</t>
  </si>
  <si>
    <t>deer craft</t>
  </si>
  <si>
    <t>Monday 9-12 pm</t>
  </si>
  <si>
    <t>Robert Munroe Day Sch/History Tour</t>
  </si>
  <si>
    <t>Tueday, 10-12</t>
  </si>
  <si>
    <t>Greenbriar Ele/ Birds of Prey</t>
  </si>
  <si>
    <t>Nature hike, disect owl pellets, discovery room vist &amp; scavenger hunt</t>
  </si>
  <si>
    <t>clerk &amp; part time interpretive staff</t>
  </si>
  <si>
    <t>friends group purchased the owl pellets.
2 volunteers</t>
  </si>
  <si>
    <t>Clerk, part-time naturalist, 3 volunteers</t>
  </si>
  <si>
    <t>friends purchased owl pellets</t>
  </si>
  <si>
    <t>Thursday, 12:30-1:45 pm</t>
  </si>
  <si>
    <t>Leake Site Introduction at Bartow History Museum</t>
  </si>
  <si>
    <t>Talked to Bartow Rotary Club about the Leake Site and Etowah Mounds</t>
  </si>
  <si>
    <t>Friday, 7-9 pm</t>
  </si>
  <si>
    <t>Hayrides</t>
  </si>
  <si>
    <t>Hayrides, marshmallow roasting, hot chocolate &amp; Christmas games</t>
  </si>
  <si>
    <t>Assistant Manager &amp; Part Time Interpretive Staff</t>
  </si>
  <si>
    <t>Saturday, 11-2 pm</t>
  </si>
  <si>
    <t>A Mistletoe Christmas</t>
  </si>
  <si>
    <t>Christmas crafts, Christmas mugs, ginger bread houses, puzzel ornaments, hand painted Christmas cards</t>
  </si>
  <si>
    <t>Clerk, Part time Interpretive staff, Assistant Manager</t>
  </si>
  <si>
    <t>First time this program has been offered. Was told an event like this one takes about 5 years to be successful.   Need to decide if it is worth doing with all the otherr Christmas activities offered to the public this weekend.</t>
  </si>
  <si>
    <t>Life Enrichment/ Ginger Bread Houses</t>
  </si>
  <si>
    <t>Used left over supplies from the program A MIstletoe Christmas</t>
  </si>
  <si>
    <t>Candlelight Tour of Liberty Hall</t>
  </si>
  <si>
    <t>Candlelight Tour of Liberty Hall decorated for Christmas</t>
  </si>
  <si>
    <t>Saturday, 10 am - 4 pm</t>
  </si>
  <si>
    <t>Christmas at the Cabin</t>
  </si>
  <si>
    <t>Living history event with 1800s holiday festivities</t>
  </si>
  <si>
    <t>Interpretive Ranger, Resource Manager, and volunteers</t>
  </si>
  <si>
    <t>Rain leading up to program (but not on the day of) and cold weather didn't seem to hurt our visitation numbers. Most people come for pictures with Santa and that's the aspect we used in our advertising.</t>
  </si>
  <si>
    <t>Tuesday, 8:30-9:30 am</t>
  </si>
  <si>
    <t>Morning Birdwatching inside Disc. Room</t>
  </si>
  <si>
    <t>Bird watching from inside the Discovery Room</t>
  </si>
  <si>
    <t>First time offering this program.</t>
  </si>
  <si>
    <t>Saturday 10-4pm</t>
  </si>
  <si>
    <t>Pearl Harbor Remembered</t>
  </si>
  <si>
    <t>Commemorating the anniversary of the attack on Pearl Harbor</t>
  </si>
  <si>
    <t>Interpretive Staff, Paid Presenter, Part Time Staff Volunteer</t>
  </si>
  <si>
    <t>Friends sponsored lunches for 25 particpants. Good program with a Pearl Harbor survivor present. Most likely the only program with a survivor in the state as there are only 20 remaining in Georgia. Won't be able to do the same next year as some of the presenters and survivor plan to be out of state.</t>
  </si>
  <si>
    <t>The Life Enrichment Ctr/Fishing</t>
  </si>
  <si>
    <t>Friday, 11-11:30 am</t>
  </si>
  <si>
    <t>Story-time</t>
  </si>
  <si>
    <t>Read children's book "Tudley Didn't Know" and talked about painted turtles</t>
  </si>
  <si>
    <t>Full Moon Wagon Ride</t>
  </si>
  <si>
    <t>Rides in the Hard Labor Creek wagon during a full. Topics included astronomy, park history, and night sounds.</t>
  </si>
  <si>
    <t>The clouds most likely hindered attendance.</t>
  </si>
  <si>
    <t>Friday, 5pm - 9pm</t>
  </si>
  <si>
    <t>Christmas by Candlelight (night 1)</t>
  </si>
  <si>
    <t>Night tours by candlelight</t>
  </si>
  <si>
    <t>Sunday 8 - 10 a.m.</t>
  </si>
  <si>
    <t>Bird Walk in Power of Flight Area</t>
  </si>
  <si>
    <t>Cold and windy morning, but good birds.  32 spp including 19 wild Turkey.</t>
  </si>
  <si>
    <t>Saturday, 5pm - 9pm</t>
  </si>
  <si>
    <t>Christmas by Candlelight (night 2)</t>
  </si>
  <si>
    <t>night candlelight tours</t>
  </si>
  <si>
    <t>Saturday, 11 - 3 pm</t>
  </si>
  <si>
    <t>Christmas at Liberty Hall</t>
  </si>
  <si>
    <t>Tours of historic site decorated for period with re-enactors and Santa</t>
  </si>
  <si>
    <t>Winter Wonderland Crafts/ Life Enrichment</t>
  </si>
  <si>
    <t>Created twig snow flakes, pine Christmas Trees and Played Christmas Trivia</t>
  </si>
  <si>
    <t>Wednesday, 10-12- noon</t>
  </si>
  <si>
    <t>Life Enrichment Ctr./Tour</t>
  </si>
  <si>
    <t>Tour of Liberty Hall and black powder demo.</t>
  </si>
  <si>
    <t>12/18/2013 Wednesday 10:00</t>
  </si>
  <si>
    <t>Jones Elem.</t>
  </si>
  <si>
    <t>Site tour, museum tour, Film, tools and weapons program</t>
  </si>
  <si>
    <t>3rd reschedule for this group/ no giftshop sales. Very well behaved children, interested and attentive.</t>
  </si>
  <si>
    <t>12/13/13 Friday 9-5</t>
  </si>
  <si>
    <t>museum Introduction</t>
  </si>
  <si>
    <t>brief description of museum and mounds focused around the diarama</t>
  </si>
  <si>
    <t>Low attendance.</t>
  </si>
  <si>
    <t>12/14/13 Saturday 9-5</t>
  </si>
  <si>
    <t>Musum introduction</t>
  </si>
  <si>
    <t>clerk</t>
  </si>
  <si>
    <t>Low attendance due to season</t>
  </si>
  <si>
    <t>12/18/2013 Wednesday 11:45</t>
  </si>
  <si>
    <t>brief description of the mounds and museum focused around the site diarama</t>
  </si>
  <si>
    <t>12/18/13 Wednesday 3:30</t>
  </si>
  <si>
    <t>brief explanation of our mounds and the native American Tribes in this area</t>
  </si>
  <si>
    <t>Friday, 9:30-11:30 a.m.</t>
  </si>
  <si>
    <t>Heritage Education Day</t>
  </si>
  <si>
    <t>Various presentations on the civil war</t>
  </si>
  <si>
    <t>GSU archaeology and various presenters</t>
  </si>
  <si>
    <t>Saturday 10 am-3 pm</t>
  </si>
  <si>
    <t>Heritage Day</t>
  </si>
  <si>
    <t>Civil War presentation</t>
  </si>
  <si>
    <t>Various presenters</t>
  </si>
  <si>
    <t>Saturday 14th, 4-7 PM</t>
  </si>
  <si>
    <t>Colonial Christmas</t>
  </si>
  <si>
    <t>Colonial Christmas at Elijah Clark Cabin</t>
  </si>
  <si>
    <t>It rained all day and into the night reducing the numder of attendance.</t>
  </si>
  <si>
    <t>Saturday 6-8</t>
  </si>
  <si>
    <t>Christmas in the Park</t>
  </si>
  <si>
    <t>christmas in the park</t>
  </si>
  <si>
    <t>friends group</t>
  </si>
  <si>
    <t>Friend of Reed Bingham Christmas Event</t>
  </si>
  <si>
    <t>Sat 9-2:30pm</t>
  </si>
  <si>
    <t>Reading of the Polar Express</t>
  </si>
  <si>
    <t>Conductor reads Polar Express/kids meet Santa Claus</t>
  </si>
  <si>
    <t>Paid Presenter (Not PRHS Staff) and Volunteer</t>
  </si>
  <si>
    <t>Friends paid for Santa and cookies. Cost unknown. Rain caused us to cancel the 'choo choo' booked for 4 hours at $50 per hour. People mover used instead with great results.</t>
  </si>
  <si>
    <t>Friday 12/20.2013</t>
  </si>
  <si>
    <t>brief introduction to the site based on the diarama</t>
  </si>
  <si>
    <t>Friday 12-2 pm</t>
  </si>
  <si>
    <t>Wire Grass Senior Tours</t>
  </si>
  <si>
    <t>Interpretive Ranger and part time staff</t>
  </si>
  <si>
    <t>Tuesday 10-12pm</t>
  </si>
  <si>
    <t>Elmore County High School</t>
  </si>
  <si>
    <t>Thursday 2:30-4:30 pm</t>
  </si>
  <si>
    <t>Greensboro First UMC</t>
  </si>
  <si>
    <t>Friday 11-1pm</t>
  </si>
  <si>
    <t>Ozark Bap Church</t>
  </si>
  <si>
    <t>tour of thehistoric site</t>
  </si>
  <si>
    <t>Monday 3-5pm</t>
  </si>
  <si>
    <t>Galatinburg FBC</t>
  </si>
  <si>
    <t>Monday 3-5 pm</t>
  </si>
  <si>
    <t>Dalton Senior Center</t>
  </si>
  <si>
    <t>Saturday 3-5pm</t>
  </si>
  <si>
    <t>Robert Munroe Day School</t>
  </si>
  <si>
    <t>Tallapoosa county school</t>
  </si>
  <si>
    <t>Destinations Ultd</t>
  </si>
  <si>
    <t>Trinity VIP Travel</t>
  </si>
  <si>
    <t>Tuesday 3-5 pm</t>
  </si>
  <si>
    <t>Chapin Bap Church</t>
  </si>
  <si>
    <t>Saturday 9-11 am</t>
  </si>
  <si>
    <t>Providence Primetime</t>
  </si>
  <si>
    <t>Tuesday 1-3 pm</t>
  </si>
  <si>
    <t>First UMC Greensboro</t>
  </si>
  <si>
    <t>Tuesday 9:30-11:30 am</t>
  </si>
  <si>
    <t>Elmore County High Sch</t>
  </si>
  <si>
    <t>Thursday 9-11 am</t>
  </si>
  <si>
    <t>Friday 9-11 am</t>
  </si>
  <si>
    <t>Wiregrass Senior Tours</t>
  </si>
  <si>
    <t>Travel Leaders</t>
  </si>
  <si>
    <t>Monday2-4 PM</t>
  </si>
  <si>
    <t>Sunday 9-11 am</t>
  </si>
  <si>
    <t>Scouts troop 447</t>
  </si>
  <si>
    <t>Monday 12:30-2pm</t>
  </si>
  <si>
    <t>Herschel Spivey School</t>
  </si>
  <si>
    <t>11-1pm</t>
  </si>
  <si>
    <t>Cruse Holidays of Tallahassee</t>
  </si>
  <si>
    <t>Coastal Cruise</t>
  </si>
  <si>
    <t>BB Comer School</t>
  </si>
  <si>
    <t>Friday 12-2pm</t>
  </si>
  <si>
    <t>Cross Creek Elem</t>
  </si>
  <si>
    <t>Wednesday 3PM</t>
  </si>
  <si>
    <t>Join us to learn the differences between reptiles and amphibians. See and thouch live examples!</t>
  </si>
  <si>
    <t>Thursday 10:00AM</t>
  </si>
  <si>
    <t>Stories, games and learning designed for 2-4 year olds. This week's theme is Plants.</t>
  </si>
  <si>
    <t>Saturday 2:00PM</t>
  </si>
  <si>
    <t>We will talk about lost prevention and show you simple items to take with you on a hike,</t>
  </si>
  <si>
    <t>Stories, games and learning designed for 2-4 year olds. This week's theme is Frogs and Toads.</t>
  </si>
  <si>
    <t>Camp Host</t>
  </si>
  <si>
    <t>Fire Building</t>
  </si>
  <si>
    <t>Come learn how to build a fire using different fire starting techniques.</t>
  </si>
  <si>
    <t>Learn how to identify different critters on the park by the tracks they leave behind.</t>
  </si>
  <si>
    <t>Big Ferry Trail Guided Hike</t>
  </si>
  <si>
    <t>Come for a 2 to 3 mile hike through a Maritime Forest, learning the early history of Skidaway.</t>
  </si>
  <si>
    <t>Wednesday 11:00AM</t>
  </si>
  <si>
    <t>Come learn about the amazing Giant Ground Sloth and others that roamed Skidaway during the Ice Age, more than 100,000 years ago!</t>
  </si>
  <si>
    <t>Thursday 2:00PM</t>
  </si>
  <si>
    <t>Stories, games and learning designed for 2-4 year olds. This week's theme is Nature.</t>
  </si>
  <si>
    <t>Stories, games and learning designed for 2-4 year olds. This week's theme is Wild.</t>
  </si>
  <si>
    <t>Friday 2:00PM</t>
  </si>
  <si>
    <t>Meet and greet fellow park visitors as you make crafts from everyday household items.</t>
  </si>
  <si>
    <t>Learn about the history and inhabitants of Skidaway Island.</t>
  </si>
  <si>
    <t>Sunday 1:00PM</t>
  </si>
  <si>
    <t>We will talk about lost prevention and show you some simple items to take with you on a hike.</t>
  </si>
  <si>
    <t>Early Bird First Day Hike</t>
  </si>
  <si>
    <t>ecology</t>
  </si>
  <si>
    <t>Sunday, 2-4pm</t>
  </si>
  <si>
    <t>Santa by the Lake</t>
  </si>
  <si>
    <t>Holiday crafts and pictures with Santa</t>
  </si>
  <si>
    <t>Was really a great first time run for this program. Will use let over craft stuff for other programs.</t>
  </si>
  <si>
    <t>Saturday 12/21/13</t>
  </si>
  <si>
    <t>Thursday 12/26/13</t>
  </si>
  <si>
    <t>Large crowd due to being open on day after Christmas.</t>
  </si>
  <si>
    <t>Thursday 12/19/ 13</t>
  </si>
  <si>
    <t>Atlanta Montesouri</t>
  </si>
  <si>
    <t>Site tour, film, &amp; tools and Weapons program</t>
  </si>
  <si>
    <t>This was a very inquisitive group.</t>
  </si>
  <si>
    <t>Saturday, 5 - 8 pm</t>
  </si>
  <si>
    <t>A Colonial Christmas</t>
  </si>
  <si>
    <t>A Colonial Christmas, stories, caroling, dancing, refreshments and firing the Christmas Guns</t>
  </si>
  <si>
    <t>rain dampened the attendance numbers</t>
  </si>
  <si>
    <t>saturday, 6-9:30 pm</t>
  </si>
  <si>
    <t>Christmas Candlelight Program</t>
  </si>
  <si>
    <t>staff, Friends of NE &amp; volunteers</t>
  </si>
  <si>
    <t>bad windy, cold weather.  below average traffic for this annual event.</t>
  </si>
  <si>
    <t>Talked with visitors about the park.</t>
  </si>
  <si>
    <t>Friday 6-8 p.m.</t>
  </si>
  <si>
    <t>Christmas at the Millhouse</t>
  </si>
  <si>
    <t>Christmas Program</t>
  </si>
  <si>
    <t>Cost was for lights that will be used each year.</t>
  </si>
  <si>
    <t>Historic Site Admission, video, museum, for Month of December</t>
  </si>
  <si>
    <t>All Park Staff</t>
  </si>
  <si>
    <t>Boy Scout Group, Albany GA</t>
  </si>
  <si>
    <t>Boy Scout Group</t>
  </si>
  <si>
    <t>Reynolds Mansion</t>
  </si>
  <si>
    <t>Mon-Sat/8:30-12:00p/8:30-4:30p</t>
  </si>
  <si>
    <t>Christmas Tours</t>
  </si>
  <si>
    <t>Christmas tour of the decorated Mansion including a breakfast(Saturdays) or a lunch(Week days)</t>
  </si>
  <si>
    <t>Friends Of Sapelo</t>
  </si>
  <si>
    <t>Intro to site</t>
  </si>
  <si>
    <t>Introduction and site film</t>
  </si>
  <si>
    <t>Interpretive Ranger and Part TIme Staff</t>
  </si>
  <si>
    <t>Ranger led scavenger hunts through history</t>
  </si>
  <si>
    <t>Interpretive Ranger and Part time staff</t>
  </si>
  <si>
    <t>Sat 5:30PM-7:30PM</t>
  </si>
  <si>
    <t>Santa and Holiday Hayride</t>
  </si>
  <si>
    <t>Campfire, crafts, hayride, visit with Santa</t>
  </si>
  <si>
    <t>15 volunteers, Part-time Ranger and Assistant Manager</t>
  </si>
  <si>
    <t>Friends Group paid $100 for hot chocolate, marshmallows, cups, spoons &amp; napkins- Do Event again. Weather was bad! -park pretty empty. Excellent layout and will do again.</t>
  </si>
  <si>
    <t>Sunday 2-3:30PM</t>
  </si>
  <si>
    <t>Holiday Card Workshop</t>
  </si>
  <si>
    <t>make holiday cards from recycled paper and plant materials</t>
  </si>
  <si>
    <t>Do again on a Saturday or Friday night.</t>
  </si>
  <si>
    <t>Bird Walk in campground</t>
  </si>
  <si>
    <t>Volunteers led 1 walk Part-time Interp led 3</t>
  </si>
  <si>
    <t>Cold and wet conditions hampered walks</t>
  </si>
  <si>
    <t>Sat 10AM -2PM</t>
  </si>
  <si>
    <t>Trees For Wildlife Give-A-Way &amp; Planting</t>
  </si>
  <si>
    <t>Tree seedling give-a-way and Tree Planting on park</t>
  </si>
  <si>
    <t>Part-time ranger &amp; 1 volunteer</t>
  </si>
  <si>
    <t>Got grant from NWF to give away trees and have people plant them in park- Do again! Write another grant.</t>
  </si>
  <si>
    <t>Sat1-2:30PM</t>
  </si>
  <si>
    <t>Winter Tree Walk</t>
  </si>
  <si>
    <t>1 mile walk highlighting Tree ID natural history</t>
  </si>
  <si>
    <t>Bad Weather. Do again</t>
  </si>
  <si>
    <t>Sat 5:30-6:30</t>
  </si>
  <si>
    <t>Holiday Campsitw Decorating Contest</t>
  </si>
  <si>
    <t>campsite decorating contest</t>
  </si>
  <si>
    <t>Part-time Interp &amp; 2 Vol</t>
  </si>
  <si>
    <t>Do again every holiday</t>
  </si>
  <si>
    <t>Holiday Crafts</t>
  </si>
  <si>
    <t>Natural Crafts</t>
  </si>
  <si>
    <t>Maybe offer on Sat &amp; shorten the time open.  Still need to have it at the Group Shelter</t>
  </si>
  <si>
    <t>Sunday 7:00AM</t>
  </si>
  <si>
    <t>40 Mile Guts Run</t>
  </si>
  <si>
    <t>PMt run</t>
  </si>
  <si>
    <t>270 Group Shelter Rental</t>
  </si>
  <si>
    <t>December 6th, 2013 1-2:30 p.m.</t>
  </si>
  <si>
    <t>Walk the grounds and explore the various habitats of High Falls.</t>
  </si>
  <si>
    <t>December 7th, 2013 11 a.m. and 3 p.m.</t>
  </si>
  <si>
    <t>Hike that takes place on historic trail, discussed the history of the park.</t>
  </si>
  <si>
    <t>December 13th, 2013 1-2 p.m.</t>
  </si>
  <si>
    <t>Covers the foundations of Birding and includes bird watching session, explanation of adaptions, and local bird species.</t>
  </si>
  <si>
    <t>December 14th, 2013 1-2 p.m.</t>
  </si>
  <si>
    <t>Learn about woodland edible plants and their medicinal uses.</t>
  </si>
  <si>
    <t>December 14th, 2013 3-4 p.m.</t>
  </si>
  <si>
    <t>Christmas Crafts</t>
  </si>
  <si>
    <t>Join an interpretive ranger in the construction of Christmas themed nature crafts!</t>
  </si>
  <si>
    <t>Saturday, 6-8 p.m</t>
  </si>
  <si>
    <t>Caroling Through the Hills</t>
  </si>
  <si>
    <t>Caroling Hayride, pictures with santa, crafts, bonfire</t>
  </si>
  <si>
    <t>Rainy night, advertised with the school flyers.</t>
  </si>
  <si>
    <t>DEC 7TH 1-4</t>
  </si>
  <si>
    <t>CHRISTMAS pROGRAM</t>
  </si>
  <si>
    <t>SANTA 'S WORKSHOP</t>
  </si>
  <si>
    <t>19TH 10AM</t>
  </si>
  <si>
    <t>PERDUE ELEMENTRY</t>
  </si>
  <si>
    <t>CRAFT WORKSHOP</t>
  </si>
  <si>
    <t>20TH 10AM</t>
  </si>
  <si>
    <t>BACONTON CHARTER SCHOOL</t>
  </si>
  <si>
    <t>HIKE</t>
  </si>
  <si>
    <t>Tuesday, 9:00 - 11:00 a.m.</t>
  </si>
  <si>
    <t>Mamie Lou Gross Elementary School</t>
  </si>
  <si>
    <t>Insects, Reptiles</t>
  </si>
  <si>
    <t>Wednesday, 9:30 - 11:30 a.m.</t>
  </si>
  <si>
    <t>Friday, 3:30 - 4:30 a.m.</t>
  </si>
  <si>
    <t>Box Turtle</t>
  </si>
  <si>
    <t>Saturday, 10:00 a.m. - 12:0 p.m.</t>
  </si>
  <si>
    <t>Nature</t>
  </si>
  <si>
    <t>Saturday, 11:30 a.m. - 2:30 p.m.</t>
  </si>
  <si>
    <t>high tide</t>
  </si>
  <si>
    <t>Interpretive Ranger, Assistant Manager</t>
  </si>
  <si>
    <t>Saturday, 3:00 - 4:00 p.m.</t>
  </si>
  <si>
    <t>BSA 477</t>
  </si>
  <si>
    <t>Tuesday, 2:00 - 3:00 p.m.</t>
  </si>
  <si>
    <t>Friday, 6:00 - 7:00 p.m.</t>
  </si>
  <si>
    <t>Friday, 3:30 - 4:30 p.m.</t>
  </si>
  <si>
    <t>Box Turrtle</t>
  </si>
  <si>
    <t>Saturday, 3:00 - 6:00 p.m.</t>
  </si>
  <si>
    <t>Christmas at the Nature Center</t>
  </si>
  <si>
    <t>hayrides, campfire, crafts</t>
  </si>
  <si>
    <t>Interpretive Ranger, Manager, Part-time Interpretive Staff, Volunteers</t>
  </si>
  <si>
    <t>Corn Snake</t>
  </si>
  <si>
    <t>Saturday, 1:00  -2:00 p.m.</t>
  </si>
  <si>
    <t>Sensory Hike</t>
  </si>
  <si>
    <t>Sunday, 10:00 - 11:30 a.m.</t>
  </si>
  <si>
    <t>Sunday, 3:30 - 4:30 p.m.</t>
  </si>
  <si>
    <t>Terrapin</t>
  </si>
  <si>
    <t>Monday, 3:30 - 4:30 p.m.</t>
  </si>
  <si>
    <t>Hognose</t>
  </si>
  <si>
    <t>December</t>
  </si>
  <si>
    <t>Saturday, 4-7 p.m.</t>
  </si>
  <si>
    <t>Christmas Tree Lighting</t>
  </si>
  <si>
    <t>Christmas Holiday Celebration</t>
  </si>
  <si>
    <t>Saturday 9-11</t>
  </si>
  <si>
    <t>Christmas at the gorge</t>
  </si>
  <si>
    <t>provided different crafts, a music group, Santa and snacks for visitors</t>
  </si>
  <si>
    <t>Wednesday 6-8</t>
  </si>
  <si>
    <t>Hunter Ed</t>
  </si>
  <si>
    <t>presented hunter education to visitors</t>
  </si>
  <si>
    <t>WRD Rangers</t>
  </si>
  <si>
    <t>daily</t>
  </si>
  <si>
    <t>due to cold weather, crowds were limited.</t>
  </si>
  <si>
    <t>Wednesday, 3pm</t>
  </si>
  <si>
    <t>Jim Laine Group</t>
  </si>
  <si>
    <t>Ranger led fort tour, soldier talk, musket firing</t>
  </si>
  <si>
    <t>All about Black Bears</t>
  </si>
  <si>
    <t>Learn about the habits of bears</t>
  </si>
  <si>
    <t>Holiday Camp</t>
  </si>
  <si>
    <t>Camp for children to do holiday activities</t>
  </si>
  <si>
    <t>not enough children signed up for the events</t>
  </si>
  <si>
    <t>Friday 6:00 p.m.</t>
  </si>
  <si>
    <t>Family Solstice</t>
  </si>
  <si>
    <t>families enjoyed a candle light hike and made twinkle boats to drift in the water</t>
  </si>
  <si>
    <t>Saturday 1:00 p.m.</t>
  </si>
  <si>
    <t>Winter Day Tours with Porridge and Coffee at Hardman Farm</t>
  </si>
  <si>
    <t>Visitors enjoyed a tour of hardman farm and then enjoyed a bowl of porridge and cup of coffee donated by Nora Mill and Jumping Goats Coffee Roasters</t>
  </si>
  <si>
    <t>Visitors get a "behind the scenes" tour of Smithgall Woods</t>
  </si>
  <si>
    <t>Saturday 1:.. p.m.</t>
  </si>
  <si>
    <t>Evergreen Hike</t>
  </si>
  <si>
    <t>visitors enjoyed a hike while viewing the evergreen plants of Smithgall Woods</t>
  </si>
  <si>
    <t>Wilbanks Middle School -  Toothpick Fish</t>
  </si>
  <si>
    <t>students learn about the anatomy of fish</t>
  </si>
  <si>
    <t>Wilbanks Midlle School - Toothpick fish</t>
  </si>
  <si>
    <t>Demorest Elementary School  -  Toothpick fish</t>
  </si>
  <si>
    <t>Friday 10:00 a.m.</t>
  </si>
  <si>
    <t>White County Middle - Animal Adaptations</t>
  </si>
  <si>
    <t>students learn about adapatations of animals</t>
  </si>
  <si>
    <t>Mossy Creek Elementary - Animal Adaptations</t>
  </si>
  <si>
    <t>Union Elementary -  Animal adaptations</t>
  </si>
  <si>
    <t>Friday 8:30 a.m.</t>
  </si>
  <si>
    <t>Wilbanks MIddle School- Career Day</t>
  </si>
  <si>
    <t>Tuesday, 4:00 p.m.</t>
  </si>
  <si>
    <t>Local Hot Air Balloon group toured the Hardman Site</t>
  </si>
  <si>
    <t>Blacksmithing</t>
  </si>
  <si>
    <t>Mark Henderson swung the hammer ad forged nails thru the day.</t>
  </si>
  <si>
    <t>Tuesday, 9:30-11am</t>
  </si>
  <si>
    <t>Early Georgia @ Governor's Mansion</t>
  </si>
  <si>
    <t>Coastal DNR historic site staff conducted programs for visitors to the GA Governor's mansion.</t>
  </si>
  <si>
    <t>Manager, Ranger, Trades Craftsman</t>
  </si>
  <si>
    <t>Wednesday, 9:30-11am</t>
  </si>
  <si>
    <t>Thursday, 9:30-11am</t>
  </si>
  <si>
    <t>Costumed interpretters</t>
  </si>
  <si>
    <t>Doesn't count week at governor's mansion.</t>
  </si>
  <si>
    <t>December 31st 10 AM</t>
  </si>
  <si>
    <t>Private Tour of Site</t>
  </si>
  <si>
    <t>Saturday, 7-8:30pm</t>
  </si>
  <si>
    <t>A Colonial Christmas with the Garrison</t>
  </si>
  <si>
    <t>Site staff, along with the Garrison presented a catered evening meal, along with musical entertainment.</t>
  </si>
  <si>
    <t>Sterling Elementary</t>
  </si>
  <si>
    <t>Tuesday-Sunday 11:00 and 2:00</t>
  </si>
  <si>
    <t>Guided Tours</t>
  </si>
  <si>
    <t>Low numbers a result of cold weather I assume.</t>
  </si>
  <si>
    <t>Sunday December 15</t>
  </si>
  <si>
    <t>Presentation and demonstrations of Christmas during Colonial Era</t>
  </si>
  <si>
    <t>8th-13th</t>
  </si>
  <si>
    <t>Governor's Mansion</t>
  </si>
  <si>
    <t>Carolling, games, and demonstrations</t>
  </si>
  <si>
    <t>Lots of fun and should generate lots of awareness for the parks in the Atlanta area</t>
  </si>
  <si>
    <t>Saturdy, 6:00pm-7:30pm</t>
  </si>
  <si>
    <t>ranger-led hayride to Jack's Hill with campfire and s'mores</t>
  </si>
  <si>
    <t>Wednesday, 10:00am-11:30am</t>
  </si>
  <si>
    <t>Atlanta International Montessori/History&amp;Nature hike to the mill</t>
  </si>
  <si>
    <t>school nature and history hike to the mill</t>
  </si>
  <si>
    <t>Saturday, 2:00pm-3:00pm</t>
  </si>
  <si>
    <t>"Hands on" Snake Awareness Program</t>
  </si>
  <si>
    <t>hands-on snake awareness demonstration</t>
  </si>
  <si>
    <t>Sunday, 1:00pm-4:00pm</t>
  </si>
  <si>
    <t>Backcountry Geology Hike</t>
  </si>
  <si>
    <t>geologist-led geology hike to New Manchester quarry</t>
  </si>
  <si>
    <t>Friday, 1:00pm-3:00pm</t>
  </si>
  <si>
    <t>Art in the Park</t>
  </si>
  <si>
    <t>2 hour access to New Manchester Mill for photography or painting</t>
  </si>
  <si>
    <t>Park Secretary</t>
  </si>
  <si>
    <t>Saturday,6:00pm-7:30pm</t>
  </si>
  <si>
    <t>Hayrides and S'mores</t>
  </si>
  <si>
    <t>ranger-led hayride to Jack's Hill and campfire with S'mores</t>
  </si>
  <si>
    <t>Friday, 9:00am-2:00pm</t>
  </si>
  <si>
    <t>Jr. Ranger camp attaining the level 1 Deer Badge</t>
  </si>
  <si>
    <t>Friday, 7:00pm-9:00pm</t>
  </si>
  <si>
    <t>night hike to Jack's Hill to search the sky for stars, planets, constellations</t>
  </si>
  <si>
    <t>Friday, 11:00am-1:30pm</t>
  </si>
  <si>
    <t>School parogram</t>
  </si>
  <si>
    <t>Friday, 9;00am - 12:30</t>
  </si>
  <si>
    <t>East Lauren Elem.</t>
  </si>
  <si>
    <t>Thurs 9:00am - 12:30pm</t>
  </si>
  <si>
    <t>East Lassrens Elem.</t>
  </si>
  <si>
    <t>Friday, 11:00am - 1:30pm</t>
  </si>
  <si>
    <t>John Hancock Acadamy</t>
  </si>
  <si>
    <t>Saturday, 9:00am - 3;30 pm</t>
  </si>
  <si>
    <t>Christmas program</t>
  </si>
  <si>
    <t>Tours</t>
  </si>
  <si>
    <t>tue 10am</t>
  </si>
  <si>
    <t>richmond Schools</t>
  </si>
  <si>
    <t>sat  8am-6pm</t>
  </si>
  <si>
    <t>winter muster</t>
  </si>
  <si>
    <t>military life camp, drill, weapons firing</t>
  </si>
  <si>
    <t>75 volunteers</t>
  </si>
  <si>
    <t>sun 14pm</t>
  </si>
  <si>
    <t>gen hist</t>
  </si>
  <si>
    <t>hist of fort</t>
  </si>
  <si>
    <t>tue 1pm</t>
  </si>
  <si>
    <t>'12/14/13 8:00 pm</t>
  </si>
  <si>
    <t>'12/21/13</t>
  </si>
  <si>
    <t>11-29 to 12-31</t>
  </si>
  <si>
    <t>Lights on the Lake</t>
  </si>
  <si>
    <t>Christmas Lights around Park</t>
  </si>
  <si>
    <t>Friends of Sloppy Floyd State Park spent $1000 dollar on purchasing scenes for Lights on the Lake.  Another expense was power to run lights.  Park paid that.</t>
  </si>
  <si>
    <t>No show</t>
  </si>
  <si>
    <t>December 2013 Programs in Georgia State Parks &amp; Historic Sites -   35 sites offered programs this month</t>
  </si>
  <si>
    <t>Wednesday, 10-11am</t>
  </si>
  <si>
    <t>First Day Hike</t>
  </si>
  <si>
    <t>First hike of the new year</t>
  </si>
  <si>
    <t>Wednesday 12-3</t>
  </si>
  <si>
    <t>New Years Day Hike</t>
  </si>
  <si>
    <t>Guided HIke</t>
  </si>
  <si>
    <t>First Hike had 3 people, second hike was cancelled due to rain, and animal program had 8 people before hike</t>
  </si>
  <si>
    <t>Wednesday 1/1/2014</t>
  </si>
  <si>
    <t>Demonstration of primative tools and weapons</t>
  </si>
  <si>
    <t>Wednesday 1/1/2014 9:30 am</t>
  </si>
  <si>
    <t>1st Day Hike</t>
  </si>
  <si>
    <t>1.5 mile guided hike meandering through the site</t>
  </si>
  <si>
    <t>lots of family "friends" passes were used</t>
  </si>
  <si>
    <t>Wednesday 3-5 pm</t>
  </si>
  <si>
    <t>Newyears Day Hike on Brantley Horse Trail</t>
  </si>
  <si>
    <t>Wednesday, all day</t>
  </si>
  <si>
    <t>First Day Fitness Challenge</t>
  </si>
  <si>
    <t>4 tasks to complete challenge</t>
  </si>
  <si>
    <t>$20 in canoe rentals (indirect revenue)</t>
  </si>
  <si>
    <t>Wednesday, 8:30-10 am</t>
  </si>
  <si>
    <t>Ranger-led hike on White Tail Trail</t>
  </si>
  <si>
    <t>Wednesday, 11am-1pm</t>
  </si>
  <si>
    <t>Plants, Animal and Historic building id</t>
  </si>
  <si>
    <t>The program was great, one couple drove 2hrs just for the program. We will be offering other hikes throughout the year.</t>
  </si>
  <si>
    <t>Don Carter</t>
  </si>
  <si>
    <t>Saturday 11-1</t>
  </si>
  <si>
    <t>Wednesday, 1/1/14, 1-2 PM</t>
  </si>
  <si>
    <t>Ranger lead hike on three mile trail.</t>
  </si>
  <si>
    <t>1/2/2014 18:34:02</t>
  </si>
  <si>
    <t>Thursday 2nd</t>
  </si>
  <si>
    <t>Brief introduction of the site via the diarama</t>
  </si>
  <si>
    <t>Friday 3rd 9-5</t>
  </si>
  <si>
    <t>site intro</t>
  </si>
  <si>
    <t>brief desription of the site based around the diarama</t>
  </si>
  <si>
    <t>Very cold outside... most everyone was traveling through and in a rush.</t>
  </si>
  <si>
    <t>Saturday, 9-10:30 am</t>
  </si>
  <si>
    <t>First Saturday Hike</t>
  </si>
  <si>
    <t>Ranger-led hike on the Sweetgum Trail</t>
  </si>
  <si>
    <t>Wednesday, 9:00 am- 1:00 pm</t>
  </si>
  <si>
    <t>First Day hike</t>
  </si>
  <si>
    <t>GATC</t>
  </si>
  <si>
    <t>The Life Enrichment Center</t>
  </si>
  <si>
    <t>Nature film</t>
  </si>
  <si>
    <t>Chattahoochee Bend</t>
  </si>
  <si>
    <t>Wednesday 2:00-4:00</t>
  </si>
  <si>
    <t>bad weather each weekend during the month, only outdoor activities available at CBSP</t>
  </si>
  <si>
    <t>Storytime</t>
  </si>
  <si>
    <t>Storytime with "Anybody Home?" about animal homes</t>
  </si>
  <si>
    <t>Saturday 4th  9-5</t>
  </si>
  <si>
    <t>Brief introduction and history of the site based around the diarama</t>
  </si>
  <si>
    <t>Thursday 9th</t>
  </si>
  <si>
    <t>Bried introduction and history of the site focused around our diarama</t>
  </si>
  <si>
    <t>Friday, 1:30-2:30 pm</t>
  </si>
  <si>
    <t>A. Brian Merry Elementary/ Predators</t>
  </si>
  <si>
    <t>share hawk, snake, babcat &amp; fox</t>
  </si>
  <si>
    <t>Clerk, Assistant Manager</t>
  </si>
  <si>
    <t>Friday 10am-3pm</t>
  </si>
  <si>
    <t>Homeschool in the Park</t>
  </si>
  <si>
    <t>homeschool</t>
  </si>
  <si>
    <t>Homeschool in the park, cold weather earlier in week and rain prevented people from coming out, make sure to get all times right</t>
  </si>
  <si>
    <t>Saturday 11 11-12pm</t>
  </si>
  <si>
    <t>Snakes</t>
  </si>
  <si>
    <t>Showed native snakes to visitors</t>
  </si>
  <si>
    <t>Heavy storms leading up to event.</t>
  </si>
  <si>
    <t>Life Enrichment/ Winter Season</t>
  </si>
  <si>
    <t>Observe changes in trees during the winter, craft</t>
  </si>
  <si>
    <t>Tuesday, Jan. 14, 9-10 am</t>
  </si>
  <si>
    <t>Birding and Coffee</t>
  </si>
  <si>
    <t>Birdwatching from inside the Discovery Room</t>
  </si>
  <si>
    <t>Nature walk, trail clean-up</t>
  </si>
  <si>
    <t>Friday  1/10   1:00</t>
  </si>
  <si>
    <t>brief disscussion of the site based areound our diarama</t>
  </si>
  <si>
    <t>Saturday 1/11  9-5</t>
  </si>
  <si>
    <t>Brief discussion on the site using the diarama</t>
  </si>
  <si>
    <t>Wednesday 1/15 3:30</t>
  </si>
  <si>
    <t>brief introiduction to site based on the diarama</t>
  </si>
  <si>
    <t>Friday 1/17</t>
  </si>
  <si>
    <t>Discussions about the site based on the diarama</t>
  </si>
  <si>
    <t>It's been cold for several weeks. Many people don't want to go outside for more than to get a photo of the mounds at a distance. 
A few guests were here for birding.</t>
  </si>
  <si>
    <t>Friday 5-6pm</t>
  </si>
  <si>
    <t>Pontoon Tours</t>
  </si>
  <si>
    <t>tour of lake</t>
  </si>
  <si>
    <t>delayed start, had to pull stranded boater back to dock</t>
  </si>
  <si>
    <t>saturday 8-10</t>
  </si>
  <si>
    <t>service project</t>
  </si>
  <si>
    <t>clean up day use</t>
  </si>
  <si>
    <t>saturday 10-12pm</t>
  </si>
  <si>
    <t>guided hike</t>
  </si>
  <si>
    <t>nature trail</t>
  </si>
  <si>
    <t>saturday 2-3pm</t>
  </si>
  <si>
    <t>nap time</t>
  </si>
  <si>
    <t>animal program</t>
  </si>
  <si>
    <t>Wagon ride at night</t>
  </si>
  <si>
    <t>First clear weekend night in 6 weeks.  Very cold however!</t>
  </si>
  <si>
    <t>Saturday 1-4 p.m.</t>
  </si>
  <si>
    <t>Tree ID hike</t>
  </si>
  <si>
    <t>Tree ID on Brantley and Beaver Pond Loop Trails</t>
  </si>
  <si>
    <t>Saturday, 9-4:30 pm</t>
  </si>
  <si>
    <t>Dulcimer Jam</t>
  </si>
  <si>
    <t>Dulcimeer playing enjoyed by public</t>
  </si>
  <si>
    <t>Friends</t>
  </si>
  <si>
    <t>Monday, 9:30-2 pm</t>
  </si>
  <si>
    <t>Jr. Ranger's-</t>
  </si>
  <si>
    <t>Outdoor Skills- Lost but Now Found, Survival Kit, created solar oven, fire building, knot tying and shelter building</t>
  </si>
  <si>
    <t>Clerk &amp; Volunteer</t>
  </si>
  <si>
    <t>Assistant Manager observed program for her learning</t>
  </si>
  <si>
    <t>Saturday, Jan. 18, 10 am - 1 pm</t>
  </si>
  <si>
    <t>Geocaching 101</t>
  </si>
  <si>
    <t>Intro to geocaching presentation in Discovery Room and then group headed outside to find geocaches</t>
  </si>
  <si>
    <t>Accidentally put the wrong time online but because a volunteer helped to put the program on, we were able to do two programs (a second one for those who showed up at the "wrong" time)</t>
  </si>
  <si>
    <t>Tuesday, Jan. 21, 9-10 am</t>
  </si>
  <si>
    <t>Birdwatching and Coffee</t>
  </si>
  <si>
    <t>Birdwatching inside Discovery Room to learn about common backyard birds</t>
  </si>
  <si>
    <t>Friday, Jan 17, 10 am - 12 pm</t>
  </si>
  <si>
    <t>Atlanta Classical Christian Academy/Tour &amp; Soldier's Life</t>
  </si>
  <si>
    <t>Site intro video, guided tour of battlefield on White Trail, Soldier's Life demonstration</t>
  </si>
  <si>
    <t>Conducted by Ranger Marcus from Red Top because James Wooten is recovering from leg injury.</t>
  </si>
  <si>
    <t>Big Canoe Book Club</t>
  </si>
  <si>
    <t>Local book club chose "House on Diamond Hill" to discuss and came to see the slave exhibit described in the book.</t>
  </si>
  <si>
    <t>Saturday 1/18 9-5</t>
  </si>
  <si>
    <t>Site introduction</t>
  </si>
  <si>
    <t>Wednesday, 2-4 PM</t>
  </si>
  <si>
    <t>Nature Hike around Lower Lake</t>
  </si>
  <si>
    <t>Thursday 1/16</t>
  </si>
  <si>
    <t>Casa Montesouri</t>
  </si>
  <si>
    <t>Tools and weapons demonstration, Site tour, and film</t>
  </si>
  <si>
    <t>Wed and Thur, Jan. 8-9, 9:30 am-2:30 pm</t>
  </si>
  <si>
    <t>Fort Benning US Army Staff Ride/Soldier's Life and Self-guided tour</t>
  </si>
  <si>
    <t>Soldier's Life and Battlefield Tour</t>
  </si>
  <si>
    <t>Keep Reed Bingham Beautiful</t>
  </si>
  <si>
    <t>trail clean up</t>
  </si>
  <si>
    <t>cold weather,</t>
  </si>
  <si>
    <t>Saturday, 10 A.M.-2 P.M.</t>
  </si>
  <si>
    <t>Winter Wonder Hike</t>
  </si>
  <si>
    <t>5-mile hike on the Lake Brantley horse trail.</t>
  </si>
  <si>
    <t>Hike only took about 3 hours.  Everyone was moving pretty fast because of the cold weather.</t>
  </si>
  <si>
    <t>Sunday 8 - 11:30 am</t>
  </si>
  <si>
    <t>Atlanta Audubon Society Bird Walk</t>
  </si>
  <si>
    <t>First time seeing Redhead Ducks at Panola Mountain, great looks at an American Kestrel as well.</t>
  </si>
  <si>
    <t>Friday, 2:30-3:30</t>
  </si>
  <si>
    <t>Predators</t>
  </si>
  <si>
    <t>Adaptations of fox, hawk and snake-  Food Chains</t>
  </si>
  <si>
    <t>Life Enrichment/ Lost But Now Found</t>
  </si>
  <si>
    <t>Life but now found safe &amp; sound</t>
  </si>
  <si>
    <t>Sat &amp; Sun 10-12pm, 2-4pm</t>
  </si>
  <si>
    <t>Indoor Archery</t>
  </si>
  <si>
    <t>Indoor Basic Archery</t>
  </si>
  <si>
    <t>We had 33 people attend the program with the discounted groupon rate.</t>
  </si>
  <si>
    <t>Wednesday, 11 AM-12:30</t>
  </si>
  <si>
    <t>Black Bear Plunge</t>
  </si>
  <si>
    <t>Jump into Fort Mountain lake on Nw Year's Day</t>
  </si>
  <si>
    <t>Annual Black Bear Plunge</t>
  </si>
  <si>
    <t>Wednesday, Jan 1, 11:12:30</t>
  </si>
  <si>
    <t>New Years Hike around the lake</t>
  </si>
  <si>
    <t>Get in shape for the new year</t>
  </si>
  <si>
    <t>start the new year off with a hike.</t>
  </si>
  <si>
    <t>Friday 9-5</t>
  </si>
  <si>
    <t>introduction to the site</t>
  </si>
  <si>
    <t>Geocampers farm tour</t>
  </si>
  <si>
    <t>Guided tour of heritage farm</t>
  </si>
  <si>
    <t>food for home school program</t>
  </si>
  <si>
    <t>Saturday 8-9pm</t>
  </si>
  <si>
    <t>Character visit campfire program</t>
  </si>
  <si>
    <t>Thursday 10am - 1 pm</t>
  </si>
  <si>
    <t>Home school Program- A Day on the Farm</t>
  </si>
  <si>
    <t>Kids experience daily farm activities</t>
  </si>
  <si>
    <t>Sunbury and the Civil War</t>
  </si>
  <si>
    <t>soldier talks and cannon demos</t>
  </si>
  <si>
    <t>Wednesday, 7:00-9:00 p.m.</t>
  </si>
  <si>
    <t>Northwest Georgia Archaeology Society</t>
  </si>
  <si>
    <t>Pottery Washing/Lecture</t>
  </si>
  <si>
    <t>Wednesday, 1:00 - 3:00 PM</t>
  </si>
  <si>
    <t>Bay Boardwalk Trail</t>
  </si>
  <si>
    <t>Thursday, 10:00 - 11:00 AM</t>
  </si>
  <si>
    <t>turtles and craft</t>
  </si>
  <si>
    <t>Thursday, 3:30 - 4:30 PM</t>
  </si>
  <si>
    <t>Friday, 3:30 - 4:30 PM</t>
  </si>
  <si>
    <t>Friday, 6:00 - 7:00 PM</t>
  </si>
  <si>
    <t>Saturday, 10:00 - 11:00 AM</t>
  </si>
  <si>
    <t>Winter Craft</t>
  </si>
  <si>
    <t>Saturday, 1:00 - 2:00 PM</t>
  </si>
  <si>
    <t>Saturday, 7:30 - 8:30 PM</t>
  </si>
  <si>
    <t>Thursday, 3:00 - 4:00 PM</t>
  </si>
  <si>
    <t>Saturday, 3:00 - 4:00 PM</t>
  </si>
  <si>
    <t>Wildlife Feeding</t>
  </si>
  <si>
    <t>RAIN</t>
  </si>
  <si>
    <t>Friday, 11:00 AM - 2:00 PM</t>
  </si>
  <si>
    <t>Georgia Connections (online homeschool)</t>
  </si>
  <si>
    <t>live animals and adaptations</t>
  </si>
  <si>
    <t>box turtle</t>
  </si>
  <si>
    <t>bird feeders</t>
  </si>
  <si>
    <t>Family Putt-Putt Tournament</t>
  </si>
  <si>
    <t>Sunday, 1:00 - 2:00 PM</t>
  </si>
  <si>
    <t>Sunday, 4:00 - 5:00 PM</t>
  </si>
  <si>
    <t>Dugger - Birthday Package</t>
  </si>
  <si>
    <t>live animal</t>
  </si>
  <si>
    <t>Sunday, 6:00 - 7:00 PM</t>
  </si>
  <si>
    <t>Monday, 10:00 AM - 12:00 PM</t>
  </si>
  <si>
    <t>corn snake &amp; box turtle</t>
  </si>
  <si>
    <t>Saturdays, 2:30 - 6:30 PM</t>
  </si>
  <si>
    <t>Basics of Photography</t>
  </si>
  <si>
    <t>Saturday, 2:00 - 3:00 PM</t>
  </si>
  <si>
    <t>Graf - Birthday Package</t>
  </si>
  <si>
    <t>Saturday, 6:00 - 7:00 PM</t>
  </si>
  <si>
    <t>Friday 1/23</t>
  </si>
  <si>
    <t>Interpretive Ranger and Intern</t>
  </si>
  <si>
    <t>Saturday 1/25</t>
  </si>
  <si>
    <t>Pack 1429</t>
  </si>
  <si>
    <t>Tools &amp; Weapons</t>
  </si>
  <si>
    <t>Skidaway Island First Day Hike</t>
  </si>
  <si>
    <t>Guided New Year's Day hike</t>
  </si>
  <si>
    <t>Thursday, 11 a.m.-12 p.m.</t>
  </si>
  <si>
    <t>Observe feeding stations</t>
  </si>
  <si>
    <t>Guided marsh hike</t>
  </si>
  <si>
    <t>Learn about lost prevention</t>
  </si>
  <si>
    <t>Thursday, 1-2 p.m.</t>
  </si>
  <si>
    <t>Tour the nature museum</t>
  </si>
  <si>
    <t>Friday, 3-4 p.m.</t>
  </si>
  <si>
    <t>Guided hike through maritime forest</t>
  </si>
  <si>
    <t>Ranger walks through campground to answer questions</t>
  </si>
  <si>
    <t>Learn how to build a fire</t>
  </si>
  <si>
    <t>Skull Identification</t>
  </si>
  <si>
    <t>Learn to identify skulls</t>
  </si>
  <si>
    <t>Learn about the history of the Georgia barrier islands</t>
  </si>
  <si>
    <t>Friday, 11 a.m.-12 p.m.</t>
  </si>
  <si>
    <t>Learn about reptiles and amphibians native to Georgia</t>
  </si>
  <si>
    <t>Make crafts from household items</t>
  </si>
  <si>
    <t>Tour of the nature museum</t>
  </si>
  <si>
    <t>Identify animal tracks and scat</t>
  </si>
  <si>
    <t>Sunday January 1, 6pm</t>
  </si>
  <si>
    <t>First Night Hike</t>
  </si>
  <si>
    <t>Night hike on nature trails then stories on the Temple Mound with fire.</t>
  </si>
  <si>
    <t>Program cost was for supplies for campfire. Event was very successful.</t>
  </si>
  <si>
    <t>Sunday 10-8pm</t>
  </si>
  <si>
    <t>All day retreat for college student volunteers to learn about teambuilding, leadership, and service.</t>
  </si>
  <si>
    <t>Event was extremely successful. All participants and staff enjoyed the day.</t>
  </si>
  <si>
    <t>Boy Scout Group-Tuscaloosa</t>
  </si>
  <si>
    <t>'1/4/2014</t>
  </si>
  <si>
    <t>New Year's Day Hike</t>
  </si>
  <si>
    <t>Start the New Year off with an New Years Day hike around the lkae.</t>
  </si>
  <si>
    <t>Ranger responds to questions and provide impromtude answers.</t>
  </si>
  <si>
    <t>Talk to people about camping and visiting Fort Mountain State Park and answer questions about park activities.</t>
  </si>
  <si>
    <t>1/8/14 - 1/9/14</t>
  </si>
  <si>
    <t>silverdale baptist academy</t>
  </si>
  <si>
    <t>Gave a boat tour and lead a hike for a private school group.</t>
  </si>
  <si>
    <t>'1/18/2014</t>
  </si>
  <si>
    <t>Led a nature hike for a group of Boy Scouts.</t>
  </si>
  <si>
    <t>23- 8am</t>
  </si>
  <si>
    <t>Brierwood Acadamy</t>
  </si>
  <si>
    <t>Geology hike</t>
  </si>
  <si>
    <t>1/18/14 8 pm</t>
  </si>
  <si>
    <t>24 10am</t>
  </si>
  <si>
    <t>Patula Acadamy</t>
  </si>
  <si>
    <t>Tour of Kirbo Center</t>
  </si>
  <si>
    <t>Monday, 2-3:30 p.m.</t>
  </si>
  <si>
    <t>Boy Scout Group Camp Thunder</t>
  </si>
  <si>
    <t>Education Tour of the Little White House</t>
  </si>
  <si>
    <t>Briarwood Academy</t>
  </si>
  <si>
    <t>Boy Scout Camp</t>
  </si>
  <si>
    <t>Scavenger Hunts for Kids and adults Staff help them to complete it.</t>
  </si>
  <si>
    <t>'1/19/14</t>
  </si>
  <si>
    <t>Hike on Billy's Island for Boy Scout group.</t>
  </si>
  <si>
    <t>First Day Hike at Laura S. Walker State Park</t>
  </si>
  <si>
    <t>Nature/Fitness hike on Big Creek Nature Trail</t>
  </si>
  <si>
    <t>It rained most of the day.  Only overnight campers were in attendance.</t>
  </si>
  <si>
    <t>Wednesday 2 pm</t>
  </si>
  <si>
    <t>7 mile hike around lake for first day hike</t>
  </si>
  <si>
    <t>January</t>
  </si>
  <si>
    <t>Tuesday, 12 pm</t>
  </si>
  <si>
    <t>Donalsonville Lion's Club</t>
  </si>
  <si>
    <t>Park presentation</t>
  </si>
  <si>
    <t>Manager and Assistant Manager</t>
  </si>
  <si>
    <t>Showing of site film</t>
  </si>
  <si>
    <t>Interpretive and Part time</t>
  </si>
  <si>
    <t>Wednesday 10 AM</t>
  </si>
  <si>
    <t>Hiking on the first day</t>
  </si>
  <si>
    <t>Teaching the basics of birding</t>
  </si>
  <si>
    <t>Foraging for Beginners</t>
  </si>
  <si>
    <t>Wednesday, 9am</t>
  </si>
  <si>
    <t>Wed,1-5 PM</t>
  </si>
  <si>
    <t>Horrible-wet weather the whole hike!</t>
  </si>
  <si>
    <t>Monday 1-4:30 PM</t>
  </si>
  <si>
    <t>MLK Day Hike</t>
  </si>
  <si>
    <t>bird walk near lake</t>
  </si>
  <si>
    <t>low numbers very cold</t>
  </si>
  <si>
    <t>Sat  12:30-2 PM</t>
  </si>
  <si>
    <t>Campground Chili Challenge</t>
  </si>
  <si>
    <t>amateur chili contest</t>
  </si>
  <si>
    <t>Money spent on hot chocolate, cups, spoons, chili awards, chili lights. Lights ( $125)and many supplies good for next year. Yes, do again!</t>
  </si>
  <si>
    <t>Sat 12-2 PM</t>
  </si>
  <si>
    <t>FDR Birthday Celebration</t>
  </si>
  <si>
    <t>birthday party &amp; CCC question &amp; answer</t>
  </si>
  <si>
    <t>Assist manager &amp; 2 vol</t>
  </si>
  <si>
    <t>Nice indoor event-always cold.  $125 cake, plates, forks, drinks donated</t>
  </si>
  <si>
    <t>Winter Crafts</t>
  </si>
  <si>
    <t>Put crafts indoors during cold weather. Maybe do on Sat instead.</t>
  </si>
  <si>
    <t>Thurs 8:30-11:30 AM</t>
  </si>
  <si>
    <t>Harris Co Carver Middle School Career Day</t>
  </si>
  <si>
    <t>Display/talk about park &amp; careers</t>
  </si>
  <si>
    <t>Interp Naturalist &amp; Manager Intern</t>
  </si>
  <si>
    <t>Do again. Good local PR.</t>
  </si>
  <si>
    <t>Sat 7AM-7PM</t>
  </si>
  <si>
    <t>Callaway Gardens Christmas Bird Count</t>
  </si>
  <si>
    <t>Daily 10 am &amp; 2 pm; Weds-Sat 5 pm</t>
  </si>
  <si>
    <t>Tour tour through the Okefenokee</t>
  </si>
  <si>
    <t>Sweetwater Creek's First Day Hike</t>
  </si>
  <si>
    <t>Nativ eAmerican heritage hike on yellow trail</t>
  </si>
  <si>
    <t>Wednesday, 2pm-3:30pm</t>
  </si>
  <si>
    <t>history hike to and inside New Manchester Mill ruins</t>
  </si>
  <si>
    <t>Thursday, 9am-2pm</t>
  </si>
  <si>
    <t>Junior Ranger Level I Day Camp</t>
  </si>
  <si>
    <t>Friday, 1pm-3pm</t>
  </si>
  <si>
    <t>access to the interior of the New Manchester Mill for artists</t>
  </si>
  <si>
    <t>Friday, 7pm-9pm</t>
  </si>
  <si>
    <t>2 mile night hike to Jacks Hill to search sky for stars, constellations.etc.</t>
  </si>
  <si>
    <t>Saturday, 5:30pm-7:30pm</t>
  </si>
  <si>
    <t>Park Nights City Lights Eastside Hike</t>
  </si>
  <si>
    <t>night hike to the east ridge</t>
  </si>
  <si>
    <t>Friday, 6:30pm-8pm</t>
  </si>
  <si>
    <t>"Ruins to Rapids" Full Moon Hike</t>
  </si>
  <si>
    <t>full moon night hike to New Manchester mill and rapids of Sweetwater Creek</t>
  </si>
  <si>
    <t>new manchester mill open to artists</t>
  </si>
  <si>
    <t>history hike to and inside the New Manchester Mill</t>
  </si>
  <si>
    <t>"Park Nights, City Lights" Night Hike</t>
  </si>
  <si>
    <t>night hike to east ridge</t>
  </si>
  <si>
    <t>Sunday, 1pm-4pm</t>
  </si>
  <si>
    <t>geologist led hike to geology of Jacks hill and quarry area</t>
  </si>
  <si>
    <t>Monday, 2pm-3:30pm</t>
  </si>
  <si>
    <t>Saturday 9am-2pm</t>
  </si>
  <si>
    <t>Level I Junior Ranger Day Camp</t>
  </si>
  <si>
    <t>New Manchester History hike</t>
  </si>
  <si>
    <t>history tourof and inside the New Manchester Mill</t>
  </si>
  <si>
    <t>Saturday, 2pm-3pm</t>
  </si>
  <si>
    <t>"Hands on" snake awareness program</t>
  </si>
  <si>
    <t>Saturday, 5pm-6:30pm</t>
  </si>
  <si>
    <t>tractor-drawn hayride to Jack's Hill and campfire with S'mores</t>
  </si>
  <si>
    <t>Friday, 2pm-4pm</t>
  </si>
  <si>
    <t>New Manchester Milll opened to artists</t>
  </si>
  <si>
    <t>night sky search for statrs, constellations, etc.</t>
  </si>
  <si>
    <t>tue 7-9pm</t>
  </si>
  <si>
    <t>RH methodist church mens club</t>
  </si>
  <si>
    <t>t/hist/demo</t>
  </si>
  <si>
    <t>month long exhibit,</t>
  </si>
  <si>
    <t>cannons from toy chest</t>
  </si>
  <si>
    <t>toy cannons inspired by cw artillery</t>
  </si>
  <si>
    <t>tue-fri 1-4pm</t>
  </si>
  <si>
    <t>Visitors learn about black bears</t>
  </si>
  <si>
    <t>Visitors have an opportunity to drive through the park to see</t>
  </si>
  <si>
    <t>Wednesday, 9:00</t>
  </si>
  <si>
    <t>First Day Camp</t>
  </si>
  <si>
    <t>Children attended camp learning about different cultures</t>
  </si>
  <si>
    <t>50.00 ed cabin rental</t>
  </si>
  <si>
    <t>Visitors can learn more about the Friends of Smithgall Group</t>
  </si>
  <si>
    <t>Conservation Club</t>
  </si>
  <si>
    <t>students work on conservation projects</t>
  </si>
  <si>
    <t>and Friends member</t>
  </si>
  <si>
    <t>Saturday 2:00 p.m.</t>
  </si>
  <si>
    <t>First Hike</t>
  </si>
  <si>
    <t>On New Years Day visitors enjoyed a hike with site manager.</t>
  </si>
  <si>
    <t>Beginner Beekeeping</t>
  </si>
  <si>
    <t>Visitors learn the basics about bee keeping</t>
  </si>
  <si>
    <t>Dulcimer Making Workshop</t>
  </si>
  <si>
    <t>Visitors made their own dulcimer</t>
  </si>
  <si>
    <t>Dulcimer Playing</t>
  </si>
  <si>
    <t>Friends member</t>
  </si>
  <si>
    <t>Toothpick Fish-North Gwinnett Middle</t>
  </si>
  <si>
    <t>Thursday, 1:00 p.m.</t>
  </si>
  <si>
    <t>Living-Non-Living-Demorest Elementary School</t>
  </si>
  <si>
    <t>students learn about living and non living items in nature</t>
  </si>
  <si>
    <t>Friday, 9:00 a.m.</t>
  </si>
  <si>
    <t>Living or non-living- Mt. Yonah Elementary School</t>
  </si>
  <si>
    <t>students learn about living non living ob</t>
  </si>
  <si>
    <t>Toothpick fish-Chestatee Academy</t>
  </si>
  <si>
    <t>students learn the anatomy of fish</t>
  </si>
  <si>
    <t>Monday, 9:00 a.m.</t>
  </si>
  <si>
    <t>C.S.I- South Habersham Middle - studnets learn to identify mammels by using clues</t>
  </si>
  <si>
    <t>Tuesday, 9:00 a.m.</t>
  </si>
  <si>
    <t>Animal Adaptations - South Hall Middle School</t>
  </si>
  <si>
    <t>students learn about the animal adaptations of animals</t>
  </si>
  <si>
    <t>Saturday 10:00</t>
  </si>
  <si>
    <t>First Visit Tour-GIrl Scout Troop</t>
  </si>
  <si>
    <t>Visitors get a tour through th park</t>
  </si>
  <si>
    <t>Saturday 7:00 p.m.</t>
  </si>
  <si>
    <t>Rabun Rendevous - Smithgall Educational Program</t>
  </si>
  <si>
    <t>WRD staff member Shelia gave a presentation to the Trout Unlimited group in Rabun County explaining the wonderful programming that takes place on and off site thanks to TU donations</t>
  </si>
  <si>
    <t>Visitors learn about Smithgall Woods</t>
  </si>
  <si>
    <t>Wednesday 10 am</t>
  </si>
  <si>
    <t>first day hike</t>
  </si>
  <si>
    <t>hiked to unique places in the park</t>
  </si>
  <si>
    <t>Thursday 6pm</t>
  </si>
  <si>
    <t>hunter education</t>
  </si>
  <si>
    <t>a hunter ed course so visitors could get there hunting liscense</t>
  </si>
  <si>
    <t>wrd ranger</t>
  </si>
  <si>
    <t>Hug a Tree Hike</t>
  </si>
  <si>
    <t>Full Moon Hike</t>
  </si>
  <si>
    <t>Short walk on the trails to  see falls under the full moon</t>
  </si>
  <si>
    <t>Barks and Bud Hike</t>
  </si>
  <si>
    <t>Learning how to ID trees by bark</t>
  </si>
  <si>
    <t>Georgia Explorers</t>
  </si>
  <si>
    <t>Kids program with Junior Ranger Activities</t>
  </si>
  <si>
    <t>Winter Nature Crafts</t>
  </si>
  <si>
    <t>Making crafts using nature</t>
  </si>
  <si>
    <t>Photography Workshop with Rena Johnson</t>
  </si>
  <si>
    <t>Beginner Yoga with Chris</t>
  </si>
  <si>
    <t>Yoga program presented by Chris O' Brien</t>
  </si>
  <si>
    <t>Outdoor yoga program</t>
  </si>
  <si>
    <t>Colonial Life reenactment</t>
  </si>
  <si>
    <t>Colonial Demonstrations</t>
  </si>
  <si>
    <t>By Request</t>
  </si>
  <si>
    <t>Guided Tour of Site</t>
  </si>
  <si>
    <t>Friday January 17</t>
  </si>
  <si>
    <t>School Group Visit</t>
  </si>
  <si>
    <t>Godley Station School</t>
  </si>
  <si>
    <t>$825 Fee paid to presenter</t>
  </si>
  <si>
    <t xml:space="preserve">Christmas Bird Count hosted and participated </t>
  </si>
  <si>
    <t>Campfire Program for Geocachers</t>
  </si>
  <si>
    <t>Site introduction and film</t>
  </si>
  <si>
    <t>6 PMT Vol &amp; I Part-time Interpreter</t>
  </si>
  <si>
    <t>January 2014 Programs in Georgia State Parks &amp; Historic Sites -   38 sites offered programs this month</t>
  </si>
  <si>
    <t>All LWH</t>
  </si>
  <si>
    <t>Saturday 10am - 12:30 pm</t>
  </si>
  <si>
    <t>Bird walk for all levels of birders</t>
  </si>
  <si>
    <t>Great turn out for a bird walk. We had 29 species, great for a late morning/early afternoon walk w/ a fairly large group of people.</t>
  </si>
  <si>
    <t>Saturday 2/1</t>
  </si>
  <si>
    <t>A mid-Winter's Day at Etowah</t>
  </si>
  <si>
    <t>Interpretive ranger, volunteers, intern, and the UGA county extension agent</t>
  </si>
  <si>
    <t>Low attendance may possiblly be due to previous weeks bad weather. It was still chilly outside.</t>
  </si>
  <si>
    <t>Saturday 2/1   3:30</t>
  </si>
  <si>
    <t>Intern</t>
  </si>
  <si>
    <t>Saturday, Feb. 1, 9-11 am</t>
  </si>
  <si>
    <t>3.5 mile hike on Homestead Trail loop</t>
  </si>
  <si>
    <t>All five people who attended heard about the program through a meetup group. Consider promoting hikes like this on meetup.</t>
  </si>
  <si>
    <t>Saturday, Feb 1, 1-2 pm</t>
  </si>
  <si>
    <t>Pinecone Birdfeeder Craft</t>
  </si>
  <si>
    <t>Helped visitors make pinecone birdfeeders</t>
  </si>
  <si>
    <t>Interpretive Ranger, one intern, and one volunteer</t>
  </si>
  <si>
    <t>Ground Hog Day Hike</t>
  </si>
  <si>
    <t>Guided hike on River Trail</t>
  </si>
  <si>
    <t>Post guided hikes on Friends site and Facebook</t>
  </si>
  <si>
    <t>Life Enrichment/Heartfiiled Tree</t>
  </si>
  <si>
    <t>painted a tree with hearts, valentine bingo</t>
  </si>
  <si>
    <t>Saturday, 10 am - 11 am</t>
  </si>
  <si>
    <t>The Life of A. H. Stephens</t>
  </si>
  <si>
    <t>Speech about life of A. H .Stephens for a group having program for his birthday</t>
  </si>
  <si>
    <t>Tuesday 5:30-7:30</t>
  </si>
  <si>
    <t>Family Discovery Night at Cartersville Elementary</t>
  </si>
  <si>
    <t>Hand out flyers of special events, geocaching history, and talking about the site to spur local support and attendance</t>
  </si>
  <si>
    <t>local kids at school/ free outreach</t>
  </si>
  <si>
    <t>Tuesday, Feb. 4, 5:30-7:30 pm</t>
  </si>
  <si>
    <t>Cartersville Elementary/Family Discovery Night</t>
  </si>
  <si>
    <t>Brought two snakes and promoted the park</t>
  </si>
  <si>
    <t>Friday 2/7</t>
  </si>
  <si>
    <t>I &lt;3 Animals</t>
  </si>
  <si>
    <t>Valentine's Day crafts</t>
  </si>
  <si>
    <t>Making animal crafts out of hearts and learning about local wildlife</t>
  </si>
  <si>
    <t>Saturday 8 am</t>
  </si>
  <si>
    <t>Volunteers helped lay sod</t>
  </si>
  <si>
    <t>Maintenance Ranger</t>
  </si>
  <si>
    <t>Saturday 10 a.m.- 2  p.m.</t>
  </si>
  <si>
    <t>Hike On Bike Trail</t>
  </si>
  <si>
    <t>Hike on Bike Trail</t>
  </si>
  <si>
    <t>Moved hike from Horse Trail to Bike Trail to accommodate two large equestrian groups.</t>
  </si>
  <si>
    <t>Weds and Fri 1-3 pm</t>
  </si>
  <si>
    <t>Cricket practice</t>
  </si>
  <si>
    <t>Practice for tournament</t>
  </si>
  <si>
    <t>Tournament to be held on Friday, February 14th</t>
  </si>
  <si>
    <t>Friday 10-3pm</t>
  </si>
  <si>
    <t>Home School in the Park</t>
  </si>
  <si>
    <t>Duck talk</t>
  </si>
  <si>
    <t>Valentines day wagon ride</t>
  </si>
  <si>
    <t>Really nice temperatures, but cloudy, chance of rain.  Most moved to Saturday night program.</t>
  </si>
  <si>
    <t>Saturday 9-10</t>
  </si>
  <si>
    <t>Plant n Play</t>
  </si>
  <si>
    <t>landscape mini golf</t>
  </si>
  <si>
    <t>cold weather</t>
  </si>
  <si>
    <t>Arbor Day Celebration</t>
  </si>
  <si>
    <t>plant trees and crafts</t>
  </si>
  <si>
    <t>saturday 1-2</t>
  </si>
  <si>
    <t>Wildlife Couples</t>
  </si>
  <si>
    <t>Saturday, 6-10 P.M.</t>
  </si>
  <si>
    <t>Valentine's Day Full Moon Wagon Ride</t>
  </si>
  <si>
    <t>Wagon ride beneath a full moon and starry skys.</t>
  </si>
  <si>
    <t>Resource Manager and Part-Time Naturalist</t>
  </si>
  <si>
    <t>Beautiful night! Constellations and full moon were spectacular.</t>
  </si>
  <si>
    <t>Saturday 2/8 9-5</t>
  </si>
  <si>
    <t>Brief introductry tour of the site and Mississipian culture based around our diarama</t>
  </si>
  <si>
    <t>Saturday 2/15</t>
  </si>
  <si>
    <t>brief site introduction based around the diarama</t>
  </si>
  <si>
    <t>Tools and Weapons Demo</t>
  </si>
  <si>
    <t>Demonstration of ancient tools and weapons</t>
  </si>
  <si>
    <t>A scout group showed up for the day</t>
  </si>
  <si>
    <t>10:30-12</t>
  </si>
  <si>
    <t>Life Enrichment/A Raccoon Valentine</t>
  </si>
  <si>
    <t>Raccoons and raccoon craft</t>
  </si>
  <si>
    <t>Monday 9:30-2</t>
  </si>
  <si>
    <t>Jr. Rangers- Focus Wildlife</t>
  </si>
  <si>
    <t>Georgia wildlife, nature hike, build suete feeder, dissect owl pellets</t>
  </si>
  <si>
    <t>6 children did not show up but were paid and registered</t>
  </si>
  <si>
    <t>Hofwyl Plantation</t>
  </si>
  <si>
    <t>Daily, 10am to 4pm</t>
  </si>
  <si>
    <t>House Tours</t>
  </si>
  <si>
    <t>Guided Tours of Plantation House</t>
  </si>
  <si>
    <t>Includes Christmas program</t>
  </si>
  <si>
    <t>1pm and 3 pm</t>
  </si>
  <si>
    <t>Presidents' Day Guided Tours</t>
  </si>
  <si>
    <t>Guided tour of the historic site</t>
  </si>
  <si>
    <t>The Life Enrichment Ctr/Field Day</t>
  </si>
  <si>
    <t>Field Day</t>
  </si>
  <si>
    <t>Saturday, Feb 8, 10-11 am</t>
  </si>
  <si>
    <t>Pollution</t>
  </si>
  <si>
    <t>Science experiments about water pollution</t>
  </si>
  <si>
    <t>Saturday, Feb 8, 1-2 pm</t>
  </si>
  <si>
    <t>Seed Bombs</t>
  </si>
  <si>
    <t>Made seed bombs out of dirt, clay, and seeds.</t>
  </si>
  <si>
    <t>Sunday, Feb 9, 12:30-1 pm</t>
  </si>
  <si>
    <t>Lost Prevention</t>
  </si>
  <si>
    <t>Lost Prevention video and activity</t>
  </si>
  <si>
    <t>Sunday, Feb 9, 1:30-2 pm</t>
  </si>
  <si>
    <t>Intro to Great Backyard Bird Count</t>
  </si>
  <si>
    <t>Presentation on what GBBC is and how people can be involved</t>
  </si>
  <si>
    <t>Friday, Feb 7, 10:30-11:30 am</t>
  </si>
  <si>
    <t>Read story "Henry the Impatient Heron"</t>
  </si>
  <si>
    <t>Friday, Feb 14, 6-7:30 pm</t>
  </si>
  <si>
    <t>Couples' Sunset Hike</t>
  </si>
  <si>
    <t>2 mile hike on Iron Hill trail to see sunset</t>
  </si>
  <si>
    <t>Free program but required registration. Good turnout even though it was cloudy.</t>
  </si>
  <si>
    <t>Saturday, Feb 15, 1-2 pm</t>
  </si>
  <si>
    <t>Pinecone Birdfeeder</t>
  </si>
  <si>
    <t>Made birdfeeders our of pinecones, peanut butter, cornmeal, and birdseed</t>
  </si>
  <si>
    <t>Sun &amp; Mon, Feb 16-17, 9:30-11:30 am</t>
  </si>
  <si>
    <t>Great Backyard Bird Count hike</t>
  </si>
  <si>
    <t>1 mile hike to identify and tally birds for the GBBC</t>
  </si>
  <si>
    <t>Friday, Feb 21, 10:30-11:30 am</t>
  </si>
  <si>
    <t>Awesome Adaptations live animal program</t>
  </si>
  <si>
    <t>Reptile program focusing on adaptations</t>
  </si>
  <si>
    <t>Saturday, Feb 22, 10-11 am and 1-2 pm</t>
  </si>
  <si>
    <t>Winter Tree ID hike</t>
  </si>
  <si>
    <t>.75 mile hike to identify ten common trees in winter</t>
  </si>
  <si>
    <t>Saturday 7-9am</t>
  </si>
  <si>
    <t>Buzzard Day 5k</t>
  </si>
  <si>
    <t>5k run/walk</t>
  </si>
  <si>
    <t>Late February , weather was variable all week</t>
  </si>
  <si>
    <t>Saturday 1-3</t>
  </si>
  <si>
    <t>Buzzard Tour</t>
  </si>
  <si>
    <t>pontoon tour</t>
  </si>
  <si>
    <t>Saturday 10 a.m. - 2 p.m.</t>
  </si>
  <si>
    <t>6-mile walk on bike trail</t>
  </si>
  <si>
    <t>Really nice weather.</t>
  </si>
  <si>
    <t>Sunday 8 - 11:30 a.m.</t>
  </si>
  <si>
    <t>Audubon Bird Walk</t>
  </si>
  <si>
    <t>Bird Walk Power of Flight Area</t>
  </si>
  <si>
    <t>Great day - over 40 species of birds.</t>
  </si>
  <si>
    <t>Sunday 10 A.M.-4 P.M.</t>
  </si>
  <si>
    <t>Hard Labor Creek Volunteer Sundays</t>
  </si>
  <si>
    <t>We cleared a fire break on a site where a prescribed fire is planned in the next month.</t>
  </si>
  <si>
    <t>Great work day! Beautiful weather.</t>
  </si>
  <si>
    <t>10-11:30 am</t>
  </si>
  <si>
    <t>Newcomers Club Cobb County/Presiednts Day Guided Tour</t>
  </si>
  <si>
    <t>Monday, 10-11:30</t>
  </si>
  <si>
    <t>Life Enrichment/  Nature Hike</t>
  </si>
  <si>
    <t>nature hike &amp; scavenger hunt</t>
  </si>
  <si>
    <t>Darlington Middle Sch/History Tours</t>
  </si>
  <si>
    <t>The Howard School/History Tour</t>
  </si>
  <si>
    <t>Spring Rock Christian Sch/History Tours</t>
  </si>
  <si>
    <t>Friday  12-2 pm</t>
  </si>
  <si>
    <t>Luella Middle School/History Tour</t>
  </si>
  <si>
    <t>A Plus Learning Acad/History Tour</t>
  </si>
  <si>
    <t>sat &amp;sun 10-12pm, 2-4pm</t>
  </si>
  <si>
    <t>Indoor basic Archery</t>
  </si>
  <si>
    <t>81 of the students had dicounted price of $8 instead of $10 with the groupon promotion</t>
  </si>
  <si>
    <t>Friday 10:30 - 12:30 pm</t>
  </si>
  <si>
    <t>Calvary Christian School/History Tour</t>
  </si>
  <si>
    <t>Baker County Elem/History Tour</t>
  </si>
  <si>
    <t>Monday 3-4:pm</t>
  </si>
  <si>
    <t>ALPHA School Inc/History Tour</t>
  </si>
  <si>
    <t>Wednesday 10 - 12 noon</t>
  </si>
  <si>
    <t>The Life Enrichment Center/Bird Program</t>
  </si>
  <si>
    <t>Friday 2/21</t>
  </si>
  <si>
    <t>Brief introduction of site based around the diarama</t>
  </si>
  <si>
    <t>Saturday 2/22</t>
  </si>
  <si>
    <t>brief tour of the site based around the diarama.</t>
  </si>
  <si>
    <t>Valentine's Day Crafts</t>
  </si>
  <si>
    <t>children's crafts for valentine's day</t>
  </si>
  <si>
    <t>Nature Walk and Bird Feeder Craft</t>
  </si>
  <si>
    <t>nature walk/bird ID, and birdfeeder craft</t>
  </si>
  <si>
    <t>Wednesday 2/26</t>
  </si>
  <si>
    <t>Oakhurst Elem.</t>
  </si>
  <si>
    <t>Tools &amp; weapons, film, and a site tour</t>
  </si>
  <si>
    <t>Interpretive ranger and clerk</t>
  </si>
  <si>
    <t>Partial payment rendered (balance of $168 to be paid by check through mail)</t>
  </si>
  <si>
    <t>Saturday 2:00-5:00</t>
  </si>
  <si>
    <t>Hike to the Tower for valentines</t>
  </si>
  <si>
    <t>This is our annual hike to the heart for couples close to valentines day.</t>
  </si>
  <si>
    <t>Talking to groups of people about park opportunities</t>
  </si>
  <si>
    <t>Month long program talking to people about te value of viksiting Fort Mountain State Park and the opportunities available</t>
  </si>
  <si>
    <t>Friday 6-8 pm</t>
  </si>
  <si>
    <t>Luminary Night</t>
  </si>
  <si>
    <t>Pictures with santa, hayrides, crafts and cookie decorating</t>
  </si>
  <si>
    <t>all staff</t>
  </si>
  <si>
    <t>Thursday 7:30-9pm</t>
  </si>
  <si>
    <t>Haunted Trail</t>
  </si>
  <si>
    <t>Trail hike through the haunted woods</t>
  </si>
  <si>
    <t>Friday 7:30 -9pm</t>
  </si>
  <si>
    <t>Saturday 7:30-9</t>
  </si>
  <si>
    <t>friday 11 am</t>
  </si>
  <si>
    <t>isle of hope school</t>
  </si>
  <si>
    <t>team building</t>
  </si>
  <si>
    <t>Thursday 10 am</t>
  </si>
  <si>
    <t>Charles Ellis school</t>
  </si>
  <si>
    <t>fossil program</t>
  </si>
  <si>
    <t>Sunday 4pm</t>
  </si>
  <si>
    <t>Cub Scouts</t>
  </si>
  <si>
    <t>scavener hunt</t>
  </si>
  <si>
    <t>Saturday 5:15 pm</t>
  </si>
  <si>
    <t>Sanchez Birthday Party</t>
  </si>
  <si>
    <t>craft and reptile show</t>
  </si>
  <si>
    <t>savannah youth group</t>
  </si>
  <si>
    <t>GA connections academy</t>
  </si>
  <si>
    <t>marsh hike and IC tour</t>
  </si>
  <si>
    <t>saturday 10 am</t>
  </si>
  <si>
    <t>Pooler Elementary</t>
  </si>
  <si>
    <t>history trail hike</t>
  </si>
  <si>
    <t>Tuesday 10 am</t>
  </si>
  <si>
    <t>Derenne middle school</t>
  </si>
  <si>
    <t>marsh hike</t>
  </si>
  <si>
    <t>wednesday 9am</t>
  </si>
  <si>
    <t>food chain and classifying organisms programs</t>
  </si>
  <si>
    <t>tuesday 4:30pm</t>
  </si>
  <si>
    <t>south university</t>
  </si>
  <si>
    <t>Thursday 6:30 pm</t>
  </si>
  <si>
    <t>Sunday, 9-5pm</t>
  </si>
  <si>
    <t>Super Museum Sunday</t>
  </si>
  <si>
    <t>open house to promote area museums and historic sites</t>
  </si>
  <si>
    <t>Saturday &amp; Sunday, 10-4 pm</t>
  </si>
  <si>
    <t>Wormsloe's Colonial Fair and Muster</t>
  </si>
  <si>
    <t>18th century colonial faire and muster-colonial dancing &amp; artillery demos</t>
  </si>
  <si>
    <t>Saturday 10 a.m. - 12 p.m.</t>
  </si>
  <si>
    <t>Bird walk near Lake Rutledge</t>
  </si>
  <si>
    <t>Historic Wagon Rides</t>
  </si>
  <si>
    <t>Wagon Rides in Stay use area of park</t>
  </si>
  <si>
    <t>knitting class</t>
  </si>
  <si>
    <t>program offered to guest and advertised publicly</t>
  </si>
  <si>
    <t>We are offering free of  charge different craft classes each week for people staying or visiting the park this is something new we are trying and will determine the fee after the trial period.</t>
  </si>
  <si>
    <t>15th</t>
  </si>
  <si>
    <t>Ranger led hike into the canyon</t>
  </si>
  <si>
    <t>The Geology program is now being conducted by the parks ranger eliminating the 150 cost of outside resources.</t>
  </si>
  <si>
    <t>19th 10am</t>
  </si>
  <si>
    <t>earth science</t>
  </si>
  <si>
    <t>impact native americans had on our enviroment and the impactof todays society</t>
  </si>
  <si>
    <t>21st 10am</t>
  </si>
  <si>
    <t>macrame</t>
  </si>
  <si>
    <t>22nd</t>
  </si>
  <si>
    <t>geo cashers</t>
  </si>
  <si>
    <t>The Geo club requested a guided hike into providence canyon</t>
  </si>
  <si>
    <t>feb 28th 10am</t>
  </si>
  <si>
    <t>painting</t>
  </si>
  <si>
    <t>volunteer artist teaching basics of painting</t>
  </si>
  <si>
    <t>Saturday 1 pm</t>
  </si>
  <si>
    <t>Sandpiper trail Hike</t>
  </si>
  <si>
    <t>Sunday 3 pm</t>
  </si>
  <si>
    <t>reptile feeding show</t>
  </si>
  <si>
    <t>Wednesday 11am</t>
  </si>
  <si>
    <t>Hike the trail while identifying local trees</t>
  </si>
  <si>
    <t>programming for 2-4 year olds</t>
  </si>
  <si>
    <t>lecture on the local island history</t>
  </si>
  <si>
    <t>Friday 2 pm</t>
  </si>
  <si>
    <t>talk about lost prevention and what to bring with you on a hike</t>
  </si>
  <si>
    <t>make a craft out of everyday household items</t>
  </si>
  <si>
    <t>identifying animal skulls</t>
  </si>
  <si>
    <t>Wednesday 3 pm</t>
  </si>
  <si>
    <t>thursday 1 pm</t>
  </si>
  <si>
    <t>Avian Loop Hike</t>
  </si>
  <si>
    <t>guided hike on the avian loop trail</t>
  </si>
  <si>
    <t>friday 4 pm</t>
  </si>
  <si>
    <t>Saturday 9 am</t>
  </si>
  <si>
    <t>early morning hike looking for birds</t>
  </si>
  <si>
    <t>Osprey Hike</t>
  </si>
  <si>
    <t>guided hike out to the osprey nest</t>
  </si>
  <si>
    <t>Monday 10 am</t>
  </si>
  <si>
    <t>Morning bird watch</t>
  </si>
  <si>
    <t>watch birds at the feeding station and ID them</t>
  </si>
  <si>
    <t>Fire building</t>
  </si>
  <si>
    <t>learn proper fire building techniques</t>
  </si>
  <si>
    <t>guided hike on the big ferry trail</t>
  </si>
  <si>
    <t>Thursday 2 pm</t>
  </si>
  <si>
    <t>Scat n' Tracks</t>
  </si>
  <si>
    <t>lecture and hike discussing local animals and their tracks</t>
  </si>
  <si>
    <t>Friday 3 pm</t>
  </si>
  <si>
    <t>Interpretive center tour</t>
  </si>
  <si>
    <t>guided tour of our interpretive center</t>
  </si>
  <si>
    <t>lecture discussing and showing local insects</t>
  </si>
  <si>
    <t>marsh trail hike</t>
  </si>
  <si>
    <t>Tift Tiger Scouts</t>
  </si>
  <si>
    <t>Sunday, 2-5</t>
  </si>
  <si>
    <t>Almost Spring Guided Hike</t>
  </si>
  <si>
    <t>Guided hike to see the first signs of Spring</t>
  </si>
  <si>
    <t>Weather was beautiful. Lots of visitors in the park.
More publicity for the hike in the visitors center from the person selling park passes to visitors that did not know about the hike upon coming to the park.</t>
  </si>
  <si>
    <t>Monday, 10-11:45</t>
  </si>
  <si>
    <t>Alleluia Schhol/ Nature Sense</t>
  </si>
  <si>
    <t>nature textures, nature hike, sensory garden</t>
  </si>
  <si>
    <t>Monday, 10:30-12:00 pm</t>
  </si>
  <si>
    <t>Life Enrichment/Follow the Rainbow</t>
  </si>
  <si>
    <t>created rainbow necklaces and St. Patricks days hats</t>
  </si>
  <si>
    <t>Saturday, 7:00 - 8:30 PM</t>
  </si>
  <si>
    <t>Wednesday, 9:30 - 11:30 AM</t>
  </si>
  <si>
    <t>Perscribed Fire</t>
  </si>
  <si>
    <t>Friday, 6:00 - 7:30 PM</t>
  </si>
  <si>
    <t>St Marys Elementary School</t>
  </si>
  <si>
    <t>Hayrides &amp; Campfire</t>
  </si>
  <si>
    <t>Interpretive Ranger &amp; Volunteer</t>
  </si>
  <si>
    <t>Monday, 9:00 - 11:00 AM</t>
  </si>
  <si>
    <t>Backyard Bird Count</t>
  </si>
  <si>
    <t>Monday, 1:00 - 3:00 PM</t>
  </si>
  <si>
    <t>Bird Program</t>
  </si>
  <si>
    <t>Friday, 1:00 - 4:00 PM</t>
  </si>
  <si>
    <t>Georgia Cyber Academy</t>
  </si>
  <si>
    <t>live animals &amp; birds</t>
  </si>
  <si>
    <t>animals</t>
  </si>
  <si>
    <t>Thursday, 9:30 - 11:00 AM</t>
  </si>
  <si>
    <t>Chick-fil-A</t>
  </si>
  <si>
    <t>bats craft</t>
  </si>
  <si>
    <t>Friday, 7:00 - 8:00 PM</t>
  </si>
  <si>
    <t>thur 10am</t>
  </si>
  <si>
    <t>sunday 8am</t>
  </si>
  <si>
    <t>Bird walk</t>
  </si>
  <si>
    <t>tues 630pm thurs 10am</t>
  </si>
  <si>
    <t>Zumba</t>
  </si>
  <si>
    <t>sunday 1pm</t>
  </si>
  <si>
    <t>Private tree climb</t>
  </si>
  <si>
    <t>sat 1pm</t>
  </si>
  <si>
    <t>Intro tree climb</t>
  </si>
  <si>
    <t>sat 10am</t>
  </si>
  <si>
    <t>fri 530pm</t>
  </si>
  <si>
    <t>Valentines Day Hike</t>
  </si>
  <si>
    <t>Full Moon Valentines Day Hike</t>
  </si>
  <si>
    <t>Program supplies provided by panola friends group and not from park budget.</t>
  </si>
  <si>
    <t>sunday 2pm</t>
  </si>
  <si>
    <t>Groundhog Day Hike</t>
  </si>
  <si>
    <t>saturday 9am</t>
  </si>
  <si>
    <t>Stewardship Saturday</t>
  </si>
  <si>
    <t>Stewardship Saturday is panola's volunteer day</t>
  </si>
  <si>
    <t>Saturday 9am</t>
  </si>
  <si>
    <t>Panola Unlimited Hike</t>
  </si>
  <si>
    <t>Sun-Sat 9-5pm</t>
  </si>
  <si>
    <t>Site Film</t>
  </si>
  <si>
    <t>Interpretive Ranger &amp; Part time staff</t>
  </si>
  <si>
    <t>Saturday, 9:30am</t>
  </si>
  <si>
    <t>Hartsfield Hikers/New Manchester History Hike</t>
  </si>
  <si>
    <t>New Manchester History Hike to mill and rapids</t>
  </si>
  <si>
    <t>Friday, 4;30-5:30 p.m.</t>
  </si>
  <si>
    <t>Meg Baxter and Friends</t>
  </si>
  <si>
    <t>Introductory presentation of Mansion and changes from the previous year</t>
  </si>
  <si>
    <t>Financial Ops. Generalist</t>
  </si>
  <si>
    <t>"Park Nights, City Lights" Eastside Hike</t>
  </si>
  <si>
    <t>night hike to eastside ridge</t>
  </si>
  <si>
    <t>park secretary</t>
  </si>
  <si>
    <t>Friday,7pm-9pm</t>
  </si>
  <si>
    <t>night program to view sky,stars,constellations,etc.</t>
  </si>
  <si>
    <t>history hike to the New Manchester mill</t>
  </si>
  <si>
    <t>Saturday, 1:00-3:00 p.m.</t>
  </si>
  <si>
    <t>Lighthouse Tour</t>
  </si>
  <si>
    <t>Tour of Lighthouse with two different Mansion Groups.</t>
  </si>
  <si>
    <t>Geology hike to New Manchester rock quarry</t>
  </si>
  <si>
    <t>Friday, 6:30pm-8:30pm</t>
  </si>
  <si>
    <t>night hike to the New Manchester Mill and rapids</t>
  </si>
  <si>
    <t>Saturday 1pm-2:30pm</t>
  </si>
  <si>
    <t>Saturday, 2pm-4pm</t>
  </si>
  <si>
    <t>Native American Heritage Hike</t>
  </si>
  <si>
    <t>yellow trail hike to "Indian Cave" highklighting the history of the Native Americans</t>
  </si>
  <si>
    <t>Saturday, 5:30pm-7pm</t>
  </si>
  <si>
    <t>wagon drawn hayride to Jacl's Hill and campfire s'mores</t>
  </si>
  <si>
    <t>archeology hike of Bigg Ferry Trail</t>
  </si>
  <si>
    <t>Sunday, 3pm-4pm</t>
  </si>
  <si>
    <t>Snake Awareness Program</t>
  </si>
  <si>
    <t>ranger-led snake awareness program</t>
  </si>
  <si>
    <t>Monday, 1pm-2:30pm</t>
  </si>
  <si>
    <t>Tuesday, 9am</t>
  </si>
  <si>
    <t>Patuala Charter Academy</t>
  </si>
  <si>
    <t>Museum Tour and Interpretive Program</t>
  </si>
  <si>
    <t>Saturday, 10am</t>
  </si>
  <si>
    <t>Archaeological Program in Alabama</t>
  </si>
  <si>
    <t>Presentation to Archaeological Group at Landmark Park in Alabama</t>
  </si>
  <si>
    <t>University of West Georgia</t>
  </si>
  <si>
    <t>The Howard School</t>
  </si>
  <si>
    <t>Boy Scout Troop Acworth GA</t>
  </si>
  <si>
    <t>February, 8-5 pm</t>
  </si>
  <si>
    <t>Night sky viewing of stars, constellations. etc.</t>
  </si>
  <si>
    <t>history hike to New Manchester mill</t>
  </si>
  <si>
    <t>Saturday 5:30pm-7:30pm</t>
  </si>
  <si>
    <t>night hike to Eastside ridge</t>
  </si>
  <si>
    <t>Sunday, 11am-1pm</t>
  </si>
  <si>
    <t>Photography 101 (Lighting)</t>
  </si>
  <si>
    <t>Nancy Floyd, GSU prof</t>
  </si>
  <si>
    <t>Homeschool Wednesdays</t>
  </si>
  <si>
    <t>Mill hike with a focus on the splendor of winter</t>
  </si>
  <si>
    <t>Tuesdays, 9-10 a.m.</t>
  </si>
  <si>
    <t>Cardinals and Coffee</t>
  </si>
  <si>
    <t>Morning bird watching in discovery room</t>
  </si>
  <si>
    <t>Program was during the week early morning, resulting in a smaller amount of potential attendees.</t>
  </si>
  <si>
    <t>Wednesday, 11-12</t>
  </si>
  <si>
    <t>Coloring and Lunch with a Ranger</t>
  </si>
  <si>
    <t>Coloring local animals while discussing habitats</t>
  </si>
  <si>
    <t>Midweek, Lunch time, and being geared to children limited the potential guests that theoretically could have came. More advertising with local homeschooling groups could result in attendance.</t>
  </si>
  <si>
    <t>Saturday, 7:30-8:30 p.m.</t>
  </si>
  <si>
    <t>Constellation Stories</t>
  </si>
  <si>
    <t>Sky watching and stories on lawn</t>
  </si>
  <si>
    <t>Had a great turnout for first time event, more advertising could result in more people coming.</t>
  </si>
  <si>
    <t>Animal Tracks</t>
  </si>
  <si>
    <t>Copies of tracks, looked along lake for more.</t>
  </si>
  <si>
    <t>Large group was all homeschoolers.</t>
  </si>
  <si>
    <t>Friday, 5-7:30 p.m.</t>
  </si>
  <si>
    <t>The Georgia Trail</t>
  </si>
  <si>
    <t>Family game based on Oregon Trail</t>
  </si>
  <si>
    <t>Ranger/Intern/Volunteers</t>
  </si>
  <si>
    <t>First time for event, ran as a trial run. Edits for future use of event have been made. Low turnout due to Friday evening event, and traffic. Moving to Saturday will increase turnout. This would be a great program to offer to schools. Will charge a fee in the future.</t>
  </si>
  <si>
    <t>Ongoing</t>
  </si>
  <si>
    <t>Roving ranger in discovery room.</t>
  </si>
  <si>
    <t>Open House</t>
  </si>
  <si>
    <t>The Life Enrichment Center/movie</t>
  </si>
  <si>
    <t>Watched nature movie</t>
  </si>
  <si>
    <t>Sat Feb 8 10-11:30 AM</t>
  </si>
  <si>
    <t>Bluebird Workshop</t>
  </si>
  <si>
    <t>Basic  talk/hands-on look at bluebird natural history &amp; nest boxes</t>
  </si>
  <si>
    <t>Vol &amp; Part time naturalist</t>
  </si>
  <si>
    <t>Do again. Need to put together a box in the workshop.</t>
  </si>
  <si>
    <t>Sat Feb 15 11AM-12:30PM</t>
  </si>
  <si>
    <t>Polar Bear Splash</t>
  </si>
  <si>
    <t>Dip in Lake Franklin, campfire, music, food, drinks</t>
  </si>
  <si>
    <t>Interp Naturalist &amp; Assist Manager</t>
  </si>
  <si>
    <t>Canceled- No one pre-registered. Rough winter to encourage dip in lake or ? May do again in April 2015.</t>
  </si>
  <si>
    <t>Friday 8:00-11:00 AM</t>
  </si>
  <si>
    <t>Great Backyard Bird Count</t>
  </si>
  <si>
    <t>Bird Count at small group camp</t>
  </si>
  <si>
    <t>Do again next year on a Friday</t>
  </si>
  <si>
    <t>Arbor Day Bark In The Park</t>
  </si>
  <si>
    <t>Dog Walk on Mnt Creek Trail talking about trees</t>
  </si>
  <si>
    <t>Always do more dog events</t>
  </si>
  <si>
    <t>Sun 9:30-11;30 AM</t>
  </si>
  <si>
    <t>Tremendous Trees &amp; Tree Cookie Crafts</t>
  </si>
  <si>
    <t>Moved to sheltered location instead of office porch</t>
  </si>
  <si>
    <t>Fri Feb 21 8AM-5PM</t>
  </si>
  <si>
    <t>Celebrate Arbor Day Seedling Give-a-way</t>
  </si>
  <si>
    <t>Display table</t>
  </si>
  <si>
    <t>No presenter self-guided</t>
  </si>
  <si>
    <t>Trees donated by NWF. Do again!</t>
  </si>
  <si>
    <t>Mon 7PM-10PM</t>
  </si>
  <si>
    <t>Cornerstone School/Night Hike</t>
  </si>
  <si>
    <t>Night walk on Mtn Cr Trail</t>
  </si>
  <si>
    <t>Wed 9AM-1:30 PM</t>
  </si>
  <si>
    <t>Cornerstone/Tree Porgram</t>
  </si>
  <si>
    <t>Tree Discovery on trails at Stables</t>
  </si>
  <si>
    <t>Middle School students spent 2 nights here &amp; did self programs, horse rides &amp; naturalist programs</t>
  </si>
  <si>
    <t>Fri 7:30-12;30</t>
  </si>
  <si>
    <t>Mountain Hill School/Piedmont region &amp; Snakes</t>
  </si>
  <si>
    <t>offsite school STEM event rotating 2nd grade students</t>
  </si>
  <si>
    <t>Interp Nat &amp; Manager in Training</t>
  </si>
  <si>
    <t>Excellent program</t>
  </si>
  <si>
    <t>Friday, 6-8pm</t>
  </si>
  <si>
    <t>Cupid's Night Hike</t>
  </si>
  <si>
    <t>Sat 10AM-2:00PM</t>
  </si>
  <si>
    <t>Pine Mountain Trail Hike</t>
  </si>
  <si>
    <t>Hike w/ PMT guides</t>
  </si>
  <si>
    <t>Sat 9:00 AM-4:00 PM</t>
  </si>
  <si>
    <t>State Park Clean Up Event</t>
  </si>
  <si>
    <t>clean up trash on trails &amp; roadside</t>
  </si>
  <si>
    <t>PMT volunteers (8) &amp; Assist Manager</t>
  </si>
  <si>
    <t>Saturday 11 AM</t>
  </si>
  <si>
    <t>Sunday 10 AM</t>
  </si>
  <si>
    <t>Groundhogs Day Hike</t>
  </si>
  <si>
    <t>Hike the trails talking about the history of groundshog day</t>
  </si>
  <si>
    <t>Friday 5:30 PM</t>
  </si>
  <si>
    <t>Twilight Couples Night Hike</t>
  </si>
  <si>
    <t>Satuday 3 PM</t>
  </si>
  <si>
    <t>Saturday 1 PM</t>
  </si>
  <si>
    <t>Short kid program in learning leaf imprinting</t>
  </si>
  <si>
    <t>Sunday 2 PM</t>
  </si>
  <si>
    <t>Leaf Imprinting</t>
  </si>
  <si>
    <t>Hampton Middle School/History Tour</t>
  </si>
  <si>
    <t>Friday 3-5pm</t>
  </si>
  <si>
    <t>Hutchingson Elem/History Tour</t>
  </si>
  <si>
    <t>Barksdale Elem/History Tour</t>
  </si>
  <si>
    <t>Peremeter Christian/History Tour</t>
  </si>
  <si>
    <t>Georgia Connections/History Tour</t>
  </si>
  <si>
    <t>Tuesday 9-11am</t>
  </si>
  <si>
    <t>Gatewood Sch/History Tour</t>
  </si>
  <si>
    <t>Monday 10-12 pm</t>
  </si>
  <si>
    <t>Trieoff Tours/History Tour</t>
  </si>
  <si>
    <t>Monday 2-4pm</t>
  </si>
  <si>
    <t>Christian heritage School/History Tour</t>
  </si>
  <si>
    <t>Site Scavenger Hunt</t>
  </si>
  <si>
    <t>Educational scavenger hunts</t>
  </si>
  <si>
    <t>Interpretive Ranger and Part Timers</t>
  </si>
  <si>
    <t>February</t>
  </si>
  <si>
    <t>Nature Center open</t>
  </si>
  <si>
    <t>Interpretive Ranger, Part-time Interpretive Staff, and volunteers</t>
  </si>
  <si>
    <t>Saturday, 3:00 - 7:00 PM</t>
  </si>
  <si>
    <t>Photography Practicum</t>
  </si>
  <si>
    <t>Basics of Photography Class Continued</t>
  </si>
  <si>
    <t>Sunday, 9th, 11a.m-1p.m.</t>
  </si>
  <si>
    <t>Battle of Kettle Creek</t>
  </si>
  <si>
    <t>Saturday, Feb 1 8 pm</t>
  </si>
  <si>
    <t>Saturday Feb 15 8 pm</t>
  </si>
  <si>
    <t>Feb 22-23</t>
  </si>
  <si>
    <t>Photo Workshop</t>
  </si>
  <si>
    <t>We provided boat tours to the people participating in the photo workshop.  We were donated 40% of the profits made from this workshop.</t>
  </si>
  <si>
    <t>Colonial medicine, firemaking, soldier talk, musket firing</t>
  </si>
  <si>
    <t>Fort blacksmith demo</t>
  </si>
  <si>
    <t>Oglethorpe Elementary</t>
  </si>
  <si>
    <t>Woodworking</t>
  </si>
  <si>
    <t>Made cedar shakes, squared a Cypress log</t>
  </si>
  <si>
    <t>Wednesday, 10am</t>
  </si>
  <si>
    <t>Goodyear Elementary</t>
  </si>
  <si>
    <t>Effingham girl scouts</t>
  </si>
  <si>
    <t>geocaching program</t>
  </si>
  <si>
    <t>friday 5 pm</t>
  </si>
  <si>
    <t>columbia college</t>
  </si>
  <si>
    <t>Thursday 3/6</t>
  </si>
  <si>
    <t>brief introductory tour of the site based around our diarama</t>
  </si>
  <si>
    <t>Friday 3/7</t>
  </si>
  <si>
    <t>Brief intro to the site</t>
  </si>
  <si>
    <t>intern</t>
  </si>
  <si>
    <t>Saturday 3/1</t>
  </si>
  <si>
    <t>Burnt Hickory Church of Christ School Career Day</t>
  </si>
  <si>
    <t>Having a career in DNR was showcased and kids were invited to do the Jr. Ranger program, volunteer, or come to one of our upcoming events at Etowah, to see if it would be something they would enjoy working at. I also passed out state park flyers.</t>
  </si>
  <si>
    <t>This was a great opportunity to showcase upcoming events.</t>
  </si>
  <si>
    <t>U.S. Army Staff Ride</t>
  </si>
  <si>
    <t>saturday 1-3</t>
  </si>
  <si>
    <t>Nature way tours</t>
  </si>
  <si>
    <t>museum open</t>
  </si>
  <si>
    <t>last minute program. original program for that day got cancelled</t>
  </si>
  <si>
    <t>Saturday, 10:00 a.m.</t>
  </si>
  <si>
    <t>Book Signing</t>
  </si>
  <si>
    <t>Book Author</t>
  </si>
  <si>
    <t>Saturday 12-1</t>
  </si>
  <si>
    <t>Guided Farm Tour</t>
  </si>
  <si>
    <t>ranger led tour of Heritage Farm</t>
  </si>
  <si>
    <t>Saturday 2-3:30 pm</t>
  </si>
  <si>
    <t>Campground Crafts</t>
  </si>
  <si>
    <t>Tree cookie necklaces and nature hike bingo</t>
  </si>
  <si>
    <t>Church group and family reunion, last minute program idea, 30 participants</t>
  </si>
  <si>
    <t>Saturday 1-5pm</t>
  </si>
  <si>
    <t>Farm visits</t>
  </si>
  <si>
    <t>Museum/Farm open and ranger present to answer questions</t>
  </si>
  <si>
    <t>Sunday 10-11am</t>
  </si>
  <si>
    <t>Feeding Tour</t>
  </si>
  <si>
    <t>feeding tour of the farm animals</t>
  </si>
  <si>
    <t>Sunday 1-5pm</t>
  </si>
  <si>
    <t>Candle Making Demonstration</t>
  </si>
  <si>
    <t>Demonstration- Hand dipping tallow and beeswax candles</t>
  </si>
  <si>
    <t>All About Black Bears</t>
  </si>
  <si>
    <t>Learn about black bears in Georgia</t>
  </si>
  <si>
    <t>Saturday 11:00 a.m.</t>
  </si>
  <si>
    <t>Learn about Smithgall Woods and all that it his to offer on a guided van tour</t>
  </si>
  <si>
    <t>Dulcimer Playing Workshop</t>
  </si>
  <si>
    <t>Hemlock Keepers Training</t>
  </si>
  <si>
    <t>Wednesday 4:00 p.m.</t>
  </si>
  <si>
    <t>Hemlock Update and Winter Botany</t>
  </si>
  <si>
    <t>Learn about what volunteers and staff are doing for Eastern  Hemlocks and learn about Winter Botany</t>
  </si>
  <si>
    <t>Sunday 2:00 p.m.</t>
  </si>
  <si>
    <t>Falconry Experience at Buck Shoals</t>
  </si>
  <si>
    <t>Learn about Falconry from an expert falconer</t>
  </si>
  <si>
    <t>Tuesday, Wednesday, Thursday</t>
  </si>
  <si>
    <t>Lainer Middle</t>
  </si>
  <si>
    <t>Dress a Beaver</t>
  </si>
  <si>
    <t>students learned about the adaptations of beavers</t>
  </si>
  <si>
    <t>Tuesday 10:00 a.m</t>
  </si>
  <si>
    <t>Baldwin Elementary -  Animal Adaptations</t>
  </si>
  <si>
    <t>North Habersham Middle-Birds of Prey</t>
  </si>
  <si>
    <t>Students learn about birds of prey</t>
  </si>
  <si>
    <t>Thursday 9:00 a.m</t>
  </si>
  <si>
    <t>Southe Habersham Middle School- CSI Mammal ID</t>
  </si>
  <si>
    <t>Clakresville Elementary-Animal Babies</t>
  </si>
  <si>
    <t>students learn about baby animals</t>
  </si>
  <si>
    <t>Demorest Elementary - Animal Adaptions</t>
  </si>
  <si>
    <t>students learn about animal adaptations</t>
  </si>
  <si>
    <t>J.P. Nix Primary-Dress a Beaver, Native Americans, and Creepy Crawlies</t>
  </si>
  <si>
    <t>students learn about the adaptations of beavers, the culture of Native Americans, and facts about animals/insects that are creepy crawlie</t>
  </si>
  <si>
    <t>Thursday 9:00 a.m.</t>
  </si>
  <si>
    <t>Wilbanks Middle School-Animal Adaptations</t>
  </si>
  <si>
    <t>Friday 1:00 p.m.</t>
  </si>
  <si>
    <t>Badlwin Elementary - Dress a Fish</t>
  </si>
  <si>
    <t>Thursday 5:30 p.m.</t>
  </si>
  <si>
    <t>Liberty Elementary - Snakes Alive 5:30 pm.</t>
  </si>
  <si>
    <t>parents and students learn about snakes at math and science night</t>
  </si>
  <si>
    <t>cottage guests learn about Smithgall Woods</t>
  </si>
  <si>
    <t>Monday 2:00 p.m.</t>
  </si>
  <si>
    <t>Hardman Farm Guided Tour</t>
  </si>
  <si>
    <t>guests get a tour of the Hardam Farm house</t>
  </si>
  <si>
    <t>Saturday, 9-3:30</t>
  </si>
  <si>
    <t>Volunteer Workday</t>
  </si>
  <si>
    <t>Boy Scout troop out of Jacksonville came to clean-up trails, playground, and park.  Program was open to public as well and advertised on website.</t>
  </si>
  <si>
    <t>Friday, 6-7 pm</t>
  </si>
  <si>
    <t>Reptiles of Georgia</t>
  </si>
  <si>
    <t>educational program about reptiles with live animals</t>
  </si>
  <si>
    <t>One hour reptile program given by interpretive ranger, Cate Williams, with live animals.  Originally given for group of cub scouts that reserved the group camp for that weekend.  At the last minute, it was opened up to the public and campers as well.  7 campers paid and attended the program in addition to the 74 cub scouts already attending.</t>
  </si>
  <si>
    <t>Saturday, 10-12:30 p.m.</t>
  </si>
  <si>
    <t>Outdoor Digital Photography Workshop Level I</t>
  </si>
  <si>
    <t>teach basic concepts of outdoor digital photography</t>
  </si>
  <si>
    <t>class size was limited to 10 people but filled up quickly.  Another class was offered March 8.  Program was advertised on GA State Parks facebook and with the Waycross Chamber of Commerce.</t>
  </si>
  <si>
    <t>Saturday, 1-2</t>
  </si>
  <si>
    <t>Roving Ranger with live animals in campground</t>
  </si>
  <si>
    <t>Our interpretive ranger decided to do this program last minute so we weren't able to advertise in advance.  However, there was still great participation.  This would be a good program to do on weekends where our campground is full or close to full.  We could also try advertising it in advance if we do this again.</t>
  </si>
  <si>
    <t>Saturday, 2-4:30 pm</t>
  </si>
  <si>
    <t>Outdoor Digital Photography Workshop Level II</t>
  </si>
  <si>
    <t>teach advanced concepts of outdoor digital photography</t>
  </si>
  <si>
    <t>Class size was limited to 10 people and did fill up.  However, there was a cancellation last minute so only 9 people attended.  Another program was offered March 8th. Advertised on GA State Parks facebook page and with Waycross Chamber of Commerce and in local newspaper.</t>
  </si>
  <si>
    <t>February 7 10-4 PM</t>
  </si>
  <si>
    <t>School Day</t>
  </si>
  <si>
    <t>Opening day of Faire</t>
  </si>
  <si>
    <t>'February 14</t>
  </si>
  <si>
    <t>February 25th</t>
  </si>
  <si>
    <t>February 8th and 9th</t>
  </si>
  <si>
    <t>Colonial Faire</t>
  </si>
  <si>
    <t>Colonial Faire and Muster</t>
  </si>
  <si>
    <t>thur 10-12am</t>
  </si>
  <si>
    <t>armstrong rotc</t>
  </si>
  <si>
    <t>ft&amp;cw history</t>
  </si>
  <si>
    <t>tue 10-12am</t>
  </si>
  <si>
    <t>sun 10-1pm</t>
  </si>
  <si>
    <t>blue/gray hist soc</t>
  </si>
  <si>
    <t>sun all day</t>
  </si>
  <si>
    <t>super museum sunday</t>
  </si>
  <si>
    <t>museum visit</t>
  </si>
  <si>
    <t>fri 10-3pm</t>
  </si>
  <si>
    <t>carver career day</t>
  </si>
  <si>
    <t>classroom visits/visiting hours, auditorium</t>
  </si>
  <si>
    <t>fri 7-9pm</t>
  </si>
  <si>
    <t>venus/valentine</t>
  </si>
  <si>
    <t>sat 1-4pm</t>
  </si>
  <si>
    <t>Column1</t>
  </si>
  <si>
    <t>Column2</t>
  </si>
  <si>
    <t>Column3</t>
  </si>
  <si>
    <t>Indirect revenue from lake house rental</t>
  </si>
  <si>
    <t>No clerk on duty, interpretive ranger had to fill the position for the day, but it was a very busy day.... last day of school spring break in this area.</t>
  </si>
  <si>
    <t>New program based on taking care of wildlife and preparing/ creating wildflower gardens</t>
  </si>
  <si>
    <t>February 2014 Programs in Georgia State Parks &amp; Historic Sites -   34 sites offered programs this month</t>
  </si>
  <si>
    <t xml:space="preserve">Region 3 </t>
  </si>
  <si>
    <t>intro to photography waith an emphasis on lighting</t>
  </si>
  <si>
    <t>hayride to Jacks Hill and campfire s'mores</t>
  </si>
  <si>
    <t>Hoot &amp; Hike/Life Enrichment</t>
  </si>
  <si>
    <t>owl craft &amp; nature hike</t>
  </si>
  <si>
    <t>Guided tour of museum</t>
  </si>
  <si>
    <t>The Life Enrichment Center/Birdhouses</t>
  </si>
  <si>
    <t>Made birdhouses</t>
  </si>
  <si>
    <t>Saturday, 9 - 2 pm</t>
  </si>
  <si>
    <t>Equestrian Workday</t>
  </si>
  <si>
    <t>Volunteer workday for the horsetrails.</t>
  </si>
  <si>
    <t>Saturday 3/8</t>
  </si>
  <si>
    <t>Brief introduction to the site based around the diarama</t>
  </si>
  <si>
    <t>interpretive ranger and intern</t>
  </si>
  <si>
    <t>Primitive tools and weapons demonstration</t>
  </si>
  <si>
    <t>Demonstration of primitive weapons and tools utilized by Native Americans</t>
  </si>
  <si>
    <t>Dig Box</t>
  </si>
  <si>
    <t>Kids get to dig in boxes to learn about excavation techniques used by archaeologists</t>
  </si>
  <si>
    <t>Friday, 9:30 am-2</t>
  </si>
  <si>
    <t>Jr. Rangers</t>
  </si>
  <si>
    <t>Preparing for Spring focus-  Bird hike, bird houses, butterfly garden &amp; craft</t>
  </si>
  <si>
    <t>Assistant Manager &amp; Parttime Naturalist</t>
  </si>
  <si>
    <t>Homeschool program.  Great success</t>
  </si>
  <si>
    <t>10am-12</t>
  </si>
  <si>
    <t>Bears &amp; Wolves Scouts/Bears &amp; Wolf Bird Walk</t>
  </si>
  <si>
    <t>Birds hike &amp; create bird houses our of gourds</t>
  </si>
  <si>
    <t>Wedesday, 1:30-3 P.M.</t>
  </si>
  <si>
    <t>Nature walk</t>
  </si>
  <si>
    <t>Friday, 7:30-9:30 P.M.</t>
  </si>
  <si>
    <t>Wagon Ride viewing the full moon ad constellation.  Also, listening to night sounds.</t>
  </si>
  <si>
    <t>Saturday, 7-9 P.M.</t>
  </si>
  <si>
    <t>Full Moon Kayak tour</t>
  </si>
  <si>
    <t>Kayak tour on Lake Rutledge during a full moon.  constellation viewing</t>
  </si>
  <si>
    <t>Saturday 3/13</t>
  </si>
  <si>
    <t>Native American Heritage Day</t>
  </si>
  <si>
    <t>Special event focusing on the heritage and cultural influences of the Creek and Cherokee on the area</t>
  </si>
  <si>
    <t>Interpretive Ranger, clerk, and intern</t>
  </si>
  <si>
    <t>Advertising the kids activities seem to have brought in a younger crowd than usual for this program</t>
  </si>
  <si>
    <t>Friday 1/14   9-5</t>
  </si>
  <si>
    <t>Brief introduction to the site based around our diarama</t>
  </si>
  <si>
    <t>Interpretive Ranger and intern</t>
  </si>
  <si>
    <t>Spring Critters</t>
  </si>
  <si>
    <t>Saturday12-2p,</t>
  </si>
  <si>
    <t>Columbus State University /History Tours</t>
  </si>
  <si>
    <t>Leisure Time Tours/History Tours</t>
  </si>
  <si>
    <t>Friday 10-12pm</t>
  </si>
  <si>
    <t>Riley Elem/History Tour</t>
  </si>
  <si>
    <t>Life Enrichment Ctr/Birdhouses</t>
  </si>
  <si>
    <t>saturday 4-6pm</t>
  </si>
  <si>
    <t>eagle ride</t>
  </si>
  <si>
    <t>boat tour</t>
  </si>
  <si>
    <t>saturday 3-4pm</t>
  </si>
  <si>
    <t>birds of prey</t>
  </si>
  <si>
    <t>Tuesday 10am-3pm</t>
  </si>
  <si>
    <t>Russell Elem.</t>
  </si>
  <si>
    <t>Thursday 10-11a.m.</t>
  </si>
  <si>
    <t>Hopewell Middle School</t>
  </si>
  <si>
    <t>9-11 am</t>
  </si>
  <si>
    <t>Adventurers</t>
  </si>
  <si>
    <t>pre-school program bird beaks &amp; plant needs</t>
  </si>
  <si>
    <t>program was schedule for 3 hours to long 1.5 hours for preschool</t>
  </si>
  <si>
    <t>Ga Studies/History Tour</t>
  </si>
  <si>
    <t>friday 9:30 am-1pm</t>
  </si>
  <si>
    <t>Classical Conversation</t>
  </si>
  <si>
    <t>hike, animal, golf</t>
  </si>
  <si>
    <t>friday 1-2 pm</t>
  </si>
  <si>
    <t>nature way</t>
  </si>
  <si>
    <t>last minute. camper asked and opened up to public</t>
  </si>
  <si>
    <t>Friday 12-2 p.m.</t>
  </si>
  <si>
    <t>Lafayette Middle</t>
  </si>
  <si>
    <t>Friday 3/7 1-2pm</t>
  </si>
  <si>
    <t>Normal Park Museum Magnet</t>
  </si>
  <si>
    <t>Tour of the mounds and film</t>
  </si>
  <si>
    <t>This group was in a rush due to visiting several location in one day.. no retail sales.</t>
  </si>
  <si>
    <t>Douglasville Adventist Sch/History Tour</t>
  </si>
  <si>
    <t>Friday 1-3[,</t>
  </si>
  <si>
    <t>Britt David Tour/History Tour</t>
  </si>
  <si>
    <t>Britt David 2/History Tour</t>
  </si>
  <si>
    <t>Britt David 3/History Tour</t>
  </si>
  <si>
    <t>Friday 3/14</t>
  </si>
  <si>
    <t>Classical Conversation of Dallas</t>
  </si>
  <si>
    <t>site tour, tools and weapons demo, and film</t>
  </si>
  <si>
    <t>intern and interpretive ranger</t>
  </si>
  <si>
    <t>Some parents had free passes from library and unexpired friends pass.</t>
  </si>
  <si>
    <t>Tuesday 12-2pm</t>
  </si>
  <si>
    <t>Parr Tee/History Tour</t>
  </si>
  <si>
    <t>Interp Ranger and PT Staff</t>
  </si>
  <si>
    <t>Cowen Elem/History Tour</t>
  </si>
  <si>
    <t>Friday 3/21</t>
  </si>
  <si>
    <t>Tools and weapons Demo, Site tour, and our film.</t>
  </si>
  <si>
    <t>Most of the kids made purchases.</t>
  </si>
  <si>
    <t>Dublin Home Sch/History Tour</t>
  </si>
  <si>
    <t>Wednesday 3/19</t>
  </si>
  <si>
    <t>brief introduction of our site based around the diarama</t>
  </si>
  <si>
    <t>Sixes Elem/History Tour</t>
  </si>
  <si>
    <t>Saturday 2-4pm</t>
  </si>
  <si>
    <t>Baldwin Art Acad/History Tour</t>
  </si>
  <si>
    <t>Saturday, 9:30 a.m.</t>
  </si>
  <si>
    <t>Troop 744 Trail Hike</t>
  </si>
  <si>
    <t>Saturday 7:30 - 9pm</t>
  </si>
  <si>
    <t>Sunset Hike around Gopher Tortoise loop</t>
  </si>
  <si>
    <t>Saturday, 6:30 -8 p.m.</t>
  </si>
  <si>
    <t>Troop 744/ Hayride</t>
  </si>
  <si>
    <t>Saturday, 1-3 pm</t>
  </si>
  <si>
    <t>CCC program and hayride</t>
  </si>
  <si>
    <t>History of CCC and hayride of park</t>
  </si>
  <si>
    <t>brief introduction of the site based on the diarama</t>
  </si>
  <si>
    <t>Answer questions guests have as I'm walking around the site to check on things</t>
  </si>
  <si>
    <t>This is a great program to do while walking out to checking on things around the site, like downed limbs or the need to mow an area.</t>
  </si>
  <si>
    <t>Saturday 3/22</t>
  </si>
  <si>
    <t>Tools and weapons demo</t>
  </si>
  <si>
    <t>Demonstration of primitive tool and weapos</t>
  </si>
  <si>
    <t>Guided Site Tour</t>
  </si>
  <si>
    <t>Guided tour of the site</t>
  </si>
  <si>
    <t>We had other scheduled tours early in the day, but we had no attendance for them.</t>
  </si>
  <si>
    <t>Saturday 3/22 10-2</t>
  </si>
  <si>
    <t>Dig Boxes</t>
  </si>
  <si>
    <t>Kids get to dig and learn about excavation</t>
  </si>
  <si>
    <t>Due to snow days, school was being held on Saturday, not many kids showed up, and parents didn't want the kids to get dirty.</t>
  </si>
  <si>
    <t>Life Enrichment/ Spring Is In The Air</t>
  </si>
  <si>
    <t>wind chimes craft &amp; habitats</t>
  </si>
  <si>
    <t>Wednesday 9:45-12:15 pm</t>
  </si>
  <si>
    <t>Grovetown Ele./Georgia Habitats</t>
  </si>
  <si>
    <t>Georgia regions, habitats and adaptations</t>
  </si>
  <si>
    <t>clerk, Part-time naturalist, 1 volunteer</t>
  </si>
  <si>
    <t>Wednesday 11 a.m.- 3 p.m.</t>
  </si>
  <si>
    <t>Edwards Middle</t>
  </si>
  <si>
    <t>Wednesday 1-3pm</t>
  </si>
  <si>
    <t>School Group/History Tour</t>
  </si>
  <si>
    <t>Wednesday 10-12pm</t>
  </si>
  <si>
    <t>Perkiomen Tours/History Tour</t>
  </si>
  <si>
    <t>Interp and Part time</t>
  </si>
  <si>
    <t>Wednesday 9-11 am</t>
  </si>
  <si>
    <t>Pickens County Middle/history Tour</t>
  </si>
  <si>
    <t>Wednesday 2-4 pm</t>
  </si>
  <si>
    <t>Davis Elem/History Tour</t>
  </si>
  <si>
    <t>Aritum School/History Tour</t>
  </si>
  <si>
    <t>North Columbus Elem/History Tour</t>
  </si>
  <si>
    <t>Tuesday 11-1pm</t>
  </si>
  <si>
    <t>Chilton County School/History Tour</t>
  </si>
  <si>
    <t>Friday 2-4 pm</t>
  </si>
  <si>
    <t>Dublin Homeschool Grp/History Tour</t>
  </si>
  <si>
    <t>9:45-12</t>
  </si>
  <si>
    <t>Grovetown Ele./ Georlgia Regions &amp; Habitats</t>
  </si>
  <si>
    <t>Focus- Habitats-  nature hike, nature center visit, share beaver, raccon &amp; fox</t>
  </si>
  <si>
    <t>clerk, part-time interpretive staff</t>
  </si>
  <si>
    <t>Sat 10 AM-2:30 PM</t>
  </si>
  <si>
    <t>Pine Mountain Trail hike</t>
  </si>
  <si>
    <t>PMT hike from Mollyhugger to fox Den</t>
  </si>
  <si>
    <t>Sat 10-5;Sun 10-5</t>
  </si>
  <si>
    <t>Living History Days</t>
  </si>
  <si>
    <t>Living Skills walk-thru/display</t>
  </si>
  <si>
    <t>Wed 8:30 AM-10:00 AM</t>
  </si>
  <si>
    <t>Running with Ranger Dave</t>
  </si>
  <si>
    <t>trail running</t>
  </si>
  <si>
    <t>Sat 11:00 AM -12;30 PM</t>
  </si>
  <si>
    <t>Campfire Cooking Class</t>
  </si>
  <si>
    <t>Interp Ranger &amp; Vol</t>
  </si>
  <si>
    <t>Fantastic class. Will do again. Also sparked interest in local cast iron cooking club to meet here regularly. Friends group paid for food supplies.</t>
  </si>
  <si>
    <t>Sat 10-11 AM</t>
  </si>
  <si>
    <t>Dr. Seuss Read Across America</t>
  </si>
  <si>
    <t>costume contest and book reading</t>
  </si>
  <si>
    <t>part time Interp staff &amp; Vol</t>
  </si>
  <si>
    <t>Do again. Good partnership with local library</t>
  </si>
  <si>
    <t>Go Green: Make Your Own Paper Card</t>
  </si>
  <si>
    <t>Will always do again. May try at night to get people.</t>
  </si>
  <si>
    <t>Bark In The Park Dog Walk</t>
  </si>
  <si>
    <t>walk on mt Creek trail</t>
  </si>
  <si>
    <t>Sun 12:30-5:00 PM</t>
  </si>
  <si>
    <t>Summer Program/Camp Exhibit at Infantry Museum</t>
  </si>
  <si>
    <t>Display/Question Answer set-up about summer camps &amp; summer programs for families</t>
  </si>
  <si>
    <t>Do again. Lots of new Ft. Benning families.</t>
  </si>
  <si>
    <t>Sat 2-4 PM</t>
  </si>
  <si>
    <t>Canoe 101 on Lake Franklin</t>
  </si>
  <si>
    <t>guided canoe on Lake franklin</t>
  </si>
  <si>
    <t>Sun 10 AM-12 noon</t>
  </si>
  <si>
    <t>Self Guided canoe on Lake Franklin</t>
  </si>
  <si>
    <t>self-guided opportunity to canoe Lake Franklin</t>
  </si>
  <si>
    <t>Bad weather on one day</t>
  </si>
  <si>
    <t>Sat 2:00PM- Sun 10:00 AM</t>
  </si>
  <si>
    <t>Overnight on Pine Mountain trail</t>
  </si>
  <si>
    <t>PMT overnight campout at Grindstone camp site</t>
  </si>
  <si>
    <t>Wed 11:30-2:00 PM</t>
  </si>
  <si>
    <t>Puttin' On The Dog</t>
  </si>
  <si>
    <t>promo &amp; outreach to dog lovers &amp; support Humane Society</t>
  </si>
  <si>
    <t>Manager &amp; Assist Manager</t>
  </si>
  <si>
    <t>Thursday 10-12 p.m.</t>
  </si>
  <si>
    <t>Doe Run Elementary</t>
  </si>
  <si>
    <t>Animal Program and Pontoon</t>
  </si>
  <si>
    <t>Wednesday 10-12 noon</t>
  </si>
  <si>
    <t>Installed birdhouses on trails</t>
  </si>
  <si>
    <t>Wednesday 10-3 pm</t>
  </si>
  <si>
    <t>ADA adult group</t>
  </si>
  <si>
    <t>Games, fishing, historic tour, pedal boats</t>
  </si>
  <si>
    <t>shelter rental</t>
  </si>
  <si>
    <t>Friday, 9am &amp; 12:30pm</t>
  </si>
  <si>
    <t>Bagley Middle School</t>
  </si>
  <si>
    <t>hike/clean up</t>
  </si>
  <si>
    <t>thunderstorm in the morning to reduce attendance</t>
  </si>
  <si>
    <t>Saturday, 10-12</t>
  </si>
  <si>
    <t>Volunteer Trails Day</t>
  </si>
  <si>
    <t>Clean up the trails</t>
  </si>
  <si>
    <t>Part-time Interpretive Staff, Assistant Manager</t>
  </si>
  <si>
    <t>Sunday, 10-11:30 am</t>
  </si>
  <si>
    <t>Grils Scouts/Invasive Plants</t>
  </si>
  <si>
    <t>Saturday 10 AM - 2PM</t>
  </si>
  <si>
    <t>Kickoff to Spring Festival</t>
  </si>
  <si>
    <t>Spring Festival with food vendors, arts and crafts, and fresh produce</t>
  </si>
  <si>
    <t>Weather forecast was calling for 80% chance of rain and possible thunderstorms which kept a lot of people away.  The weather turned out to be nice and everything went well.  Next year, I will advertise more and start signing up vendors aorund New Year's.  My goal is to turn this into an annual event.</t>
  </si>
  <si>
    <t>Monday, 9:30-12:30</t>
  </si>
  <si>
    <t>Vertebrates &amp; Invertebrates</t>
  </si>
  <si>
    <t>nature hike, scavenger hunt, lake ecology, microscope discovery</t>
  </si>
  <si>
    <t>clerk, Part-time Interpretive staff, Assistant Manager, Volunteers</t>
  </si>
  <si>
    <t>2 volunteers &amp; DNR fisheries helped</t>
  </si>
  <si>
    <t>Sunday 8:30 AM</t>
  </si>
  <si>
    <t>Backyard Birding</t>
  </si>
  <si>
    <t>Learning how to id common native birds in the area</t>
  </si>
  <si>
    <t>Saturday 10 AM</t>
  </si>
  <si>
    <t>Sunday 2pm</t>
  </si>
  <si>
    <t>Geologist Guided Hike</t>
  </si>
  <si>
    <t>Boy Scout Geologist Guided Hike</t>
  </si>
  <si>
    <t>Saturday 8 AM</t>
  </si>
  <si>
    <t>Photography Workshop</t>
  </si>
  <si>
    <t>Learning how to photograph birds</t>
  </si>
  <si>
    <t>Friday 7 PM</t>
  </si>
  <si>
    <t>Saturday 3 pm</t>
  </si>
  <si>
    <t>On the Trail to Great Writing with Anne B. Jones</t>
  </si>
  <si>
    <t>Wild Tree Climb</t>
  </si>
  <si>
    <t>Saturday 3 PM</t>
  </si>
  <si>
    <t>Animal Tracking</t>
  </si>
  <si>
    <t>Making plaster cast of common animal tracks</t>
  </si>
  <si>
    <t>Cubs Scouts did a service project in exchange for the program cost</t>
  </si>
  <si>
    <t>Signs of Spring Hike</t>
  </si>
  <si>
    <t>Looking for flowers on the falls view trail</t>
  </si>
  <si>
    <t>Saturday 4:30pm</t>
  </si>
  <si>
    <t>Teaching the basics to geocaching with expert cachers</t>
  </si>
  <si>
    <t>Biker64 hosted the program for us. Did an excellent job! Would recommended to host this program one every few months.</t>
  </si>
  <si>
    <t>Saturday 7:00pm</t>
  </si>
  <si>
    <t>Saturday 1:00pm &amp; 3:00pm</t>
  </si>
  <si>
    <t>Tree Climb</t>
  </si>
  <si>
    <t>Intro Tree Climb</t>
  </si>
  <si>
    <t>Saturday 1:00pm</t>
  </si>
  <si>
    <t>Sun Viewing</t>
  </si>
  <si>
    <t>Sun Over Panola Mt</t>
  </si>
  <si>
    <t>University</t>
  </si>
  <si>
    <t>Sun viewing was cancelled due to weather</t>
  </si>
  <si>
    <t>Tuesday 11:00am</t>
  </si>
  <si>
    <t>Mommy and Me</t>
  </si>
  <si>
    <t>Mommy and me story hour</t>
  </si>
  <si>
    <t>Only 1 kid was in attendance so he wasn't charged</t>
  </si>
  <si>
    <t>Thursday 10:00am</t>
  </si>
  <si>
    <t>Homeschool</t>
  </si>
  <si>
    <t>Saturday 2:00pm</t>
  </si>
  <si>
    <t>Mountain Hike</t>
  </si>
  <si>
    <t>Talking w/ guests about the park</t>
  </si>
  <si>
    <t>Saturday, March 1, 9-11 AM</t>
  </si>
  <si>
    <t>Hike on Iron Hill Trail</t>
  </si>
  <si>
    <t>Friday, 1-2 PM</t>
  </si>
  <si>
    <t>Storytime and Activity</t>
  </si>
  <si>
    <t>Children's story and activity</t>
  </si>
  <si>
    <t>Friday, March 7, 2-3 PM</t>
  </si>
  <si>
    <t>Saturday, 10-11 AM</t>
  </si>
  <si>
    <t>Pickleball 101</t>
  </si>
  <si>
    <t>Teach people how to play pickleball</t>
  </si>
  <si>
    <t>Audubon Bird Walk is a free program</t>
  </si>
  <si>
    <t>Saturday, March 8, 3-4 PM</t>
  </si>
  <si>
    <t>Make birdfeeders from pinecones, cornmeal, peanut butter, and bird seed</t>
  </si>
  <si>
    <t>Saturday, March 15, 10 AM-8 PM</t>
  </si>
  <si>
    <t>Hills of Iron</t>
  </si>
  <si>
    <t>Guided hike to iron mine, iron industry display and exhibit, yard games, iron pour</t>
  </si>
  <si>
    <t>Interpretive Ranger, Resource Manager, intern, and volunteers</t>
  </si>
  <si>
    <t>Cost includes food for sale by Friends (and for volunteers to eat) and one-time purchase of new yard games. All costs covered by Friends. I forgot to have clerks ask customers if they were at the park for the event (if they say yes, we keep a copy of the receipt to calculate revenue generated).</t>
  </si>
  <si>
    <t>Tuesday 6:30pm &amp; Thursday 10:00am</t>
  </si>
  <si>
    <t>Saturday, March 8, 1:30-2:30 PM</t>
  </si>
  <si>
    <t>Toad Houses</t>
  </si>
  <si>
    <t>Paint flower pots to make toad houses</t>
  </si>
  <si>
    <t>Tuesday, March 18, 10 AM-12 PM</t>
  </si>
  <si>
    <t>ATL Homeschool Coop/Iron Mining Hike</t>
  </si>
  <si>
    <t>Guided hike to iron mine</t>
  </si>
  <si>
    <t>Saturday 10:00am</t>
  </si>
  <si>
    <t>Friday, March 21, 9:30 AM- 12 PM</t>
  </si>
  <si>
    <t>First Baptist Kennesaw/Lost Prevention, Scavenger Hunt, Story, Animal Encounter</t>
  </si>
  <si>
    <t>Lost Prevention video, scavenger hunt hike, story, and animal encounter</t>
  </si>
  <si>
    <t>Interpretive Ranger, Intern, and Volunteer</t>
  </si>
  <si>
    <t>Saturday, March 22, 2-3 PM</t>
  </si>
  <si>
    <t>Seed Bomb Craft</t>
  </si>
  <si>
    <t>Make seed bombs from dirt, clay, and seeds</t>
  </si>
  <si>
    <t>Saturday, March 22, 3:30-4:30 PM</t>
  </si>
  <si>
    <t>Teach visitors the basics of geocaching and then hunt one cache at the park</t>
  </si>
  <si>
    <t>Interpretive Ranger, Volunteer, Intern</t>
  </si>
  <si>
    <t>Saturday, March 22, 5-6 PM</t>
  </si>
  <si>
    <t>Solar System Hike</t>
  </si>
  <si>
    <t>1/4 Mile hike about solar system. Planet distances and sizes are reduced to reveal their magnitude</t>
  </si>
  <si>
    <t>Saturday, March 22, 8-9 PM</t>
  </si>
  <si>
    <t>Talk about and reveal several prominent constellations and had telescope set up for night sky viewing.</t>
  </si>
  <si>
    <t>Saturday, March 29, 9 AM-12 PM</t>
  </si>
  <si>
    <t>Friends of Red Top Workday</t>
  </si>
  <si>
    <t>Workday to repair back porch of cabin</t>
  </si>
  <si>
    <t>Interpretive Ranger, Resource Manager, and Intern</t>
  </si>
  <si>
    <t>Saturday, March 29, 1-2 PM</t>
  </si>
  <si>
    <t>Teach guests how to play pickleball</t>
  </si>
  <si>
    <t>Tuesday, 10-11:30 am</t>
  </si>
  <si>
    <t>Greenbriar Pre-K/ Insects &amp; Birds</t>
  </si>
  <si>
    <t>shared audubon insects &amp; birds, nature hike, insect craft</t>
  </si>
  <si>
    <t>20 students 15 adults</t>
  </si>
  <si>
    <t>Saturday, March 29, 2-3 PM</t>
  </si>
  <si>
    <t>Saturday &amp; Sunday 10:00am &amp; 2:00pm</t>
  </si>
  <si>
    <t>Basic Archery Clinic</t>
  </si>
  <si>
    <t>Some of the students paid with groupon so they got discounted price for class.</t>
  </si>
  <si>
    <t>friday, 3:30 pm</t>
  </si>
  <si>
    <t>Normal Park elem.</t>
  </si>
  <si>
    <t>thursday, 13th; 12:30 pm</t>
  </si>
  <si>
    <t>Briarwood Academy school</t>
  </si>
  <si>
    <t>self-guided</t>
  </si>
  <si>
    <t>Sunday 3:00PM</t>
  </si>
  <si>
    <t>Watch as the ranger feeds the reptiles,leaping lizards, chopping turtles and snakes licking their chops.</t>
  </si>
  <si>
    <t>Wednesday 9:00 AM</t>
  </si>
  <si>
    <t>Informative morning bird hike with camphost Nell</t>
  </si>
  <si>
    <t>Wednesday 2:00 PM</t>
  </si>
  <si>
    <t>Lost prevention program</t>
  </si>
  <si>
    <t>Thursday 10:00 AM</t>
  </si>
  <si>
    <t>Nature-based stories, games, and learning for young children</t>
  </si>
  <si>
    <t>Thursday 2:00 PM</t>
  </si>
  <si>
    <t>Basic animal skull identification program</t>
  </si>
  <si>
    <t>Friday 2:00 PM</t>
  </si>
  <si>
    <t>A ranger will walk through the campground and answer questions along with showing a critter-of-the-day.</t>
  </si>
  <si>
    <t>Saturday 2:00 PM</t>
  </si>
  <si>
    <t>2 to 3 mile nature hike on the Big Ferry Trail</t>
  </si>
  <si>
    <t>Sunday 11:00 AM</t>
  </si>
  <si>
    <t>Suet Making Craft</t>
  </si>
  <si>
    <t>Make a treat for birds and learn what types of birds may be attracted.</t>
  </si>
  <si>
    <t>Tuesday, 10:30-12</t>
  </si>
  <si>
    <t>Woodpeckers/ Life Enrichment</t>
  </si>
  <si>
    <t>shoreline hike, woodpecker craft</t>
  </si>
  <si>
    <t>Wednesday 3:00 PM</t>
  </si>
  <si>
    <t>Learn the natural and cultural history of Skidaway Island</t>
  </si>
  <si>
    <t>Guided nature hike on the Sandpiper Trail</t>
  </si>
  <si>
    <t>Friday 9:00 AM</t>
  </si>
  <si>
    <t>Saturday 11:00 AM</t>
  </si>
  <si>
    <t>Making crafts from everyday items</t>
  </si>
  <si>
    <t>Sunday 2:00 PM</t>
  </si>
  <si>
    <t>Learn about different local insect species</t>
  </si>
  <si>
    <t>Learn how to build a proper campfire</t>
  </si>
  <si>
    <t>Stories, games, and learning activities for young children</t>
  </si>
  <si>
    <t>Basic tree identification hike</t>
  </si>
  <si>
    <t>Friday 4:00 PM</t>
  </si>
  <si>
    <t>Program all about reptiles and amphibians</t>
  </si>
  <si>
    <t>Animal feeding program given by a ranger</t>
  </si>
  <si>
    <t>Wednesday 1:00PM</t>
  </si>
  <si>
    <t>Come learn about the amazing Giant Ground Sloth and others that roamed Skidaway during the last Ice Age. See and touch real fossils!</t>
  </si>
  <si>
    <t>Bring your 2-4 year old to enjoy stories, games and learning designed just for them! Each week there will be a different nature based theme.</t>
  </si>
  <si>
    <t>Come take a 1 mile hike with a Ranger to learn how to identify some common trees found on our island and in Savannah.</t>
  </si>
  <si>
    <t>Take the trail less traveled and hike the avian loop with a park ranger. Trail hike will be around 2 miles.</t>
  </si>
  <si>
    <t>Learn the basics about local bird varieties as we gaze upon our feeding station.</t>
  </si>
  <si>
    <t>Friday 9:00AM</t>
  </si>
  <si>
    <t>Join our Camphost for an informative morning bird hike. Bring binoculars or borrow limited pairs from the museum.</t>
  </si>
  <si>
    <t>Wednesday, 9-12pm</t>
  </si>
  <si>
    <t>Headland Elementary School</t>
  </si>
  <si>
    <t>Museum tour and interpretive program</t>
  </si>
  <si>
    <t>Come for a 2 to 3 mile hike through a Maritime Forest, learning early history of Skidaway. Meet at the Big Ferry Trail Head.</t>
  </si>
  <si>
    <t>Thursday 9-1pm</t>
  </si>
  <si>
    <t>Twin Oaks &amp; Lee County Elementary Schools</t>
  </si>
  <si>
    <t>Friday 1-3pm</t>
  </si>
  <si>
    <t>Airstream Camper Group</t>
  </si>
  <si>
    <t>Daily Museum Tours &amp; Historic Program</t>
  </si>
  <si>
    <t>Museum Tours and daily programs</t>
  </si>
  <si>
    <t>Manager/Asst. Manager/MIT/Secretary</t>
  </si>
  <si>
    <t>The Life Enrichment Center/Fishing</t>
  </si>
  <si>
    <t>Saturday 8-10 AM</t>
  </si>
  <si>
    <t>Weekend Blessings 5K Run/Walk</t>
  </si>
  <si>
    <t>5K run/walk through the park as a benefit fundraiser for childhood hunger</t>
  </si>
  <si>
    <t>Weekend Blessings Group</t>
  </si>
  <si>
    <t>Turnout for the 5K was down slightly due to bad weather forecast.  The event went well and quite a few of the participants ended up attending our Spring Festival afterwards.</t>
  </si>
  <si>
    <t>Thursday 3/27 2:30</t>
  </si>
  <si>
    <t>Friday 3/28   9:30</t>
  </si>
  <si>
    <t>East Minster Elem.</t>
  </si>
  <si>
    <t>Film, Site tour, and tools and weapons demonstration</t>
  </si>
  <si>
    <t>Interpretive Ranger and clerk</t>
  </si>
  <si>
    <t>Most kids bought something.</t>
  </si>
  <si>
    <t>Sun-Sat  9-5 daily</t>
  </si>
  <si>
    <t>Site Introductions</t>
  </si>
  <si>
    <t>Site movie introductions</t>
  </si>
  <si>
    <t>Interp and PT Staff</t>
  </si>
  <si>
    <t>Tuesday 9 am- 3pm</t>
  </si>
  <si>
    <t>Shiloh Middle School</t>
  </si>
  <si>
    <t>Wednesday 9 am- 3pm</t>
  </si>
  <si>
    <t>Mulberry Elem.</t>
  </si>
  <si>
    <t>The Need to Survive</t>
  </si>
  <si>
    <t>basic needs of plants and animals, hike, wildlife share, nature center visit, plant game</t>
  </si>
  <si>
    <t>Clerk, Assistant Manager, Part-Interpretive Staff, 3 volunteers</t>
  </si>
  <si>
    <t>Saturday, 11 am</t>
  </si>
  <si>
    <t>Birthday party</t>
  </si>
  <si>
    <t>Nature Craft, Meet the Reptiles</t>
  </si>
  <si>
    <t>Tuesday and Thursday, 10am-12pm</t>
  </si>
  <si>
    <t>Pulaski Elementary</t>
  </si>
  <si>
    <t>Trail Hike, Toads and Turtles</t>
  </si>
  <si>
    <t>Wednesday, 10:15 am</t>
  </si>
  <si>
    <t>Heard Elementary</t>
  </si>
  <si>
    <t>Animal Life Cycles</t>
  </si>
  <si>
    <t>Thunderbolt Elementary</t>
  </si>
  <si>
    <t>Wednesday, 10 am</t>
  </si>
  <si>
    <t>Sand Hill Elementary</t>
  </si>
  <si>
    <t>The Living Salt Marsh</t>
  </si>
  <si>
    <t>Thursday, 10 am</t>
  </si>
  <si>
    <t>Hancock Day School</t>
  </si>
  <si>
    <t>Salty Marsh</t>
  </si>
  <si>
    <t>Largo Tibet Elementary</t>
  </si>
  <si>
    <t>Life Cycles Trail Hike</t>
  </si>
  <si>
    <t>Thursday and Friday, 10am -12pm</t>
  </si>
  <si>
    <t>Godley Station</t>
  </si>
  <si>
    <t>Godley Station Elementary</t>
  </si>
  <si>
    <t>What's Around the Salty Marsh</t>
  </si>
  <si>
    <t>Thursday 10-11:30am</t>
  </si>
  <si>
    <t>Jacob G Smith Elementary</t>
  </si>
  <si>
    <t>History Trail Hike</t>
  </si>
  <si>
    <t>Juliette Low School</t>
  </si>
  <si>
    <t>Friday, 9am-12pm</t>
  </si>
  <si>
    <t>Career Day</t>
  </si>
  <si>
    <t>Career Day at Gould Elementary</t>
  </si>
  <si>
    <t>Saturday 11-12:30</t>
  </si>
  <si>
    <t>Big Little River Paddle Event</t>
  </si>
  <si>
    <t>Canoe and Kayak race</t>
  </si>
  <si>
    <t>2nd Annual boat race sponsored by Friends of Reed Bingham and WWALS.</t>
  </si>
  <si>
    <t>thursday 9-11 am</t>
  </si>
  <si>
    <t>Mulberry Creek Elem./History Tour</t>
  </si>
  <si>
    <t>Thur 11-1pm</t>
  </si>
  <si>
    <t>Kemp Elem/History Tour</t>
  </si>
  <si>
    <t>Friday 11-1 pm</t>
  </si>
  <si>
    <t>Miller County Elem/History Tour</t>
  </si>
  <si>
    <t>Saturdays, 3:30 - 7:30 PM</t>
  </si>
  <si>
    <t>Honey Creek Elem/History Tour</t>
  </si>
  <si>
    <t>Saturday, 9:00 AM - 2:00 PM</t>
  </si>
  <si>
    <t>St Marys Madris Gras</t>
  </si>
  <si>
    <t>parade and booth</t>
  </si>
  <si>
    <t>Interpretive Ranger, Assistant Manager, Park-time Interpretive Staff, Volunteer</t>
  </si>
  <si>
    <t>review and animals</t>
  </si>
  <si>
    <t>Friday, 6:30 - 7:30 PM</t>
  </si>
  <si>
    <t>Campfire &amp; Hayride</t>
  </si>
  <si>
    <t>Saturday, 2:30 - 3:00 PM</t>
  </si>
  <si>
    <t>Saturday, 2:00 - 5:00 PM</t>
  </si>
  <si>
    <t>Boat Cruise</t>
  </si>
  <si>
    <t>Tuesday, 12:00 - 2:00 PM</t>
  </si>
  <si>
    <t>Mary Lee Clark Elementary School</t>
  </si>
  <si>
    <t>Marsh &amp; Dock</t>
  </si>
  <si>
    <t>Interpretive Ranger, Part-time Interpretive Staff</t>
  </si>
  <si>
    <t>Tuesday, 3:30 - 4:30 PM</t>
  </si>
  <si>
    <t>MWR CYP Youth Center</t>
  </si>
  <si>
    <t>Navy Base after school group - animals</t>
  </si>
  <si>
    <t>Saturday, 2:00 - 5:00 Pm</t>
  </si>
  <si>
    <t>Low Tide Kayak Trip</t>
  </si>
  <si>
    <t>Part-time Interpretive Staff, Volunteer</t>
  </si>
  <si>
    <t>Butterfly Kite</t>
  </si>
  <si>
    <t>Saturday, 3:00 - 4:30 Pm</t>
  </si>
  <si>
    <t>Cub Scout</t>
  </si>
  <si>
    <t>Marsh &amp; Hike</t>
  </si>
  <si>
    <t>Wednesday, 9:30 - 10:00 AM</t>
  </si>
  <si>
    <t>Rainbow Tots</t>
  </si>
  <si>
    <t>PreK Homeschool Group - animals</t>
  </si>
  <si>
    <t>Thursday, 2:00 - 5:00 Pm</t>
  </si>
  <si>
    <t>Manager, Interpretive Ranger</t>
  </si>
  <si>
    <t>Thursday, 1:00 - 4:00 PM</t>
  </si>
  <si>
    <t>Frog Day</t>
  </si>
  <si>
    <t>bat kite</t>
  </si>
  <si>
    <t>Friday 2-3pm</t>
  </si>
  <si>
    <t>State University Foundation/History Tour</t>
  </si>
  <si>
    <t>Wednesday 1:30-3pm</t>
  </si>
  <si>
    <t>Duncan Church Tour/History Tour</t>
  </si>
  <si>
    <t>Saturday, 2:30 - 3:30 PM</t>
  </si>
  <si>
    <t>Saturday, 3:30 - 4:30 PM</t>
  </si>
  <si>
    <t>Wednesday, 2:00 - 4:30 PM</t>
  </si>
  <si>
    <t>Padieia School</t>
  </si>
  <si>
    <t>Dock &amp; Animals</t>
  </si>
  <si>
    <t>Assistant Manager, Interpretive Ranger</t>
  </si>
  <si>
    <t>Friday, 9:00 AM - 12:00 PM</t>
  </si>
  <si>
    <t>Kingsland Elementary School</t>
  </si>
  <si>
    <t>Dock, Hike &amp; Reptiles</t>
  </si>
  <si>
    <t>Assistant Manager, Interpretive Ranger, Volunteer</t>
  </si>
  <si>
    <t>Travel Is Fun/History Tour</t>
  </si>
  <si>
    <t>Saturday, 4:00 - 8:00 Pm</t>
  </si>
  <si>
    <t>Dynamic Compositions with Digital Photogrphy</t>
  </si>
  <si>
    <t>Monday, 9:30 AM - 12:30 PM</t>
  </si>
  <si>
    <t>Sierra Club</t>
  </si>
  <si>
    <t>High Tide Kayak Trip</t>
  </si>
  <si>
    <t>Wednesday, 1:00 - 3:0 PM</t>
  </si>
  <si>
    <t>Manatee Appreciation</t>
  </si>
  <si>
    <t>Thursday, 2:00 - 3:30 PM</t>
  </si>
  <si>
    <t>Interpretive Boat Cruise</t>
  </si>
  <si>
    <t>March</t>
  </si>
  <si>
    <t>Interpretive Ranger, Part-time Interpretive Staff, Volunteer</t>
  </si>
  <si>
    <t>Friday, 10-11:30 am</t>
  </si>
  <si>
    <t>Thursday, 7-9 p.m.</t>
  </si>
  <si>
    <t>Alternative Spring Break</t>
  </si>
  <si>
    <t>Kayak on Lake Rutledge</t>
  </si>
  <si>
    <t>Re</t>
  </si>
  <si>
    <t>We did this program as a "Thank-You" to the Plymoth University volunteers for the work they did on the park.</t>
  </si>
  <si>
    <t>Saturday 8 - 10 p.m.</t>
  </si>
  <si>
    <t>Night Sounds Hike</t>
  </si>
  <si>
    <t>Night Hike on Beaver Pond Trail</t>
  </si>
  <si>
    <t>Saturday 7:30 - 9:30</t>
  </si>
  <si>
    <t>Very cold and windy night!</t>
  </si>
  <si>
    <t>Thursday 10 a.m. - 12 p.m.</t>
  </si>
  <si>
    <t>Life Cycles Program</t>
  </si>
  <si>
    <t>Friday, 11AM - 3PM</t>
  </si>
  <si>
    <t>Soar Academy</t>
  </si>
  <si>
    <t>Archery &amp; Snake Show</t>
  </si>
  <si>
    <t>Friday, 3-7, 9 a.m. - 12 p.m.</t>
  </si>
  <si>
    <t>Home School</t>
  </si>
  <si>
    <t>Soldier's Life</t>
  </si>
  <si>
    <t>Saturday, 3-8, 10 a.m. - 12 p.m.</t>
  </si>
  <si>
    <t>Lecture: History of Camp Mcdonald</t>
  </si>
  <si>
    <t>Lecture</t>
  </si>
  <si>
    <t>Professor from Kennesaw State University</t>
  </si>
  <si>
    <t>Friday, 3-14, 9 a.m.- 1:00 p.m.</t>
  </si>
  <si>
    <t>Harvester Academy</t>
  </si>
  <si>
    <t>Friday, 3-28, 9 a.m. - 1 p.m.</t>
  </si>
  <si>
    <t>Saturday, 3-29, 9 a.m. - 1 p.m.</t>
  </si>
  <si>
    <t>Senior Civil War Bus Tour</t>
  </si>
  <si>
    <t>Battlefield Lecture</t>
  </si>
  <si>
    <t>Friday 10:00 am</t>
  </si>
  <si>
    <t>north Georgia Home School</t>
  </si>
  <si>
    <t>wilderness survival, fire building, shelter building</t>
  </si>
  <si>
    <t>yes</t>
  </si>
  <si>
    <t>Friday 6:00pm</t>
  </si>
  <si>
    <t>Full  Moon Hike</t>
  </si>
  <si>
    <t>Wednesday 10am</t>
  </si>
  <si>
    <t>Fairview Pre K</t>
  </si>
  <si>
    <t>reptile encounter</t>
  </si>
  <si>
    <t>Saturday 8:00 am</t>
  </si>
  <si>
    <t>photography workshop</t>
  </si>
  <si>
    <t>professional photographer</t>
  </si>
  <si>
    <t>sunday</t>
  </si>
  <si>
    <t>learned about cameras and how to set up for good outdoor shots</t>
  </si>
  <si>
    <t>Habersham 3rd grade academy</t>
  </si>
  <si>
    <t>reptile encounter Tallulah Detective and waterfall hike</t>
  </si>
  <si>
    <t>Sat. 10-12 a.m.</t>
  </si>
  <si>
    <t>Black History Walk</t>
  </si>
  <si>
    <t>Tour focussing on the black farm workers</t>
  </si>
  <si>
    <t>Tues. 1-5 pm</t>
  </si>
  <si>
    <t>Road Scholars</t>
  </si>
  <si>
    <t>Introduction to Site</t>
  </si>
  <si>
    <t>8-9:30p.m.</t>
  </si>
  <si>
    <t>Campfire Program</t>
  </si>
  <si>
    <t>games,singalong,small hike</t>
  </si>
  <si>
    <t>9:30 a.m.</t>
  </si>
  <si>
    <t>Sherily Hills Ele.</t>
  </si>
  <si>
    <t>Middle GA Christian</t>
  </si>
  <si>
    <t>Scottish Heritage Days- Spring Encampment</t>
  </si>
  <si>
    <t>Annual Spring Reenactment</t>
  </si>
  <si>
    <t>Springtime hike on the Blue Mountain Bike Trail</t>
  </si>
  <si>
    <t>Hike on the mountain bike trail looking at waterfalls, wildflowers, etc.</t>
  </si>
  <si>
    <t>Hike went well despite low attendance.</t>
  </si>
  <si>
    <t>Frederica Academy</t>
  </si>
  <si>
    <t>Site video, museum, guided fort tour, soldier talk, musket firing demo</t>
  </si>
  <si>
    <t>This was the final tour given by site manager Steven Smith before his departure to work at Massie Heritage Center in Savannah.</t>
  </si>
  <si>
    <t>Wednesday, 1pm</t>
  </si>
  <si>
    <t>Calvary Christian</t>
  </si>
  <si>
    <t>saturday, 1-3pm</t>
  </si>
  <si>
    <t>Ashton's 7th Birthday Party</t>
  </si>
  <si>
    <t>Birthday Party</t>
  </si>
  <si>
    <t>Deerfield Elementary</t>
  </si>
  <si>
    <t>Firday, 10am</t>
  </si>
  <si>
    <t>Camden Elementary</t>
  </si>
  <si>
    <t>Bi-annual student day presenters</t>
  </si>
  <si>
    <t>Sunday, 11am</t>
  </si>
  <si>
    <t>Kirkin Of the Tartans</t>
  </si>
  <si>
    <t>Traditional Scottish service</t>
  </si>
  <si>
    <t>Saturday, 10-12:30</t>
  </si>
  <si>
    <t>Digital Outdoor Photography Workshop-Level 1</t>
  </si>
  <si>
    <t>workshop to teach camera basics, shooting effects, depth of field, linear perspective, exposure with an outdoor session</t>
  </si>
  <si>
    <t>The outdoor photo workshop was a big hit.  Class size was limited to 10 people and was almost full.  We received a lot of great feedback about the program.  Hopefully our volunteer will be able to come back and some point and do some more photography workshops/programs. $45 generated in parkpass fees and $135 revenue generated in program fees.</t>
  </si>
  <si>
    <t>Friday, 8-9</t>
  </si>
  <si>
    <t>S'more Talk</t>
  </si>
  <si>
    <t>Campfire with S'more's and Bear Talk</t>
  </si>
  <si>
    <t>Go around park and make contact with visitors.</t>
  </si>
  <si>
    <t>Saturday, 2-4</t>
  </si>
  <si>
    <t>Gold Hike</t>
  </si>
  <si>
    <t>Hike along Gold Mine Trail with Georgia gold information presented</t>
  </si>
  <si>
    <t>Panning for Gold</t>
  </si>
  <si>
    <t>Showed visitors how to pan for gold and let them try their hand at it.</t>
  </si>
  <si>
    <t>Saturday, 2-4:30</t>
  </si>
  <si>
    <t>Digital Outdoor Photography Workshop-Level 2</t>
  </si>
  <si>
    <t>workshop taught ISO settings, 11 guidelines for awesome landscape photos, and included an outdoor session</t>
  </si>
  <si>
    <t>Each photo workshop was a big hit and we hope to have more someday soon if we can get a volunteer to give it again.  We received a lot of great feedback from attendees and those who wanted to attend but class size was full.</t>
  </si>
  <si>
    <t>Saturday 2-4</t>
  </si>
  <si>
    <t>Gold Mine Quiz</t>
  </si>
  <si>
    <t>Had a quiz visitors could participate in after going on the Gold Hike.</t>
  </si>
  <si>
    <t>Saturday 10-11 am</t>
  </si>
  <si>
    <t>Fort Mountain BINGO</t>
  </si>
  <si>
    <t>Presented Fort Mountain BINGO to Boy Scouts</t>
  </si>
  <si>
    <t>Morning Scavenger Hunt</t>
  </si>
  <si>
    <t>Scavenger Hunt along the Lake Trail</t>
  </si>
  <si>
    <t>Black Bear Talk</t>
  </si>
  <si>
    <t>Gave the Black Bear Talk to Boy Scouts</t>
  </si>
  <si>
    <t>7th 1pm</t>
  </si>
  <si>
    <t>kite rally</t>
  </si>
  <si>
    <t>make and fly kites</t>
  </si>
  <si>
    <t>Saturday, 1:30-2:30 pm</t>
  </si>
  <si>
    <t>Edible Campfire</t>
  </si>
  <si>
    <t>Showed kids how to build a campfire by using food.</t>
  </si>
  <si>
    <t>10th 10am</t>
  </si>
  <si>
    <t>lake park elementry</t>
  </si>
  <si>
    <t>educational hike into the canyon</t>
  </si>
  <si>
    <t>14th 10am</t>
  </si>
  <si>
    <t>patula charter</t>
  </si>
  <si>
    <t>15th 11am</t>
  </si>
  <si>
    <t>hike into canyon about geology and history</t>
  </si>
  <si>
    <t>25th 1 pm</t>
  </si>
  <si>
    <t>lee county middle school</t>
  </si>
  <si>
    <t>Scavenger Hunt Programs</t>
  </si>
  <si>
    <t>Ranger led Scavenger Hunts through history</t>
  </si>
  <si>
    <t>Interp Ranger and PT staff</t>
  </si>
  <si>
    <t>Sales in gift shop occur after children do the scavenger hunt as the families always enjoy the program. Totals have not been calculated for gift shop sales.</t>
  </si>
  <si>
    <t>Beavers/Life Enrichment</t>
  </si>
  <si>
    <t>shared beaver adaptations and made a beaver craft</t>
  </si>
  <si>
    <t>N Georgia Christian Group/History Tour</t>
  </si>
  <si>
    <t>Saturday, 10 am-12</t>
  </si>
  <si>
    <t>Nature Hike/ Boy scouts</t>
  </si>
  <si>
    <t>Nature hike focus amphibians &amp; trees</t>
  </si>
  <si>
    <t>Assistant Manager &amp; Volunteer</t>
  </si>
  <si>
    <t>Dunwoody Elem/History Tour</t>
  </si>
  <si>
    <t>Thursday 3-5 pm</t>
  </si>
  <si>
    <t>Briar Lake Elem/History Tour</t>
  </si>
  <si>
    <t>Monday, 9am - 12pm</t>
  </si>
  <si>
    <t>Cook Primary</t>
  </si>
  <si>
    <t>Daily, 10 a.m.- 4 p.m.</t>
  </si>
  <si>
    <t>Plantation House Tours</t>
  </si>
  <si>
    <t>Ranger guided house tours</t>
  </si>
  <si>
    <t>Visitors can take a van tour to see Smithgall Woods</t>
  </si>
  <si>
    <t>Thursday, 8:30-2:30</t>
  </si>
  <si>
    <t>Georgia Forestry Commission/Field Day</t>
  </si>
  <si>
    <t>Local 4-H/forestry participants are questioned, judged, and scored on entries</t>
  </si>
  <si>
    <t>Georgia Forestry Commission</t>
  </si>
  <si>
    <t>Saturday 8 pm - 10 pm</t>
  </si>
  <si>
    <t>Night Hike &amp; Story Telling</t>
  </si>
  <si>
    <t>Night hike, story telling, smores</t>
  </si>
  <si>
    <t>Saturday, 9-2</t>
  </si>
  <si>
    <t>Friends of Laura S. Walker State Park Golf Tournament</t>
  </si>
  <si>
    <t>golf tournament to benefit golf course and friends of Laura S. Walker</t>
  </si>
  <si>
    <t>Friends of Laura S. Walker State Park</t>
  </si>
  <si>
    <t>$660.00 revenue towards green fees/cart fees. $300.00 revenue for golf course grill.</t>
  </si>
  <si>
    <t>The Life Enrichment Ctr.</t>
  </si>
  <si>
    <t>Cleaned around historic lily pool</t>
  </si>
  <si>
    <t>Wednesday 9am - 12:30pm</t>
  </si>
  <si>
    <t>GPS Basics</t>
  </si>
  <si>
    <t>Participants can learn the basics of using a GPS unit</t>
  </si>
  <si>
    <t>School age children participate in projects at Smithgall Woods</t>
  </si>
  <si>
    <t>Hands-on Bee keeping</t>
  </si>
  <si>
    <t>Martin Mine Hike</t>
  </si>
  <si>
    <t>Wildflower Hunt</t>
  </si>
  <si>
    <t>visitors can take a walk and hunt for the spring wildflowers</t>
  </si>
  <si>
    <t>Friday 2:00 - 4:00 p.m.</t>
  </si>
  <si>
    <t>Chestnut Tree Planting</t>
  </si>
  <si>
    <t>visitors along with college professor from Berry College and Georgia Chestnut Society planted chestnut seeds</t>
  </si>
  <si>
    <t>Gourdeous Birdhouses</t>
  </si>
  <si>
    <t>visitors can make their own gourd birdhouses</t>
  </si>
  <si>
    <t>wednesday 10-12pm</t>
  </si>
  <si>
    <t>FBC Joy Fellowship/History Tour</t>
  </si>
  <si>
    <t>Survival Preperation</t>
  </si>
  <si>
    <t>Participants can learn about the basics of surviving in the wilderness</t>
  </si>
  <si>
    <t>Wednesday 11-1pm</t>
  </si>
  <si>
    <t>YMCA / History Tour</t>
  </si>
  <si>
    <t>Saturday 12-2pm</t>
  </si>
  <si>
    <t>Christian Tours/History Tour</t>
  </si>
  <si>
    <t>Saturday 1-3 pm</t>
  </si>
  <si>
    <t>Graham Tours/History Tour</t>
  </si>
  <si>
    <t>Saturday 1:00 - 6:00 p.m.</t>
  </si>
  <si>
    <t>Hardman Farm Guided Tours</t>
  </si>
  <si>
    <t>sitors can pre-register and tour a guided Hardman Farm</t>
  </si>
  <si>
    <t>Gwinnett Middle School</t>
  </si>
  <si>
    <t>Students learn about Birds of Prey</t>
  </si>
  <si>
    <t>S. Forsyth Middle</t>
  </si>
  <si>
    <t>Concord Christian School - Dress a Beaver</t>
  </si>
  <si>
    <t>students learn about the adaptations of beavers</t>
  </si>
  <si>
    <t>Towns County Elementary -  Birds of Prey</t>
  </si>
  <si>
    <t>Lanier Middle - Birds of Prey</t>
  </si>
  <si>
    <t>Ga Firefighters Found/Historic Tour</t>
  </si>
  <si>
    <t>North Gwinnett Middle - Snakes Alive</t>
  </si>
  <si>
    <t>North Habersham Middle School -Mammels</t>
  </si>
  <si>
    <t>students learn about the mammals of Smithgall Woods</t>
  </si>
  <si>
    <t>Mt. Yonah Elementary School - Snakes Alive</t>
  </si>
  <si>
    <t>Level Grove - Creepy Crawlers</t>
  </si>
  <si>
    <t>Students learn about animals that are creepy crawler</t>
  </si>
  <si>
    <t>Rabun County Middle - Snakes Alive and Animal Adaptations</t>
  </si>
  <si>
    <t>students learn about snakes and animal adaptations</t>
  </si>
  <si>
    <t>Friday 9:30 a.m.</t>
  </si>
  <si>
    <t>Kelly Tours - Animal Adaptations</t>
  </si>
  <si>
    <t>Lamar County Elem/History Tour</t>
  </si>
  <si>
    <t>Corinth Bap/History Tour</t>
  </si>
  <si>
    <t>'3/14/14</t>
  </si>
  <si>
    <t>Valwood</t>
  </si>
  <si>
    <t>Did boat tours and a herpetology program</t>
  </si>
  <si>
    <t>astronomy</t>
  </si>
  <si>
    <t>'3/8/14</t>
  </si>
  <si>
    <t>Cross Point Academy</t>
  </si>
  <si>
    <t>Did an astronomy program for Cross Point Academy</t>
  </si>
  <si>
    <t>'3/15/14</t>
  </si>
  <si>
    <t>Naval Station Mayport</t>
  </si>
  <si>
    <t>boat tour and astronomy program</t>
  </si>
  <si>
    <t>Iowa College</t>
  </si>
  <si>
    <t>'3/22/14</t>
  </si>
  <si>
    <t>RA Group</t>
  </si>
  <si>
    <t>'3/26/14</t>
  </si>
  <si>
    <t>Billy's Island Paddle</t>
  </si>
  <si>
    <t>Sat, 9am-11am</t>
  </si>
  <si>
    <t>Peachtree City cubscouts</t>
  </si>
  <si>
    <t>nature/history hike to mill for cub scouts</t>
  </si>
  <si>
    <t>historian led history hike to New Manchester Mill</t>
  </si>
  <si>
    <t>Sunday 3pm-4pm</t>
  </si>
  <si>
    <t>All about reptiles and amphibians</t>
  </si>
  <si>
    <t>reptile and amphibian program with live snakes</t>
  </si>
  <si>
    <t>Manager in Training (MIT)</t>
  </si>
  <si>
    <t>Photography 101 (composition)</t>
  </si>
  <si>
    <t>photo 101 clas focusing on composition</t>
  </si>
  <si>
    <t>Sunday 1pm-4pm</t>
  </si>
  <si>
    <t>"Park Nights City Lights" night hike</t>
  </si>
  <si>
    <t>staff-led night hike to East Ridge</t>
  </si>
  <si>
    <t>historian-led history hike to   New Manchester Mill</t>
  </si>
  <si>
    <t>Saturday 2pm-3:30pm</t>
  </si>
  <si>
    <t>Saturday, 8pm-9:30pm</t>
  </si>
  <si>
    <t>ranger led night hike to New Manchester Mill</t>
  </si>
  <si>
    <t>Saturday, 10am-11:30am</t>
  </si>
  <si>
    <t>Thomaston Scouts, Mill and Green Building tour</t>
  </si>
  <si>
    <t>History/nature hike to mill for scouts</t>
  </si>
  <si>
    <t>historian-led history hike to New Manchesterr Mill</t>
  </si>
  <si>
    <t>Thursday, 1pm-3pm</t>
  </si>
  <si>
    <t>Arlington Christian Academy/Mill hike</t>
  </si>
  <si>
    <t>nature/history hike to New Manchester Mill</t>
  </si>
  <si>
    <t>Friday 9:30am-12:30pm</t>
  </si>
  <si>
    <t>New Manchester Elementary/ Mill Hike</t>
  </si>
  <si>
    <t>ranger led school hike/nature/history to New Manchester Mill</t>
  </si>
  <si>
    <t>historian-led history hike to the New Manchester Mill</t>
  </si>
  <si>
    <t>Saturday, 2pm-3:30pm</t>
  </si>
  <si>
    <t>pertile and amphibian program with live snakes</t>
  </si>
  <si>
    <t>MIT (Manager in Training)</t>
  </si>
  <si>
    <t>Spring Wildflower Hike</t>
  </si>
  <si>
    <t>ranger-led wildflower hike</t>
  </si>
  <si>
    <t>For Women by Women:Introduction to kayaking</t>
  </si>
  <si>
    <t>women led  introductory kayaking class for women</t>
  </si>
  <si>
    <t>Sunday, 20m-3:30pm</t>
  </si>
  <si>
    <t>Saturday 10 a.m.-3 p.m.</t>
  </si>
  <si>
    <t>Reptile Day</t>
  </si>
  <si>
    <t>Reptile Education Event</t>
  </si>
  <si>
    <t>Georgia Reptile Society Members</t>
  </si>
  <si>
    <t>Last Reptile Day event didn't charge an entry fee and we had 400 people attend.  The $3 entry fee didn't cause any drop in attendance, it is likely we had more people since children 3 and under weren't charged entry.  Great event, will be an annual deal for us!!</t>
  </si>
  <si>
    <t>Daily 10:30 am, 1:30 pm, 3:30 pm</t>
  </si>
  <si>
    <t>thur 9-10am</t>
  </si>
  <si>
    <t>DNR Bosses</t>
  </si>
  <si>
    <t>fri 10-11am</t>
  </si>
  <si>
    <t>home school</t>
  </si>
  <si>
    <t>fri 11-1pm</t>
  </si>
  <si>
    <t>Richmond Hill High</t>
  </si>
  <si>
    <t>sat 9-12 am</t>
  </si>
  <si>
    <t>bac</t>
  </si>
  <si>
    <t>scouts</t>
  </si>
  <si>
    <t>park clean up</t>
  </si>
  <si>
    <t>fri 3-5pm</t>
  </si>
  <si>
    <t>fri 10-12am</t>
  </si>
  <si>
    <t>leadership bryan</t>
  </si>
  <si>
    <t>school 11-1pm</t>
  </si>
  <si>
    <t>sat 11-12am &amp; 2-3pm</t>
  </si>
  <si>
    <t>weapons of cw</t>
  </si>
  <si>
    <t>his mcallister</t>
  </si>
  <si>
    <t>hisr/demo</t>
  </si>
  <si>
    <t>Saturday 5th 9-5</t>
  </si>
  <si>
    <t>tools and weapons</t>
  </si>
  <si>
    <t>demonstration of tools and weapons</t>
  </si>
  <si>
    <t>Saturday 5-9pm</t>
  </si>
  <si>
    <t>Campground Music Program</t>
  </si>
  <si>
    <t>Local musicians offer and music program to our campers</t>
  </si>
  <si>
    <t>Farm Open House</t>
  </si>
  <si>
    <t>Visitors visit heritage farm and museum, ranger present to answer questions</t>
  </si>
  <si>
    <t>Saturday 10am - 2pm</t>
  </si>
  <si>
    <t>Spring Fest</t>
  </si>
  <si>
    <t>Fun for kids and volunteer projects</t>
  </si>
  <si>
    <t>multiple staff members</t>
  </si>
  <si>
    <t>Friday 9am-12:30pm</t>
  </si>
  <si>
    <t>Satilla Elementary 3rd grade</t>
  </si>
  <si>
    <t>Sensory perception, colonial toys, insect program</t>
  </si>
  <si>
    <t>Wednesday 4/9 9am-5pm</t>
  </si>
  <si>
    <t>Thurday 4/10</t>
  </si>
  <si>
    <t>Introduction to the site based on the diarama</t>
  </si>
  <si>
    <t>unplanned group showed up</t>
  </si>
  <si>
    <t>Thursday 4/10</t>
  </si>
  <si>
    <t>Intro and museum tour</t>
  </si>
  <si>
    <t>brief site introduction based on the diarama with a short tour of some artifacts in the museum</t>
  </si>
  <si>
    <t>Friday, 10 am-12</t>
  </si>
  <si>
    <t>Natuer Hike</t>
  </si>
  <si>
    <t>nature hike &amp; craft</t>
  </si>
  <si>
    <t>Thursday 1:00pm</t>
  </si>
  <si>
    <t>St. Martins School</t>
  </si>
  <si>
    <t>Film, tour, and toools and weapons program</t>
  </si>
  <si>
    <t>multiple staff</t>
  </si>
  <si>
    <t>Friday 4/4</t>
  </si>
  <si>
    <t>Alto Park School</t>
  </si>
  <si>
    <t>Site tour, film, and tools and weapons demonstration</t>
  </si>
  <si>
    <t>Multiple Staff</t>
  </si>
  <si>
    <t>Lots of sales. One adult made sure each kid was able to get at least one item.</t>
  </si>
  <si>
    <t>Saturday, 12:30-2:30 pm</t>
  </si>
  <si>
    <t>Crawford Birthday Party/ Birthday Party Package</t>
  </si>
  <si>
    <t>Carnival fun- ring the critter, apple bobbing, pin the hat on the gopher</t>
  </si>
  <si>
    <t>gohper appearance</t>
  </si>
  <si>
    <t>water talk and fish id</t>
  </si>
  <si>
    <t>Saturday 9-1 pm</t>
  </si>
  <si>
    <t>Annual Commemorative Ceremony</t>
  </si>
  <si>
    <t>Honoring the legacy of President Roosevelt</t>
  </si>
  <si>
    <t>Saturday 3-4:30 pm</t>
  </si>
  <si>
    <t>Personal guided tours of the historic site</t>
  </si>
  <si>
    <t>Monday, 10:30*-11:45 am</t>
  </si>
  <si>
    <t>Life Enrichment/ Sun Catchers</t>
  </si>
  <si>
    <t>craft sun sathers &amp; nature hike</t>
  </si>
  <si>
    <t>North Columbia Elementary/ Nature Sense</t>
  </si>
  <si>
    <t>scavenger hunt, share touch boxes, &amp; texture garden craft</t>
  </si>
  <si>
    <t>Tuesday, 1-4pm</t>
  </si>
  <si>
    <t>Public Outreach, Ag week at the GA Visitor Center off I-85</t>
  </si>
  <si>
    <t>Gave out park info and had a snake on hand to show interested folks.</t>
  </si>
  <si>
    <t>Was a great way to introduce travelers to the park. Several families were interested in cottage/yurt rental and camping.</t>
  </si>
  <si>
    <t>Nature Hike Blue Bike Trail</t>
  </si>
  <si>
    <t>Night Paddle on Lake Rutledge</t>
  </si>
  <si>
    <t>saturday, 8 -10 p.m.</t>
  </si>
  <si>
    <t>Resource Manager and Campground Host</t>
  </si>
  <si>
    <t>Clean up of grounds at historic site</t>
  </si>
  <si>
    <t>Wednesday, 9:30-1:45 pm</t>
  </si>
  <si>
    <t>Augusta Christian &amp; Home School Group/ Earth Day</t>
  </si>
  <si>
    <t>Earth &amp; water, wildlife, recycle paper into beads, honey bees, lake ecology</t>
  </si>
  <si>
    <t>Clerk &amp; Part-time Interpretive staff &amp; 2 volunteers</t>
  </si>
  <si>
    <t>Wednesday 1:30 - 3 p.m.</t>
  </si>
  <si>
    <t>Home School Wednesday</t>
  </si>
  <si>
    <t>Astronomy Program -</t>
  </si>
  <si>
    <t>Charlie Elliot Astronomy Club</t>
  </si>
  <si>
    <t>Charlie Elliot Astronomy Club conducted the event.  They were great, set up different telescopes with different filters, gave out lots of cool hand outs (glasses with sun filtering lenses, a spectrometer, poster, etc).</t>
  </si>
  <si>
    <t>Thursday, 9:30-11:30 am</t>
  </si>
  <si>
    <t>Augusta Christian/ Wildlife Habitats</t>
  </si>
  <si>
    <t>nature hike, share furs, skulls and feet, nature center visit</t>
  </si>
  <si>
    <t>Clerk, part-time interpretive staff</t>
  </si>
  <si>
    <t>Mon, Wed, Thurs, 9:30 - 1pm</t>
  </si>
  <si>
    <t>Berrien Primary Kindergarden</t>
  </si>
  <si>
    <t>Animal Program, Pontoon, mini-golf</t>
  </si>
  <si>
    <t>Thursday, 9 a.m.- 1 p.m.</t>
  </si>
  <si>
    <t>Long Branch Elem.</t>
  </si>
  <si>
    <t>Saturday, 10-1 p.m.</t>
  </si>
  <si>
    <t>Free Archery Day</t>
  </si>
  <si>
    <t>Very rainy day.</t>
  </si>
  <si>
    <t>Easter egg Hunt</t>
  </si>
  <si>
    <t>egg hunt</t>
  </si>
  <si>
    <t>raining</t>
  </si>
  <si>
    <t>saturday 4pm</t>
  </si>
  <si>
    <t>Easter Crafts</t>
  </si>
  <si>
    <t>raining all day</t>
  </si>
  <si>
    <t>saturday 3-4</t>
  </si>
  <si>
    <t>Egg layers</t>
  </si>
  <si>
    <t>Satruday, 3:30 p.m.</t>
  </si>
  <si>
    <t>Georgia Studies/ Historic Tour Of Site</t>
  </si>
  <si>
    <t>Historic Guided Tour</t>
  </si>
  <si>
    <t>Tuesday, 9 - 11 a.m.</t>
  </si>
  <si>
    <t>Pitcher Plant Bog</t>
  </si>
  <si>
    <t>Pitcher Plant Bog Habittat: Claxton High Science Class wanted to come out to see the Pitcher Plant Habitat and wanted the Park Stff to talk about this unique habitat.</t>
  </si>
  <si>
    <t>Friday, 9:30 - 11 a.m.</t>
  </si>
  <si>
    <t>Toomb Central First Grade Habitat Program</t>
  </si>
  <si>
    <t>Saturday 10-12 noon</t>
  </si>
  <si>
    <t>Easter Egg Hunt</t>
  </si>
  <si>
    <t>This program is held at the Historic Site.</t>
  </si>
  <si>
    <t>Tuesday 9-2pm</t>
  </si>
  <si>
    <t>RB Wright Elem.</t>
  </si>
  <si>
    <t>animal and hike</t>
  </si>
  <si>
    <t>Sunday 1-3pm</t>
  </si>
  <si>
    <t>Egg Roll and Easter Egg Hunt</t>
  </si>
  <si>
    <t>Egg roll like the one at the big White House</t>
  </si>
  <si>
    <t>Vol. Mgr. Interp Ranger</t>
  </si>
  <si>
    <t>Georgia Studies / History Tour</t>
  </si>
  <si>
    <t>Monday 11-1pm</t>
  </si>
  <si>
    <t>Heard Elem/History Tour</t>
  </si>
  <si>
    <t>Sunday 12-2 pm</t>
  </si>
  <si>
    <t>Keheley Elem/History Tour</t>
  </si>
  <si>
    <t>Birmingham Tours/History Tour</t>
  </si>
  <si>
    <t>Wednesday 1-3 pm</t>
  </si>
  <si>
    <t>Troup County BOE/History Tour</t>
  </si>
  <si>
    <t>Briarwood Academy, St. Mary's &amp; John Hancock Academy</t>
  </si>
  <si>
    <t>Lake Ecology, Butterflies, Reptiles &amp; Amphibians, Geo-caching &amp; Earth Day Games</t>
  </si>
  <si>
    <t>Clerk, Assistant Manager, Part-time Interpretive Staff, Volunteers</t>
  </si>
  <si>
    <t>This is an annual program we present with other professionals.  Savannah River Ecology Lab &amp; the Watson &amp; Brown Foundation staff members helped us.</t>
  </si>
  <si>
    <t>Saturday, 10-12 pm</t>
  </si>
  <si>
    <t>Baskets, Eggs &amp; Rabbits</t>
  </si>
  <si>
    <t>basket crafts, egg scavenger hunt, 4-h bunny club shared rabbits</t>
  </si>
  <si>
    <t>Pat-time Interpretive staff &amp; volunteer</t>
  </si>
  <si>
    <t>Life Enrichment/ Earth Day</t>
  </si>
  <si>
    <t>earth day game &amp; craft</t>
  </si>
  <si>
    <t>Thursday 11-1 pm</t>
  </si>
  <si>
    <t>Baconton Comm. Charter Sch/History Tour</t>
  </si>
  <si>
    <t>Landmark Christian/History Tour</t>
  </si>
  <si>
    <t>Friday11-1 pm</t>
  </si>
  <si>
    <t>Jacksonville HS/History Tour</t>
  </si>
  <si>
    <t>Wednesday 9am - 11:30pm</t>
  </si>
  <si>
    <t>Funston Elementary</t>
  </si>
  <si>
    <t>Animal Program, Hike, mini-golf</t>
  </si>
  <si>
    <t>Wednesday, 9:30-11:45 am</t>
  </si>
  <si>
    <t>Basic Needs of PLants &amp; Animals</t>
  </si>
  <si>
    <t>nature hike, share mounted animals, furs, nature center visit, plant game</t>
  </si>
  <si>
    <t>Clerk, Part-time Interpretive Staff, 4 Volunteers</t>
  </si>
  <si>
    <t>Saturday 4/19</t>
  </si>
  <si>
    <t>Blowgun shoot</t>
  </si>
  <si>
    <t>Guests get to shoot darts at a target from a blowgun</t>
  </si>
  <si>
    <t>Friday  4/18</t>
  </si>
  <si>
    <t>introduction to the site based on the diarama</t>
  </si>
  <si>
    <t>Friday 4/18</t>
  </si>
  <si>
    <t>Roaming Ranger</t>
  </si>
  <si>
    <t>Ranger answers questions aboutthe site while roaming around the site</t>
  </si>
  <si>
    <t>Wednesday 4/23</t>
  </si>
  <si>
    <t>Ranger walks the site to see if geusts have questions/ answers them</t>
  </si>
  <si>
    <t>Difficult to say if this generates sales in the giftshop.</t>
  </si>
  <si>
    <t>Thursday, 9:30-11:45 am</t>
  </si>
  <si>
    <t>Cedar Ridge Ele/ Basic Needs of Plants &amp; Animals</t>
  </si>
  <si>
    <t>nature hike, share mounts, furs, nature center visit, plant games- focus Basic Needs of Plants &amp; Animals</t>
  </si>
  <si>
    <t>Part-time Interpretive Staff, 3 volunteers</t>
  </si>
  <si>
    <t>brief introduction to the site</t>
  </si>
  <si>
    <t>Wednesday 4/16</t>
  </si>
  <si>
    <t>brief into tio site and museum</t>
  </si>
  <si>
    <t>All About Reptiles and Amphibians</t>
  </si>
  <si>
    <t>Naturalist and Resource Manager</t>
  </si>
  <si>
    <t>photography intro class focusing on lighting</t>
  </si>
  <si>
    <t>Brookwood Elem</t>
  </si>
  <si>
    <t>March 2014 Programs in Georgia State Parks &amp; Historic Sites -  37 sites offered programs this month</t>
  </si>
  <si>
    <t>April 2014</t>
  </si>
  <si>
    <t>Friday 8-9PM</t>
  </si>
  <si>
    <t>Night Eggstravaganza</t>
  </si>
  <si>
    <t>Night egg hunt</t>
  </si>
  <si>
    <t>Main staff, Manager, Assist Manager, MIT, 18 vol</t>
  </si>
  <si>
    <t>Do again ! Increase candy. Add more farm animals and add bubble machin &amp; easter hat/cap competition for parents &amp; tea party with the Easter Bunny.</t>
  </si>
  <si>
    <t>Friday, 10 am-11:30</t>
  </si>
  <si>
    <t>Braelinn Elem.</t>
  </si>
  <si>
    <t>Guided Tour of Museum</t>
  </si>
  <si>
    <t>Sat 8-11 AM</t>
  </si>
  <si>
    <t>10KCottonTrail Rabbit Run</t>
  </si>
  <si>
    <t>10K PMT run`````</t>
  </si>
  <si>
    <t>Asist Man &amp; 3 vol</t>
  </si>
  <si>
    <t>T -shirts 138 dollars, water, safety pins, bibs donated</t>
  </si>
  <si>
    <t>Thurs &amp; Sat 9-10</t>
  </si>
  <si>
    <t>bird walk in campground</t>
  </si>
  <si>
    <t>Thurs 9:30-12:00noon</t>
  </si>
  <si>
    <t>N GA Christian School/Hike &amp; History</t>
  </si>
  <si>
    <t>Hike on Mt Creek Trail/ History slant</t>
  </si>
  <si>
    <t>Interp Nat &amp; Vol</t>
  </si>
  <si>
    <t>Wed 10-11 AM</t>
  </si>
  <si>
    <t>Storytime with Harris County Library/ Reptiles</t>
  </si>
  <si>
    <t>partnership w/library story read &amp; program on-site</t>
  </si>
  <si>
    <t>Sun 10 AM-1 PM</t>
  </si>
  <si>
    <t>Wildflowers 7 Wildlife</t>
  </si>
  <si>
    <t>disovery table with wildlife &amp; plant items to see and touch</t>
  </si>
  <si>
    <t>Inter Naturalist &amp; 3 vol</t>
  </si>
  <si>
    <t>Sat 8-11 PM</t>
  </si>
  <si>
    <t>Pink Moon Night Hike</t>
  </si>
  <si>
    <t>full moon walk Mt Creek Trail</t>
  </si>
  <si>
    <t>Sat 11-12noon</t>
  </si>
  <si>
    <t>Reptile Review</t>
  </si>
  <si>
    <t>native reptile program</t>
  </si>
  <si>
    <t>Thurs 9:30-12;30</t>
  </si>
  <si>
    <t>Russell Co Gifted/ Trail Walk &amp; reptiles</t>
  </si>
  <si>
    <t>Sat 2-3:30PM</t>
  </si>
  <si>
    <t>Earth Day Bark in the Park</t>
  </si>
  <si>
    <t>trail walk w or w/o dog</t>
  </si>
  <si>
    <t>RAIN!</t>
  </si>
  <si>
    <t>Saturday 2-4 pm</t>
  </si>
  <si>
    <t>Earth Day Celebration</t>
  </si>
  <si>
    <t>fishing rodeo</t>
  </si>
  <si>
    <t>grreat turnout fishing were biting</t>
  </si>
  <si>
    <t>Friday, 9 - 10:30 p.m.</t>
  </si>
  <si>
    <t>Viewing the Starry Spring Skies</t>
  </si>
  <si>
    <t>Good program by Charlie Elliott Astronomy Club, saw Mars, Jupiter, Saturn and galaxies and star clusters through their equipment</t>
  </si>
  <si>
    <t>Saturday 2 -6 p.m.</t>
  </si>
  <si>
    <t>Bird walk near Lake Rutledge, Brantley</t>
  </si>
  <si>
    <t>Great bird walk, over 35 spp. seen or heard</t>
  </si>
  <si>
    <t>Saturday, 1:30-3:30 pm</t>
  </si>
  <si>
    <t>Girlscouts/ Geocaching</t>
  </si>
  <si>
    <t>geocaching adventure</t>
  </si>
  <si>
    <t>Assistant Manager &amp; part-time Interpretive Staff</t>
  </si>
  <si>
    <t>Life Enrichment/ Chinese Kites</t>
  </si>
  <si>
    <t>made chinese fish kites</t>
  </si>
  <si>
    <t>Saturday 10AM</t>
  </si>
  <si>
    <t>saturday 3pm</t>
  </si>
  <si>
    <t>Snakes Alive</t>
  </si>
  <si>
    <t>Native Snake Identification</t>
  </si>
  <si>
    <t>Sunday 10am</t>
  </si>
  <si>
    <t>Intro to Camping</t>
  </si>
  <si>
    <t>Basic Camping Skills</t>
  </si>
  <si>
    <t>This was  our first weekend for programs and we were unable to get this weekends activities advertised properly</t>
  </si>
  <si>
    <t>Sunday 1pm</t>
  </si>
  <si>
    <t>Sunday 3pm</t>
  </si>
  <si>
    <t>Animals and their Signs</t>
  </si>
  <si>
    <t>Wednesday, April 2, 10-11 AM</t>
  </si>
  <si>
    <t>Sunshine House/Animal Encounter</t>
  </si>
  <si>
    <t>Animal Encounter with snakes and turtles</t>
  </si>
  <si>
    <t>Friday, April 4, 10 am - 12 pm</t>
  </si>
  <si>
    <t>Northside Elementary/Animal Encounter, Story, and Nature Hike</t>
  </si>
  <si>
    <t>Animal encounter with snakes and turtles, "Anybody Home" story, and nature hike</t>
  </si>
  <si>
    <t>Interpretive Ranger, Intern, and two Volunteers</t>
  </si>
  <si>
    <t>Saturday, April 26, 2-4 PM</t>
  </si>
  <si>
    <t>American Heritage Girls/Animal Encounter and Nature Hike</t>
  </si>
  <si>
    <t>Animal Encounter with snakes and turtles and 1 mile nature hike</t>
  </si>
  <si>
    <t>Saturday and Sunday, April 5-6, 10 am - 4 pm</t>
  </si>
  <si>
    <t>Spring at the Homestead</t>
  </si>
  <si>
    <t>Living history event - candledipping, cooking, toys and games, Civil War tent city, etc</t>
  </si>
  <si>
    <t>Friday and Saturday, April 11-12</t>
  </si>
  <si>
    <t>Geocamping Weekend</t>
  </si>
  <si>
    <t>Night caching, GGA scavenger hunt, bonfire</t>
  </si>
  <si>
    <t>Interpretive Ranger and volunteers</t>
  </si>
  <si>
    <t>Talking with guests about park, animals, history, etc</t>
  </si>
  <si>
    <t>Monday 9-12</t>
  </si>
  <si>
    <t>Thomas County Middle School Hike</t>
  </si>
  <si>
    <t>Guided hike on nature trail</t>
  </si>
  <si>
    <t>Tuesday, 9:30-12: PM</t>
  </si>
  <si>
    <t>Glasscock County Elementary/ Habitats &amp; Adaptations</t>
  </si>
  <si>
    <t>Nature hike, , build a dam, share mounts, funs &amp; feet prints</t>
  </si>
  <si>
    <t>Clerk, Part time Interpretive Staff</t>
  </si>
  <si>
    <t>Wednesday 23rd, 4-6 PM</t>
  </si>
  <si>
    <t>Campbell Robertson Birthday Party</t>
  </si>
  <si>
    <t>Canoe</t>
  </si>
  <si>
    <t>Thursday 24th, 9AM-2PM</t>
  </si>
  <si>
    <t>Washington-Wilkes Elementary</t>
  </si>
  <si>
    <t>Discovery Hike</t>
  </si>
  <si>
    <t>Snakes/Turtles</t>
  </si>
  <si>
    <t>Secretary</t>
  </si>
  <si>
    <t>Hay Ride</t>
  </si>
  <si>
    <t>Thursday 24th, 3-6PM</t>
  </si>
  <si>
    <t>Lincoln County Elementary/Enrichment</t>
  </si>
  <si>
    <t>Thursday 24th, 8-9PM</t>
  </si>
  <si>
    <t>Friday 25th, 10AM-1PM</t>
  </si>
  <si>
    <t>Euchee Creek Elementary</t>
  </si>
  <si>
    <t>Enforcement Ranger</t>
  </si>
  <si>
    <t>Friday 25th,10AM-1PM</t>
  </si>
  <si>
    <t>Pioneer Living</t>
  </si>
  <si>
    <t>Saturday 4/26</t>
  </si>
  <si>
    <t>Guided walking tour of the site</t>
  </si>
  <si>
    <t>mostly drinks.... hot day</t>
  </si>
  <si>
    <t>Tools and Weapons demonstration</t>
  </si>
  <si>
    <t>Kids get to practice excavations by digging in the dirt looking for fake artifacts (trinkets)</t>
  </si>
  <si>
    <t>"Friends" provide trinkets for the dig box.</t>
  </si>
  <si>
    <t>Friday 5/25</t>
  </si>
  <si>
    <t>Saturday 2/12 10am - 4pm</t>
  </si>
  <si>
    <t>Skills of the past</t>
  </si>
  <si>
    <t>Staff, voluinteers, and paid demonstrators show different tools and weapons used by Native Americans</t>
  </si>
  <si>
    <t>Staff, Volunteers, and paid demonstrators</t>
  </si>
  <si>
    <t>Attendance is estimated on the number of sales between 10am and 4pm. "Friends" paid for the paid demonstrators ($300).</t>
  </si>
  <si>
    <t>Saturday 4/12</t>
  </si>
  <si>
    <t>Geocache campers tour</t>
  </si>
  <si>
    <t>Special prearranged torchlight tour for the Geocacher's group</t>
  </si>
  <si>
    <t>Saturday 4/12  7pm - 9pm</t>
  </si>
  <si>
    <t>Torchlight Tours</t>
  </si>
  <si>
    <t>A special Event sponsored by our Friends group, providing a nighttime tour around the mounds lit by torches</t>
  </si>
  <si>
    <t>Staff and Volunteers</t>
  </si>
  <si>
    <t>Venture Crew 11</t>
  </si>
  <si>
    <t>Tools and weapon Demonstration, and Video / self guided walk and picnic</t>
  </si>
  <si>
    <t>Friday 4/18 9:30am</t>
  </si>
  <si>
    <t>Woodland High</t>
  </si>
  <si>
    <t>Site film, tools and weapons demonstration, and site introduction</t>
  </si>
  <si>
    <t>Wednesday 4/23 9:30</t>
  </si>
  <si>
    <t>Thrasher Elem.</t>
  </si>
  <si>
    <t>Film, tools and weapon, and site tour</t>
  </si>
  <si>
    <t>school paid for students. Parents paid separately.</t>
  </si>
  <si>
    <t>Friday 4/25</t>
  </si>
  <si>
    <t>Little Lights Acad.</t>
  </si>
  <si>
    <t>Tools and weapons show and film.</t>
  </si>
  <si>
    <t>no retail sales</t>
  </si>
  <si>
    <t>Master's of Recreation</t>
  </si>
  <si>
    <t>Self-guided, recreation activity sheet</t>
  </si>
  <si>
    <t>Self-guided</t>
  </si>
  <si>
    <t>Games and Nature walk</t>
  </si>
  <si>
    <t>Movie Day</t>
  </si>
  <si>
    <t>Thursday 9-10 am</t>
  </si>
  <si>
    <t>Greenbriar HS FFA</t>
  </si>
  <si>
    <t>Asst did program for FFA</t>
  </si>
  <si>
    <t>May 2014</t>
  </si>
  <si>
    <t>Thursday, 10-12:30 pm</t>
  </si>
  <si>
    <t>Johnson County Elementary School/ Vertebrates &amp; Invertebrates</t>
  </si>
  <si>
    <t>seine lake, microscopes plankton &amp; zoo plankton, nature hike, vertebrate/invertebrate scavenger hunt</t>
  </si>
  <si>
    <t>Cler, part-time interpretive staff, 5 volunteers</t>
  </si>
  <si>
    <t>Saturday 1 pm &amp; 3 pm</t>
  </si>
  <si>
    <t>Wednesday, 930-1pm</t>
  </si>
  <si>
    <t>Waldo Pafford 4th grade</t>
  </si>
  <si>
    <t>film,scavenger hunt,colonial dance, soldier talk,musket demo,colonial toys and games</t>
  </si>
  <si>
    <t>Friday, 930-1pm</t>
  </si>
  <si>
    <t>Taylor's Creek 4th grade</t>
  </si>
  <si>
    <t>wildflower hike</t>
  </si>
  <si>
    <t>spring wildflower hike</t>
  </si>
  <si>
    <t>Saturday 2pm</t>
  </si>
  <si>
    <t>butterfly hike</t>
  </si>
  <si>
    <t>spring butterfly hike</t>
  </si>
  <si>
    <t>mountain hike</t>
  </si>
  <si>
    <t>Saturday mountain hike</t>
  </si>
  <si>
    <t>panola unlimited</t>
  </si>
  <si>
    <t>panola unlimited hike</t>
  </si>
  <si>
    <t>Saturday 1pm</t>
  </si>
  <si>
    <t>eggciting hike hunt</t>
  </si>
  <si>
    <t>Tues 630pm &amp;thurs 10am</t>
  </si>
  <si>
    <t>zumba</t>
  </si>
  <si>
    <t>moonlight night hike</t>
  </si>
  <si>
    <t>Intermediate Archery</t>
  </si>
  <si>
    <t>Students used groupon to pay for class instead of $10 it's 8 and groupon takes half so they pay $4</t>
  </si>
  <si>
    <t>Sat &amp; Sun 10am &amp; 2pm</t>
  </si>
  <si>
    <t>basic archery</t>
  </si>
  <si>
    <t>wednesday 3-5 pm</t>
  </si>
  <si>
    <t>Em Hawaii Tours/History Tour</t>
  </si>
  <si>
    <t>Inter and PT staff</t>
  </si>
  <si>
    <t>tuesday 3-5 pm</t>
  </si>
  <si>
    <t>Jefferson Ave Bap Sr./History Tour</t>
  </si>
  <si>
    <t>pt and interp staff</t>
  </si>
  <si>
    <t>Bethel Bap Tours/History Tour</t>
  </si>
  <si>
    <t>Sun-Mon 9-5</t>
  </si>
  <si>
    <t>Site film and introduction</t>
  </si>
  <si>
    <t>PT and Interp Ranger</t>
  </si>
  <si>
    <t>Sunday 1-3</t>
  </si>
  <si>
    <t>Easter Egg Roll</t>
  </si>
  <si>
    <t>Egg hunt and Egg Roll on lawn</t>
  </si>
  <si>
    <t>Friends paid for all supplies</t>
  </si>
  <si>
    <t>Wed 9-11 am</t>
  </si>
  <si>
    <t>Dell Webb Travel Club/history tour</t>
  </si>
  <si>
    <t>Thur 1-3 pm</t>
  </si>
  <si>
    <t>Baconton Charter/History Tour</t>
  </si>
  <si>
    <t>Landmark School.History Tour</t>
  </si>
  <si>
    <t>Wed 1-3 pm</t>
  </si>
  <si>
    <t>Mountville Elem/History Tour</t>
  </si>
  <si>
    <t>Interp Ranger and PT</t>
  </si>
  <si>
    <t>Jacksonville High/History Tour</t>
  </si>
  <si>
    <t>Interp Ranger &amp; PT</t>
  </si>
  <si>
    <t>Mon 10-12 pm</t>
  </si>
  <si>
    <t>Southern Hospitality Travel/History Tour</t>
  </si>
  <si>
    <t>Interp Ranger PT Staff</t>
  </si>
  <si>
    <t>Wed 2-4pm</t>
  </si>
  <si>
    <t>Jefferson Acad/History Tour</t>
  </si>
  <si>
    <t>Interp and pt staff</t>
  </si>
  <si>
    <t>Thurs -11-1 pm</t>
  </si>
  <si>
    <t>Easter Seals Grp/History Tour</t>
  </si>
  <si>
    <t>PT and Interp Staff</t>
  </si>
  <si>
    <t>Thrusday 9-11 am</t>
  </si>
  <si>
    <t>Fayette Co BOE/History Tour</t>
  </si>
  <si>
    <t>Interp and PT staff</t>
  </si>
  <si>
    <t>Thurs 10-12 pm</t>
  </si>
  <si>
    <t>Jefferson Acad/History Tours</t>
  </si>
  <si>
    <t>interp and PT staff</t>
  </si>
  <si>
    <t>Tues 2-4pm</t>
  </si>
  <si>
    <t>Burnt Hickory Grp/History Tour</t>
  </si>
  <si>
    <t>interp and pt staff</t>
  </si>
  <si>
    <t>Georgia Studies /History Tour</t>
  </si>
  <si>
    <t>Explore salt flats in search of scat</t>
  </si>
  <si>
    <t>Meander through the marsh on a one mile guided hike</t>
  </si>
  <si>
    <t>Walking through the campground, a ranger will be available to answer your questions, holding critter of the day</t>
  </si>
  <si>
    <t>Saturday 8:30pm</t>
  </si>
  <si>
    <t>Night Sensory Awareness Hike</t>
  </si>
  <si>
    <t>Use all your senses to explore the woods in the dark</t>
  </si>
  <si>
    <t>Bird HIke</t>
  </si>
  <si>
    <t>Friday 1:00pm</t>
  </si>
  <si>
    <t>Keep your eyes open to see one of America's most beautiful birds right here on the park.</t>
  </si>
  <si>
    <t>Join Ranger Jenny and help her identify birds along the trail.</t>
  </si>
  <si>
    <t>Thursday 11:00am</t>
  </si>
  <si>
    <t>Come learn all the difference between different types of reptiles.</t>
  </si>
  <si>
    <t>Friday 8:00pm</t>
  </si>
  <si>
    <t>Walk the trails at night to hear nocturnal animals call.</t>
  </si>
  <si>
    <t>Come learn how to identify different skulls.</t>
  </si>
  <si>
    <t>Rained out, no attendees</t>
  </si>
  <si>
    <t>April 13th, 2014</t>
  </si>
  <si>
    <t>Scavenger hunt</t>
  </si>
  <si>
    <t>Beach/Boat Manager</t>
  </si>
  <si>
    <t>Friend's of Fort Yargo paid for the supplies</t>
  </si>
  <si>
    <t>Thursaday 9:30am</t>
  </si>
  <si>
    <t>Skidaway Preschool</t>
  </si>
  <si>
    <t>hayride and IC tour</t>
  </si>
  <si>
    <t>Friday 9 am</t>
  </si>
  <si>
    <t>ft. stewart science day</t>
  </si>
  <si>
    <t>reptiles and wilderness survival</t>
  </si>
  <si>
    <t>Easter Blast</t>
  </si>
  <si>
    <t>hayride and easter egg hunt</t>
  </si>
  <si>
    <t>Low attendance due to rain</t>
  </si>
  <si>
    <t>Earth Day Downtown</t>
  </si>
  <si>
    <t>Booth at the Earth Day Festival</t>
  </si>
  <si>
    <t>Friday 10 am</t>
  </si>
  <si>
    <t>Hike and Reptiles</t>
  </si>
  <si>
    <t>Ft. Stewart Homeschool</t>
  </si>
  <si>
    <t>Marsh History Hike</t>
  </si>
  <si>
    <t>Savannah High School</t>
  </si>
  <si>
    <t>Lifecycles</t>
  </si>
  <si>
    <t>April 1, 9-10am</t>
  </si>
  <si>
    <t>Pathway Baptist Church</t>
  </si>
  <si>
    <t>April 11, 9-11am</t>
  </si>
  <si>
    <t>Newton Elementary School</t>
  </si>
  <si>
    <t>April 19, 7-9pm</t>
  </si>
  <si>
    <t>Night Easter Egg Hunt</t>
  </si>
  <si>
    <t>Night egg hunt at Camp Hicita</t>
  </si>
  <si>
    <t>Night egg hunt went well. Large crowd made it somewhat difficult to manage with few staff. Rain throughout week prior and morning of event possibly prevented others from attending. Having event at group camp helped with such a large crowd. Possibly having more for participants to do during the event would aid in future or possibly downsizing event some and require RSVP or something to that effect so that participants have less down time throughout event.</t>
  </si>
  <si>
    <t>April 24, 9-11am</t>
  </si>
  <si>
    <t>Gifted Elementary Center-Seminole County</t>
  </si>
  <si>
    <t>April 24, 2-4pm</t>
  </si>
  <si>
    <t>Seminole County Elementary</t>
  </si>
  <si>
    <t>April 25, 9-10:30am</t>
  </si>
  <si>
    <t>SGA-Early County</t>
  </si>
  <si>
    <t>April 2014-entire month</t>
  </si>
  <si>
    <t>Museum Visitation &amp; Video</t>
  </si>
  <si>
    <t>All Staff on Duty</t>
  </si>
  <si>
    <t>Friday-Sunday</t>
  </si>
  <si>
    <t>Girl Scout Adventure Weekend</t>
  </si>
  <si>
    <t>outdoor adventure for girl scouts</t>
  </si>
  <si>
    <t>MGR,AST MGR, &amp; Naturalist</t>
  </si>
  <si>
    <t>cost for tshirts and patches, end of year is bad time so had poor attendance. hoping to make annual event</t>
  </si>
  <si>
    <t>saturday 9-12 am</t>
  </si>
  <si>
    <t>intro to canoe</t>
  </si>
  <si>
    <t>intro into conoeing fun</t>
  </si>
  <si>
    <t>snakes alive</t>
  </si>
  <si>
    <t>learning about snakes</t>
  </si>
  <si>
    <t>sunday 11-12 am</t>
  </si>
  <si>
    <t>intro to camping</t>
  </si>
  <si>
    <t>learning safe camp practices</t>
  </si>
  <si>
    <t>sunday 1-2 pm</t>
  </si>
  <si>
    <t>animals and their signs</t>
  </si>
  <si>
    <t>sunday 4-5pm</t>
  </si>
  <si>
    <t>Friday 9-11 p.m.</t>
  </si>
  <si>
    <t>Space: What do we see?</t>
  </si>
  <si>
    <t>Georgia Southern University Astronomy Program</t>
  </si>
  <si>
    <t>GSU Professor</t>
  </si>
  <si>
    <t>4/9 4pm</t>
  </si>
  <si>
    <t>tour on the pontoon boat exploring the chatt river</t>
  </si>
  <si>
    <t>4/10 2pm</t>
  </si>
  <si>
    <t>river tour of native aquatic plants</t>
  </si>
  <si>
    <t>'4/14</t>
  </si>
  <si>
    <t>Wilcox county school</t>
  </si>
  <si>
    <t>hike into providence Canyon</t>
  </si>
  <si>
    <t>19th 10am to4pm</t>
  </si>
  <si>
    <t>Festival</t>
  </si>
  <si>
    <t>arts and crafts</t>
  </si>
  <si>
    <t>19/1pm</t>
  </si>
  <si>
    <t>hunting eggs and visit from the easter bunny</t>
  </si>
  <si>
    <t>money for egg hunt was donated by WC Bradley Company</t>
  </si>
  <si>
    <t>'4/28</t>
  </si>
  <si>
    <t>Cartersville magnet school</t>
  </si>
  <si>
    <t>hike into Providence Canyon</t>
  </si>
  <si>
    <t>'April 25, 2014</t>
  </si>
  <si>
    <t>Elementary School Tour</t>
  </si>
  <si>
    <t>Tour of Reynolds Mansion</t>
  </si>
  <si>
    <t>Tuesday 10-12 pm</t>
  </si>
  <si>
    <t>St Luke Sch/History Tour</t>
  </si>
  <si>
    <t>Woodland Middle Sch./History Tour</t>
  </si>
  <si>
    <t>AFC Tours/History Tour</t>
  </si>
  <si>
    <t>Friday 1-3 pm</t>
  </si>
  <si>
    <t>Village Tours/history tour</t>
  </si>
  <si>
    <t>Sat 3-4:30 pm</t>
  </si>
  <si>
    <t>guided tour of historic site</t>
  </si>
  <si>
    <t>Mulvhill Tours/History Tour</t>
  </si>
  <si>
    <t>Oak Grove Elem/History Tour</t>
  </si>
  <si>
    <t>Salvation Army/History Tours</t>
  </si>
  <si>
    <t>Life Enrichment/ Leaves</t>
  </si>
  <si>
    <t>Nature Hike &amp; Leaf printing</t>
  </si>
  <si>
    <t>Saturday, 8:30 a.m.</t>
  </si>
  <si>
    <t>Mohawk Volunteer Trail Program</t>
  </si>
  <si>
    <t>corporate volunteer day with trail work</t>
  </si>
  <si>
    <t>friday, 9:30 a.m.</t>
  </si>
  <si>
    <t>Acworth Methodist Seniors</t>
  </si>
  <si>
    <t>intorduction to site and self-guide walk</t>
  </si>
  <si>
    <t>Trion elementary</t>
  </si>
  <si>
    <t>introduction and tour of buildings</t>
  </si>
  <si>
    <t>saturday, 10 a.m.-3 p.m.</t>
  </si>
  <si>
    <t>Friends Guided Tours</t>
  </si>
  <si>
    <t>monthly guided tours of historic grounds and buildings and demonstrations</t>
  </si>
  <si>
    <t>Travel Store/History Tour</t>
  </si>
  <si>
    <t>Monday 1-3pm</t>
  </si>
  <si>
    <t>Jordan Hill Sch/History Tour</t>
  </si>
  <si>
    <t>Catersville Middle/History Tour</t>
  </si>
  <si>
    <t>Liberty Elem/History tour</t>
  </si>
  <si>
    <t>Tuesday 9-11 am</t>
  </si>
  <si>
    <t>Bib Rey Tours/History Tour</t>
  </si>
  <si>
    <t>Monday 1-3 pm</t>
  </si>
  <si>
    <t>Georgia Studies/History Tour</t>
  </si>
  <si>
    <t>JC Penny Retirement Grp/History Tour</t>
  </si>
  <si>
    <t>tue 11 am</t>
  </si>
  <si>
    <t>sav high hist class</t>
  </si>
  <si>
    <t>cw hist/ft hist/demo</t>
  </si>
  <si>
    <t>mon 10-12 am</t>
  </si>
  <si>
    <t>sav high rotc</t>
  </si>
  <si>
    <t>museum/video/self tour</t>
  </si>
  <si>
    <t>self</t>
  </si>
  <si>
    <t>staff ride/demo</t>
  </si>
  <si>
    <t>us army signal corps school staff ride</t>
  </si>
  <si>
    <t>fri 1030-200pm</t>
  </si>
  <si>
    <t>st. paul school</t>
  </si>
  <si>
    <t>video/museum/tour/demo</t>
  </si>
  <si>
    <t>fri 10-12pm</t>
  </si>
  <si>
    <t>video/museum/tour</t>
  </si>
  <si>
    <t>sat 9-3pm</t>
  </si>
  <si>
    <t>cw trust clean up day</t>
  </si>
  <si>
    <t>site/fort clean-up</t>
  </si>
  <si>
    <t>sat 9-1pm</t>
  </si>
  <si>
    <t>art among the trees</t>
  </si>
  <si>
    <t>natural material to art</t>
  </si>
  <si>
    <t>cw hist/demo/discussion</t>
  </si>
  <si>
    <t>demo/talk</t>
  </si>
  <si>
    <t>tue-sat 1-4cw hist/demo</t>
  </si>
  <si>
    <t>ft hist/demo/discussion</t>
  </si>
  <si>
    <t>soldiers at the ft</t>
  </si>
  <si>
    <t>tue-sat 14 pm</t>
  </si>
  <si>
    <t>tue-sat 14</t>
  </si>
  <si>
    <t>soldiers in the ft</t>
  </si>
  <si>
    <t>Strong Rock Academy</t>
  </si>
  <si>
    <t>site video, museum, guided fort tour, soldier talk, musket demo</t>
  </si>
  <si>
    <t>Weapons That Made America</t>
  </si>
  <si>
    <t>An interactive display of blackpowder weapons</t>
  </si>
  <si>
    <t>Trades Craftsman</t>
  </si>
  <si>
    <t>Thursday, 12:15</t>
  </si>
  <si>
    <t>The Heiskell School</t>
  </si>
  <si>
    <t>Friday, 12:30</t>
  </si>
  <si>
    <t>Frederica Academy &amp; 3rd MP Group</t>
  </si>
  <si>
    <t>Blueridge Ele/ Lifecycles</t>
  </si>
  <si>
    <t>hature hike, nature center visit, terrium, lifecycle craft &amp; share puppets &amp; mounts</t>
  </si>
  <si>
    <t>Cler, Part time Interpretive staff, 4 volunteers</t>
  </si>
  <si>
    <t>Wednsday, 12-1 P.M.</t>
  </si>
  <si>
    <t>Gilmer Co. Schools</t>
  </si>
  <si>
    <t>Thursday 5/1</t>
  </si>
  <si>
    <t>Brief introduction of the site based off the diarama</t>
  </si>
  <si>
    <t>various clerks</t>
  </si>
  <si>
    <t>Friday 5/2</t>
  </si>
  <si>
    <t>Saturday 5/3</t>
  </si>
  <si>
    <t>Brief introduction to the sirte</t>
  </si>
  <si>
    <t>Disscussions with the Ranger</t>
  </si>
  <si>
    <t>Ranger walks around and has discussions with guests about Native American culture and the site</t>
  </si>
  <si>
    <t>The discussions take place outside; it's difficult to say if it generates income through sales.</t>
  </si>
  <si>
    <t>Wednesday 5/7</t>
  </si>
  <si>
    <t>Brief introduction to the site based off the diarama</t>
  </si>
  <si>
    <t>The Life Enrichment Ctr</t>
  </si>
  <si>
    <t>Thursday, 9-12</t>
  </si>
  <si>
    <t>Eastside Elementary (Dalton)</t>
  </si>
  <si>
    <t>Thursday, 9:30-1:45 pm</t>
  </si>
  <si>
    <t>Jr. Rangers/CliftonDale Ele.</t>
  </si>
  <si>
    <t>nature hike, predator/prey, owl pellets, scavenger hunt &amp; seine the lake</t>
  </si>
  <si>
    <t>Clerk &amp; Part Time Interpretive Staff</t>
  </si>
  <si>
    <t>Waldo Pafford 4th Grade</t>
  </si>
  <si>
    <t>Film, Scavenger Hunt, Colonial Dane, Soldier Talk, Musket Demo, Toys and Games</t>
  </si>
  <si>
    <t>Taylor's Creek 4th Grade</t>
  </si>
  <si>
    <t>Film, Scavenger Hunt, Colonial Dance, Soldier Talk, Musket Demo, Toys and Games</t>
  </si>
  <si>
    <t>Tuesday, 11am-12pm</t>
  </si>
  <si>
    <t>Wildflower Walk</t>
  </si>
  <si>
    <t>wildflower ID</t>
  </si>
  <si>
    <t>First time doing this...and the response was better than i expected!</t>
  </si>
  <si>
    <t>Tuesday, 4pm</t>
  </si>
  <si>
    <t>Bugs, Slugs, and Butterflies</t>
  </si>
  <si>
    <t>ID and craft</t>
  </si>
  <si>
    <t>Georgia Wildlife</t>
  </si>
  <si>
    <t>Spring Break...and campground was full.</t>
  </si>
  <si>
    <t>Spring Break</t>
  </si>
  <si>
    <t>Thursday, 4pm</t>
  </si>
  <si>
    <t>Feedin the Snakes</t>
  </si>
  <si>
    <t>Snake ID and weekly meal</t>
  </si>
  <si>
    <t>Spring Break- campground was full</t>
  </si>
  <si>
    <t>Monday, 10am-12pm</t>
  </si>
  <si>
    <t>Currahee Home Educators</t>
  </si>
  <si>
    <t>Tour of TR</t>
  </si>
  <si>
    <t>Lavonia Headstart</t>
  </si>
  <si>
    <t>Made contact to do more programs in future for them.</t>
  </si>
  <si>
    <t>Wildlife Hunt</t>
  </si>
  <si>
    <t>Wildlife Scavenger Hut</t>
  </si>
  <si>
    <t>Saturday, 11am</t>
  </si>
  <si>
    <t>Bug ID and craft</t>
  </si>
  <si>
    <t>Get Wild about Wildlife</t>
  </si>
  <si>
    <t>Saturday, pm</t>
  </si>
  <si>
    <t>Thursday, 8:30-9:30pm</t>
  </si>
  <si>
    <t>Pink Full Moon Hike</t>
  </si>
  <si>
    <t>3/4 hike and view of full moon over lake</t>
  </si>
  <si>
    <t>Saturday, 10-11:30am</t>
  </si>
  <si>
    <t>Egg Hunt at Beach</t>
  </si>
  <si>
    <t>Animal Adapatations</t>
  </si>
  <si>
    <t>Animals special features for a particular enviroment</t>
  </si>
  <si>
    <t>An opportunity for park visitors to learn about about the Friends of Georgia State Parks</t>
  </si>
  <si>
    <t>A rare opportunity to see Smithgall Woods Conservation Tour by taking a van tour</t>
  </si>
  <si>
    <t>Saturdays 9:00 a.m.</t>
  </si>
  <si>
    <t>see the wildflowers growing at Smithgall Woods</t>
  </si>
  <si>
    <t>Learn the basics of using a GPS</t>
  </si>
  <si>
    <t>Sunday 1:00 p.m.</t>
  </si>
  <si>
    <t>Pen and Palette Walk Through</t>
  </si>
  <si>
    <t>Set up for creating an Experience artists and poets as you walk a nature trail as Bartram would have done</t>
  </si>
  <si>
    <t>Rangers and volunteers</t>
  </si>
  <si>
    <t>Wilderness First Aid</t>
  </si>
  <si>
    <t>Learn wilderness first aid</t>
  </si>
  <si>
    <t>Palette and Pen Open House</t>
  </si>
  <si>
    <t>See artists and poets working on their art on a nature trail as Bartram would have done many years ago</t>
  </si>
  <si>
    <t>Gwinnett Middle School-Snakes Alive</t>
  </si>
  <si>
    <t>Towns County Elementary -  Snakes Alive</t>
  </si>
  <si>
    <t>Jones Middle-Animal Adaptations</t>
  </si>
  <si>
    <t>Lanier Middle - Snakes Alive</t>
  </si>
  <si>
    <t>Toccoa Elementary-Animal Adaptations</t>
  </si>
  <si>
    <t>White County Middle-Toothpick Fish</t>
  </si>
  <si>
    <t>students learn about the parts of fish</t>
  </si>
  <si>
    <t>Wednesday and Thursday</t>
  </si>
  <si>
    <t>South Habersham Middle School- Toothpick Fish</t>
  </si>
  <si>
    <t>students learn about parts of fish</t>
  </si>
  <si>
    <t>Lula Elem-Snakes Alive</t>
  </si>
  <si>
    <t>White County High-Raptors and Reptiles</t>
  </si>
  <si>
    <t>Towns County Elementary-Stream Archery, Orienteering</t>
  </si>
  <si>
    <t>'April 3</t>
  </si>
  <si>
    <t>Lakeview Middle-Camouflage Game</t>
  </si>
  <si>
    <t>students learn about archery, stream ecology, oreinee</t>
  </si>
  <si>
    <t>Maranatha Christian- Stream Ecology, Archery</t>
  </si>
  <si>
    <t>students learn about stream and archery</t>
  </si>
  <si>
    <t>Animal Adaptations, Oh Deer, Birds and Worms</t>
  </si>
  <si>
    <t>Northeast Georgia Homeschool-The Dig of 1915, Croquet, and Tour of Hardman Farm</t>
  </si>
  <si>
    <t>Sunday Tours at Hardman Farm</t>
  </si>
  <si>
    <t>Visitors can enjoy a tour at Hardman Farm and listen to live music</t>
  </si>
  <si>
    <t>Habersham Baptist Church- Hardman Tour</t>
  </si>
  <si>
    <t>visitors enjoyed a tour at Hardman Farm</t>
  </si>
  <si>
    <t>Bomgardner Family- Hardman Farm Tour</t>
  </si>
  <si>
    <t>Sunday 4:30 p.m.</t>
  </si>
  <si>
    <t>Jerry Neace Group- Hardman Farm tour</t>
  </si>
  <si>
    <t>Visitors can enjoy a tour of Hardman Farm</t>
  </si>
  <si>
    <t>Hardman Farm Volunteer Workday</t>
  </si>
  <si>
    <t>Volunteers help clean up Hardman Farm</t>
  </si>
  <si>
    <t>Pike County Sch/History Tour</t>
  </si>
  <si>
    <t>monday 10-12</t>
  </si>
  <si>
    <t>Mtn View Elem/history tour</t>
  </si>
  <si>
    <t>Springhill SCH/History Tour</t>
  </si>
  <si>
    <t>Tuesday 11-1 pm</t>
  </si>
  <si>
    <t>Rosemont Elem./History Tour</t>
  </si>
  <si>
    <t>Tuesday 11:30-1:30 pm</t>
  </si>
  <si>
    <t>Strong Rock Sch./History Tour</t>
  </si>
  <si>
    <t>Tuesday 2-4 pm</t>
  </si>
  <si>
    <t>Taylor Rd Middle/History Tour</t>
  </si>
  <si>
    <t>Friday 3-5 pm</t>
  </si>
  <si>
    <t>Education Express/history tour</t>
  </si>
  <si>
    <t>Turner Middle Sch/History tour</t>
  </si>
  <si>
    <t>Pike County School/History Tour</t>
  </si>
  <si>
    <t>'4/2/14</t>
  </si>
  <si>
    <t>Covington School</t>
  </si>
  <si>
    <t>Gave a guided hike and presented an astronomy program for a school group.</t>
  </si>
  <si>
    <t>Thursday9-11 am</t>
  </si>
  <si>
    <t>Kincaid Elem/History Tour</t>
  </si>
  <si>
    <t>Murdock Elem/History Tour</t>
  </si>
  <si>
    <t>Mtn View Elem./History Tour</t>
  </si>
  <si>
    <t>Thursday 9:30-11:10</t>
  </si>
  <si>
    <t>Georgetown Elem./History Tour</t>
  </si>
  <si>
    <t>Tues9:30-11:30</t>
  </si>
  <si>
    <t>Liberty Elem/History Tour</t>
  </si>
  <si>
    <t>Monday10-12 pm</t>
  </si>
  <si>
    <t>Dell Webb Travel Club/History Tour</t>
  </si>
  <si>
    <t>4/19/14 5 pm</t>
  </si>
  <si>
    <t>Easter egg hunt</t>
  </si>
  <si>
    <t>Had an Easter egg hunt at the Eco-Lodge</t>
  </si>
  <si>
    <t>4/22/14 10 am</t>
  </si>
  <si>
    <t>Paddle to Minnie's Run</t>
  </si>
  <si>
    <t>Daily:  10:30 am, 1:30 pm, and 3:30 pm</t>
  </si>
  <si>
    <t>Boat tour through the Okefenokee Swamp.</t>
  </si>
  <si>
    <t>Indirect Revenue:  15% of monthly totals</t>
  </si>
  <si>
    <t>Monday 9:00</t>
  </si>
  <si>
    <t>Lula Elementary</t>
  </si>
  <si>
    <t>Hazel Groze Elementary</t>
  </si>
  <si>
    <t>Eco systems of Tallulah</t>
  </si>
  <si>
    <t>Mt Yonah Elemantary</t>
  </si>
  <si>
    <t>Intro to the gorge</t>
  </si>
  <si>
    <t>Hart Kindergarden</t>
  </si>
  <si>
    <t>Saturday, 19, 9 AM - 7 PM</t>
  </si>
  <si>
    <t>Earth Day EGG-Stravaganza</t>
  </si>
  <si>
    <t>Friends of Sloppy Floyd helped with supplies for Easter Egg Hunt</t>
  </si>
  <si>
    <t>Saturday, 26, 11 AM - 3 PM</t>
  </si>
  <si>
    <t>Get Wild</t>
  </si>
  <si>
    <t>Live Bird of Prey Programs</t>
  </si>
  <si>
    <t>Friends of Sloppy Floyd paid for SOAR to come to event and lead two programs.  They asked for donations of $3 per person to help cover cost.</t>
  </si>
  <si>
    <t>Thursday 9-12 p.m.</t>
  </si>
  <si>
    <t>UGA Ag and Environment Day</t>
  </si>
  <si>
    <t>UGA sponsored educational event</t>
  </si>
  <si>
    <t>Bi-Annual program at UGA Tifton Campus.</t>
  </si>
  <si>
    <t>friday 9:00am - 10:00am</t>
  </si>
  <si>
    <t>Cox Elementary</t>
  </si>
  <si>
    <t>Off-site animal program</t>
  </si>
  <si>
    <t>Off-site program at school field day. School paid 10.00 travel fee to cover gas and travel.</t>
  </si>
  <si>
    <t>animal, pontoon</t>
  </si>
  <si>
    <t>HomeSchool in the Park</t>
  </si>
  <si>
    <t>Summer bash</t>
  </si>
  <si>
    <t>Inmann Middle School</t>
  </si>
  <si>
    <t>Film, tools and weapons , and self guided tour</t>
  </si>
  <si>
    <t>M</t>
  </si>
  <si>
    <t>Friday 5-2</t>
  </si>
  <si>
    <t>Film, Tools and weapons show, and a tour</t>
  </si>
  <si>
    <t>several staff</t>
  </si>
  <si>
    <t>Thursday 5/8</t>
  </si>
  <si>
    <t>Atlanta Neighborhood Charter school</t>
  </si>
  <si>
    <t>Film, Tools and weapons program, and selfguided tour</t>
  </si>
  <si>
    <t>They were 1hr late, so they didn't have time for the giftshop.</t>
  </si>
  <si>
    <t>Cherokee NC Middle School</t>
  </si>
  <si>
    <t>Site introduction and self guided tour</t>
  </si>
  <si>
    <t>This group showed up without a reservation after visiting New Echota. They were in a rush so just wanted a intro and walked on there own. Many bought drinks after being out in the hot sun.</t>
  </si>
  <si>
    <t>Friday 5/9</t>
  </si>
  <si>
    <t>Emaculate Heart of Mary school</t>
  </si>
  <si>
    <t>Film, Guided Tour and a Tools and weapons demonstration</t>
  </si>
  <si>
    <t>They skipped the gift shop.</t>
  </si>
  <si>
    <t>Tuesday 10-11am</t>
  </si>
  <si>
    <t>Child Time</t>
  </si>
  <si>
    <t>Snakes and Crafts</t>
  </si>
  <si>
    <t>Dock study</t>
  </si>
  <si>
    <t>Friday 9-11am</t>
  </si>
  <si>
    <t>Rookery trip</t>
  </si>
  <si>
    <t>birding</t>
  </si>
  <si>
    <t>interpretive ranger and volunteer</t>
  </si>
  <si>
    <t>Saturday 8-9am</t>
  </si>
  <si>
    <t>Saturday, 3-4:30 p.m.</t>
  </si>
  <si>
    <t>Monday, 6-7 PM</t>
  </si>
  <si>
    <t>PACK 118 WOLF</t>
  </si>
  <si>
    <t>INSECTS</t>
  </si>
  <si>
    <t>Wednesday, 8:30-1:30 PM</t>
  </si>
  <si>
    <t>St. Marys Elementary school</t>
  </si>
  <si>
    <t>Reptiles, insects, mammals, hike</t>
  </si>
  <si>
    <t>volunteer, Interpretive Ranger, Assistant Manager</t>
  </si>
  <si>
    <t>Thursday, 11-2 PM</t>
  </si>
  <si>
    <t>Classical Collections</t>
  </si>
  <si>
    <t>dock, reptiles, and hike</t>
  </si>
  <si>
    <t>Friday, 8:15-1:15PM</t>
  </si>
  <si>
    <t>Sugar Mill ES</t>
  </si>
  <si>
    <t>dock, Marsh, Hike, adaptations</t>
  </si>
  <si>
    <t>Saturday 11-2 PM</t>
  </si>
  <si>
    <t>MWR kidfest</t>
  </si>
  <si>
    <t>intro to park</t>
  </si>
  <si>
    <t>Wednesday, 9:00 AM - 1:30 PM</t>
  </si>
  <si>
    <t>insects, hike, reptiles</t>
  </si>
  <si>
    <t>Saturday, 7:00 - 9:00 PM</t>
  </si>
  <si>
    <t>Easter Activities</t>
  </si>
  <si>
    <t>Craft, Easter Hunt, Family Flashlight Hunt</t>
  </si>
  <si>
    <t>everyone</t>
  </si>
  <si>
    <t>Rain - was scheduled for Friday and moved to Saturday</t>
  </si>
  <si>
    <t>Saturday, 1:00 - 4:00 Pm</t>
  </si>
  <si>
    <t>low tide</t>
  </si>
  <si>
    <t>Assistant Manager, Volunteer</t>
  </si>
  <si>
    <t>Sunday, 1:30 - 4:30 PM</t>
  </si>
  <si>
    <t>Deborah Capotosti</t>
  </si>
  <si>
    <t>kayak trip</t>
  </si>
  <si>
    <t>Tuesday, 9:00 AM - 12:00 PM</t>
  </si>
  <si>
    <t>Earth Day Paddle</t>
  </si>
  <si>
    <t>kayak trip - low tide</t>
  </si>
  <si>
    <t>Thursday, 9:30 - 11:30 AM</t>
  </si>
  <si>
    <t>coffee filter flowers</t>
  </si>
  <si>
    <t>Saturday, 1:00 - 4:00 PM</t>
  </si>
  <si>
    <t>Sunday, 9:00 - 11:00 AM</t>
  </si>
  <si>
    <t>David L. Rainer Elementary School</t>
  </si>
  <si>
    <t>animals, marsh, dock, hike</t>
  </si>
  <si>
    <t>April</t>
  </si>
  <si>
    <t>Thursday 3pm-4pm</t>
  </si>
  <si>
    <t>Buttermaking</t>
  </si>
  <si>
    <t>Hands on lesson in buttermaking</t>
  </si>
  <si>
    <t>Friday 9:30am-10:00am</t>
  </si>
  <si>
    <t>- insects</t>
  </si>
  <si>
    <t>insects</t>
  </si>
  <si>
    <t>Saturday 8am-2:30pm</t>
  </si>
  <si>
    <t>Satilla River Canoe Trip</t>
  </si>
  <si>
    <t>Guided 1/2 day canoe trip</t>
  </si>
  <si>
    <t>interpretive ranger, park manager, maintenance staff as support</t>
  </si>
  <si>
    <t>Spring Fling</t>
  </si>
  <si>
    <t>Annual Earth Day Celebration</t>
  </si>
  <si>
    <t>staff and volunteers</t>
  </si>
  <si>
    <t>Event completely rained out with large storms. Will hold in May on rain date of May 10th.</t>
  </si>
  <si>
    <t>Thursday 10 -12:30pm</t>
  </si>
  <si>
    <t>Berrien County 5th grade</t>
  </si>
  <si>
    <t>simple tools program/ tree id hikes</t>
  </si>
  <si>
    <t>Friday 10-12:30</t>
  </si>
  <si>
    <t>Lollypop pre k- farm animals</t>
  </si>
  <si>
    <t>farm animal program</t>
  </si>
  <si>
    <t>Wednesday 8:30am - 1pm</t>
  </si>
  <si>
    <t>Westside 4th grade</t>
  </si>
  <si>
    <t>tree cookies/pond study/gopher tortoise</t>
  </si>
  <si>
    <t>Interpretive ranger/park manager/assistant manager from LWSP</t>
  </si>
  <si>
    <t>Saturday 6-8 pm</t>
  </si>
  <si>
    <t>campground music program</t>
  </si>
  <si>
    <t>local musicians meet and entertain campers</t>
  </si>
  <si>
    <t>expenses for arts and crafts program for Spring Fling. Covered by parks friends group.</t>
  </si>
  <si>
    <t>Saturday 1-4pm</t>
  </si>
  <si>
    <t>farm visits</t>
  </si>
  <si>
    <t>farm open and ranger available for tours and questions</t>
  </si>
  <si>
    <t>Sunday 1-4pm</t>
  </si>
  <si>
    <t>Friday, 12:30-2pm</t>
  </si>
  <si>
    <t>Scottsboro Junior High</t>
  </si>
  <si>
    <t>Wildflower Hike</t>
  </si>
  <si>
    <t>wildlower hike on white trail along Jack's Branch</t>
  </si>
  <si>
    <t>ranher-led lake paddle and up Beaver Creek</t>
  </si>
  <si>
    <t>historian-led history hike to New Manchester ruins</t>
  </si>
  <si>
    <t>Sunday, 11:30am-1:30pm</t>
  </si>
  <si>
    <t>Art in the park</t>
  </si>
  <si>
    <t>Art program for artists with access to the New Manchester ruins</t>
  </si>
  <si>
    <t>April 1st- 9am-2pm</t>
  </si>
  <si>
    <t>4-H Group Volunteer and Hike</t>
  </si>
  <si>
    <t>4-H Group came to Volunteer then take a guided hike</t>
  </si>
  <si>
    <t>The local 4-H group needed an activity to do during Spring Break and they volunteered to do trail clean-up on two of our trails.  After they were done they were lead on a guided hike.</t>
  </si>
  <si>
    <t>Scavenger Hunt for Information along the Lake Trail</t>
  </si>
  <si>
    <t>Fri-Sun- all day</t>
  </si>
  <si>
    <t>Ranger moved through the park talking to park visitors</t>
  </si>
  <si>
    <t>Saturday, 2</t>
  </si>
  <si>
    <t>Nature and History hike along tower trail</t>
  </si>
  <si>
    <t>Wagon Ride</t>
  </si>
  <si>
    <t>Wagon ride with narration through park</t>
  </si>
  <si>
    <t>Saturday, 7pm</t>
  </si>
  <si>
    <t>Taught various campfire treats to campers</t>
  </si>
  <si>
    <t>Saturday, 1:30pm</t>
  </si>
  <si>
    <t>Kid's Activity</t>
  </si>
  <si>
    <t>Various kid's activities including; edible campfire, edible knot tying and jolly rancher lollipops</t>
  </si>
  <si>
    <t>Lunar Easter Egg Hunt</t>
  </si>
  <si>
    <t>reptiles a nd amphibians program with live snakes and turtles</t>
  </si>
  <si>
    <t>MIT</t>
  </si>
  <si>
    <t>Friday 10:00 am to 2 pm</t>
  </si>
  <si>
    <t>Paulding County High School</t>
  </si>
  <si>
    <t>Jr. Ranger  day camp attaining level 1 patch</t>
  </si>
  <si>
    <t>Thursday, 9 am to 2 pm</t>
  </si>
  <si>
    <t>Warner Robbins Air Force Staff Ride</t>
  </si>
  <si>
    <t>Wastside christian Academy/Nature and History Hike to the New Manchester Mill</t>
  </si>
  <si>
    <t>ranger-led history and nature hike to m,ill and rapids</t>
  </si>
  <si>
    <t>Saturday, 10 am to 4 pm</t>
  </si>
  <si>
    <t>Cabin Life Program</t>
  </si>
  <si>
    <t>Friday, 7pm-8:30pm</t>
  </si>
  <si>
    <t>twilight lake paddle</t>
  </si>
  <si>
    <t>evening ranger-led paddle</t>
  </si>
  <si>
    <t>Saturday, 2pm to 4pm</t>
  </si>
  <si>
    <t>Richard McMurray Tour</t>
  </si>
  <si>
    <t>History Tour</t>
  </si>
  <si>
    <t>Professor of History</t>
  </si>
  <si>
    <t>Tuesday 9am to 3pm</t>
  </si>
  <si>
    <t>Fort Benning US Army Staff Ride</t>
  </si>
  <si>
    <t>"Park Nights, City Lights" Eastside  Hike</t>
  </si>
  <si>
    <t>evening hike to eastside ridge</t>
  </si>
  <si>
    <t>secretary</t>
  </si>
  <si>
    <t>gsu prof Nancy Lloyd-led photo workshop</t>
  </si>
  <si>
    <t>saturday, 2pm-3:30pm</t>
  </si>
  <si>
    <t>historian-led hike to the New Manchester Mill</t>
  </si>
  <si>
    <t>rangr led lake paddle on lake and up Beaver Creek</t>
  </si>
  <si>
    <t>Sunday, 4pm-5:30pm</t>
  </si>
  <si>
    <t>"For Women by Women" kayaking Introduction</t>
  </si>
  <si>
    <t>women's introductory kayaking on the lake</t>
  </si>
  <si>
    <t>saturday, 10am-1pm</t>
  </si>
  <si>
    <t>trail work and lake bank cleanup</t>
  </si>
  <si>
    <t>saturday,11am-12:30pm</t>
  </si>
  <si>
    <t>Photography 101 (LIghting)</t>
  </si>
  <si>
    <t>GSU prof Nancy Lloyd-led photo wprkshop</t>
  </si>
  <si>
    <t>saturday, 1pm-3pm</t>
  </si>
  <si>
    <t>ranger-lede lake paddle</t>
  </si>
  <si>
    <t>sat, 4pm-5:30pm</t>
  </si>
  <si>
    <t>"for women by women" into to kayaking</t>
  </si>
  <si>
    <t>introduction to kayaking for women on the lake</t>
  </si>
  <si>
    <t>sat 7pm-9pm</t>
  </si>
  <si>
    <t>"Park Nights, Cit Lights" Eastside Hike</t>
  </si>
  <si>
    <t>2pm-3:30pm</t>
  </si>
  <si>
    <t>program about reptiles and amphibians with live snakes and turtles</t>
  </si>
  <si>
    <t>art class accesing mill for photographjy</t>
  </si>
  <si>
    <t>ranger-led evening lake paddle and up Beaver Creek</t>
  </si>
  <si>
    <t>Photography 101 (Composition)</t>
  </si>
  <si>
    <t>GSU prof LLOYD-led photo class</t>
  </si>
  <si>
    <t>history hike to mill</t>
  </si>
  <si>
    <t>Inman Park Girl Scouts/Mill nature and history hike</t>
  </si>
  <si>
    <t>nature and history hike to the mill and rapids/ green building tour</t>
  </si>
  <si>
    <t>Ranger-led Lake Padddle</t>
  </si>
  <si>
    <t>Wednesday to Friday</t>
  </si>
  <si>
    <t>Junior Ranger</t>
  </si>
  <si>
    <t>Junior ranger Camp</t>
  </si>
  <si>
    <t>Nature Hike with Keeping it Wild</t>
  </si>
  <si>
    <t>Educational Hike on nature trails</t>
  </si>
  <si>
    <t>Junior Ranger Program Keeping it Wild</t>
  </si>
  <si>
    <t>Helping kids earn their junior Ranger badge</t>
  </si>
  <si>
    <t>Saturday 4 PM</t>
  </si>
  <si>
    <t>Nature Walk with Girl Scouts</t>
  </si>
  <si>
    <t>Walking on Historic trail</t>
  </si>
  <si>
    <t>Canoe for Beginners</t>
  </si>
  <si>
    <t>teaching the basics of canoe</t>
  </si>
  <si>
    <t>Saturday 8:30 PM</t>
  </si>
  <si>
    <t>Night Hike with keeping it Wild</t>
  </si>
  <si>
    <t>Hiking falls view trail at night</t>
  </si>
  <si>
    <t>ID common backyard birds around the office</t>
  </si>
  <si>
    <t>Searching for common flowers on the trails</t>
  </si>
  <si>
    <t>Glow in the Dark Easter Egg Hunt</t>
  </si>
  <si>
    <t>1,000 glowing eggs for kids to find in day use</t>
  </si>
  <si>
    <t>Hide more eggs, expand hiding area, completely separate age groups, age limit.</t>
  </si>
  <si>
    <t>Friday 7:30 PM</t>
  </si>
  <si>
    <t>Forest Night Life</t>
  </si>
  <si>
    <t>Walk on historic trail talking about the history of the park</t>
  </si>
  <si>
    <t>Group Hike</t>
  </si>
  <si>
    <t>Nature hike on falls view trail</t>
  </si>
  <si>
    <t>Saturday 6:30 PM</t>
  </si>
  <si>
    <t>Canoe Tour</t>
  </si>
  <si>
    <t>Canoe to Buck Creek and Back</t>
  </si>
  <si>
    <t>Sunday 2 AM</t>
  </si>
  <si>
    <t>Spring Crafts</t>
  </si>
  <si>
    <t>Piedmont College</t>
  </si>
  <si>
    <t>Monday 9-11 a.m.</t>
  </si>
  <si>
    <t>Mt. Bethel Elem.</t>
  </si>
  <si>
    <t>Tuesday, 9-11 a.m.</t>
  </si>
  <si>
    <t>Wednesday, 9-11 a.m.</t>
  </si>
  <si>
    <t>Mt. Betel Elem.</t>
  </si>
  <si>
    <t>Friday, 7 a.m.- 3:30 p.m.</t>
  </si>
  <si>
    <t>Outreach program at Blackburn Elem.</t>
  </si>
  <si>
    <t>Lori Hamby talked with student about the history of the area and about the Gold Museum</t>
  </si>
  <si>
    <t>Great program. Students learned a lot. Parents are planning on bringing them to the museum.</t>
  </si>
  <si>
    <t>Saturday, 10-12 PM</t>
  </si>
  <si>
    <t>Mothers Day Birdhouses</t>
  </si>
  <si>
    <t>mother &amp; child paint gourds and turn them into birdhouses</t>
  </si>
  <si>
    <t>Cross Creek Elementary</t>
  </si>
  <si>
    <t>5 parents on pontoon. $5 each</t>
  </si>
  <si>
    <t>Life Enrichment/ Life Cycles</t>
  </si>
  <si>
    <t>Blueridge Ele/ Cliatt Creek Hike</t>
  </si>
  <si>
    <t>nature hike/ focus habitats</t>
  </si>
  <si>
    <t>Clerk &amp; Assistant Manager</t>
  </si>
  <si>
    <t>saturday 10-11 am</t>
  </si>
  <si>
    <t>Easy Camp Cooking</t>
  </si>
  <si>
    <t>simlple camp recipes made easy</t>
  </si>
  <si>
    <t>Just starting to get the word out about our programs. this class will continue to grow.</t>
  </si>
  <si>
    <t>saturday 1-2 pm</t>
  </si>
  <si>
    <t>learning about the snakes located in the park</t>
  </si>
  <si>
    <t>this is our most popular program so far</t>
  </si>
  <si>
    <t>saturday 3-4 pm</t>
  </si>
  <si>
    <t>camp fire safety</t>
  </si>
  <si>
    <t>learning about fire safety and primitive way to start fire</t>
  </si>
  <si>
    <t>it rained most of the day so a fire class didnt make</t>
  </si>
  <si>
    <t>saturday 4-5 pm</t>
  </si>
  <si>
    <t>learning about the snakes from the park</t>
  </si>
  <si>
    <t>this class was put together for a group that couldnt make the earlier snakes alive class</t>
  </si>
  <si>
    <t>sunday 9am-12pm</t>
  </si>
  <si>
    <t>intro to canoe fun</t>
  </si>
  <si>
    <t>introduction to canoeing</t>
  </si>
  <si>
    <t>great first class for the park. all participants expressed interest in a second, more advanced class.</t>
  </si>
  <si>
    <t>sunday 2-3 pm</t>
  </si>
  <si>
    <t>sunday 4-5 pm</t>
  </si>
  <si>
    <t>This was supposed to be at a certain shelter and that shelter was unfortunately taken at the time of the class.I decided to do a free class near the beach for advertising purposes. several attendees paid the normal fee for the class because they said it was very entertaining and informative.</t>
  </si>
  <si>
    <t>Tuesday 9-1 pm</t>
  </si>
  <si>
    <t>Bailey Elementary</t>
  </si>
  <si>
    <t>6:30 - 9:30</t>
  </si>
  <si>
    <t>Twilight Wagon Ride</t>
  </si>
  <si>
    <t>Satuday 6-7:30 p.m.</t>
  </si>
  <si>
    <t>Twilight Kayak Program</t>
  </si>
  <si>
    <t>Saturday 10 a.m. -2  p.m.</t>
  </si>
  <si>
    <t>Saturday 2-3:30 p.m.</t>
  </si>
  <si>
    <t>Searching for Dragons and Damsels</t>
  </si>
  <si>
    <t>Looking at Dragonflies near Lake Brantley</t>
  </si>
  <si>
    <t>"Astronomy Day " Kayak Tour at night</t>
  </si>
  <si>
    <t>Great looks at Mars, Jupiter and Saturn in the night sky.</t>
  </si>
  <si>
    <t>Intro to Archery based on NASP</t>
  </si>
  <si>
    <t>Equipment obtained through NASP.  Did this program at Camp Rutledge due to no other spots we could use.</t>
  </si>
  <si>
    <t>Tuesday, 10-12</t>
  </si>
  <si>
    <t>nature hike focus- habitats &amp; Adaptations of plants &amp; animals</t>
  </si>
  <si>
    <t>Part-time Interpretive staff &amp; 2 volunteers</t>
  </si>
  <si>
    <t>Roopville Elem/History Tour</t>
  </si>
  <si>
    <t>Friday 10:30-12:30 pm</t>
  </si>
  <si>
    <t>Moreland Elem/History Tour</t>
  </si>
  <si>
    <t>Thursday,9:00-11:30 am</t>
  </si>
  <si>
    <t>Ga. Plantation Airstream</t>
  </si>
  <si>
    <t>Thursday, 1:00-3;30 p.m.</t>
  </si>
  <si>
    <t>loganville Methodist church</t>
  </si>
  <si>
    <t>Thursday, 10:00-12:30 a.m.</t>
  </si>
  <si>
    <t>5:00-7:30 p.m.</t>
  </si>
  <si>
    <t>Family Night at Gray Station middle school</t>
  </si>
  <si>
    <t>Info about our parks</t>
  </si>
  <si>
    <t>Saturday, 8:00-9:30 p.m.</t>
  </si>
  <si>
    <t>campfire, games</t>
  </si>
  <si>
    <t>Good Attendance, Spring Break weekend.</t>
  </si>
  <si>
    <t>Campfire,games</t>
  </si>
  <si>
    <t>Good attendance. Spring Break weekend.</t>
  </si>
  <si>
    <t>Saturday, 9:00 a.m.- 5:00 p.m.</t>
  </si>
  <si>
    <t>Blue Bird ans Bluegrass festival</t>
  </si>
  <si>
    <t>Toys, games, brochers</t>
  </si>
  <si>
    <t>Had two tables set up for both parks. had dressed up in 1800 century clothes. handed out brochures and flyers of up coming events. showed kids and adults different kind of toys they would have used in that time period.</t>
  </si>
  <si>
    <t>Saturday, 9:30 am - 3:30 pm</t>
  </si>
  <si>
    <t>Gopher Mini Golf Challenge</t>
  </si>
  <si>
    <t>First year for this program. It was a good turn out. gopher was there for photos with adults and kids. Prizes was handed out to the winners, we had a adult game and a child game. Food and drinks were sold at this event.</t>
  </si>
  <si>
    <t>Matthews Elem/History Tour</t>
  </si>
  <si>
    <t>Hickory Flat Elem/History tour</t>
  </si>
  <si>
    <t>Wed 9:30-11:30 am</t>
  </si>
  <si>
    <t>River Rd Elem/History Tour</t>
  </si>
  <si>
    <t>Loraine Elem/History Tour</t>
  </si>
  <si>
    <t>Park Elem/History Tour</t>
  </si>
  <si>
    <t>Westwood Christian Acad/History tour</t>
  </si>
  <si>
    <t>Thursday 12-2pm</t>
  </si>
  <si>
    <t>Getaway Tours/History Tour</t>
  </si>
  <si>
    <t>Thursday 10:30-12:30 pm</t>
  </si>
  <si>
    <t>Evelyn West Elem/History Tour</t>
  </si>
  <si>
    <t>Nicholson Elem/History Tour</t>
  </si>
  <si>
    <t>Friday 9-1pm</t>
  </si>
  <si>
    <t>Berrien Primary</t>
  </si>
  <si>
    <t>golf, animal,boat</t>
  </si>
  <si>
    <t>monday 8-1pm</t>
  </si>
  <si>
    <t>Cook County  Elementery</t>
  </si>
  <si>
    <t>animal and boat</t>
  </si>
  <si>
    <t>Animal Program for Scouts</t>
  </si>
  <si>
    <t>Animal Program</t>
  </si>
  <si>
    <t>Come Fly A Kite</t>
  </si>
  <si>
    <t>kite flying on the beach</t>
  </si>
  <si>
    <t>Omega Elementary</t>
  </si>
  <si>
    <t>Life Enrichment/ Birds</t>
  </si>
  <si>
    <t>Saturday, 11 am - 2 pm</t>
  </si>
  <si>
    <t>Arrest of A. H. Stephens</t>
  </si>
  <si>
    <t>Reinactment of the arrest of A H Stephens by Union troops</t>
  </si>
  <si>
    <t>Various other staff and volunteers</t>
  </si>
  <si>
    <t>focus Georgia wildlife, nature hike, lake ecology, beavers, fish craft</t>
  </si>
  <si>
    <t>5/10/14 9-11 am</t>
  </si>
  <si>
    <t>Junior Fishing Rodeo</t>
  </si>
  <si>
    <t>Fishing rodeo</t>
  </si>
  <si>
    <t>Attract even more guests, attendance up 25 from previous year.</t>
  </si>
  <si>
    <t>Wednesday, 9:30- 12 pm</t>
  </si>
  <si>
    <t>Georgia Virtual School/ Cliatt Creek Hike</t>
  </si>
  <si>
    <t>nature hike, nature center visit, scavenger hunt, snake</t>
  </si>
  <si>
    <t>Cler, Part time Interpretive, Assistant Manager staff, 4 volunteers</t>
  </si>
  <si>
    <t>Trees Everywhere</t>
  </si>
  <si>
    <t>tree hike</t>
  </si>
  <si>
    <t>Saturday 1-2 pm</t>
  </si>
  <si>
    <t>Field Day in the Park</t>
  </si>
  <si>
    <t>water games</t>
  </si>
  <si>
    <t>Saturday 4-5 pm</t>
  </si>
  <si>
    <t>Can you see them</t>
  </si>
  <si>
    <t>Saturday, 2:30</t>
  </si>
  <si>
    <t>Craft Time</t>
  </si>
  <si>
    <t>Saturday, 8:00</t>
  </si>
  <si>
    <t>S'mores!</t>
  </si>
  <si>
    <t>campfire program</t>
  </si>
  <si>
    <t>Thursday, 11:00</t>
  </si>
  <si>
    <t>History tour</t>
  </si>
  <si>
    <t>Sunday 10-12pm</t>
  </si>
  <si>
    <t>Lake Reed Bingham Tour</t>
  </si>
  <si>
    <t>Nature way tour</t>
  </si>
  <si>
    <t>Southern Wings Motorcycle Club</t>
  </si>
  <si>
    <t>Saturday. 12-1 pm</t>
  </si>
  <si>
    <t>Nature Center Visit</t>
  </si>
  <si>
    <t>nature center open with hands of displays for guests to enjoy</t>
  </si>
  <si>
    <t>Saturday, 10 am</t>
  </si>
  <si>
    <t>Bike &amp; Golf Cart Parade</t>
  </si>
  <si>
    <t>camper decorate their bikes &amp; golf carts, parade in campground</t>
  </si>
  <si>
    <t>Saturday , 8- 9:30 pm</t>
  </si>
  <si>
    <t>hayrides through the campground</t>
  </si>
  <si>
    <t>Part- time Interpretive Staff &amp; volunteers</t>
  </si>
  <si>
    <t>Held at Camp Rutledge</t>
  </si>
  <si>
    <t>Gardening with Native Plants</t>
  </si>
  <si>
    <t>Resource Manager and Volunteer</t>
  </si>
  <si>
    <t>Home school group learned about gardening with native plants, helped add plants to a planter box at Trail Head garden club project site.</t>
  </si>
  <si>
    <t>Full moon kayak tour Lake Rutledge</t>
  </si>
  <si>
    <t>saturday, 9 a.m. - 2 p.m.</t>
  </si>
  <si>
    <t>South River Watershed Alliance</t>
  </si>
  <si>
    <t>5 mile paddle down South River</t>
  </si>
  <si>
    <t>This was an outreach for a partner in the Arabia Mountain Heritage Area.  This trip is to raise advocacy for the South River, and potential partners in developing a paddling program on this river.</t>
  </si>
  <si>
    <t>Sunday 8:30 - 10 p.m.</t>
  </si>
  <si>
    <t>Star Gazing Kayak Tour</t>
  </si>
  <si>
    <t>Saturday 6:30 - 8 p.m.</t>
  </si>
  <si>
    <t>Evening kayak tour Lake Rutledge</t>
  </si>
  <si>
    <t>Resource Manager, Naturalist, Camp Host</t>
  </si>
  <si>
    <t>We were joined by "Georgia Kayakers" club.</t>
  </si>
  <si>
    <t>Friday 6 - 7:30 p.m.</t>
  </si>
  <si>
    <t>Looking for Frogs in Marshy Area of Lake</t>
  </si>
  <si>
    <t>Friday,8 - 10:00 p.m.</t>
  </si>
  <si>
    <t>Wagon Rides at Night</t>
  </si>
  <si>
    <t>Saturday and sunday 8-10</t>
  </si>
  <si>
    <t>Putt Putt in the dark</t>
  </si>
  <si>
    <t>mini golf</t>
  </si>
  <si>
    <t>rained the second day it was offered</t>
  </si>
  <si>
    <t>Hike to the Observation Tower</t>
  </si>
  <si>
    <t>Observing what is around you while you're hiking to the observation tower</t>
  </si>
  <si>
    <t>Giving the flyers to the Campground hosts to hang up will be beneficial, and having hikes start about an hour or so later may be good. 9am seemed to be an early start for most families</t>
  </si>
  <si>
    <t>Monday 10-12pm</t>
  </si>
  <si>
    <t>Red Oak Elem/History Tour</t>
  </si>
  <si>
    <t>Monday 9-11 am</t>
  </si>
  <si>
    <t>Heritage Middle Sch/History Tour</t>
  </si>
  <si>
    <t>Monday 10:30-12:30 pom</t>
  </si>
  <si>
    <t>Butts County School/History Tour</t>
  </si>
  <si>
    <t>Friday 5/16  2-5pm</t>
  </si>
  <si>
    <t>Georgia Ramblers</t>
  </si>
  <si>
    <t>Site intro, Film, selfguided tour of site</t>
  </si>
  <si>
    <t>This group visit was set up through the state. Admission was free.</t>
  </si>
  <si>
    <t>Tuesday 2-4pm</t>
  </si>
  <si>
    <t>Mulberry Elem/History tour</t>
  </si>
  <si>
    <t>KB Sutton/History Tour</t>
  </si>
  <si>
    <t>Wednesday 10-12 pm</t>
  </si>
  <si>
    <t>Jackson Rd/History Tour</t>
  </si>
  <si>
    <t>Wednesday 11-1 pm</t>
  </si>
  <si>
    <t>Anne St Elem/History Tour</t>
  </si>
  <si>
    <t>saturday 10am</t>
  </si>
  <si>
    <t>learning how to set up camping equipment</t>
  </si>
  <si>
    <t>Group came from local church planning a camping trip</t>
  </si>
  <si>
    <t>saturday 12pm</t>
  </si>
  <si>
    <t>camp cooking</t>
  </si>
  <si>
    <t>cooking easy camp food on different stoves</t>
  </si>
  <si>
    <t>participants came from the RV camping site</t>
  </si>
  <si>
    <t>Birds of Don Carter</t>
  </si>
  <si>
    <t>Identifying birds from our area</t>
  </si>
  <si>
    <t>Used the time to hike the path with a bird expert and learn more about birding. was the wrong time of day to do the class</t>
  </si>
  <si>
    <t>sunday 9am</t>
  </si>
  <si>
    <t>over cast and rainy</t>
  </si>
  <si>
    <t>group hike</t>
  </si>
  <si>
    <t>easy hike on lake loop trail</t>
  </si>
  <si>
    <t>Saturday, 9:30 - 3:30 pm</t>
  </si>
  <si>
    <t>Fire wise day</t>
  </si>
  <si>
    <t>Fire prevention</t>
  </si>
  <si>
    <t>Saturday, 9:30 - 12:30 p.m.</t>
  </si>
  <si>
    <t>Cub Scouts group</t>
  </si>
  <si>
    <t>Museum tour an hike</t>
  </si>
  <si>
    <t>Friday, 8:00 - 9:30 pm</t>
  </si>
  <si>
    <t>Games and stories ext.</t>
  </si>
  <si>
    <t>Saturday, 12:00 - 4:00 pm</t>
  </si>
  <si>
    <t>Ask the Naturlist</t>
  </si>
  <si>
    <t>museum tour and folk toys demo</t>
  </si>
  <si>
    <t>Sunday, 12-4 pm</t>
  </si>
  <si>
    <t>Ask the Naturalist</t>
  </si>
  <si>
    <t>Tour museum and folk toys demo</t>
  </si>
  <si>
    <t>Monday, 12-4 pm</t>
  </si>
  <si>
    <t>museum tour and folk toys</t>
  </si>
  <si>
    <t>Wednesday, 10:30-11:30 a.m.</t>
  </si>
  <si>
    <t>Euchee Creek Library/How Animals Keep Cool</t>
  </si>
  <si>
    <t>Wildlife Program</t>
  </si>
  <si>
    <t>West Smiths Station Elem/History Toure</t>
  </si>
  <si>
    <t>Lafayette Middle/History Tour</t>
  </si>
  <si>
    <t>Vincent Middle/History Tour</t>
  </si>
  <si>
    <t>Presidents and Patirots/History Tour</t>
  </si>
  <si>
    <t>Monday 2-4 pm</t>
  </si>
  <si>
    <t>Lutheran Church/History Tour</t>
  </si>
  <si>
    <t>Atl Independents/History Tour</t>
  </si>
  <si>
    <t>Friday, 7-9 p.m.</t>
  </si>
  <si>
    <t>Victoria's Path Nature Hike</t>
  </si>
  <si>
    <t>Snake Savy</t>
  </si>
  <si>
    <t>Snake ID program</t>
  </si>
  <si>
    <t>Saturday, 8:30-11 p.m.</t>
  </si>
  <si>
    <t>Sunday, 11-12 p.m.</t>
  </si>
  <si>
    <t>Mystery Volleyball</t>
  </si>
  <si>
    <t>Volleyball with a beachball and a tarp hung over the net</t>
  </si>
  <si>
    <t>Sunday, 2-4 p.m.</t>
  </si>
  <si>
    <t>Watergames</t>
  </si>
  <si>
    <t>Water games behind the pool</t>
  </si>
  <si>
    <t>Sat 7-9PM</t>
  </si>
  <si>
    <t>Music &amp; Dancing on the Mountain</t>
  </si>
  <si>
    <t>Randy &amp; Darlend Dameron 60's &amp; 70's music</t>
  </si>
  <si>
    <t>Always have them-Have a following FANTASTIC!</t>
  </si>
  <si>
    <t>Family Drum Circle on the Mountain</t>
  </si>
  <si>
    <t>Interactive Percussion Program</t>
  </si>
  <si>
    <t>Not a draw for paying guests- more of a street vendor type entertainment for drop by, enjoy &amp; keep going</t>
  </si>
  <si>
    <t>Mon 10-10:45 AM</t>
  </si>
  <si>
    <t>Memorial Day Flag Retirement</t>
  </si>
  <si>
    <t>retire flag</t>
  </si>
  <si>
    <t>5 mile pmt hike</t>
  </si>
  <si>
    <t>Sat 11AM-12noon</t>
  </si>
  <si>
    <t>basic native reptile/interactive program</t>
  </si>
  <si>
    <t>Bark in the Park Dog Ramble</t>
  </si>
  <si>
    <t>nature ramble with dogs &amp; humans</t>
  </si>
  <si>
    <t>Sat 10am-12:30 pm</t>
  </si>
  <si>
    <t>Farmer's Market</t>
  </si>
  <si>
    <t>local fruit vege homemade  sales</t>
  </si>
  <si>
    <t>Tues 10AM-1PM</t>
  </si>
  <si>
    <t>Odessey School</t>
  </si>
  <si>
    <t>Pondlife &amp; Nature Hike</t>
  </si>
  <si>
    <t>Manager In Training &amp; Part-time Interp</t>
  </si>
  <si>
    <t>Fri 9-11</t>
  </si>
  <si>
    <t>Session I Level 1 &amp; 2 Swim Lessons</t>
  </si>
  <si>
    <t>Swim Lessons at Liberty Bell Pool</t>
  </si>
  <si>
    <t>Saturday, 3:30- 5 pm</t>
  </si>
  <si>
    <t>Carnival games, apple bobbing, craft</t>
  </si>
  <si>
    <t>Part-time Interpretive staff &amp; 1 volunteer</t>
  </si>
  <si>
    <t>Birthday party package included a shelter rental &amp; 5 park passes.</t>
  </si>
  <si>
    <t>Saturday, 5-8 pm</t>
  </si>
  <si>
    <t>Girlscouts/ Campfire Cooking</t>
  </si>
  <si>
    <t>Build fire, biscuits cooked solar oven, cooked eggs &amp; bacon in a bag</t>
  </si>
  <si>
    <t>Part-time Interpretive Staff. Assistant Manager</t>
  </si>
  <si>
    <t>Friday, 9:30-1</t>
  </si>
  <si>
    <t>Riverside Ele/Career Day</t>
  </si>
  <si>
    <t>Career day for school</t>
  </si>
  <si>
    <t>Site Film/Intro</t>
  </si>
  <si>
    <t>Interps and PT staff</t>
  </si>
  <si>
    <t>Saturday, 10am-3pm</t>
  </si>
  <si>
    <t>Lavonia Spring Festival</t>
  </si>
  <si>
    <t>introduction of the park and programs to the public</t>
  </si>
  <si>
    <t>Passed out information on overnight accommodations and 2014 Program Schedule.</t>
  </si>
  <si>
    <t>Tugaloo Bird Walk</t>
  </si>
  <si>
    <t>Bird ID Hike</t>
  </si>
  <si>
    <t>Gourd Bird Houses</t>
  </si>
  <si>
    <t>Making bird houses out of gourds</t>
  </si>
  <si>
    <t>Nature Hut ID</t>
  </si>
  <si>
    <t>Quanis Club of Hartwell</t>
  </si>
  <si>
    <t>Social, economical, and cultural impact of TSP on community</t>
  </si>
  <si>
    <t>Wednesday, 8:30pm</t>
  </si>
  <si>
    <t>Had to cut program short due to thunder storm.</t>
  </si>
  <si>
    <t>Family Sand Castle Tournament</t>
  </si>
  <si>
    <t>Sand Castle Tournament</t>
  </si>
  <si>
    <t>Super cool morning 64 degrees when we started.....think more folks would have come if it had been warmer.</t>
  </si>
  <si>
    <t>Friday, 6pm</t>
  </si>
  <si>
    <t>Introduction to programs and wildlife at park</t>
  </si>
  <si>
    <t>Campground and Trail Scavenger Hunt</t>
  </si>
  <si>
    <t>Friday, 2pm</t>
  </si>
  <si>
    <t>Wildlife Adaptations</t>
  </si>
  <si>
    <t>Doggie Pageant Benefit</t>
  </si>
  <si>
    <t>Benefit for the NEGA Animal Shelter</t>
  </si>
  <si>
    <t>Saturday, 8-9:30pm</t>
  </si>
  <si>
    <t>Summer Music Series</t>
  </si>
  <si>
    <t>Shoal Creek Bluegrass Band</t>
  </si>
  <si>
    <t>Band</t>
  </si>
  <si>
    <t>Band passed the hat.</t>
  </si>
  <si>
    <t>Did 2 activities with the kids</t>
  </si>
  <si>
    <t>Sunday, 4pm</t>
  </si>
  <si>
    <t>Tugaloo Cross Roads</t>
  </si>
  <si>
    <t>Discussed Native American culture and played Chunky</t>
  </si>
  <si>
    <t>Sunday 6pm</t>
  </si>
  <si>
    <t>Photo Safari</t>
  </si>
  <si>
    <t>One of the nights we got rained out.</t>
  </si>
  <si>
    <t>Wednesday, 8:30am</t>
  </si>
  <si>
    <t>Stephens County Middle School</t>
  </si>
  <si>
    <t>Toured Traveler's Rest Historic Site</t>
  </si>
  <si>
    <t>Georgia Owls</t>
  </si>
  <si>
    <t>entire month</t>
  </si>
  <si>
    <t>Gopher Hunt Discovery Challenge</t>
  </si>
  <si>
    <t>Hunt for the gopher and answer the questions to win 2 free nights camping</t>
  </si>
  <si>
    <t>visitors picked up the challenge at the park office then completed the tasks on their own.</t>
  </si>
  <si>
    <t>June 2014</t>
  </si>
  <si>
    <t>Life Enrichment/ Reptiles</t>
  </si>
  <si>
    <t>reptiles &amp; hike</t>
  </si>
  <si>
    <t>5/2 10am</t>
  </si>
  <si>
    <t>Mossy Creek elementry</t>
  </si>
  <si>
    <t>Canyon Hike</t>
  </si>
  <si>
    <t>3/11am</t>
  </si>
  <si>
    <t>Geology day</t>
  </si>
  <si>
    <t>4/10am</t>
  </si>
  <si>
    <t>Scout Group</t>
  </si>
  <si>
    <t>5/10am</t>
  </si>
  <si>
    <t>Central High School</t>
  </si>
  <si>
    <t>`1</t>
  </si>
  <si>
    <t>8/10am</t>
  </si>
  <si>
    <t>Randolph County</t>
  </si>
  <si>
    <t>9/10am</t>
  </si>
  <si>
    <t>Carver Elementry</t>
  </si>
  <si>
    <t>Rising Star Acadamey</t>
  </si>
  <si>
    <t>17th 10am</t>
  </si>
  <si>
    <t>Deerfield elementry</t>
  </si>
  <si>
    <t>Faith middle school</t>
  </si>
  <si>
    <t>21st 2pm</t>
  </si>
  <si>
    <t>University Of Georgia</t>
  </si>
  <si>
    <t>24 th 25tn 26th 10am to 4pm</t>
  </si>
  <si>
    <t>Memorial Day</t>
  </si>
  <si>
    <t>Boat Tours / Walking sticks and crafts</t>
  </si>
  <si>
    <t>the Life Enrichment Center</t>
  </si>
  <si>
    <t>Outdoor fun by Jr Ranger info</t>
  </si>
  <si>
    <t>Environmental Studies school</t>
  </si>
  <si>
    <t>Tuesday 11- 11:30</t>
  </si>
  <si>
    <t>Camp Discovery</t>
  </si>
  <si>
    <t>May 17th, 2014</t>
  </si>
  <si>
    <t>Old Fort Camping-Boy Scouts</t>
  </si>
  <si>
    <t>Camping-Historical</t>
  </si>
  <si>
    <t>A local boy scout troup lined up a camping event with the Fort Yargo Living History Society. Turned out to be a very good program!</t>
  </si>
  <si>
    <t>Saturday, May 17; 9-5 PM</t>
  </si>
  <si>
    <t>Twisted Ankle Marathon</t>
  </si>
  <si>
    <t>Marathon and Half-Marathon</t>
  </si>
  <si>
    <t>Twisted Ankle Marathon was a great event.  The turn out was average, mainly due to inclement weather.  We have no gotten the complete amount of money that was generated to our Friends group as of today.  We should know more about money generated at our next friends meeting.</t>
  </si>
  <si>
    <t>Patrick's 7th Birthday Party</t>
  </si>
  <si>
    <t>Site Interpreter leads a fun-filled colonial themed birthday party. Hands-on craft, marching, musket drill,</t>
  </si>
  <si>
    <t>Tuesday, 10am</t>
  </si>
  <si>
    <t>Savannah First SDA School</t>
  </si>
  <si>
    <t>Site video, museum, soldier talk, fort tour, fire-making, musket demo.</t>
  </si>
  <si>
    <t>Wednesday, 1:30pm</t>
  </si>
  <si>
    <t>Saddle Ridge Middle School</t>
  </si>
  <si>
    <t>Site video, museum, fort tour, soldier talk, fort tour, fire-making, musket demo</t>
  </si>
  <si>
    <t>Saturday 730pm</t>
  </si>
  <si>
    <t>Moonlight Mountain Hike</t>
  </si>
  <si>
    <t>moonlight mountain hike</t>
  </si>
  <si>
    <t>Secrets of the mountain</t>
  </si>
  <si>
    <t>Secrets of Panola Mountain Hike</t>
  </si>
  <si>
    <t>Thursday, 9--12</t>
  </si>
  <si>
    <t>scavenger hunt, film, toys and games, dance, soldier and musket</t>
  </si>
  <si>
    <t>Monday, 11-3</t>
  </si>
  <si>
    <t>Memorial Day Commemoration</t>
  </si>
  <si>
    <t>musket, cavalry, cannon, toys and games on the hour</t>
  </si>
  <si>
    <t>afternoon rain dampened event</t>
  </si>
  <si>
    <t>School Groups</t>
  </si>
  <si>
    <t>Boy Scout Tree Climb</t>
  </si>
  <si>
    <t>Saturday 1pm,3pm,5pm</t>
  </si>
  <si>
    <t>A living social promotion was offered for tree climbing</t>
  </si>
  <si>
    <t>Sat &amp;Sun 10am,2pm</t>
  </si>
  <si>
    <t>Groupon promotion still running</t>
  </si>
  <si>
    <t>intermediate archery</t>
  </si>
  <si>
    <t>May 8-5pm</t>
  </si>
  <si>
    <t>Museum Visitation &amp; Video/Tours</t>
  </si>
  <si>
    <t>Alabama Boy Scout Troup</t>
  </si>
  <si>
    <t>Monday, 9-12am</t>
  </si>
  <si>
    <t>Alabama-Heritage Middle School</t>
  </si>
  <si>
    <t>Wednesday, 9-11am</t>
  </si>
  <si>
    <t>Clay County Elementary School</t>
  </si>
  <si>
    <t>Saturday, 2-8pm</t>
  </si>
  <si>
    <t>Memorial Day Beach Bash</t>
  </si>
  <si>
    <t>Memorial Day Beach Bash and Interpretive Programs</t>
  </si>
  <si>
    <t>We could have used 2 more employees working/assisting event activities.</t>
  </si>
  <si>
    <t>ECES Special Olympics</t>
  </si>
  <si>
    <t>Special Olympics</t>
  </si>
  <si>
    <t>Staff assisted as needed</t>
  </si>
  <si>
    <t>Friday 8-10pm</t>
  </si>
  <si>
    <t>Sunset Hike on the White Oak Trail</t>
  </si>
  <si>
    <t>Frog Frolic</t>
  </si>
  <si>
    <t>Frog Frolic-Catching Frogs;Learning about Frogs and their environment</t>
  </si>
  <si>
    <t>Campfire Program at Lake Kolomoki Campground</t>
  </si>
  <si>
    <t>Arts and Crafts</t>
  </si>
  <si>
    <t>American Indian dream catchers (Arts &amp; Crafts)</t>
  </si>
  <si>
    <t>Sunday, 1pm</t>
  </si>
  <si>
    <t>Kubb Tournament</t>
  </si>
  <si>
    <t>Kubb Tournament at Lake Kolomoki Campground</t>
  </si>
  <si>
    <t>mayflower tour</t>
  </si>
  <si>
    <t>tour/demo</t>
  </si>
  <si>
    <t>thur 1-4pm</t>
  </si>
  <si>
    <t>ft gordon sig corp</t>
  </si>
  <si>
    <t>wed 10-12am</t>
  </si>
  <si>
    <t>twin city</t>
  </si>
  <si>
    <t>ft gordon sig school</t>
  </si>
  <si>
    <t>thu 10-1pm</t>
  </si>
  <si>
    <t>318th btn</t>
  </si>
  <si>
    <t>Tues 630pm Thur 10am</t>
  </si>
  <si>
    <t>thu 10-12am</t>
  </si>
  <si>
    <t>mayflower tours</t>
  </si>
  <si>
    <t>grace school</t>
  </si>
  <si>
    <t>richmond hill hon soc</t>
  </si>
  <si>
    <t>Sunday 930am</t>
  </si>
  <si>
    <t>Yoga</t>
  </si>
  <si>
    <t>bsa trp 165</t>
  </si>
  <si>
    <t>tue 11-2pm</t>
  </si>
  <si>
    <t>ed bearess tours</t>
  </si>
  <si>
    <t>County Elementary</t>
  </si>
  <si>
    <t>Snake program</t>
  </si>
  <si>
    <t>Outdoor Living Skills</t>
  </si>
  <si>
    <t>Tuesday, 2-4pm</t>
  </si>
  <si>
    <t>sat 11-12am</t>
  </si>
  <si>
    <t>treasures frm the knapsack</t>
  </si>
  <si>
    <t>talk/demo</t>
  </si>
  <si>
    <t>Tuesday, 2-3pm</t>
  </si>
  <si>
    <t>manth of may</t>
  </si>
  <si>
    <t>static exhibit</t>
  </si>
  <si>
    <t>Saturday, 6-8pm</t>
  </si>
  <si>
    <t>Paddle with S'mores</t>
  </si>
  <si>
    <t>Evening canoe &amp; campfire with S'mores</t>
  </si>
  <si>
    <t>Summer Intern</t>
  </si>
  <si>
    <t>sat 10-3pm</t>
  </si>
  <si>
    <t>memorial day program</t>
  </si>
  <si>
    <t>851,50</t>
  </si>
  <si>
    <t>Friday, 8-9pm</t>
  </si>
  <si>
    <t>Campfire with S'mores!</t>
  </si>
  <si>
    <t>Campfire with s'mores &amp; songs</t>
  </si>
  <si>
    <t>thur-sat 1-4pm`</t>
  </si>
  <si>
    <t>gen pub</t>
  </si>
  <si>
    <t>Saturday, 10-11am</t>
  </si>
  <si>
    <t>Natural History of snake &amp; turtle</t>
  </si>
  <si>
    <t>Monday &amp; Tuesday, 8-5p.m.</t>
  </si>
  <si>
    <t>Birding Project</t>
  </si>
  <si>
    <t>Birding adventure for 24 persons with lodging at the Reynolds Mansion.</t>
  </si>
  <si>
    <t>Funds generated were a combination of lodging, meals and registration fees for the project.
Guests paid a per night fee for the project.</t>
  </si>
  <si>
    <t>Hampton Middle School</t>
  </si>
  <si>
    <t>site video, museum, fort tour, soldier talk, musket demo</t>
  </si>
  <si>
    <t>Burroughs-Mollette Elementary</t>
  </si>
  <si>
    <t>site video, museum, fort tour, soldier talk, fire-making, musket demo</t>
  </si>
  <si>
    <t>Wednesday, 9:30am</t>
  </si>
  <si>
    <t>Bremen Middle School</t>
  </si>
  <si>
    <t>Luella Middle School</t>
  </si>
  <si>
    <t>Site video, museum, fort tour, soldier talk, fire-making, musket demo</t>
  </si>
  <si>
    <t>Friday, 10am-4pm</t>
  </si>
  <si>
    <t>Museum Tour</t>
  </si>
  <si>
    <t>Interpretation of pioneer life</t>
  </si>
  <si>
    <t>Thursday 8:45-1:30 PM</t>
  </si>
  <si>
    <t>Crooked River Elementary/ adaptations/ squid/ dock study</t>
  </si>
  <si>
    <t>squid disection</t>
  </si>
  <si>
    <t>Ranger, Interpretive ranger, Naturalist</t>
  </si>
  <si>
    <t>Friday, 8:30-1:30</t>
  </si>
  <si>
    <t>Crooked Elementary School/ adaptaions</t>
  </si>
  <si>
    <t>adaptations, dock study, games, reptiles</t>
  </si>
  <si>
    <t>Saturday, 9:00 AM</t>
  </si>
  <si>
    <t>Live</t>
  </si>
  <si>
    <t>Saturday 11:30-3:30 PM</t>
  </si>
  <si>
    <t>High</t>
  </si>
  <si>
    <t>Friday 3:00 PM</t>
  </si>
  <si>
    <t>Roving ranger</t>
  </si>
  <si>
    <t>Friday. 8:00- 9:00 PM</t>
  </si>
  <si>
    <t>Saturday, 10:00 - 6:00 PM</t>
  </si>
  <si>
    <t>Family fun day</t>
  </si>
  <si>
    <t>C MOS family fun day</t>
  </si>
  <si>
    <t>Friday, 10:30-1:30 PM</t>
  </si>
  <si>
    <t>kayak trip High tide</t>
  </si>
  <si>
    <t>rough weather had to return $40 donation</t>
  </si>
  <si>
    <t>Saturday, 10:00 - 3:00 PM</t>
  </si>
  <si>
    <t>Advanced Learning/ marsh hike</t>
  </si>
  <si>
    <t>Marsh, Hike, animals, dock</t>
  </si>
  <si>
    <t>Saturday 11:00-3:30 PM</t>
  </si>
  <si>
    <t>Burger Bash</t>
  </si>
  <si>
    <t>Friday, 10:30-12:30 PM</t>
  </si>
  <si>
    <t>magnolia manor/ live animal</t>
  </si>
  <si>
    <t>Friday 3-4PM</t>
  </si>
  <si>
    <t>roving ranger</t>
  </si>
  <si>
    <t>Saturday, 10:30 AM</t>
  </si>
  <si>
    <t>Putt-putt tournament</t>
  </si>
  <si>
    <t>putt-putt tournament</t>
  </si>
  <si>
    <t>Sunday, 9:00 - 10:30 AM</t>
  </si>
  <si>
    <t>1`</t>
  </si>
  <si>
    <t>Sunday, 8PM</t>
  </si>
  <si>
    <t>Monday, 9:00 AM - 11:00 AM</t>
  </si>
  <si>
    <t>May</t>
  </si>
  <si>
    <t>Diamond Elementary 5th Grade</t>
  </si>
  <si>
    <t>Friday, 9-11AM</t>
  </si>
  <si>
    <t>David L. Rainer Elementary School/ animals</t>
  </si>
  <si>
    <t>Stem camp live animals</t>
  </si>
  <si>
    <t>Saturday, 3-4 PM</t>
  </si>
  <si>
    <t>Rainbow bracelets craft</t>
  </si>
  <si>
    <t>Saturday, 5-8 PM</t>
  </si>
  <si>
    <t>Saturday 9 am - 3 pm</t>
  </si>
  <si>
    <t>EarthFest in Warner Robins</t>
  </si>
  <si>
    <t>booth at Warner Robins EarthFest</t>
  </si>
  <si>
    <t>Career Day at Hubbard Elementary</t>
  </si>
  <si>
    <t>Telling students about my job and giving information about the park</t>
  </si>
  <si>
    <t>Friday, May 2, 3:30-5:30 pm</t>
  </si>
  <si>
    <t>Girl Scout Brownies/Animal Track Guide and Nature Hike</t>
  </si>
  <si>
    <t>Made animal track field guides and went on mile-long hike</t>
  </si>
  <si>
    <t>Tuesday, May 13, 1-3 pm</t>
  </si>
  <si>
    <t>Homeschool Group/Dichotomous Key and Detective Skully</t>
  </si>
  <si>
    <t>Used key to identify common trees and then analyzed skulls to id them</t>
  </si>
  <si>
    <t>Thursday, May 15, 10:30-noon</t>
  </si>
  <si>
    <t>Howard School/Hike and Animal Encounter</t>
  </si>
  <si>
    <t>.75 mile hike on Lakeside Trail and live animal program w/ snakes and turtles</t>
  </si>
  <si>
    <t>Saturday, May 3, 11 am-noon</t>
  </si>
  <si>
    <t>Photohike</t>
  </si>
  <si>
    <t>Portrait photohike on Lakeside Trail</t>
  </si>
  <si>
    <t>Saturday, May 17, 10 am-2 pm</t>
  </si>
  <si>
    <t>Kids to Parks Day</t>
  </si>
  <si>
    <t>Pickleball 101 and Animal Encounter with snakes and turtles</t>
  </si>
  <si>
    <t>Supposed to play yard games in afternoon but got rained out so substituted Animal Encounter</t>
  </si>
  <si>
    <t>Varied</t>
  </si>
  <si>
    <t>Spoke with guests about various park topics</t>
  </si>
  <si>
    <t>Saturdays (plus Fri &amp; Sun of Mem. Day Wknd), 8-9:30 pm</t>
  </si>
  <si>
    <t>Bluegrass Concerts</t>
  </si>
  <si>
    <t>Live concert at the Vaughan Log Cabin</t>
  </si>
  <si>
    <t>Saturday 10:00 am</t>
  </si>
  <si>
    <t>Hiked to sliding rock and out</t>
  </si>
  <si>
    <t>Hiked the Gorge Floor</t>
  </si>
  <si>
    <t>Wednesday 9:00 pm</t>
  </si>
  <si>
    <t>Thursday, 1-4 p.m.</t>
  </si>
  <si>
    <t>Warner Robbins AFB</t>
  </si>
  <si>
    <t>Friday, 9 a.m. to 1 p.m.</t>
  </si>
  <si>
    <t>Frey Elementary</t>
  </si>
  <si>
    <t>Saturday, 1 - 4 p.m.</t>
  </si>
  <si>
    <t>Richard McMurry Tour</t>
  </si>
  <si>
    <t>Historian Richard McMurrey Tour</t>
  </si>
  <si>
    <t>Richard McMurrey</t>
  </si>
  <si>
    <t>Thursday, 1 - 4 p.m.</t>
  </si>
  <si>
    <t>Monument Dedication</t>
  </si>
  <si>
    <t>Mounument Dedication</t>
  </si>
  <si>
    <t>Saturday, 10 a.m. to 7 p.m.</t>
  </si>
  <si>
    <t>150th Commemoration</t>
  </si>
  <si>
    <t>150th Commemoration of the Battle</t>
  </si>
  <si>
    <t>9:30a.m.-12:00 p.m.</t>
  </si>
  <si>
    <t>school field trips</t>
  </si>
  <si>
    <t>guided programs of historic grounds/buildings</t>
  </si>
  <si>
    <t>combined staff and Friends of NE</t>
  </si>
  <si>
    <t>7pm-9pm</t>
  </si>
  <si>
    <t>Eastside Evining Hike</t>
  </si>
  <si>
    <t>Saturday,11am-1pm</t>
  </si>
  <si>
    <t>intro to photography withan emphasis on lighting</t>
  </si>
  <si>
    <t>ranger-led trip down Sweetwater creek and walking tour of New Manchester mill</t>
  </si>
  <si>
    <t>Saturday,7pm-8:30pm</t>
  </si>
  <si>
    <t>Sunday, 12pm-1:30pm</t>
  </si>
  <si>
    <t>Sunday, 3pm-4:30pm</t>
  </si>
  <si>
    <t>yellow trail hike to "Induian cave" with an emphasis on Native Americans</t>
  </si>
  <si>
    <t>Sunday 4pm-5:30pm,</t>
  </si>
  <si>
    <t>For Women by Women Introduction to Kayakin</t>
  </si>
  <si>
    <t>Thuirsday,9:30am-11:30am</t>
  </si>
  <si>
    <t>Harvester Christian Academy/Mill history and nature hike</t>
  </si>
  <si>
    <t>history/nature school hike to mill</t>
  </si>
  <si>
    <t>Thursday, 7:30pm-9:30pm</t>
  </si>
  <si>
    <t>evening lake paddle under the full moon</t>
  </si>
  <si>
    <t>Friday. 8:30am-9:30am</t>
  </si>
  <si>
    <t>Sweetwater Elementary/Summer a ctivities and programs at the park</t>
  </si>
  <si>
    <t>spoke to students and parents about activities and summer programs</t>
  </si>
  <si>
    <t>Saturday 11am-1pm</t>
  </si>
  <si>
    <t>ranger-led paddle on Sweetwater creek and tour of New Manchester Mill</t>
  </si>
  <si>
    <t>Saturday 3-4:30</t>
  </si>
  <si>
    <t>paddle on lake and up Beaver Creek"</t>
  </si>
  <si>
    <t>historian-led hiostory hike to New Manchester mill</t>
  </si>
  <si>
    <t>ranger-led lake paddle and up Beaver creek</t>
  </si>
  <si>
    <t>Friday,1pm-3pm</t>
  </si>
  <si>
    <t>open acces to New Manchester mill for artists</t>
  </si>
  <si>
    <t>Friday. 7pm-8:30pm</t>
  </si>
  <si>
    <t>evening lake paddle and up Beaver Creek</t>
  </si>
  <si>
    <t>A walk through the woods in the eyes of a Native American</t>
  </si>
  <si>
    <t>plants and trees the native americans used for food, medicinals, cordage, etc.</t>
  </si>
  <si>
    <t>11am-1pm</t>
  </si>
  <si>
    <t>ranger-led kayak of Sweetwater creek and tour of New Manchester Mill</t>
  </si>
  <si>
    <t>Photography class with an emphaswis on lighting</t>
  </si>
  <si>
    <t>Friday, 4pm-6:30pm</t>
  </si>
  <si>
    <t>lake paddle</t>
  </si>
  <si>
    <t>ranger-led  creek kayak and history tour of mill</t>
  </si>
  <si>
    <t>Saturday, 11 am -12:30</t>
  </si>
  <si>
    <t>historian-led history hike to New Manchester Mill</t>
  </si>
  <si>
    <t>Saturday, 3pm-4pm</t>
  </si>
  <si>
    <t>All About Reptuiles</t>
  </si>
  <si>
    <t>live reptile demonstration program</t>
  </si>
  <si>
    <t>Saturday, 7pm-8:30pm</t>
  </si>
  <si>
    <t>:ake Paddle</t>
  </si>
  <si>
    <t>ranger-led lake ppaddle and up Beaver Creek</t>
  </si>
  <si>
    <t>Nativ eAmerican Heritage Hike</t>
  </si>
  <si>
    <t>Nativ eAmerican History hike to "Indian Cave"</t>
  </si>
  <si>
    <t>Monday, 11am-1pm</t>
  </si>
  <si>
    <t>ranger=lede kayak on creek and tour of New Manchester Mill</t>
  </si>
  <si>
    <t>Wednesday, 7pm-8:30pm</t>
  </si>
  <si>
    <t>Mid-Week Wind Down Paddle</t>
  </si>
  <si>
    <t>Eastside Evening Hike</t>
  </si>
  <si>
    <t>evening hi9ke to East Ridge</t>
  </si>
  <si>
    <t>photography class with an emphasis on lighting</t>
  </si>
  <si>
    <t>ranger-led paddle on Sweetwater Creek and tour of New Manchester Mill</t>
  </si>
  <si>
    <t>Weddnesday, June 4 10 a.m.</t>
  </si>
  <si>
    <t>Olive Tree Day care</t>
  </si>
  <si>
    <t>Wednesday, May 7 9:30 a.m.</t>
  </si>
  <si>
    <t>Reidsville Elementary School</t>
  </si>
  <si>
    <t>Thursday, May 8, 9:30 a.m.</t>
  </si>
  <si>
    <t>Forest Safety/Animals</t>
  </si>
  <si>
    <t>Friday, May 2 9:30 a.m.</t>
  </si>
  <si>
    <t>Reidsville Elementary Special Ed</t>
  </si>
  <si>
    <t>Park Tour</t>
  </si>
  <si>
    <t>Monday, May 19 10 a.m.</t>
  </si>
  <si>
    <t>Reidsville Elementary 2 nd Graders</t>
  </si>
  <si>
    <t>Nature Hike/Animal Skins</t>
  </si>
  <si>
    <t>Thursday 9:30 am</t>
  </si>
  <si>
    <t>Fairview Elementary</t>
  </si>
  <si>
    <t>No footed friends Hike to look at waterfalls and Tallulah Detective</t>
  </si>
  <si>
    <t>Tuesday 9:30 am</t>
  </si>
  <si>
    <t>Mossy Creek 5th grade</t>
  </si>
  <si>
    <t>Demorest Elementary</t>
  </si>
  <si>
    <t>Animal Tracks, Tallulah Detective and Hike to overlooks</t>
  </si>
  <si>
    <t>Hazel Grove</t>
  </si>
  <si>
    <t>Eco systems of the gorge, Tallulah Detective and hiking to overlooks 1,2 &amp;3</t>
  </si>
  <si>
    <t>South Hart</t>
  </si>
  <si>
    <t>Tallulah Detective and hiking to overlook 1,2&amp;3</t>
  </si>
  <si>
    <t>Georgia Ed academy</t>
  </si>
  <si>
    <t>over view and history of area</t>
  </si>
  <si>
    <t>Rabun Elemantary</t>
  </si>
  <si>
    <t>Denton Elementary</t>
  </si>
  <si>
    <t>Friday, 9-11 a.m.</t>
  </si>
  <si>
    <t>Indian Knoll School/ Historic Tour</t>
  </si>
  <si>
    <t>Thursday 10am-12 pm</t>
  </si>
  <si>
    <t>Centenial Place School/ Historic Tour</t>
  </si>
  <si>
    <t>Guided tour of the Little White house</t>
  </si>
  <si>
    <t>Friday, 2-4</t>
  </si>
  <si>
    <t>Recycle, Plant, Water</t>
  </si>
  <si>
    <t>Recycled plastic bottles can make a pot for planting, and be sure to water but conservativly</t>
  </si>
  <si>
    <t>Friday afternoon programs are not as successful on slow camping weekends</t>
  </si>
  <si>
    <t>Save Your Hearing</t>
  </si>
  <si>
    <t>Predator prey relationship and how important their ears are to them. Our hearing when hiking is important, too</t>
  </si>
  <si>
    <t>Speaking to people as they walk through the visitor center to be sure they know what programs are going on that weekend is important to increase attendance</t>
  </si>
  <si>
    <t>Saturday, 2-4pm</t>
  </si>
  <si>
    <t>Using your senses as you hike to the observation tower and enjoy the Chattahoochee River that you're hiking beside. Keep it beautiful</t>
  </si>
  <si>
    <t>Talk to people that you're passing in the park on walkways, playgrounds, etc, and tell them</t>
  </si>
  <si>
    <t>Sunday, 12-1pm</t>
  </si>
  <si>
    <t>Tracks</t>
  </si>
  <si>
    <t>explaining what's walking around, spotting tracks, and using plaster of paris to keep it without destroying it</t>
  </si>
  <si>
    <t>People are packing up to leave on Sundays, not having time to attend programs</t>
  </si>
  <si>
    <t>Friday, 3-4pm</t>
  </si>
  <si>
    <t>We walk "barefoot" all the time</t>
  </si>
  <si>
    <t>Identifying tracks, spotting them, and how to use plaster of paris</t>
  </si>
  <si>
    <t>Saturday, 12-2pm</t>
  </si>
  <si>
    <t>HIke to the Flat Rocks</t>
  </si>
  <si>
    <t>An upland, rugged area that still presents life. An neighboring community of Longleafs in need of prescribed fire</t>
  </si>
  <si>
    <t>People from cities like to venture out too and are interested in what is out in state parks ("city folks" they even called themselves). They were fun to talk to because they really showed interest in a different way from outdoor enthusiasts.</t>
  </si>
  <si>
    <t>Saturday, 7:30-9pm</t>
  </si>
  <si>
    <t>Beside a Campfire Light</t>
  </si>
  <si>
    <t>SImple joys of sitting around a campfire including: songs, storys, company, and making s'mores</t>
  </si>
  <si>
    <t>Very fun program! Kids had a blast, and the adults did, too.</t>
  </si>
  <si>
    <t>Saturday 9-3pm</t>
  </si>
  <si>
    <t>Rosie Riveter - DDay</t>
  </si>
  <si>
    <t>Commemorating DDay and Women of WWII</t>
  </si>
  <si>
    <t>learn wilderness skills</t>
  </si>
  <si>
    <t>Thurs. 3 pm</t>
  </si>
  <si>
    <t>Learn about the painted bunting</t>
  </si>
  <si>
    <t>River clean up</t>
  </si>
  <si>
    <t>help to clean up the skidaway narrows</t>
  </si>
  <si>
    <t>toddler play time</t>
  </si>
  <si>
    <t>Thurs. 2 pm</t>
  </si>
  <si>
    <t>Identifying trees</t>
  </si>
  <si>
    <t>learn about the giant ground sloth</t>
  </si>
  <si>
    <t>Plant pressings</t>
  </si>
  <si>
    <t>Bike Rodeo</t>
  </si>
  <si>
    <t>Bike safety and fun</t>
  </si>
  <si>
    <t>Thurs. 10 am</t>
  </si>
  <si>
    <t>thursday 3 pm</t>
  </si>
  <si>
    <t>Sandpiper hike</t>
  </si>
  <si>
    <t>Thurs. 6 pm</t>
  </si>
  <si>
    <t>ranger touring the park to engage guests</t>
  </si>
  <si>
    <t>Thurs. 8 pm</t>
  </si>
  <si>
    <t>Calls of the Wild</t>
  </si>
  <si>
    <t>night animal hike</t>
  </si>
  <si>
    <t>Rained</t>
  </si>
  <si>
    <t>Kids in the Park Day</t>
  </si>
  <si>
    <t>Yard games for kids</t>
  </si>
  <si>
    <t>Sunday 1 pm</t>
  </si>
  <si>
    <t>campfire with smores</t>
  </si>
  <si>
    <t>Sensory awareness hike</t>
  </si>
  <si>
    <t>outdoor fitness hike</t>
  </si>
  <si>
    <t>hiking the fitness trail</t>
  </si>
  <si>
    <t>Exploring archaeology</t>
  </si>
  <si>
    <t>archeology program</t>
  </si>
  <si>
    <t>Thursday 5 pm</t>
  </si>
  <si>
    <t>Lanier School</t>
  </si>
  <si>
    <t>Johnson Co. Middle sch.</t>
  </si>
  <si>
    <t>Monday 9am</t>
  </si>
  <si>
    <t>Sea Kayak Georgia</t>
  </si>
  <si>
    <t>Spencer Elementary</t>
  </si>
  <si>
    <t>Wednesday 5 pm</t>
  </si>
  <si>
    <t>oconee middle school</t>
  </si>
  <si>
    <t>Marshpoint Elementary</t>
  </si>
  <si>
    <t>Garden City Elementary</t>
  </si>
  <si>
    <t>career day</t>
  </si>
  <si>
    <t>Mercer Middle Sch.</t>
  </si>
  <si>
    <t>Friday 4pm</t>
  </si>
  <si>
    <t>Fun Club</t>
  </si>
  <si>
    <t>Where are the animals hike</t>
  </si>
  <si>
    <t>Saturday 1:30pm</t>
  </si>
  <si>
    <t>Reptile show</t>
  </si>
  <si>
    <t>JAKES Day and Jr Fishing Derby</t>
  </si>
  <si>
    <t>multiple staff and volunteers</t>
  </si>
  <si>
    <t>Thursday 8:30 - 1:30</t>
  </si>
  <si>
    <t>Westside 3rd grade</t>
  </si>
  <si>
    <t>School program</t>
  </si>
  <si>
    <t>interpretive ranger, park manager</t>
  </si>
  <si>
    <t>lollypop pre k, garden</t>
  </si>
  <si>
    <t>garden</t>
  </si>
  <si>
    <t>guided tour of heritage farm</t>
  </si>
  <si>
    <t>Saturday 3-4pm</t>
  </si>
  <si>
    <t>kids crafts</t>
  </si>
  <si>
    <t>staff led hands on craft programs</t>
  </si>
  <si>
    <t>farm visit/open house</t>
  </si>
  <si>
    <t>Sunday 4-6pm</t>
  </si>
  <si>
    <t>Basket Making Class</t>
  </si>
  <si>
    <t>basket making class</t>
  </si>
  <si>
    <t>Sunday 9-10am</t>
  </si>
  <si>
    <t>feeding tour</t>
  </si>
  <si>
    <t>guided tour and lesson on farm animals</t>
  </si>
  <si>
    <t>Sunday 1-2pm</t>
  </si>
  <si>
    <t>Saturday, 10 AM-12 PM</t>
  </si>
  <si>
    <t>National Trails Day Hike</t>
  </si>
  <si>
    <t>Cliatt Creek Nature Trail hike</t>
  </si>
  <si>
    <t>Thursday 5/8 11:00</t>
  </si>
  <si>
    <t>tools &amp; weapons</t>
  </si>
  <si>
    <t>demonstration of primitive tools ans weapons</t>
  </si>
  <si>
    <t>Thursday 9-5</t>
  </si>
  <si>
    <t>brief introduction to site</t>
  </si>
  <si>
    <t>Hiking tour of the site</t>
  </si>
  <si>
    <t>Wednesday</t>
  </si>
  <si>
    <t>brief intro to the site</t>
  </si>
  <si>
    <t>Site Introduction</t>
  </si>
  <si>
    <t>Brief introduction to site</t>
  </si>
  <si>
    <t>brief introduction of site</t>
  </si>
  <si>
    <t>tour of site with interpretive ranger</t>
  </si>
  <si>
    <t>walk on nature trail</t>
  </si>
  <si>
    <t>demonstration of primitive tools and weapons</t>
  </si>
  <si>
    <t>Saturday  2:00</t>
  </si>
  <si>
    <t>SGA</t>
  </si>
  <si>
    <t>Yearly meeting of SGA field trip</t>
  </si>
  <si>
    <t>Interpretive Ranger and Guest Speaker</t>
  </si>
  <si>
    <t>Cherokee Elementary</t>
  </si>
  <si>
    <t>Tools and weapons, film, and tour</t>
  </si>
  <si>
    <t>Talapoosa Primary</t>
  </si>
  <si>
    <t>Tellus Museum</t>
  </si>
  <si>
    <t>Self guided tour</t>
  </si>
  <si>
    <t>They were looking the site over/ program pitating suspected... as they had asked about how to "borrow" artifacts for a display.</t>
  </si>
  <si>
    <t>Friday   10:00</t>
  </si>
  <si>
    <t>Padenia</t>
  </si>
  <si>
    <t>tools and weapons with site tour</t>
  </si>
  <si>
    <t>Saturday, 8-12 noon</t>
  </si>
  <si>
    <t>Kids Fishing Rodeo</t>
  </si>
  <si>
    <t>Fishing rodeo for kids 15 &amp; under</t>
  </si>
  <si>
    <t>Thursday, June 12, 9 a.m.</t>
  </si>
  <si>
    <t>Reidsville Summer Migrant School</t>
  </si>
  <si>
    <t>Aquatic Program and Animal Skins</t>
  </si>
  <si>
    <t>Thursday 1130-130pm</t>
  </si>
  <si>
    <t>Fayette Co Board of Ed/History Tour</t>
  </si>
  <si>
    <t>Sat 2-4pm</t>
  </si>
  <si>
    <t>GAD About Tours/History Tour</t>
  </si>
  <si>
    <t>Mary Person HS/History Tour</t>
  </si>
  <si>
    <t>Youth Tours/History Tour</t>
  </si>
  <si>
    <t>'5/5/14</t>
  </si>
  <si>
    <t>Clinch Co Middle School</t>
  </si>
  <si>
    <t>Boat Tour and guided hike</t>
  </si>
  <si>
    <t>5/10/14 9 pm</t>
  </si>
  <si>
    <t>Make S'mores and meet campers</t>
  </si>
  <si>
    <t>Plant scavenger hunt around lake trail.</t>
  </si>
  <si>
    <t>Ranger meets visitors to park and answers questions</t>
  </si>
  <si>
    <t>Saturday/Sunday, 11am/2pm</t>
  </si>
  <si>
    <t>Saturday &amp; Sunday, 4pm, 2pm</t>
  </si>
  <si>
    <t>Narrated Wagon Ride</t>
  </si>
  <si>
    <t>Take a wagon ride through park and give a history of park.</t>
  </si>
  <si>
    <t>Interpretive Ranger or Part-time Interpretive Staff</t>
  </si>
  <si>
    <t>Sunday, 9am</t>
  </si>
  <si>
    <t>Morning Meditation</t>
  </si>
  <si>
    <t>Sunday morning mediations</t>
  </si>
  <si>
    <t>9-Square in the Air</t>
  </si>
  <si>
    <t>beach game</t>
  </si>
  <si>
    <t>teach campers how to make tasty treats</t>
  </si>
  <si>
    <t>Kids Activity</t>
  </si>
  <si>
    <t>variety of activities for the kids.</t>
  </si>
  <si>
    <t>Wagon Ride and Hike</t>
  </si>
  <si>
    <t>take park visitors on a wagon ride and guided hike along one of the trails.</t>
  </si>
  <si>
    <t>Face Painting and Balloon Animals</t>
  </si>
  <si>
    <t>Volunteers painted faces and made balloon animals for park visitors</t>
  </si>
  <si>
    <t>Mon. Tue. Wed., 9am</t>
  </si>
  <si>
    <t>Ellijay Primary School</t>
  </si>
  <si>
    <t>Ellijay Kindergartners came to the park three days in a row for programs</t>
  </si>
  <si>
    <t>Interpretive Ranger and Part-time Interpretive staff</t>
  </si>
  <si>
    <t>Chatsworth 4th Grade</t>
  </si>
  <si>
    <t>Took Chatsworth 4th graders on a guided hike</t>
  </si>
  <si>
    <t>Interpretive Ranger and Part-time Interpretive Staff</t>
  </si>
  <si>
    <t>5/24/14 4 p.m.</t>
  </si>
  <si>
    <t>Southeastern Reptile Encounter</t>
  </si>
  <si>
    <t>Hosted Southeastern Reptile Rescue who provided a reptile program.</t>
  </si>
  <si>
    <t>5/24/14 7 pm</t>
  </si>
  <si>
    <t>Friday 7:30-9:30 p.m.</t>
  </si>
  <si>
    <t>Nighttime Kayak Paddle on the Lake</t>
  </si>
  <si>
    <t>Monday, Wednesday, Friday 9:00 -10:00 a.m.</t>
  </si>
  <si>
    <t>Morning Yoga with Hanna</t>
  </si>
  <si>
    <t>Morning Yoga in the park with instructor</t>
  </si>
  <si>
    <t>Monday, Wednesday, Friday 9:00-10:00 a.m.</t>
  </si>
  <si>
    <t>Morning yoga in the park with yoga instructor</t>
  </si>
  <si>
    <t>Monday, Wednesday, Friday</t>
  </si>
  <si>
    <t>Morning Yoga in the park with yoga instructor</t>
  </si>
  <si>
    <t>Saturday 10-12:30 p.m.</t>
  </si>
  <si>
    <t>Dulcimer workshop and jam</t>
  </si>
  <si>
    <t>Monday 10:30-12 p.m.</t>
  </si>
  <si>
    <t>Life Enrichment: Animal Tracks</t>
  </si>
  <si>
    <t>Thursday 2:30-5 pm</t>
  </si>
  <si>
    <t>Kelton Tours/History Tour</t>
  </si>
  <si>
    <t>Thursday 11:30-1 pm</t>
  </si>
  <si>
    <t>Antiquity Center Lagrange/Guided Tour</t>
  </si>
  <si>
    <t>Special guided tour</t>
  </si>
  <si>
    <t>Indirect revenue found by calculating 20% of active booked revenue.</t>
  </si>
  <si>
    <t>Mini golf tournament</t>
  </si>
  <si>
    <t>April 2014 Programs in Georgia State Parks &amp; Historic Sites -   40 sites offered programs this month</t>
  </si>
  <si>
    <t>May 2014 Programs in Georgia State Parks &amp; Historic Sites -   40 sites offered programs this month</t>
  </si>
  <si>
    <t>Dining Hall - other revenue</t>
  </si>
  <si>
    <t>Other revenue - canoe rentals.  Guests had to complete 5 of 9 different activities to be considered in a drawing at the end of the month for two nights camping. Borrowed equipment from IDGA. Locals and campers participated especially the first week (Spring Break).</t>
  </si>
  <si>
    <t>Donation - other</t>
  </si>
  <si>
    <t>Saturday, 10am-noon</t>
  </si>
  <si>
    <t>Nature Craft Program</t>
  </si>
  <si>
    <t>made owl with nature materials</t>
  </si>
  <si>
    <t>Saturday, 8pm-9pm</t>
  </si>
  <si>
    <t>Campfire with marshamallow, songs &amp; game</t>
  </si>
  <si>
    <t>Sunday, 10am-11am</t>
  </si>
  <si>
    <t>A nature hike on the 3-mile trail</t>
  </si>
  <si>
    <t>Monday, 10:30-11:45 am</t>
  </si>
  <si>
    <t>Canoe &amp; hike the Rock Dam Trail</t>
  </si>
  <si>
    <t>Wednesday 9-5</t>
  </si>
  <si>
    <t>Brief introductiuon to the site based on the diarama</t>
  </si>
  <si>
    <t>various staff</t>
  </si>
  <si>
    <t>Saturday 1:30</t>
  </si>
  <si>
    <t>Tools and weapons programs</t>
  </si>
  <si>
    <t>Demonstration of primitive tools and weapons</t>
  </si>
  <si>
    <t>Tour of the museum and artifacts</t>
  </si>
  <si>
    <t>introduction to the site and museum</t>
  </si>
  <si>
    <t>thursday</t>
  </si>
  <si>
    <t>clerks do site intro when interpretive ranger is conducting jr. ranger program or other programs.</t>
  </si>
  <si>
    <t>Bethel UMC</t>
  </si>
  <si>
    <t>Clerks didn't write down retail sold.</t>
  </si>
  <si>
    <t>Friday, 3:00 p.m.</t>
  </si>
  <si>
    <t>Meeting of park advocacy group</t>
  </si>
  <si>
    <t>Robinson Elementary</t>
  </si>
  <si>
    <t>Camouflage game, Scoop on Salamanders</t>
  </si>
  <si>
    <t>Saturday 3:00 p.m.</t>
  </si>
  <si>
    <t>Open tour of park</t>
  </si>
  <si>
    <t>Hardman Wildflower Walk</t>
  </si>
  <si>
    <t>Guided interpretive wildflower walk around Hardman Farm</t>
  </si>
  <si>
    <t>Kids invited to fish at Buck Shoals</t>
  </si>
  <si>
    <t>Interpretive Ranger guides visitors around Hardman Farm Historic Site</t>
  </si>
  <si>
    <t>Toccoa Elementary</t>
  </si>
  <si>
    <t>Bear ecology, stream exploration, archery</t>
  </si>
  <si>
    <t>Woodville Elementary</t>
  </si>
  <si>
    <t>Stream exploration, orienteering math</t>
  </si>
  <si>
    <t>S.Habersham Middle Schoo</t>
  </si>
  <si>
    <t>Stream Exploration, Archery, Mystery Herbs, Fishing is Fun</t>
  </si>
  <si>
    <t>Lumpkin County Elementary</t>
  </si>
  <si>
    <t>Stream Exploration, Archery, Oh Deer</t>
  </si>
  <si>
    <t>Sunshine House Childcare/ Jr Rangers 1</t>
  </si>
  <si>
    <t>Part-time Interpretive Staff. Assistant Manager, 1 volunteer</t>
  </si>
  <si>
    <t>Sugar Hill Christain Academy</t>
  </si>
  <si>
    <t>Stream Exploration, Oh Deer</t>
  </si>
  <si>
    <t>Chattahoochee Christain School</t>
  </si>
  <si>
    <t>Archery, Pond Ecology, Fishing is Fun</t>
  </si>
  <si>
    <t>Wednesday,9:30-2 pm</t>
  </si>
  <si>
    <t>Canoe &amp; Rock Dam Hike</t>
  </si>
  <si>
    <t>friends support</t>
  </si>
  <si>
    <t>Panola Way Elementary</t>
  </si>
  <si>
    <t>Pond Ecology, Bear Ecology</t>
  </si>
  <si>
    <t>Carnesville Elementary</t>
  </si>
  <si>
    <t>Stream Exploration, Archery, Orienteering Math</t>
  </si>
  <si>
    <t>Cornelia Elementary</t>
  </si>
  <si>
    <t>Animal Adaptations, Native Americans, How Many Bears</t>
  </si>
  <si>
    <t>Lumpkin County Middle School</t>
  </si>
  <si>
    <t>Animal Adaptations, Dress a Beaver</t>
  </si>
  <si>
    <t>Cyber Academy</t>
  </si>
  <si>
    <t>Stream Ecology, Compass Games,Oh Deer</t>
  </si>
  <si>
    <t>White County Middle School</t>
  </si>
  <si>
    <t>Habersham Central High School</t>
  </si>
  <si>
    <t>Mossy Creek Elementary</t>
  </si>
  <si>
    <t>Creepy Crawlies</t>
  </si>
  <si>
    <t>North Habersham Middle School</t>
  </si>
  <si>
    <t>Saturday 6:00 p.m.</t>
  </si>
  <si>
    <t>Blue Ridge Mtn. Chapter of Trout Unlimited</t>
  </si>
  <si>
    <t>Stream Ecology</t>
  </si>
  <si>
    <t>Jones Middle School</t>
  </si>
  <si>
    <t>Chestatee Academy</t>
  </si>
  <si>
    <t>Dichotomous Keys</t>
  </si>
  <si>
    <t>Union County Primary</t>
  </si>
  <si>
    <t>Survey of Vertebrates</t>
  </si>
  <si>
    <t>Summerour Middle School</t>
  </si>
  <si>
    <t>Wilbanks Middle School</t>
  </si>
  <si>
    <t>Atlanta Fly Fishing Club</t>
  </si>
  <si>
    <t>Stream Ecology, Stream Entomology</t>
  </si>
  <si>
    <t>Cottage Guests</t>
  </si>
  <si>
    <t>Friday, June 13, 10 a.m.</t>
  </si>
  <si>
    <t>St. Thomas Missionary Chruch Camp</t>
  </si>
  <si>
    <t>Animal Displays</t>
  </si>
  <si>
    <t>Friday, June 13 10;30 a.m.</t>
  </si>
  <si>
    <t>Church Summer Camp</t>
  </si>
  <si>
    <t>Trail Hike</t>
  </si>
  <si>
    <t>Sunshine House Childcare Ages 4-5 / Lake Ecology</t>
  </si>
  <si>
    <t>shared turtle, crawdad fish, nature hike, fish craft</t>
  </si>
  <si>
    <t>Jr Ranger Camp day 1</t>
  </si>
  <si>
    <t>Interpretive Ranger, Staff, and volunteers</t>
  </si>
  <si>
    <t>Program cost covered by Friends chapter</t>
  </si>
  <si>
    <t>Thursday  10am - 4pm</t>
  </si>
  <si>
    <t>Jr Ranger Camp day 2</t>
  </si>
  <si>
    <t>Hike, crafts, and work on jr ranger requirements</t>
  </si>
  <si>
    <t>Interpretive ranger and volunteers</t>
  </si>
  <si>
    <t>Friends covered programing cost
Sales were mostly drinks</t>
  </si>
  <si>
    <t>Jr Ranger Camp day 3</t>
  </si>
  <si>
    <t>Hike, water program, games, and crafts</t>
  </si>
  <si>
    <t>Friends covered the programing material costs
Parentys bought souveniers the last day
Lacked volunteer help on Friday</t>
  </si>
  <si>
    <t>Being prepared on the trail</t>
  </si>
  <si>
    <t>What you need need while hiking and camping, what to wear, and why</t>
  </si>
  <si>
    <t>Friday programs just don't seem to bring people</t>
  </si>
  <si>
    <t>Leave No Trace</t>
  </si>
  <si>
    <t>Making sure you are leaving no trace while hiking or camping</t>
  </si>
  <si>
    <t>Saturday 8am - 5pm (all day)</t>
  </si>
  <si>
    <t>Scavenger Hunt!</t>
  </si>
  <si>
    <t>Scavenger hunt around the park trails</t>
  </si>
  <si>
    <t>Over all a great program for people to look around the park on their own, but also get a reward for completing.</t>
  </si>
  <si>
    <t>Friday, 10-12 a.m.</t>
  </si>
  <si>
    <t>Oakbrook Scavenger Hunt</t>
  </si>
  <si>
    <t>Nature Sense Scavenger hike</t>
  </si>
  <si>
    <t>Friday, 6:30 - 8 p.m.</t>
  </si>
  <si>
    <t>Saturday, 7:30 - 9 p.m.</t>
  </si>
  <si>
    <t>Friday, 8:30 - 10:30 p.m.</t>
  </si>
  <si>
    <t>Sunday 7:30 - 9 p.m.</t>
  </si>
  <si>
    <t>Fathers Day Paddle</t>
  </si>
  <si>
    <t>Saturday, 2 - 4 p.m.</t>
  </si>
  <si>
    <t>Sr. Fishing Rodeo</t>
  </si>
  <si>
    <t>Sr. Participants competed in a catfish tournament</t>
  </si>
  <si>
    <t>Saturday, 8 - 12 noon</t>
  </si>
  <si>
    <t>Kids fishing tournament for 15 yrs and under</t>
  </si>
  <si>
    <t>Mon - Fri 9-12 noon</t>
  </si>
  <si>
    <t>Touchin Taliaferro with Love</t>
  </si>
  <si>
    <t>LE, nature walk, musket firing, fishing hayride for local day camp</t>
  </si>
  <si>
    <t>Monday, Wednesday, Friday 9:00-10:00</t>
  </si>
  <si>
    <t>Morning Yoga in the Park</t>
  </si>
  <si>
    <t>Morning Yoga in the Park with Yoga instructor</t>
  </si>
  <si>
    <t>Monday -Thursday 10-4pm</t>
  </si>
  <si>
    <t>Junior Ranger Camps</t>
  </si>
  <si>
    <t>Junior ranger camp</t>
  </si>
  <si>
    <t>Saturday, 7-9:30 p.m.</t>
  </si>
  <si>
    <t>Summer Beach Party</t>
  </si>
  <si>
    <t>Volleyball, games and paddle board demos &amp; rentals</t>
  </si>
  <si>
    <t>New event.  Next year start earlier &amp; food vendor</t>
  </si>
  <si>
    <t>Saturday, 8:30-10 am</t>
  </si>
  <si>
    <t>Fly Fishing</t>
  </si>
  <si>
    <t>demo on fly fishing</t>
  </si>
  <si>
    <t>Life Enrichment/ Owl Kites</t>
  </si>
  <si>
    <t>learned about owls then created an owl kite</t>
  </si>
  <si>
    <t>Weekly program for disabled adults.</t>
  </si>
  <si>
    <t>Weekly program:  Fishing, pedal boats, Jr Ranger, exercise.</t>
  </si>
  <si>
    <t>Jr. Ranger Level 1</t>
  </si>
  <si>
    <t>Beginner Jr. Ranger program</t>
  </si>
  <si>
    <t>Day of a special event before the event started...</t>
  </si>
  <si>
    <t>Site inro</t>
  </si>
  <si>
    <t>Interpretive Ranger walks around the site to talk with guests and answer questions</t>
  </si>
  <si>
    <t>Numbers were low due to heat outside....
but everyone bought drinks in the gift shop</t>
  </si>
  <si>
    <t>Saturday  9:30am</t>
  </si>
  <si>
    <t>Hike around the site giving historical interpretation</t>
  </si>
  <si>
    <t>Saturday 10:30am</t>
  </si>
  <si>
    <t>River Walk Nature Hike</t>
  </si>
  <si>
    <t>Hike along the river to look at turtles, tree identification, flowers, etc</t>
  </si>
  <si>
    <t>Slow morning - slow day.The attendance for the whole day was low.</t>
  </si>
  <si>
    <t>Saturday  2:00- 4:00</t>
  </si>
  <si>
    <t>Tools and Weapons Demonstration</t>
  </si>
  <si>
    <t>Brief introduction to the site based on the diarama</t>
  </si>
  <si>
    <t>Saturday 4:00</t>
  </si>
  <si>
    <t>Archaeology and preservation discussion</t>
  </si>
  <si>
    <t>Discussion of why it's important to preserve an archaeological site</t>
  </si>
  <si>
    <t>Saturday 9-4:30</t>
  </si>
  <si>
    <t>Kids get to dig in boxes filled with dirt to look for faux artifacts (hobbylobby craft stuff)</t>
  </si>
  <si>
    <t>some parents don't like this activity because the restrooms are not right there.</t>
  </si>
  <si>
    <t>Wednesday  9:30</t>
  </si>
  <si>
    <t>Walking tour of the site</t>
  </si>
  <si>
    <t>Walk along the nature trail to learn about river habitat and see things</t>
  </si>
  <si>
    <t>Wednesday 12:30</t>
  </si>
  <si>
    <t>Tools and weapons demonstration</t>
  </si>
  <si>
    <t>demonstration of primative tools and weapons</t>
  </si>
  <si>
    <t>Wednesday 3:00</t>
  </si>
  <si>
    <t>Did boxes</t>
  </si>
  <si>
    <t>kids dig to learn about archaeology</t>
  </si>
  <si>
    <t>The guest was more interested in having his artifact looked at than walking on a tour.</t>
  </si>
  <si>
    <t>Tree id and turtle watching on a nature hike</t>
  </si>
  <si>
    <t>Demonstration of tools and weapons</t>
  </si>
  <si>
    <t>mostly drinks purchased</t>
  </si>
  <si>
    <t>Dig boxes</t>
  </si>
  <si>
    <t>Kids learn about archaeology while digging</t>
  </si>
  <si>
    <t>Greenbriar Daycare/Jr. Rangers #1</t>
  </si>
  <si>
    <t>wildlife trivia, hike, seine the lake, craft &amp; water games</t>
  </si>
  <si>
    <t>Cherokee Academy</t>
  </si>
  <si>
    <t>Site tour, film, and tools and weapons show</t>
  </si>
  <si>
    <t>no resale</t>
  </si>
  <si>
    <t>Friday 10:15</t>
  </si>
  <si>
    <t>Bartow co. parks and Recreation</t>
  </si>
  <si>
    <t>tools and weapons demonstration, film, and tour</t>
  </si>
  <si>
    <t>Saturday 10:30</t>
  </si>
  <si>
    <t>Self guided,site intro</t>
  </si>
  <si>
    <t>They didn't want a program, just the group discount. They watched the film and looked at artifacts in the museum. Only a few went outside.</t>
  </si>
  <si>
    <t>Wednesday 11:00</t>
  </si>
  <si>
    <t>Dunwoody Christian Academy</t>
  </si>
  <si>
    <t>site tour, film, and tools and weapons show</t>
  </si>
  <si>
    <t>ThaiKwanDo education</t>
  </si>
  <si>
    <t>Film, Museum, and tools and weapons show</t>
  </si>
  <si>
    <t>Tomorrows child</t>
  </si>
  <si>
    <t>Film and Tour</t>
  </si>
  <si>
    <t>Thursday,10am-12</t>
  </si>
  <si>
    <t>Ranger led tour of Jarrell Plantation</t>
  </si>
  <si>
    <t>full site tour</t>
  </si>
  <si>
    <t>Peaceful Learning Center, Eatonton</t>
  </si>
  <si>
    <t>Thursday,9:30-11:30a</t>
  </si>
  <si>
    <t>Monroe county 4-H</t>
  </si>
  <si>
    <t>Thursday,11am</t>
  </si>
  <si>
    <t>Kids world of Peace, Eatonton</t>
  </si>
  <si>
    <t>Saturday 10a-noon</t>
  </si>
  <si>
    <t>Quilting Bee</t>
  </si>
  <si>
    <t>Handquilting demonstration on large frame</t>
  </si>
  <si>
    <t>Saturday 12-3</t>
  </si>
  <si>
    <t>Kids dig to learn about excavation</t>
  </si>
  <si>
    <t>tour of the mounds</t>
  </si>
  <si>
    <t>No one showed up for this tour</t>
  </si>
  <si>
    <t>Friday 10:30am</t>
  </si>
  <si>
    <t>Hike along reiverside nature trail</t>
  </si>
  <si>
    <t>low attendance all day</t>
  </si>
  <si>
    <t>Friday 12:30</t>
  </si>
  <si>
    <t>Tools and Weapons show</t>
  </si>
  <si>
    <t>Friday 9-4:30</t>
  </si>
  <si>
    <t>Kids learn about archaeology through digging</t>
  </si>
  <si>
    <t>thia Kwan Do Education</t>
  </si>
  <si>
    <t>Film, Weapons program, and self guided tour</t>
  </si>
  <si>
    <t>Library passes were used for several guests
no resale purchases</t>
  </si>
  <si>
    <t>Saturday 10:00AM</t>
  </si>
  <si>
    <t>National Trails Day Sandpiper Trail Hike</t>
  </si>
  <si>
    <t>Celebrate a nation-wide hiking event by taking a guided hike of our Sandpiper Trail. This hike will be about a mile long and last around an hour.</t>
  </si>
  <si>
    <t>Saturday 4:00PM</t>
  </si>
  <si>
    <t>Ever come across an animal skull and wonder what it is you're seeing? Come learn how to identify different skulls!</t>
  </si>
  <si>
    <t>Wednesday 4:00PM</t>
  </si>
  <si>
    <t>Learn the history and inhabitants of the GA barrier islands.</t>
  </si>
  <si>
    <t>Todder</t>
  </si>
  <si>
    <t>Meet and greet fellow park visitors as you make crafts from everyday household items</t>
  </si>
  <si>
    <t>Friday 5:00PM</t>
  </si>
  <si>
    <t>Friday 8:30PM</t>
  </si>
  <si>
    <t>Get Outdoors Day with our Fitness Trail</t>
  </si>
  <si>
    <t>Kids! Come out and leap like a grasshopper and run like a deer. We will be going on a short fitness hike. Be sure to bring plenty of water and your tennis shoes.</t>
  </si>
  <si>
    <t>Learn the basics about local bird varieties as we gaze upon our feeding stations</t>
  </si>
  <si>
    <t>Join a park ranger for a guided hike, showcasing some of the parks natural and historical features along the trail.</t>
  </si>
  <si>
    <t>thursday @10:00 a.m.</t>
  </si>
  <si>
    <t>Unitarian Youth Group</t>
  </si>
  <si>
    <t>Interp Printing in Printshop</t>
  </si>
  <si>
    <t>Join us for an informative morning bird hike. Bring binoculars or borrow limited pairs from the museum.</t>
  </si>
  <si>
    <t>Thursday-Saturday</t>
  </si>
  <si>
    <t>Printshop Demonstrations</t>
  </si>
  <si>
    <t>Interpretive tour of printing operations</t>
  </si>
  <si>
    <t>Printshop &amp; demonstrations open thursday-saturday by volunteer in Friends group.</t>
  </si>
  <si>
    <t>Mon-Fri 9am-5pm</t>
  </si>
  <si>
    <t>Junior Ranger Camp (week 1)</t>
  </si>
  <si>
    <t>Junior Ranger Camp (week 2)</t>
  </si>
  <si>
    <t>Saturday 6:30PM</t>
  </si>
  <si>
    <t>Salt Marsh Trail Hike</t>
  </si>
  <si>
    <t>Saturday 7:30PM</t>
  </si>
  <si>
    <t>Take a guided tour of our interpretive center museum, learn about the natives, settlers, and local flora and fauna.</t>
  </si>
  <si>
    <t>Wednesday 10:00AM</t>
  </si>
  <si>
    <t>Learning Treehouse</t>
  </si>
  <si>
    <t>Fun Forest Sloughs - teach about water cycle on Georgia's barrier islands</t>
  </si>
  <si>
    <t>Monday 10:30AM</t>
  </si>
  <si>
    <t>In His Arms Daycare</t>
  </si>
  <si>
    <t>Fossils: Our Link to the Past - learn about fossils and the prehistoric life that once flourished on the island</t>
  </si>
  <si>
    <t>Wednesday 10:30AM</t>
  </si>
  <si>
    <t>Girl Scouts</t>
  </si>
  <si>
    <t>Reptile show - come and learn about the different types of reptiles</t>
  </si>
  <si>
    <t>SCCPSS Pre-K Summer</t>
  </si>
  <si>
    <t>Reptiles and amphibians - come and learn about frogs and lizards!</t>
  </si>
  <si>
    <t>Monday, 9-4</t>
  </si>
  <si>
    <t>Georgia Master Naturalist</t>
  </si>
  <si>
    <t>Certificate series</t>
  </si>
  <si>
    <t>Saturday, 10-2</t>
  </si>
  <si>
    <t>Kids Day at the Park</t>
  </si>
  <si>
    <t>Festival promoting healthy outdoor lifestyle</t>
  </si>
  <si>
    <t>Multiple - volunteers, interpretive staff, local non-profits</t>
  </si>
  <si>
    <t>Interpretive staff, paid presenters, DNR staff</t>
  </si>
  <si>
    <t>Multiple</t>
  </si>
  <si>
    <t>Monday, 8-3</t>
  </si>
  <si>
    <t>Certificate series - Birding and Geology</t>
  </si>
  <si>
    <t>DNR staff and paid</t>
  </si>
  <si>
    <t>Monday, 9-3</t>
  </si>
  <si>
    <t>Buzz on Bees, Bugs, and Birds</t>
  </si>
  <si>
    <t>Day camp about pollinators</t>
  </si>
  <si>
    <t>Interpretive staff, paid presenter, intern</t>
  </si>
  <si>
    <t>Tuesday, 9-3</t>
  </si>
  <si>
    <t>Wednesday, 9-3</t>
  </si>
  <si>
    <t>Thursday, 9-3</t>
  </si>
  <si>
    <t>Friday, 9-3</t>
  </si>
  <si>
    <t>Friday, 3-4:30</t>
  </si>
  <si>
    <t>Public meeting of the park's advocacy group</t>
  </si>
  <si>
    <t>Saturday, 10-11:30</t>
  </si>
  <si>
    <t>Visitors receive a tour of the Visitor Center and park by van</t>
  </si>
  <si>
    <t>Saturday, 8-10 p.m.</t>
  </si>
  <si>
    <t>Hike to the wetland loop to view amphibians</t>
  </si>
  <si>
    <t>summer intern</t>
  </si>
  <si>
    <t>Saturday, 8-12</t>
  </si>
  <si>
    <t>Youth Fishing Day at Buck Shoals</t>
  </si>
  <si>
    <t>Youth can fish and keep their catch!</t>
  </si>
  <si>
    <t>Union Co. Middle - Snakes</t>
  </si>
  <si>
    <t>Show and tell of reptile adaptive features, morphology and safety</t>
  </si>
  <si>
    <t>Union Co. Middle - Animal Adaptations</t>
  </si>
  <si>
    <t>Adaptive features of mammals of Georgia</t>
  </si>
  <si>
    <t>Rabun Co. Library - Snakes</t>
  </si>
  <si>
    <t>Reptile description and show and tell</t>
  </si>
  <si>
    <t>White Co. Library - Dress a Beaver</t>
  </si>
  <si>
    <t>Demonstrate beaver adaptations with a costume</t>
  </si>
  <si>
    <t>Union Co. Elementary Summer Camp</t>
  </si>
  <si>
    <t>Auburn Public Library - Snakes Alive</t>
  </si>
  <si>
    <t>Description and show and tell of reptiles</t>
  </si>
  <si>
    <t>Clarkesville Library - Dress a Beaver</t>
  </si>
  <si>
    <t>Beaver adaptations are demonstrated with a costume</t>
  </si>
  <si>
    <t>Sugar Hill Christian Academy - Snakes</t>
  </si>
  <si>
    <t>21st Century - Bear, Wilderness Survival</t>
  </si>
  <si>
    <t>Bear ecology and Survival practice</t>
  </si>
  <si>
    <t>21st Century - Stream, archery</t>
  </si>
  <si>
    <t>Seining to demonstrate water quality and archery instruction</t>
  </si>
  <si>
    <t>21st Century - Camoflage, Birds &amp; Worms, Oh Deer</t>
  </si>
  <si>
    <t>Games Demonstrating camoflage and limiting factors</t>
  </si>
  <si>
    <t>The Goddard School - Stream, Animal Adaptations</t>
  </si>
  <si>
    <t>Water quality through stream sampling of macros and adaptive features of mammals</t>
  </si>
  <si>
    <t>The Goddard School - Animal Adapts, Biology Bingo</t>
  </si>
  <si>
    <t>Rabun TU Kids Camp - Stream survey</t>
  </si>
  <si>
    <t>Stream studies</t>
  </si>
  <si>
    <t>Adrenaline Climbing - How Many Bears</t>
  </si>
  <si>
    <t>Game showing how bear populations are limited</t>
  </si>
  <si>
    <t>Introduction to the park</t>
  </si>
  <si>
    <t>Historical and cultural features of 18th century farm</t>
  </si>
  <si>
    <t>Tuesday - Thursday</t>
  </si>
  <si>
    <t>Hard Labor Creek Jr Ranger Camp</t>
  </si>
  <si>
    <t>Saturday 8:30 - 10:30 p.m</t>
  </si>
  <si>
    <t>March 2014</t>
  </si>
  <si>
    <t>Daily 10-3</t>
  </si>
  <si>
    <t>Guided Tours of interpretive trail</t>
  </si>
  <si>
    <t>Tours are becoming very popular!</t>
  </si>
  <si>
    <t>By request</t>
  </si>
  <si>
    <t>Golf Cart tour by request</t>
  </si>
  <si>
    <t>Remember the Removal Bike Ride 2014</t>
  </si>
  <si>
    <t>Cherokee bike riders retrace the Trail of Tears from New Echota, GA to Tahlequah, OK</t>
  </si>
  <si>
    <t>Tues - Sat, 9-12</t>
  </si>
  <si>
    <t>Junior Ranger Camp-crafts, games, snacks, guest, lectures, awards and parent's day</t>
  </si>
  <si>
    <t>Tues, 10-1</t>
  </si>
  <si>
    <t>bryan county summer camp</t>
  </si>
  <si>
    <t>film, museum, musket, soldier, games and dance</t>
  </si>
  <si>
    <t>Saturday, 6:30 pm- 9</t>
  </si>
  <si>
    <t>Camp Cooking</t>
  </si>
  <si>
    <t>Various ways to cook on a campfire</t>
  </si>
  <si>
    <t>Freinds of Mistletoe 9 volunteers</t>
  </si>
  <si>
    <t>Life Enrichment/ Recycle Beads</t>
  </si>
  <si>
    <t>Recycled paper into beads created a necklace</t>
  </si>
  <si>
    <t>Tuesday 8-12 p.m.</t>
  </si>
  <si>
    <t>JR Ranger camp</t>
  </si>
  <si>
    <t>Fishing, Hiking, live animal</t>
  </si>
  <si>
    <t>STEM Camp</t>
  </si>
  <si>
    <t>plankton studt</t>
  </si>
  <si>
    <t>Friday 6:00 PM</t>
  </si>
  <si>
    <t>rained</t>
  </si>
  <si>
    <t>9:00 A.M.</t>
  </si>
  <si>
    <t>Saturday, 9:30 - 11:00 AM</t>
  </si>
  <si>
    <t>Saturday, 7:00 - 8:00 PM</t>
  </si>
  <si>
    <t>Wednesday, 9:00 AM - 4:00 PM</t>
  </si>
  <si>
    <t>adventure camp</t>
  </si>
  <si>
    <t>Saturday, 8:00 - 9:00 PM</t>
  </si>
  <si>
    <t>Camp</t>
  </si>
  <si>
    <t>Friday, 9-12 PM</t>
  </si>
  <si>
    <t>Leisure time</t>
  </si>
  <si>
    <t>hike, adaptations, live animals</t>
  </si>
  <si>
    <t>Saturday, 9:00 - 1:00 PM</t>
  </si>
  <si>
    <t>Macro Photography</t>
  </si>
  <si>
    <t>photography class</t>
  </si>
  <si>
    <t>Randall</t>
  </si>
  <si>
    <t>Saturday, 4 - 7 PM</t>
  </si>
  <si>
    <t>Susan Hardison birthday package</t>
  </si>
  <si>
    <t>Monday 12:30-2:30 PM</t>
  </si>
  <si>
    <t>Reaching Milestones</t>
  </si>
  <si>
    <t>Hike, Live animals</t>
  </si>
  <si>
    <t>Friday, 2-4pm</t>
  </si>
  <si>
    <t>Catching Dream</t>
  </si>
  <si>
    <t>Archery for Beginners</t>
  </si>
  <si>
    <t>Archery lesson led by Ranger Michael</t>
  </si>
  <si>
    <t>Teaching natural history of snakes and turtles</t>
  </si>
  <si>
    <t>Friday, 10am-3pm</t>
  </si>
  <si>
    <t>Back to the Future</t>
  </si>
  <si>
    <t>Living history with hands on experience</t>
  </si>
  <si>
    <t>Museum coordinator</t>
  </si>
  <si>
    <t>Saturday &amp; Sunday, 10am-4:30pm</t>
  </si>
  <si>
    <t>Cultural history interpretation to introduce the pioneer living</t>
  </si>
  <si>
    <t>Museum Coordinator</t>
  </si>
  <si>
    <t>All month</t>
  </si>
  <si>
    <t>Get Outdoors BINGO</t>
  </si>
  <si>
    <t>Activity list for recreation</t>
  </si>
  <si>
    <t>Mon., Tues., Wed., June 3-5, 9am-2pm</t>
  </si>
  <si>
    <t>Junior Ranger Camp (6-8 year olds)</t>
  </si>
  <si>
    <t>Hiking, crafts, live animals, etc</t>
  </si>
  <si>
    <t>Interpretive Ranger, Intern, Volunteers</t>
  </si>
  <si>
    <t>Tues., Wed., Thurs., June 17-19, 9am-2pm</t>
  </si>
  <si>
    <t>Junior Ranger Camp (9-12 year olds)</t>
  </si>
  <si>
    <t>Hiking, boating, living animals, crafts, etc</t>
  </si>
  <si>
    <t>Saturday, June 7,14,21, and 28, 8-9:30 pm</t>
  </si>
  <si>
    <t>Live Bluegrass Concert</t>
  </si>
  <si>
    <t>Musicians</t>
  </si>
  <si>
    <t>Saturday, June 28, 6-8 PM</t>
  </si>
  <si>
    <t>Evening Kayaking</t>
  </si>
  <si>
    <t>Kayaking tour in coves of Lake Allatoona</t>
  </si>
  <si>
    <t>Friday, June 20, 9-10:30 pm</t>
  </si>
  <si>
    <t>1.5 mile night hike</t>
  </si>
  <si>
    <t>Talk with guests about park, natural and historical resources</t>
  </si>
  <si>
    <t>Saturday, June 7, 8-10 am</t>
  </si>
  <si>
    <t>Natl Trails Day Hike</t>
  </si>
  <si>
    <t>3.5 mile hike on Sweetgum Trail</t>
  </si>
  <si>
    <t>Monday, June 9, 9:30-11:30 am</t>
  </si>
  <si>
    <t>Fayette Co. 4H/Nature Hike w/ birding and tree ID</t>
  </si>
  <si>
    <t>2 mile hike using dichotomous key and identifying birds</t>
  </si>
  <si>
    <t>Monday, June 16, 10-11 am</t>
  </si>
  <si>
    <t>Escalade Rock Climbing Gym/Animal Encounter</t>
  </si>
  <si>
    <t>Friday, June 20, 10am-12pm</t>
  </si>
  <si>
    <t>Atlanta Budokan/Animal encounter and hike</t>
  </si>
  <si>
    <t>Live animals with snakes and turtles and 1-mile nature hike</t>
  </si>
  <si>
    <t>Wednesday, 3-4:30pm</t>
  </si>
  <si>
    <t>Made owls using pine cones</t>
  </si>
  <si>
    <t>The flatrocks are a rough environment with rare vegetation</t>
  </si>
  <si>
    <t>I don't know why we did not have anyone for this hike</t>
  </si>
  <si>
    <t>Saturday, 2-3pm</t>
  </si>
  <si>
    <t>Batty Crafting</t>
  </si>
  <si>
    <t>Learn about these flying mammals while we're doing some bat crafts</t>
  </si>
  <si>
    <t>Pinterest is a great place to find craft ideas. Thanks Macaroni Kid for advertising the park's programs!</t>
  </si>
  <si>
    <t>Friday, 7:30-9:00pm</t>
  </si>
  <si>
    <t>Campfire and the Night Life</t>
  </si>
  <si>
    <t>After roasting s'mores, learn about some night time critters</t>
  </si>
  <si>
    <t>These outside guest heard about it from Facebook. No campers came to this one</t>
  </si>
  <si>
    <t>Three Years Young</t>
  </si>
  <si>
    <t>CBSP is only three years old! Where we came from, and what we have planned for the future</t>
  </si>
  <si>
    <t>Croaky Crafts</t>
  </si>
  <si>
    <t>Learn about frogs and then make a frog craft</t>
  </si>
  <si>
    <t>Tues, Wed, Thurs 9-1pm</t>
  </si>
  <si>
    <t>Jr Ranger 1st badge Camp</t>
  </si>
  <si>
    <t>Sat, Sun 10am 2pm</t>
  </si>
  <si>
    <t>Yoga in the park</t>
  </si>
  <si>
    <t>saturday 8pm</t>
  </si>
  <si>
    <t>moonlight hike</t>
  </si>
  <si>
    <t>Saturday 1pm 3pm 5pm</t>
  </si>
  <si>
    <t>Intro Climb</t>
  </si>
  <si>
    <t>intro tree climb</t>
  </si>
  <si>
    <t>There is a living social promotion going that will be open for 6 months where climbers get a discount.</t>
  </si>
  <si>
    <t>friday evening</t>
  </si>
  <si>
    <t>Group Climb</t>
  </si>
  <si>
    <t>Birthday Party Climb</t>
  </si>
  <si>
    <t>Tues 630pm Thurs 10am</t>
  </si>
  <si>
    <t>Quitman Summer Program</t>
  </si>
  <si>
    <t>park staff</t>
  </si>
  <si>
    <t>Farm open house</t>
  </si>
  <si>
    <t>Monday-Thursday 9am - 2pm</t>
  </si>
  <si>
    <t>Outdoor adventure camp</t>
  </si>
  <si>
    <t>summer camp</t>
  </si>
  <si>
    <t>Introductions</t>
  </si>
  <si>
    <t>Site and film introductions</t>
  </si>
  <si>
    <t>Sun-Sat 9-5 pm</t>
  </si>
  <si>
    <t>Scavenger hunts through historic site</t>
  </si>
  <si>
    <t>Sunday 9 am to 2 pm</t>
  </si>
  <si>
    <t>150th Anniversary Battle of Picketts Mill</t>
  </si>
  <si>
    <t>Commemoration</t>
  </si>
  <si>
    <t>Thursday, 9:30 am to 1:30 pm</t>
  </si>
  <si>
    <t>Brookwood Training US Army Staff Ride</t>
  </si>
  <si>
    <t>Army Staff Ride</t>
  </si>
  <si>
    <t>New Hope Picketts Mill family stories and artifacts</t>
  </si>
  <si>
    <t>History id</t>
  </si>
  <si>
    <t>Steam Engine Exhibition</t>
  </si>
  <si>
    <t>Interpreter operated and explains stationary steam engine operation</t>
  </si>
  <si>
    <t>First time event</t>
  </si>
  <si>
    <t>July 2013</t>
  </si>
  <si>
    <t>Friday - Saturday</t>
  </si>
  <si>
    <t>4th of July Celebration</t>
  </si>
  <si>
    <t>holiday celebration</t>
  </si>
  <si>
    <t>low park attendance overall</t>
  </si>
  <si>
    <t>Tuesday, 10:30am</t>
  </si>
  <si>
    <t>Taylor's Tots</t>
  </si>
  <si>
    <t>Site video, fort tour, soldier talk, musket firing</t>
  </si>
  <si>
    <t>HHC Warrior Transition Battalion</t>
  </si>
  <si>
    <t>Tuesday, 9:30am</t>
  </si>
  <si>
    <t>Sunny Days</t>
  </si>
  <si>
    <t>Interactive presentation of colonial toys</t>
  </si>
  <si>
    <t>Tuesday, 1pm</t>
  </si>
  <si>
    <t>Deputy Commissioner Site Visit</t>
  </si>
  <si>
    <t>VIP tour and cannon firing demo for Deputy Commissioner Homer Bryson</t>
  </si>
  <si>
    <t>Wednesday, 10:30</t>
  </si>
  <si>
    <t>Methodist VBS Group</t>
  </si>
  <si>
    <t>Fort tour, soldier talk, musket firing demo</t>
  </si>
  <si>
    <t>Friday, 9:30</t>
  </si>
  <si>
    <t>CCGA Summer Camp</t>
  </si>
  <si>
    <t>Bryan County Summer Camp</t>
  </si>
  <si>
    <t>Soldier talk , musket firing</t>
  </si>
  <si>
    <t>Saturday, 8-12 pm</t>
  </si>
  <si>
    <t>kids fishing contest at Lake Laura Walker</t>
  </si>
  <si>
    <t>Friends of Laura S. Walker State Park President</t>
  </si>
  <si>
    <t>Kids were not having luck catching many fish.  Next year's date has been changed to the second Saturday of June due to many other rodeo's occurring on the same date as ours.  May look into finding an additional sponsor other than our Friends group.</t>
  </si>
  <si>
    <t>June 11-13, 8-12 p.m.</t>
  </si>
  <si>
    <t>outdoor activities for kids ages 9-12 to earn junior ranger badge</t>
  </si>
  <si>
    <t>Look into possibly lowering the cost next year to increase attendance.  Also, look into widening the age range of the camp or having 2 different camps in the summer with 2 different age groups.</t>
  </si>
  <si>
    <t>Monday-Friday, 8-12</t>
  </si>
  <si>
    <t>Hook a Kid on Golf Camp</t>
  </si>
  <si>
    <t>YMCA brings kids over to learn and practice how to golf</t>
  </si>
  <si>
    <t>Golf Course Manager/Office Manager at Golf Course</t>
  </si>
  <si>
    <t>YMCA organizes the camp and provides kids with clubs and bags and transports them to our golf course.  Once they arrive, our golf course pro and other volunteers help kids learn the game of golf and practice swings through fun activities.  Revenue to the park came from the meal cost for kids and volunteers ($4.50 each) at our grill at the golf course.</t>
  </si>
  <si>
    <t>Honey Bee Program</t>
  </si>
  <si>
    <t>Saturday, 4 p.m.</t>
  </si>
  <si>
    <t>Sunday, 9-11 p.m.</t>
  </si>
  <si>
    <t>Perimeter Hike</t>
  </si>
  <si>
    <t>Perimeter Trail Hike</t>
  </si>
  <si>
    <t>Friday, 9 p.m.</t>
  </si>
  <si>
    <t>Glow in the Dark Volleyball</t>
  </si>
  <si>
    <t>Volleyball Game</t>
  </si>
  <si>
    <t>Wine Bottle Hummingbird Feeder</t>
  </si>
  <si>
    <t>Craft</t>
  </si>
  <si>
    <t>Sensory Night Hike</t>
  </si>
  <si>
    <t>Sunday, 10 a.m.</t>
  </si>
  <si>
    <t>Victoria's Path Hike</t>
  </si>
  <si>
    <t>Monday- Friday, 9-4</t>
  </si>
  <si>
    <t>"Tears" Group/History tour</t>
  </si>
  <si>
    <t>Tuesday 1-3pm</t>
  </si>
  <si>
    <t>Keith Parks Tours/History Tour</t>
  </si>
  <si>
    <t>Friday 9:30-11:30 am</t>
  </si>
  <si>
    <t>Cousins Middle School/History Tour</t>
  </si>
  <si>
    <t>Tuesday 12:30-2:30pm</t>
  </si>
  <si>
    <t>Flint River Council Scouts/History Tour</t>
  </si>
  <si>
    <t>Richard B. Russell</t>
  </si>
  <si>
    <t>June 14 &amp; 15, 10-12</t>
  </si>
  <si>
    <t>Ranger lead hike</t>
  </si>
  <si>
    <t>June 28, 7-9</t>
  </si>
  <si>
    <t>Snakes alive</t>
  </si>
  <si>
    <t>Saturday, 11 AM - 1 PM</t>
  </si>
  <si>
    <t>Marble Mine Hike - National Trails Day</t>
  </si>
  <si>
    <t>Geology Walk</t>
  </si>
  <si>
    <t>Hike for National Trail's Day.</t>
  </si>
  <si>
    <t>Monday, June 23, 10 am-noon</t>
  </si>
  <si>
    <t>Little People's Corner Daycare/Animal Encounter and Nature Hike</t>
  </si>
  <si>
    <t>Live animal program with snake and turtles followed by 1 mile nature hike</t>
  </si>
  <si>
    <t>Friday, June 27, 10 am-noon</t>
  </si>
  <si>
    <t>Discovery Point/Animal Encounter and Nature Hike</t>
  </si>
  <si>
    <t>Live animal program with snakes and turtles followed by 1 mile hike</t>
  </si>
  <si>
    <t>Thursday, 10:30am-12:30pm</t>
  </si>
  <si>
    <t>LaPetite Academy/Nature&amp;History hike to mill</t>
  </si>
  <si>
    <t>mixed ages nature/history school age hike to the mill</t>
  </si>
  <si>
    <t>Friday, 7:30pm-9:30pm</t>
  </si>
  <si>
    <t>staff-led hike up eastridge in evening</t>
  </si>
  <si>
    <t>geologist-led hike</t>
  </si>
  <si>
    <t>Saturday,11am-12:30pm</t>
  </si>
  <si>
    <t>historian-led hike to and inside the New Manchester mill</t>
  </si>
  <si>
    <t>ranger-led paddle down Sweetwater Creek and tour inside mill</t>
  </si>
  <si>
    <t>Friday, June 27, 3-5 pm</t>
  </si>
  <si>
    <t>Vaughan Log Cabin Open House</t>
  </si>
  <si>
    <t>Opened Vaughan Log cabin and told visitors about its history and architecture</t>
  </si>
  <si>
    <t>Thursday, June 12, 9-11 am</t>
  </si>
  <si>
    <t>GO Day Promo at Wal Mart</t>
  </si>
  <si>
    <t>Brought snakes to Douglasville Wal Mart to promote state parks and GO Day</t>
  </si>
  <si>
    <t>Saturday, June 14, 9 am-3 pm</t>
  </si>
  <si>
    <t>GO Day at Sweetwater Creek/Imagination Playground</t>
  </si>
  <si>
    <t>Supervised Imagination Playground station</t>
  </si>
  <si>
    <t>Interpretive Ranger and two volunteers</t>
  </si>
  <si>
    <t>intoductory class to photography with an emphasis on composition</t>
  </si>
  <si>
    <t>GSU prof Nancy Floyd</t>
  </si>
  <si>
    <t>Sunday,4pm-5:30pm</t>
  </si>
  <si>
    <t>For Women by Women:Introduction to Kayaking</t>
  </si>
  <si>
    <t>introduction to kayaking for women</t>
  </si>
  <si>
    <t>Wildlife discovery</t>
  </si>
  <si>
    <t>sat 10-1pm</t>
  </si>
  <si>
    <t>Child of confed</t>
  </si>
  <si>
    <t>tue 10-12pm</t>
  </si>
  <si>
    <t>LDS church</t>
  </si>
  <si>
    <t>ft hist nature walk</t>
  </si>
  <si>
    <t>thur 9-11pm</t>
  </si>
  <si>
    <t>leadership/demo/hist of ft</t>
  </si>
  <si>
    <t>natural hist</t>
  </si>
  <si>
    <t>natives and new comers</t>
  </si>
  <si>
    <t>hist of european contact</t>
  </si>
  <si>
    <t>mon-fri 9-2pm</t>
  </si>
  <si>
    <t>jr rgr camp</t>
  </si>
  <si>
    <t>day camp</t>
  </si>
  <si>
    <t>burning of darien</t>
  </si>
  <si>
    <t>cw hist</t>
  </si>
  <si>
    <t>all day</t>
  </si>
  <si>
    <t>cw hist/demo</t>
  </si>
  <si>
    <t>hist/ demo</t>
  </si>
  <si>
    <t>Meeting and inviting campers to programs.</t>
  </si>
  <si>
    <t>Wildlife scavenger hunt</t>
  </si>
  <si>
    <t>Georgia Owls and Craft</t>
  </si>
  <si>
    <t>Friday, 10-11:30am</t>
  </si>
  <si>
    <t>Water Safety</t>
  </si>
  <si>
    <t>How to be safe in boats and in the water</t>
  </si>
  <si>
    <t>Square Dancing at the Beach</t>
  </si>
  <si>
    <t>Demonstration and learn how to square dance</t>
  </si>
  <si>
    <t>Currahee Square Dancing Troop</t>
  </si>
  <si>
    <t>Music Series</t>
  </si>
  <si>
    <t>Bands</t>
  </si>
  <si>
    <t>Saturday, 6pm</t>
  </si>
  <si>
    <t>Owls and Craft</t>
  </si>
  <si>
    <t>Owl ID and sounds and craft</t>
  </si>
  <si>
    <t>Friday 8:30pm</t>
  </si>
  <si>
    <t>Basic Photography with Mark Harvell</t>
  </si>
  <si>
    <t>Photography 101</t>
  </si>
  <si>
    <t>Ssslithery Snakes with Don Burdick</t>
  </si>
  <si>
    <t>Snake ID and education</t>
  </si>
  <si>
    <t>Canoe Races</t>
  </si>
  <si>
    <t>canoe races</t>
  </si>
  <si>
    <t>Wednesday-Friday, 9am-3pm</t>
  </si>
  <si>
    <t>Jr. Ranger Day Camp ages 10-12</t>
  </si>
  <si>
    <t>Mushroom Hike</t>
  </si>
  <si>
    <t>Mushroom ID Hike</t>
  </si>
  <si>
    <t>Friday, 12pm</t>
  </si>
  <si>
    <t>Wildlife Rehibilitator</t>
  </si>
  <si>
    <t>Wildlife rehabilitation of opossums, rabbits, and fawns</t>
  </si>
  <si>
    <t>Saturday, 8-10 pm</t>
  </si>
  <si>
    <t>Sunset Hike on Nature Trail</t>
  </si>
  <si>
    <t>Lots of interest, however only 4 people attended plus one volunteer.  Place flyers in more locations outside the park such as the library for next hike.</t>
  </si>
  <si>
    <t>Wednesday, 3 pm</t>
  </si>
  <si>
    <t>Need to set a specific day and time and present it as a reoccurring event.</t>
  </si>
  <si>
    <t>Georgia Veterans</t>
  </si>
  <si>
    <t>Saturday 9-11am</t>
  </si>
  <si>
    <t>Kayak/Canoe Tour</t>
  </si>
  <si>
    <t>Two hour guided tour on the lake using kayaks and canoes</t>
  </si>
  <si>
    <t>Activities Coordinator</t>
  </si>
  <si>
    <t>Saturday 12pm</t>
  </si>
  <si>
    <t>Birdwatching</t>
  </si>
  <si>
    <t>Beginning Birdwatching</t>
  </si>
  <si>
    <t>Guided tour of our indoor history museum</t>
  </si>
  <si>
    <t>Activites Coordinator</t>
  </si>
  <si>
    <t>Sunday, June 27</t>
  </si>
  <si>
    <t>Fireworks, Elbert County Chamber</t>
  </si>
  <si>
    <t>$500 estimated (still awaiting final numbers from Chamber</t>
  </si>
  <si>
    <t>Entrance fee</t>
  </si>
  <si>
    <t>Fri 8:15-9:30PM</t>
  </si>
  <si>
    <t>Friday Night Frog Walk</t>
  </si>
  <si>
    <t>frog walk around Lake Franklin</t>
  </si>
  <si>
    <t>Fri 9-10AM</t>
  </si>
  <si>
    <t>bird walk meeting at the Fishing Dock</t>
  </si>
  <si>
    <t>Fri 7-9PM</t>
  </si>
  <si>
    <t>CCC Legacy Night on the Nountain</t>
  </si>
  <si>
    <t>Fundraiser Dinner w/ Speaker</t>
  </si>
  <si>
    <t>Volunteers, Outside Vol &amp; Manager</t>
  </si>
  <si>
    <t>Sat 9-11PM</t>
  </si>
  <si>
    <t>Movie on the Mountain: The Lego Movie</t>
  </si>
  <si>
    <t>drive in movie on ball field</t>
  </si>
  <si>
    <t>Manager, MIT, Vol worked</t>
  </si>
  <si>
    <t>Sat 10-11AM</t>
  </si>
  <si>
    <t>Live Music w/Randy &amp; Darlene Dameron</t>
  </si>
  <si>
    <t>sat 9:30-12</t>
  </si>
  <si>
    <t>Geology &amp; Natural Communities Walk &amp; Talk</t>
  </si>
  <si>
    <t>Geol /Plant Communities PowerPoint &amp; Hike</t>
  </si>
  <si>
    <t>Sat 8-9PM</t>
  </si>
  <si>
    <t>EarthQuest Birds Of Prey</t>
  </si>
  <si>
    <t>Free-flight raptors</t>
  </si>
  <si>
    <t>Sat 7-8PM</t>
  </si>
  <si>
    <t>Summer Solstice Primitive Skills Program</t>
  </si>
  <si>
    <t>look at cordage, baskets, weapons, daily lives of Native Americans w/ Ben Kirkland</t>
  </si>
  <si>
    <t>Star Light, Star Bright</t>
  </si>
  <si>
    <t>CSU/COca Cola Space Sci Center Presentation</t>
  </si>
  <si>
    <t>Sun 10-11AM</t>
  </si>
  <si>
    <t>Bug Olympics</t>
  </si>
  <si>
    <t>campground bug races &amp; cricket spitting</t>
  </si>
  <si>
    <t>Wed, Th, Fri 9-10AM</t>
  </si>
  <si>
    <t>Swimming Lessons</t>
  </si>
  <si>
    <t>swimming lessons</t>
  </si>
  <si>
    <t>M-F 8-5 p.m</t>
  </si>
  <si>
    <t>Tour of Museum and Video Presentation</t>
  </si>
  <si>
    <t>Wed, Thurs, Fri 8AM-2PM</t>
  </si>
  <si>
    <t>Jr. Ranger Explorer Camp</t>
  </si>
  <si>
    <t>Sat 10:30AM-12:30PM</t>
  </si>
  <si>
    <t>Farmers Market</t>
  </si>
  <si>
    <t>Open local Market on Ball field</t>
  </si>
  <si>
    <t>M-T 9-3 p.m</t>
  </si>
  <si>
    <t>Summer Camp for Kids</t>
  </si>
  <si>
    <t>Summer Naturalist</t>
  </si>
  <si>
    <t>Church Retreat Night Walk</t>
  </si>
  <si>
    <t>night walk at Group Camp</t>
  </si>
  <si>
    <t>Wednesday, 8-5p.m.</t>
  </si>
  <si>
    <t>Thurs 9:30Am-12:30</t>
  </si>
  <si>
    <t>ESTAR Camp Program</t>
  </si>
  <si>
    <t>walk &amp; wildlife program</t>
  </si>
  <si>
    <t>Sat 9-11AM</t>
  </si>
  <si>
    <t>Eagle Scout Flag Ceremony</t>
  </si>
  <si>
    <t>Eagle Scout Ceremony &amp; Flag Presentation</t>
  </si>
  <si>
    <t>Includes Money from friends Group
Swim Lesson money was put in May when they registered
Cost for only 1 movie
Ben Kirkland, CCC Food, Popcorn rental,Dance</t>
  </si>
  <si>
    <t>Friday 8-5</t>
  </si>
  <si>
    <t>Sunday, 7:30pm-9pm</t>
  </si>
  <si>
    <t>ranger-led evening paddle on  lake and up Beaver Creek</t>
  </si>
  <si>
    <t>Tursday,11-2:00 p.m.</t>
  </si>
  <si>
    <t>Center for Educational Adventures</t>
  </si>
  <si>
    <t>Tour of Reynolds Mansion including lunch</t>
  </si>
  <si>
    <t>WRD staff</t>
  </si>
  <si>
    <t>Sunday, 9:30am-11am</t>
  </si>
  <si>
    <t>Friday 9:30 am</t>
  </si>
  <si>
    <t>Fort Gorden</t>
  </si>
  <si>
    <t>hiked around the rim and stairs of the gorge</t>
  </si>
  <si>
    <t>Tuesday, Wednesday, Thursday &amp; Friday 11:00 am and 2:00 pm</t>
  </si>
  <si>
    <t>Journey Camp</t>
  </si>
  <si>
    <t>Hiked the gorge floor</t>
  </si>
  <si>
    <t>Tuesday, Wednesday, Thursday &amp; Friday 9:00 am</t>
  </si>
  <si>
    <t>Tuesday 1:00 pm</t>
  </si>
  <si>
    <t>Ryla Group</t>
  </si>
  <si>
    <t>led the kids on a hike down the stairs watched the movie and a snake program</t>
  </si>
  <si>
    <t>Friday 8:00pm Saturday 9:00 pm</t>
  </si>
  <si>
    <t>Saturday 10:30 am</t>
  </si>
  <si>
    <t>wednesday, june 12</t>
  </si>
  <si>
    <t>Unitarian Youth Church Group</t>
  </si>
  <si>
    <t>Ranger introduction to site and self-guide hike of grounds</t>
  </si>
  <si>
    <t>Wednesday, 10:30am -12:30am</t>
  </si>
  <si>
    <t>Camp Hornet</t>
  </si>
  <si>
    <t>camp/school history and nature hike to the mill</t>
  </si>
  <si>
    <t>thursdays &amp; Fridays</t>
  </si>
  <si>
    <t>Guided Tour/Demonstrations of Historic Print Shop</t>
  </si>
  <si>
    <t>multiple tours on thursday and fridays during june by Friends Volunteer</t>
  </si>
  <si>
    <t>Friday, 7:30pm-9pm</t>
  </si>
  <si>
    <t>Saturday,7:30pm-9pm</t>
  </si>
  <si>
    <t>Sweetwater Creek by kayak</t>
  </si>
  <si>
    <t>ranger-led creek kayakand history hike inside New Manchester Mill</t>
  </si>
  <si>
    <t>`</t>
  </si>
  <si>
    <t>ranger-led evening lakepaddle and up Beaver Creek</t>
  </si>
  <si>
    <t>June 2015</t>
  </si>
  <si>
    <t>6/7/14 9 pm</t>
  </si>
  <si>
    <t>6/21/14 8 pm</t>
  </si>
  <si>
    <t>Sunset Paddle</t>
  </si>
  <si>
    <t>6/28/14 9 pm</t>
  </si>
  <si>
    <t>Daily 10 am and 2 pm</t>
  </si>
  <si>
    <t>Thursday, 10am-11:3am</t>
  </si>
  <si>
    <t>Malhotep Early Learning Center/Nature and history hike to mill</t>
  </si>
  <si>
    <t>historyand nature hike to new Manchester Mill</t>
  </si>
  <si>
    <t>Level I Junior Ranger camp with hikes,reptile show, arts and crafts</t>
  </si>
  <si>
    <t>hike on yellow tail to "indian cave" focusing on native american history in this area</t>
  </si>
  <si>
    <t>Saturday, 11:30am-1pm</t>
  </si>
  <si>
    <t>history hike to new manchester mill</t>
  </si>
  <si>
    <t>Saturday, 11am and 3pm</t>
  </si>
  <si>
    <t>narrated wagon ride through the park</t>
  </si>
  <si>
    <t>Lap kids are free</t>
  </si>
  <si>
    <t>ranger-led paddle on Sweetwater Creek and tour inside New Manchester Mill</t>
  </si>
  <si>
    <t>Morning Hike</t>
  </si>
  <si>
    <t>Hike along one of the trails</t>
  </si>
  <si>
    <t>Sunday, 2pm</t>
  </si>
  <si>
    <t>Afternoon Hike</t>
  </si>
  <si>
    <t>Afternoon hike along one of the trails</t>
  </si>
  <si>
    <t>S'mores for incoming campers and the Black Bear Talk</t>
  </si>
  <si>
    <t>Thursday, 10am-11:30am</t>
  </si>
  <si>
    <t>Sunshine House/Nature and History Hike</t>
  </si>
  <si>
    <t>Thursday 1pm-3:30pm</t>
  </si>
  <si>
    <t>Paulding County 4H/nature and history hike</t>
  </si>
  <si>
    <t>Variety of activities for the kids to participate in</t>
  </si>
  <si>
    <t>Hike to Overlook to watch sun set</t>
  </si>
  <si>
    <t>Friday 9am-2pm</t>
  </si>
  <si>
    <t>Level I Junior Ranger Camp</t>
  </si>
  <si>
    <t>Morning meditation at a shelter</t>
  </si>
  <si>
    <t>Friday &amp; Saturday, 9pm</t>
  </si>
  <si>
    <t>Full moon hike to Overlook</t>
  </si>
  <si>
    <t>Take a wagon ride to the Wall, Tower and Overlook trail hike and then wagon ride back.</t>
  </si>
  <si>
    <t>Lap children are free</t>
  </si>
  <si>
    <t>Weekends</t>
  </si>
  <si>
    <t>Part-time Naturalist roves through the park talking to visitors</t>
  </si>
  <si>
    <t>Teach visitors how to make a tasty campfire treat</t>
  </si>
  <si>
    <t>A Walk through the woods in the Eyes of a Native American</t>
  </si>
  <si>
    <t>woods walk looking t food, medicinals, cordage, and firemaking through the eyes of a native american</t>
  </si>
  <si>
    <t>Night Hike along the Big Rock Trail</t>
  </si>
  <si>
    <t>Mid-week Wind Down Paddle</t>
  </si>
  <si>
    <t>evening paddle on lake and up Beaver Creek</t>
  </si>
  <si>
    <t>Sunday,9:30am-11am</t>
  </si>
  <si>
    <t>Wednesday 9 AM</t>
  </si>
  <si>
    <t>Lamar Co. sheriff Summer Camp</t>
  </si>
  <si>
    <t>Make plaster cast and take a hike with group</t>
  </si>
  <si>
    <t>Saturday 7:30 PM</t>
  </si>
  <si>
    <t>Paddle trip to buck creek bridge and back to the office</t>
  </si>
  <si>
    <t>Seven Oaks School Group</t>
  </si>
  <si>
    <t>Stream sampling in the creek</t>
  </si>
  <si>
    <t>Southeastern Reptile Rescue</t>
  </si>
  <si>
    <t>Monday 2:30 PM</t>
  </si>
  <si>
    <t>Rivers to Reef Georgia Aquarium</t>
  </si>
  <si>
    <t>Brief talk about the history of the park and water usage</t>
  </si>
  <si>
    <t>Thursday 9 am</t>
  </si>
  <si>
    <t>Gorden College Science Camp</t>
  </si>
  <si>
    <t>Do Not Move Firewood</t>
  </si>
  <si>
    <t>Education of invasive insects and firewood</t>
  </si>
  <si>
    <t>This was a program I do anytime I handed out a Do Not Move Firewood Frisbee or bag.</t>
  </si>
  <si>
    <t>Life and ecology of Black Bears</t>
  </si>
  <si>
    <t>Various, 2 or 4 p.m.</t>
  </si>
  <si>
    <t>Trout Structures</t>
  </si>
  <si>
    <t>Anthropology and applied archaeology of fishing weirs</t>
  </si>
  <si>
    <t>Used in order to inform public and build fishing structures in the Wold Creek in advance of the annual fishing rodeo.</t>
  </si>
  <si>
    <t>Tuesdays &amp; Fridays, 5-7 p.m.</t>
  </si>
  <si>
    <t>Informal process of checking on campers, providing program and ecological information.</t>
  </si>
  <si>
    <t>Three programs were partially rained out and one program was rained out completely - otherwise numbers would have been higher.</t>
  </si>
  <si>
    <t>Fridays, 8:30-9:30 p.m.</t>
  </si>
  <si>
    <t>Ultimate frisbee game on the beach</t>
  </si>
  <si>
    <t>Still a park patron favorite.</t>
  </si>
  <si>
    <t>Tu, Th, Sat &amp; Sun; 1-3 p.m.</t>
  </si>
  <si>
    <t>CCC Museum Tour</t>
  </si>
  <si>
    <t>Interpretive Ranger and Volunteers</t>
  </si>
  <si>
    <t>This program does not provide monetary gains for the park directly but does garner further support for the Friends group, through donations, and helps with the upkeep of the park in general.</t>
  </si>
  <si>
    <t>Wednesdays, 8 p.m.</t>
  </si>
  <si>
    <t>20 (for s'more fixings)</t>
  </si>
  <si>
    <t>Saturdays, 7:30-9:30 p.m.</t>
  </si>
  <si>
    <t>This program remains popular but has suffered a loss of patrons due to the ongoing work on the pavilion (lack of lights or power) and the lack of provided seating (previously had installed seats).</t>
  </si>
  <si>
    <t>Plant identification walk and LOST program in one</t>
  </si>
  <si>
    <t>This walk has incouraged a number of patrons to take a closer look at the local plants. Some even went so far as to purchase plant guides from the gift shop.</t>
  </si>
  <si>
    <t>Saturday, 10 a.m. - 3 p.m.</t>
  </si>
  <si>
    <t>Bear Hair Gap Trail</t>
  </si>
  <si>
    <t>Hiking training, ecology, and history while on 4.1 ramble</t>
  </si>
  <si>
    <t>Friday. 2 p.m.</t>
  </si>
  <si>
    <t>Water conservation and ecology</t>
  </si>
  <si>
    <t>Program attendance would have been higher if the thunder storm had not been moving in. The 2 who did participate only managed 5 min of the program before we had to cancel due to lightining.</t>
  </si>
  <si>
    <t>Thursday, 4 p.m.</t>
  </si>
  <si>
    <t>Sportmanship and skills practice for volleyball</t>
  </si>
  <si>
    <t>One program was rained out.</t>
  </si>
  <si>
    <t>Saturdays, 1-3 p.m.</t>
  </si>
  <si>
    <t>Macrame</t>
  </si>
  <si>
    <t>There were no program costs because the materials were donated by the Friends group two years ago. Still remains a popular program.</t>
  </si>
  <si>
    <t>Thursday, 8 p.m.</t>
  </si>
  <si>
    <t>twilight kayaking and ecology of lake</t>
  </si>
  <si>
    <t>Tuesdays, 9-10:30 p.m.</t>
  </si>
  <si>
    <t>Evening Hike</t>
  </si>
  <si>
    <t>Developing night vision and studying ecology of lake trail</t>
  </si>
  <si>
    <t>Friday, June 13; 12 p.m.</t>
  </si>
  <si>
    <t>Stocking the River</t>
  </si>
  <si>
    <t>This is an informal program where park patron (largely kids) help the volunteers and the park staff to place the fish in the fishing pools on the Wolf Creek the day before the Fishing Rodeo. It is a highlight of the week and many families make sure that they are here a day or two in advance to participate</t>
  </si>
  <si>
    <t>Saturday, June 14; 8 a.m.-12 p.m.</t>
  </si>
  <si>
    <t>Kids' Fishing Rodeo</t>
  </si>
  <si>
    <t>Rangers and Volunteers</t>
  </si>
  <si>
    <t>Was unable to quatify but a lot of money was spent on this day by park patrons</t>
  </si>
  <si>
    <t>Saturdays, 9 a.m. - 5 p.m.</t>
  </si>
  <si>
    <t>Vogel Scavenger Hunts</t>
  </si>
  <si>
    <t>These programs are part of the lead-up to the Vogel Photo Contest. They also provide patrons with basic information about the history and ecology of the park</t>
  </si>
  <si>
    <t>Saturday, June 7; 8:30-11:30 a.m.</t>
  </si>
  <si>
    <t>National Trails Day Volunteer Project</t>
  </si>
  <si>
    <t>Trail maitenance volunteer program</t>
  </si>
  <si>
    <t>Members of the GATC and the Mtn High Hikers</t>
  </si>
  <si>
    <t>These groups provided much needed maintinence of the Bear Hair Gap Trail - removing fallen trees, repainting the blazes, and putting in errosion controls - using their own resources. Was in celebration of National Trails Day.</t>
  </si>
  <si>
    <t>Backcountry Hike</t>
  </si>
  <si>
    <t>Backcountry hike to celebrate National Trails Day</t>
  </si>
  <si>
    <t>Member of the Mtn High Hikers Club</t>
  </si>
  <si>
    <t>Saturday, June 7; 12:30-1 p.m.</t>
  </si>
  <si>
    <t>Luncheonm Talk to SEFTA</t>
  </si>
  <si>
    <t>Lecture on Returning to Romanticism: Wilderness Trails, history, and the way forward</t>
  </si>
  <si>
    <t>After all of the work that the groups had done on the trails the lecture was a small price to pay and they have asked that the ranger present on a similar topic as a guest speaker at their September Regional Conference.</t>
  </si>
  <si>
    <t>Film Scavenger Hunt, Colonial Dance, Soldier Talk, Mushket Demo, Colonial Toys, and Games</t>
  </si>
  <si>
    <t>Junior Ranger Camp-Friends, Foes &amp; Flintocks</t>
  </si>
  <si>
    <t>Crafts, Lessons, Games, Activities, Snacks, Guest Speakers, Parents Day, Awards</t>
  </si>
  <si>
    <t>Column4</t>
  </si>
  <si>
    <t>Column5</t>
  </si>
  <si>
    <t>June 2014 Programs in Georgia State Parks &amp; Historic Sites -   40 sites offered programs this 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</si>
</sst>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164" formatCode="m/d/yyyy\ h:mm:ss;@"/>
    <numFmt numFmtId="165" formatCode="&quot;$&quot;#,##0"/>
    <numFmt numFmtId="166" formatCode="[$-409]mmmm\-yy;@"/>
    <numFmt numFmtId="167" formatCode="&quot;$&quot;#,##0.00"/>
  </numFmts>
  <fonts count="11" x14ac:knownFonts="1">
    <font>
      <sz val="10"/>
      <color rgb="FF000000"/>
      <name val="Arial"/>
    </font>
    <font>
      <sz val="11"/>
      <color theme="1"/>
      <name val="Calibri"/>
      <family val="2"/>
      <scheme val="minor"/>
    </font>
    <font>
      <sz val="11"/>
      <color theme="1"/>
      <name val="Calibri"/>
      <family val="2"/>
      <scheme val="minor"/>
    </font>
    <font>
      <b/>
      <sz val="10"/>
      <color rgb="FF000000"/>
      <name val="Arial"/>
      <family val="2"/>
    </font>
    <font>
      <b/>
      <sz val="10"/>
      <color rgb="FF000000"/>
      <name val="Arial"/>
      <family val="2"/>
    </font>
    <font>
      <sz val="10"/>
      <color rgb="FF000000"/>
      <name val="Arial"/>
      <family val="2"/>
    </font>
    <font>
      <b/>
      <sz val="10"/>
      <color theme="0"/>
      <name val="Arial"/>
      <family val="2"/>
    </font>
    <font>
      <b/>
      <sz val="11"/>
      <color rgb="FF000000"/>
      <name val="Arial"/>
      <family val="2"/>
    </font>
    <font>
      <b/>
      <sz val="12"/>
      <color rgb="FF000000"/>
      <name val="Arial"/>
      <family val="2"/>
    </font>
    <font>
      <sz val="10"/>
      <color theme="1"/>
      <name val="Arial"/>
      <family val="2"/>
    </font>
    <font>
      <sz val="10"/>
      <color theme="0"/>
      <name val="Arial"/>
      <family val="2"/>
    </font>
  </fonts>
  <fills count="6">
    <fill>
      <patternFill patternType="none"/>
    </fill>
    <fill>
      <patternFill patternType="gray125"/>
    </fill>
    <fill>
      <patternFill patternType="solid">
        <fgColor theme="6"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double">
        <color auto="1"/>
      </bottom>
      <diagonal/>
    </border>
    <border>
      <left/>
      <right/>
      <top/>
      <bottom style="double">
        <color auto="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top style="thin">
        <color auto="1"/>
      </top>
      <bottom/>
      <diagonal/>
    </border>
    <border>
      <left style="thin">
        <color auto="1"/>
      </left>
      <right style="thin">
        <color auto="1"/>
      </right>
      <top/>
      <bottom style="thin">
        <color auto="1"/>
      </bottom>
      <diagonal/>
    </border>
  </borders>
  <cellStyleXfs count="4">
    <xf numFmtId="0" fontId="0" fillId="0" borderId="0"/>
    <xf numFmtId="0" fontId="2" fillId="0" borderId="0"/>
    <xf numFmtId="0" fontId="5" fillId="0" borderId="0"/>
    <xf numFmtId="0" fontId="1" fillId="0" borderId="0"/>
  </cellStyleXfs>
  <cellXfs count="179">
    <xf numFmtId="0" fontId="0" fillId="0" borderId="0" xfId="0" applyAlignment="1">
      <alignment wrapText="1"/>
    </xf>
    <xf numFmtId="0" fontId="0" fillId="0" borderId="3" xfId="0" applyBorder="1" applyAlignment="1">
      <alignment wrapText="1"/>
    </xf>
    <xf numFmtId="0" fontId="0" fillId="0" borderId="4" xfId="0" applyBorder="1" applyAlignment="1">
      <alignment wrapText="1"/>
    </xf>
    <xf numFmtId="3" fontId="0" fillId="0" borderId="0" xfId="0" applyNumberFormat="1" applyAlignment="1">
      <alignment wrapText="1"/>
    </xf>
    <xf numFmtId="0" fontId="5" fillId="0" borderId="0" xfId="0" applyFont="1" applyAlignment="1">
      <alignment wrapText="1"/>
    </xf>
    <xf numFmtId="0" fontId="7" fillId="3" borderId="0" xfId="0" applyFont="1" applyFill="1" applyAlignment="1">
      <alignment wrapText="1"/>
    </xf>
    <xf numFmtId="0" fontId="4" fillId="0" borderId="0" xfId="0" applyFont="1" applyAlignment="1">
      <alignment wrapText="1"/>
    </xf>
    <xf numFmtId="0" fontId="7" fillId="0" borderId="0" xfId="0" applyFont="1" applyAlignment="1">
      <alignment wrapText="1"/>
    </xf>
    <xf numFmtId="3" fontId="0" fillId="0" borderId="4" xfId="0" applyNumberFormat="1" applyBorder="1" applyAlignment="1">
      <alignment wrapText="1"/>
    </xf>
    <xf numFmtId="6" fontId="0" fillId="0" borderId="4" xfId="0" applyNumberFormat="1" applyBorder="1" applyAlignment="1">
      <alignment wrapText="1"/>
    </xf>
    <xf numFmtId="0" fontId="0" fillId="0" borderId="6" xfId="0" applyBorder="1" applyAlignment="1">
      <alignment wrapText="1"/>
    </xf>
    <xf numFmtId="6" fontId="0" fillId="0" borderId="5" xfId="0" applyNumberFormat="1" applyBorder="1" applyAlignment="1">
      <alignment wrapText="1"/>
    </xf>
    <xf numFmtId="0" fontId="5" fillId="0" borderId="3" xfId="0" applyFont="1" applyBorder="1" applyAlignment="1">
      <alignment wrapText="1"/>
    </xf>
    <xf numFmtId="3" fontId="5" fillId="0" borderId="2" xfId="0" applyNumberFormat="1" applyFont="1" applyBorder="1" applyAlignment="1">
      <alignment wrapText="1"/>
    </xf>
    <xf numFmtId="3" fontId="0" fillId="0" borderId="2" xfId="0" applyNumberFormat="1" applyBorder="1" applyAlignment="1">
      <alignment wrapText="1"/>
    </xf>
    <xf numFmtId="0" fontId="0" fillId="0" borderId="2" xfId="0" applyBorder="1" applyAlignment="1">
      <alignment wrapText="1"/>
    </xf>
    <xf numFmtId="0" fontId="8" fillId="0" borderId="0" xfId="0" applyFont="1" applyAlignment="1">
      <alignment wrapText="1"/>
    </xf>
    <xf numFmtId="0" fontId="8" fillId="4" borderId="0" xfId="0" applyFont="1" applyFill="1" applyAlignment="1"/>
    <xf numFmtId="0" fontId="8" fillId="4" borderId="0" xfId="0" applyFont="1" applyFill="1" applyAlignment="1">
      <alignment wrapText="1"/>
    </xf>
    <xf numFmtId="0" fontId="0" fillId="0" borderId="1" xfId="0" applyBorder="1" applyAlignment="1">
      <alignment wrapText="1"/>
    </xf>
    <xf numFmtId="0" fontId="7" fillId="3" borderId="4" xfId="0" applyFont="1" applyFill="1" applyBorder="1" applyAlignment="1">
      <alignment wrapText="1"/>
    </xf>
    <xf numFmtId="0" fontId="4" fillId="0" borderId="3" xfId="0" applyFont="1" applyBorder="1" applyAlignment="1">
      <alignment wrapText="1"/>
    </xf>
    <xf numFmtId="0" fontId="4" fillId="0" borderId="2" xfId="0" applyFont="1" applyBorder="1" applyAlignment="1">
      <alignment wrapText="1"/>
    </xf>
    <xf numFmtId="165" fontId="0" fillId="0" borderId="0" xfId="0" applyNumberFormat="1" applyAlignment="1">
      <alignment wrapText="1"/>
    </xf>
    <xf numFmtId="165" fontId="0" fillId="0" borderId="6" xfId="0" applyNumberFormat="1" applyBorder="1" applyAlignment="1">
      <alignment wrapText="1"/>
    </xf>
    <xf numFmtId="0" fontId="8" fillId="5" borderId="0" xfId="0" applyFont="1" applyFill="1" applyAlignment="1">
      <alignment wrapText="1"/>
    </xf>
    <xf numFmtId="0" fontId="0" fillId="0" borderId="0" xfId="0" applyFill="1" applyBorder="1" applyAlignment="1">
      <alignment vertical="top" wrapText="1"/>
    </xf>
    <xf numFmtId="0" fontId="8" fillId="0" borderId="0" xfId="0" applyFont="1" applyFill="1" applyAlignment="1">
      <alignment wrapText="1"/>
    </xf>
    <xf numFmtId="22" fontId="5" fillId="0" borderId="0" xfId="2" applyNumberFormat="1" applyFill="1" applyBorder="1" applyAlignment="1">
      <alignment vertical="top" wrapText="1"/>
    </xf>
    <xf numFmtId="0" fontId="5" fillId="0" borderId="0" xfId="2" applyFill="1" applyBorder="1" applyAlignment="1">
      <alignment vertical="top" wrapText="1"/>
    </xf>
    <xf numFmtId="166" fontId="5" fillId="0" borderId="0" xfId="2" applyNumberFormat="1" applyFont="1" applyFill="1" applyBorder="1" applyAlignment="1">
      <alignment horizontal="left" vertical="top" wrapText="1"/>
    </xf>
    <xf numFmtId="15" fontId="5" fillId="0" borderId="0" xfId="2" applyNumberFormat="1" applyFill="1" applyBorder="1" applyAlignment="1">
      <alignment vertical="top" wrapText="1"/>
    </xf>
    <xf numFmtId="22" fontId="0" fillId="0" borderId="0" xfId="0" applyNumberFormat="1" applyFill="1" applyBorder="1" applyAlignment="1">
      <alignment vertical="top" wrapText="1"/>
    </xf>
    <xf numFmtId="166" fontId="0" fillId="0" borderId="0" xfId="0" applyNumberFormat="1" applyFill="1" applyBorder="1" applyAlignment="1">
      <alignment horizontal="left" vertical="top" wrapText="1"/>
    </xf>
    <xf numFmtId="0" fontId="5" fillId="0" borderId="0" xfId="0" applyFont="1" applyFill="1" applyBorder="1" applyAlignment="1">
      <alignment vertical="top" wrapText="1"/>
    </xf>
    <xf numFmtId="16" fontId="0" fillId="0" borderId="0" xfId="0" applyNumberFormat="1" applyFill="1" applyBorder="1" applyAlignment="1">
      <alignment vertical="top" wrapText="1"/>
    </xf>
    <xf numFmtId="14" fontId="0" fillId="0" borderId="0" xfId="0" applyNumberFormat="1" applyFill="1" applyBorder="1" applyAlignment="1">
      <alignment vertical="top" wrapText="1"/>
    </xf>
    <xf numFmtId="164" fontId="0" fillId="0" borderId="0" xfId="0" applyNumberFormat="1" applyFill="1" applyBorder="1" applyAlignment="1">
      <alignment vertical="top" wrapText="1"/>
    </xf>
    <xf numFmtId="164" fontId="5" fillId="0" borderId="0" xfId="2" applyNumberFormat="1" applyFill="1" applyBorder="1" applyAlignment="1">
      <alignment vertical="top" wrapText="1"/>
    </xf>
    <xf numFmtId="0" fontId="5" fillId="0" borderId="0" xfId="2" applyFont="1" applyFill="1" applyBorder="1" applyAlignment="1">
      <alignment vertical="top" wrapText="1"/>
    </xf>
    <xf numFmtId="22" fontId="5" fillId="0" borderId="0" xfId="0" applyNumberFormat="1" applyFont="1" applyFill="1" applyBorder="1" applyAlignment="1">
      <alignment horizontal="right" wrapText="1"/>
    </xf>
    <xf numFmtId="0" fontId="5" fillId="0" borderId="0" xfId="0" applyFont="1" applyFill="1" applyBorder="1" applyAlignment="1">
      <alignment horizontal="left" wrapText="1" readingOrder="1"/>
    </xf>
    <xf numFmtId="0" fontId="5" fillId="0" borderId="0" xfId="0" applyFont="1" applyFill="1" applyBorder="1" applyAlignment="1">
      <alignment wrapText="1"/>
    </xf>
    <xf numFmtId="16" fontId="5" fillId="0" borderId="0" xfId="2" applyNumberFormat="1" applyFill="1" applyBorder="1" applyAlignment="1">
      <alignment vertical="top" wrapText="1"/>
    </xf>
    <xf numFmtId="14" fontId="5" fillId="0" borderId="0" xfId="2" applyNumberFormat="1" applyFill="1" applyBorder="1" applyAlignment="1">
      <alignment vertical="top" wrapText="1"/>
    </xf>
    <xf numFmtId="0" fontId="0" fillId="0" borderId="0" xfId="0" applyAlignment="1">
      <alignment wrapText="1"/>
    </xf>
    <xf numFmtId="3" fontId="0" fillId="0" borderId="0" xfId="0" applyNumberFormat="1" applyFill="1" applyBorder="1" applyAlignment="1">
      <alignment horizontal="right" vertical="top" wrapText="1"/>
    </xf>
    <xf numFmtId="0" fontId="0" fillId="0" borderId="0" xfId="0" applyAlignment="1">
      <alignment wrapText="1"/>
    </xf>
    <xf numFmtId="164" fontId="0" fillId="0" borderId="0" xfId="0" applyNumberFormat="1" applyFont="1" applyFill="1" applyBorder="1" applyAlignment="1">
      <alignment wrapText="1"/>
    </xf>
    <xf numFmtId="0" fontId="0" fillId="0" borderId="0" xfId="0" applyFont="1" applyFill="1" applyBorder="1" applyAlignment="1">
      <alignment wrapText="1"/>
    </xf>
    <xf numFmtId="0" fontId="0" fillId="0" borderId="0" xfId="0" applyFont="1" applyFill="1" applyBorder="1" applyAlignment="1">
      <alignment vertical="top" wrapText="1"/>
    </xf>
    <xf numFmtId="0" fontId="5" fillId="0" borderId="0" xfId="0" quotePrefix="1" applyFont="1" applyFill="1" applyBorder="1" applyAlignment="1">
      <alignment vertical="top" wrapText="1"/>
    </xf>
    <xf numFmtId="0" fontId="0" fillId="0" borderId="0" xfId="0" applyFill="1" applyAlignment="1">
      <alignment vertical="top" wrapText="1"/>
    </xf>
    <xf numFmtId="164" fontId="0" fillId="0" borderId="0" xfId="0" applyNumberFormat="1" applyFill="1" applyAlignment="1">
      <alignment wrapText="1"/>
    </xf>
    <xf numFmtId="0" fontId="0" fillId="0" borderId="0" xfId="0" applyFill="1" applyAlignment="1">
      <alignment wrapText="1"/>
    </xf>
    <xf numFmtId="164" fontId="0" fillId="0" borderId="0" xfId="0" applyNumberFormat="1" applyFill="1" applyAlignment="1">
      <alignment vertical="top" wrapText="1"/>
    </xf>
    <xf numFmtId="0" fontId="5" fillId="0" borderId="0" xfId="0" applyFont="1" applyFill="1" applyAlignment="1">
      <alignment vertical="top" wrapText="1"/>
    </xf>
    <xf numFmtId="0" fontId="6" fillId="0" borderId="0" xfId="0" applyFont="1" applyFill="1" applyBorder="1" applyAlignment="1">
      <alignment vertical="top" wrapText="1"/>
    </xf>
    <xf numFmtId="0" fontId="0" fillId="4" borderId="0" xfId="0" applyFill="1" applyAlignment="1">
      <alignment wrapText="1"/>
    </xf>
    <xf numFmtId="3" fontId="5" fillId="0" borderId="4" xfId="0" applyNumberFormat="1" applyFont="1" applyBorder="1" applyAlignment="1">
      <alignment wrapText="1"/>
    </xf>
    <xf numFmtId="164" fontId="9" fillId="0" borderId="0" xfId="0" applyNumberFormat="1" applyFont="1" applyFill="1" applyBorder="1" applyAlignment="1">
      <alignment wrapText="1"/>
    </xf>
    <xf numFmtId="22" fontId="0" fillId="0" borderId="7" xfId="0" applyNumberFormat="1" applyFill="1" applyBorder="1" applyAlignment="1">
      <alignment vertical="top" wrapText="1"/>
    </xf>
    <xf numFmtId="0" fontId="9" fillId="0" borderId="0" xfId="0" applyFont="1" applyFill="1" applyBorder="1" applyAlignment="1">
      <alignment wrapText="1"/>
    </xf>
    <xf numFmtId="0" fontId="0" fillId="0" borderId="8" xfId="0" applyFill="1" applyBorder="1" applyAlignment="1">
      <alignment vertical="top" wrapText="1"/>
    </xf>
    <xf numFmtId="0" fontId="9" fillId="0" borderId="0" xfId="0" applyFont="1" applyFill="1" applyBorder="1" applyAlignment="1">
      <alignment horizontal="left" vertical="top" wrapText="1"/>
    </xf>
    <xf numFmtId="0" fontId="0" fillId="0" borderId="9" xfId="0" applyFill="1" applyBorder="1" applyAlignment="1">
      <alignment vertical="top" wrapText="1"/>
    </xf>
    <xf numFmtId="166" fontId="4" fillId="0" borderId="0" xfId="0" applyNumberFormat="1" applyFont="1" applyFill="1" applyBorder="1" applyAlignment="1">
      <alignment horizontal="left" vertical="top" wrapText="1"/>
    </xf>
    <xf numFmtId="166" fontId="0" fillId="0" borderId="0" xfId="0" applyNumberFormat="1" applyFont="1" applyFill="1" applyBorder="1" applyAlignment="1">
      <alignment horizontal="left" vertical="top" wrapText="1"/>
    </xf>
    <xf numFmtId="166" fontId="5" fillId="0" borderId="0" xfId="0" applyNumberFormat="1" applyFont="1" applyFill="1" applyBorder="1" applyAlignment="1">
      <alignment horizontal="left" vertical="top" wrapText="1"/>
    </xf>
    <xf numFmtId="166" fontId="5" fillId="0" borderId="0" xfId="0" applyNumberFormat="1" applyFont="1" applyFill="1" applyAlignment="1">
      <alignment horizontal="left" vertical="top" wrapText="1"/>
    </xf>
    <xf numFmtId="166" fontId="9" fillId="0" borderId="0" xfId="0" applyNumberFormat="1" applyFont="1" applyFill="1" applyBorder="1" applyAlignment="1">
      <alignment horizontal="left" vertical="top" wrapText="1"/>
    </xf>
    <xf numFmtId="3" fontId="0" fillId="0" borderId="3" xfId="0" applyNumberFormat="1" applyBorder="1" applyAlignment="1">
      <alignment wrapText="1"/>
    </xf>
    <xf numFmtId="3" fontId="0" fillId="0" borderId="5" xfId="0" applyNumberFormat="1" applyBorder="1" applyAlignment="1">
      <alignment wrapText="1"/>
    </xf>
    <xf numFmtId="0" fontId="0" fillId="0" borderId="0" xfId="0" applyAlignment="1">
      <alignment wrapText="1"/>
    </xf>
    <xf numFmtId="17" fontId="0" fillId="0" borderId="0" xfId="0" applyNumberFormat="1" applyFill="1" applyBorder="1" applyAlignment="1">
      <alignment vertical="top" wrapText="1"/>
    </xf>
    <xf numFmtId="0" fontId="5" fillId="0" borderId="6" xfId="0" applyFont="1" applyBorder="1" applyAlignment="1">
      <alignment wrapText="1"/>
    </xf>
    <xf numFmtId="164" fontId="5" fillId="0" borderId="7" xfId="2" applyNumberFormat="1" applyFill="1" applyBorder="1" applyAlignment="1">
      <alignment vertical="top" wrapText="1"/>
    </xf>
    <xf numFmtId="22" fontId="5" fillId="0" borderId="7" xfId="2" applyNumberFormat="1" applyFill="1" applyBorder="1" applyAlignment="1">
      <alignment vertical="top" wrapText="1"/>
    </xf>
    <xf numFmtId="164" fontId="0" fillId="0" borderId="7" xfId="0" applyNumberFormat="1" applyFill="1" applyBorder="1" applyAlignment="1">
      <alignment vertical="top" wrapText="1"/>
    </xf>
    <xf numFmtId="0" fontId="5" fillId="0" borderId="8" xfId="2" applyFill="1" applyBorder="1" applyAlignment="1">
      <alignment vertical="top" wrapText="1"/>
    </xf>
    <xf numFmtId="166" fontId="5" fillId="0" borderId="8" xfId="2" applyNumberFormat="1" applyFont="1" applyFill="1" applyBorder="1" applyAlignment="1">
      <alignment horizontal="left" vertical="top" wrapText="1"/>
    </xf>
    <xf numFmtId="166" fontId="0" fillId="0" borderId="8" xfId="0" applyNumberFormat="1" applyFill="1" applyBorder="1" applyAlignment="1">
      <alignment horizontal="left" vertical="top" wrapText="1"/>
    </xf>
    <xf numFmtId="15" fontId="5" fillId="0" borderId="8" xfId="2" applyNumberFormat="1" applyFill="1" applyBorder="1" applyAlignment="1">
      <alignment vertical="top" wrapText="1"/>
    </xf>
    <xf numFmtId="0" fontId="5" fillId="0" borderId="8" xfId="0" applyFont="1" applyFill="1" applyBorder="1" applyAlignment="1">
      <alignment vertical="top" wrapText="1"/>
    </xf>
    <xf numFmtId="0" fontId="5" fillId="0" borderId="9" xfId="2" applyFill="1" applyBorder="1" applyAlignment="1">
      <alignment vertical="top" wrapText="1"/>
    </xf>
    <xf numFmtId="0" fontId="4" fillId="0" borderId="3" xfId="0" applyFont="1" applyBorder="1" applyAlignment="1">
      <alignment vertical="top" wrapText="1"/>
    </xf>
    <xf numFmtId="0" fontId="4" fillId="0" borderId="2" xfId="0" applyFont="1" applyBorder="1" applyAlignment="1">
      <alignment vertical="top" wrapText="1"/>
    </xf>
    <xf numFmtId="166" fontId="0" fillId="0" borderId="0" xfId="0" applyNumberFormat="1" applyFill="1" applyAlignment="1">
      <alignment horizontal="left" vertical="top" wrapText="1"/>
    </xf>
    <xf numFmtId="166" fontId="0" fillId="0" borderId="0" xfId="0" applyNumberFormat="1" applyFill="1" applyAlignment="1">
      <alignment vertical="top" wrapText="1"/>
    </xf>
    <xf numFmtId="0" fontId="0" fillId="0" borderId="0" xfId="0" applyFill="1" applyAlignment="1">
      <alignment horizontal="left" vertical="top" wrapText="1"/>
    </xf>
    <xf numFmtId="0" fontId="4" fillId="0" borderId="0" xfId="0" applyFont="1" applyFill="1" applyBorder="1" applyAlignment="1">
      <alignment horizontal="left" vertical="top" wrapText="1"/>
    </xf>
    <xf numFmtId="0" fontId="0" fillId="0" borderId="0" xfId="0" applyFill="1" applyBorder="1" applyAlignment="1">
      <alignment horizontal="left" vertical="top" wrapText="1"/>
    </xf>
    <xf numFmtId="22" fontId="0" fillId="0" borderId="0" xfId="0" applyNumberFormat="1" applyFill="1" applyBorder="1" applyAlignment="1">
      <alignment horizontal="left" vertical="top" wrapText="1"/>
    </xf>
    <xf numFmtId="164" fontId="0" fillId="0" borderId="0" xfId="0" applyNumberFormat="1" applyFill="1" applyAlignment="1">
      <alignment horizontal="left" vertical="top" wrapText="1"/>
    </xf>
    <xf numFmtId="0" fontId="5" fillId="0" borderId="0" xfId="0" applyFont="1" applyFill="1" applyAlignment="1">
      <alignment horizontal="left" vertical="top" wrapText="1"/>
    </xf>
    <xf numFmtId="0" fontId="0" fillId="0" borderId="0" xfId="0" applyFill="1" applyAlignment="1">
      <alignment horizontal="right" vertical="top" wrapText="1"/>
    </xf>
    <xf numFmtId="0" fontId="3" fillId="0" borderId="0" xfId="0" applyFont="1" applyFill="1" applyBorder="1" applyAlignment="1">
      <alignment horizontal="left" vertical="top" wrapText="1"/>
    </xf>
    <xf numFmtId="166" fontId="0" fillId="0" borderId="8" xfId="0" applyNumberFormat="1" applyFill="1" applyBorder="1" applyAlignment="1">
      <alignment vertical="top" wrapText="1"/>
    </xf>
    <xf numFmtId="0" fontId="3" fillId="0" borderId="11" xfId="0" applyFont="1" applyFill="1" applyBorder="1" applyAlignment="1">
      <alignment horizontal="left" vertical="top" wrapText="1"/>
    </xf>
    <xf numFmtId="164" fontId="10" fillId="2" borderId="0" xfId="0" applyNumberFormat="1" applyFont="1" applyFill="1" applyAlignment="1">
      <alignment horizontal="left" vertical="top" wrapText="1"/>
    </xf>
    <xf numFmtId="0" fontId="10" fillId="2" borderId="0" xfId="0" applyFont="1" applyFill="1" applyAlignment="1">
      <alignment horizontal="left" vertical="top" wrapText="1"/>
    </xf>
    <xf numFmtId="166" fontId="10" fillId="2" borderId="0" xfId="0" applyNumberFormat="1" applyFont="1" applyFill="1" applyAlignment="1">
      <alignment horizontal="left" vertical="top" wrapText="1"/>
    </xf>
    <xf numFmtId="0" fontId="10" fillId="2" borderId="10" xfId="0" applyFont="1" applyFill="1" applyBorder="1" applyAlignment="1">
      <alignment horizontal="left" vertical="top" wrapText="1"/>
    </xf>
    <xf numFmtId="164" fontId="0" fillId="0" borderId="7" xfId="0" applyNumberFormat="1" applyFill="1" applyBorder="1" applyAlignment="1">
      <alignment horizontal="left" vertical="top" wrapText="1"/>
    </xf>
    <xf numFmtId="0" fontId="0" fillId="0" borderId="8" xfId="0" applyFill="1" applyBorder="1" applyAlignment="1">
      <alignment horizontal="left" vertical="top" wrapText="1"/>
    </xf>
    <xf numFmtId="166" fontId="0" fillId="0" borderId="0" xfId="0" applyNumberFormat="1" applyFill="1" applyBorder="1" applyAlignment="1">
      <alignment vertical="top" wrapText="1"/>
    </xf>
    <xf numFmtId="166" fontId="5" fillId="0" borderId="8" xfId="0" applyNumberFormat="1" applyFont="1" applyFill="1" applyBorder="1" applyAlignment="1">
      <alignment horizontal="left" vertical="top" wrapText="1"/>
    </xf>
    <xf numFmtId="14" fontId="0" fillId="0" borderId="8" xfId="0" applyNumberFormat="1" applyFill="1" applyBorder="1" applyAlignment="1">
      <alignment vertical="top" wrapText="1"/>
    </xf>
    <xf numFmtId="0" fontId="0" fillId="0" borderId="8" xfId="0" applyFill="1" applyBorder="1" applyAlignment="1">
      <alignment horizontal="right" vertical="top" wrapText="1"/>
    </xf>
    <xf numFmtId="3" fontId="0" fillId="0" borderId="8" xfId="0" applyNumberFormat="1" applyFill="1" applyBorder="1" applyAlignment="1">
      <alignment horizontal="right" vertical="top" wrapText="1"/>
    </xf>
    <xf numFmtId="0" fontId="0" fillId="0" borderId="9" xfId="0" applyFill="1" applyBorder="1" applyAlignment="1">
      <alignment horizontal="left" vertical="top" wrapText="1"/>
    </xf>
    <xf numFmtId="0" fontId="3" fillId="0" borderId="0" xfId="0" applyFont="1" applyFill="1" applyBorder="1" applyAlignment="1">
      <alignment vertical="top" wrapText="1"/>
    </xf>
    <xf numFmtId="0" fontId="9" fillId="0" borderId="0" xfId="0" applyFont="1" applyFill="1" applyBorder="1" applyAlignment="1">
      <alignment vertical="top" wrapText="1"/>
    </xf>
    <xf numFmtId="166" fontId="0" fillId="0" borderId="0" xfId="0" applyNumberFormat="1" applyFill="1" applyAlignment="1">
      <alignment wrapText="1"/>
    </xf>
    <xf numFmtId="3" fontId="4" fillId="0" borderId="0" xfId="0" applyNumberFormat="1" applyFont="1" applyFill="1" applyBorder="1" applyAlignment="1">
      <alignment horizontal="right" vertical="top" wrapText="1"/>
    </xf>
    <xf numFmtId="0" fontId="0" fillId="0" borderId="0" xfId="0" applyFill="1" applyBorder="1" applyAlignment="1">
      <alignment horizontal="right" vertical="top" wrapText="1"/>
    </xf>
    <xf numFmtId="3" fontId="5" fillId="0" borderId="0" xfId="2" applyNumberFormat="1" applyFill="1" applyBorder="1" applyAlignment="1">
      <alignment horizontal="right" vertical="top" wrapText="1"/>
    </xf>
    <xf numFmtId="0" fontId="0" fillId="0" borderId="0" xfId="0" applyFont="1" applyFill="1" applyBorder="1" applyAlignment="1">
      <alignment horizontal="right" vertical="top" wrapText="1"/>
    </xf>
    <xf numFmtId="3" fontId="0" fillId="0" borderId="0" xfId="0" applyNumberFormat="1" applyFill="1" applyAlignment="1">
      <alignment horizontal="right" vertical="top" wrapText="1"/>
    </xf>
    <xf numFmtId="0" fontId="5" fillId="0" borderId="0" xfId="0" applyFont="1" applyFill="1" applyBorder="1" applyAlignment="1">
      <alignment horizontal="right" vertical="top" wrapText="1"/>
    </xf>
    <xf numFmtId="0" fontId="5" fillId="0" borderId="0" xfId="0" applyFont="1" applyFill="1" applyAlignment="1">
      <alignment horizontal="right" vertical="top" wrapText="1"/>
    </xf>
    <xf numFmtId="3" fontId="5" fillId="0" borderId="8" xfId="2" applyNumberFormat="1" applyFill="1" applyBorder="1" applyAlignment="1">
      <alignment horizontal="right" vertical="top" wrapText="1"/>
    </xf>
    <xf numFmtId="0" fontId="5" fillId="0" borderId="0" xfId="2" applyFill="1" applyBorder="1" applyAlignment="1">
      <alignment horizontal="right" vertical="top" wrapText="1"/>
    </xf>
    <xf numFmtId="0" fontId="9" fillId="0" borderId="0" xfId="0" applyFont="1" applyFill="1" applyBorder="1" applyAlignment="1">
      <alignment horizontal="right" vertical="top" wrapText="1"/>
    </xf>
    <xf numFmtId="3" fontId="0" fillId="0" borderId="0" xfId="0" applyNumberFormat="1" applyFill="1" applyAlignment="1">
      <alignment horizontal="left" wrapText="1"/>
    </xf>
    <xf numFmtId="0" fontId="10" fillId="2" borderId="0" xfId="0" applyFont="1" applyFill="1" applyAlignment="1">
      <alignment vertical="top" wrapText="1"/>
    </xf>
    <xf numFmtId="3" fontId="10" fillId="2" borderId="0" xfId="0" applyNumberFormat="1" applyFont="1" applyFill="1" applyAlignment="1">
      <alignment horizontal="right" vertical="top" wrapText="1"/>
    </xf>
    <xf numFmtId="0" fontId="0" fillId="2" borderId="0" xfId="0" applyFill="1" applyBorder="1" applyAlignment="1">
      <alignment horizontal="left" vertical="top" wrapText="1"/>
    </xf>
    <xf numFmtId="0" fontId="5" fillId="0" borderId="0" xfId="0" applyFont="1" applyFill="1" applyAlignment="1">
      <alignment wrapText="1"/>
    </xf>
    <xf numFmtId="3" fontId="5" fillId="0" borderId="3" xfId="0" applyNumberFormat="1" applyFont="1" applyBorder="1" applyAlignment="1">
      <alignment wrapText="1"/>
    </xf>
    <xf numFmtId="164" fontId="0" fillId="0" borderId="0" xfId="0" applyNumberFormat="1" applyFill="1" applyBorder="1" applyAlignment="1">
      <alignment horizontal="left" vertical="top" wrapText="1"/>
    </xf>
    <xf numFmtId="18" fontId="0" fillId="0" borderId="0" xfId="0" applyNumberFormat="1" applyFill="1" applyBorder="1" applyAlignment="1">
      <alignment vertical="top" wrapText="1"/>
    </xf>
    <xf numFmtId="167" fontId="4" fillId="0" borderId="0" xfId="0" applyNumberFormat="1" applyFont="1" applyFill="1" applyBorder="1" applyAlignment="1">
      <alignment horizontal="left" vertical="top" wrapText="1"/>
    </xf>
    <xf numFmtId="167" fontId="3" fillId="0" borderId="0" xfId="0" applyNumberFormat="1" applyFont="1" applyFill="1" applyBorder="1" applyAlignment="1">
      <alignment horizontal="right" vertical="center" wrapText="1"/>
    </xf>
    <xf numFmtId="167" fontId="3" fillId="0" borderId="0" xfId="0" applyNumberFormat="1" applyFont="1" applyFill="1" applyBorder="1" applyAlignment="1">
      <alignment horizontal="right" vertical="top" wrapText="1"/>
    </xf>
    <xf numFmtId="167" fontId="4" fillId="0" borderId="0" xfId="0" applyNumberFormat="1" applyFont="1" applyFill="1" applyBorder="1" applyAlignment="1">
      <alignment horizontal="right" vertical="top" wrapText="1"/>
    </xf>
    <xf numFmtId="167" fontId="0" fillId="0" borderId="0" xfId="0" applyNumberFormat="1" applyFill="1" applyBorder="1" applyAlignment="1">
      <alignment vertical="top" wrapText="1"/>
    </xf>
    <xf numFmtId="167" fontId="0" fillId="0" borderId="0" xfId="0" applyNumberFormat="1" applyFill="1" applyBorder="1" applyAlignment="1">
      <alignment horizontal="right" vertical="center" wrapText="1"/>
    </xf>
    <xf numFmtId="167" fontId="0" fillId="0" borderId="0" xfId="0" applyNumberFormat="1" applyFill="1" applyBorder="1" applyAlignment="1">
      <alignment horizontal="right" vertical="top" wrapText="1"/>
    </xf>
    <xf numFmtId="167" fontId="5" fillId="0" borderId="0" xfId="2" applyNumberFormat="1" applyFill="1" applyBorder="1" applyAlignment="1">
      <alignment vertical="top" wrapText="1"/>
    </xf>
    <xf numFmtId="167" fontId="5" fillId="0" borderId="0" xfId="2" applyNumberFormat="1" applyFill="1" applyBorder="1" applyAlignment="1">
      <alignment horizontal="right" vertical="center" wrapText="1"/>
    </xf>
    <xf numFmtId="167" fontId="5" fillId="0" borderId="0" xfId="2" applyNumberFormat="1" applyFill="1" applyBorder="1" applyAlignment="1">
      <alignment horizontal="right" vertical="top" wrapText="1"/>
    </xf>
    <xf numFmtId="167" fontId="0" fillId="0" borderId="0" xfId="0" applyNumberFormat="1" applyFont="1" applyFill="1" applyBorder="1" applyAlignment="1">
      <alignment wrapText="1"/>
    </xf>
    <xf numFmtId="167" fontId="0" fillId="0" borderId="0" xfId="0" applyNumberFormat="1" applyFont="1" applyFill="1" applyBorder="1" applyAlignment="1">
      <alignment horizontal="right" vertical="center" wrapText="1"/>
    </xf>
    <xf numFmtId="167" fontId="0" fillId="0" borderId="0" xfId="0" applyNumberFormat="1" applyFont="1" applyFill="1" applyBorder="1" applyAlignment="1">
      <alignment horizontal="right" wrapText="1"/>
    </xf>
    <xf numFmtId="167" fontId="0" fillId="0" borderId="0" xfId="0" applyNumberFormat="1" applyFill="1" applyAlignment="1">
      <alignment wrapText="1"/>
    </xf>
    <xf numFmtId="167" fontId="0" fillId="0" borderId="0" xfId="0" applyNumberFormat="1" applyFill="1" applyAlignment="1">
      <alignment horizontal="right" vertical="center" wrapText="1"/>
    </xf>
    <xf numFmtId="167" fontId="0" fillId="0" borderId="0" xfId="0" applyNumberFormat="1" applyFill="1" applyAlignment="1">
      <alignment horizontal="right" wrapText="1"/>
    </xf>
    <xf numFmtId="167" fontId="0" fillId="0" borderId="0" xfId="0" applyNumberFormat="1" applyFill="1" applyAlignment="1">
      <alignment vertical="top" wrapText="1"/>
    </xf>
    <xf numFmtId="167" fontId="0" fillId="0" borderId="0" xfId="0" applyNumberFormat="1" applyFill="1" applyAlignment="1">
      <alignment horizontal="right" vertical="top" wrapText="1"/>
    </xf>
    <xf numFmtId="167" fontId="0" fillId="0" borderId="0" xfId="0" applyNumberFormat="1" applyFill="1" applyAlignment="1">
      <alignment horizontal="left" vertical="top" wrapText="1"/>
    </xf>
    <xf numFmtId="167" fontId="5" fillId="0" borderId="0" xfId="0" applyNumberFormat="1" applyFont="1" applyFill="1" applyBorder="1" applyAlignment="1">
      <alignment wrapText="1"/>
    </xf>
    <xf numFmtId="167" fontId="5" fillId="0" borderId="0" xfId="0" applyNumberFormat="1" applyFont="1" applyFill="1" applyBorder="1" applyAlignment="1">
      <alignment horizontal="right" vertical="center" wrapText="1"/>
    </xf>
    <xf numFmtId="167" fontId="5" fillId="0" borderId="0" xfId="0" applyNumberFormat="1" applyFont="1" applyFill="1" applyBorder="1" applyAlignment="1">
      <alignment horizontal="right" wrapText="1"/>
    </xf>
    <xf numFmtId="167" fontId="0" fillId="0" borderId="8" xfId="0" applyNumberFormat="1" applyFill="1" applyBorder="1" applyAlignment="1">
      <alignment horizontal="right" vertical="top" wrapText="1"/>
    </xf>
    <xf numFmtId="167" fontId="0" fillId="0" borderId="8" xfId="0" applyNumberFormat="1" applyFill="1" applyBorder="1" applyAlignment="1">
      <alignment horizontal="right" vertical="center" wrapText="1"/>
    </xf>
    <xf numFmtId="167" fontId="0" fillId="0" borderId="8" xfId="0" applyNumberFormat="1" applyFill="1" applyBorder="1" applyAlignment="1">
      <alignment horizontal="left" vertical="top" wrapText="1"/>
    </xf>
    <xf numFmtId="167" fontId="0" fillId="0" borderId="8" xfId="0" applyNumberFormat="1" applyFill="1" applyBorder="1" applyAlignment="1">
      <alignment vertical="top" wrapText="1"/>
    </xf>
    <xf numFmtId="167" fontId="5" fillId="0" borderId="8" xfId="2" applyNumberFormat="1" applyFill="1" applyBorder="1" applyAlignment="1">
      <alignment vertical="top" wrapText="1"/>
    </xf>
    <xf numFmtId="167" fontId="5" fillId="0" borderId="8" xfId="2" applyNumberFormat="1" applyFill="1" applyBorder="1" applyAlignment="1">
      <alignment horizontal="right" vertical="center" wrapText="1"/>
    </xf>
    <xf numFmtId="167" fontId="5" fillId="0" borderId="8" xfId="2" applyNumberFormat="1" applyFill="1" applyBorder="1" applyAlignment="1">
      <alignment horizontal="right" vertical="top" wrapText="1"/>
    </xf>
    <xf numFmtId="167" fontId="0" fillId="0" borderId="8" xfId="0" applyNumberFormat="1" applyFill="1" applyBorder="1" applyAlignment="1">
      <alignment horizontal="right" wrapText="1"/>
    </xf>
    <xf numFmtId="167" fontId="0" fillId="0" borderId="0" xfId="0" applyNumberFormat="1" applyFill="1" applyBorder="1" applyAlignment="1">
      <alignment horizontal="left" vertical="top" wrapText="1"/>
    </xf>
    <xf numFmtId="167" fontId="5" fillId="0" borderId="0" xfId="0" applyNumberFormat="1" applyFont="1" applyFill="1" applyBorder="1" applyAlignment="1">
      <alignment horizontal="right" vertical="top" wrapText="1"/>
    </xf>
    <xf numFmtId="167" fontId="9" fillId="0" borderId="0" xfId="0" applyNumberFormat="1" applyFont="1" applyFill="1" applyBorder="1" applyAlignment="1">
      <alignment wrapText="1"/>
    </xf>
    <xf numFmtId="167" fontId="9" fillId="0" borderId="0" xfId="0" applyNumberFormat="1" applyFont="1" applyFill="1" applyBorder="1" applyAlignment="1">
      <alignment horizontal="right" vertical="center" wrapText="1"/>
    </xf>
    <xf numFmtId="167" fontId="9" fillId="0" borderId="0" xfId="0" applyNumberFormat="1" applyFont="1" applyFill="1" applyBorder="1" applyAlignment="1">
      <alignment horizontal="right" wrapText="1"/>
    </xf>
    <xf numFmtId="167" fontId="9" fillId="0" borderId="0" xfId="0" applyNumberFormat="1" applyFont="1" applyFill="1" applyBorder="1" applyAlignment="1">
      <alignment horizontal="right" vertical="top" wrapText="1"/>
    </xf>
    <xf numFmtId="167" fontId="10" fillId="2" borderId="0" xfId="0" applyNumberFormat="1" applyFont="1" applyFill="1" applyAlignment="1">
      <alignment horizontal="right" vertical="top" wrapText="1"/>
    </xf>
    <xf numFmtId="167" fontId="10" fillId="2" borderId="0" xfId="0" applyNumberFormat="1" applyFont="1" applyFill="1" applyAlignment="1">
      <alignment horizontal="right" vertical="center" wrapText="1"/>
    </xf>
    <xf numFmtId="167" fontId="6" fillId="2" borderId="0" xfId="0" applyNumberFormat="1" applyFont="1" applyFill="1" applyAlignment="1">
      <alignment horizontal="right" vertical="top" wrapText="1"/>
    </xf>
    <xf numFmtId="3" fontId="0" fillId="5" borderId="4" xfId="0" applyNumberFormat="1" applyFill="1" applyBorder="1" applyAlignment="1">
      <alignment wrapText="1"/>
    </xf>
    <xf numFmtId="3" fontId="5" fillId="5" borderId="2" xfId="0" applyNumberFormat="1" applyFont="1" applyFill="1" applyBorder="1" applyAlignment="1">
      <alignment wrapText="1"/>
    </xf>
    <xf numFmtId="0" fontId="0" fillId="5" borderId="0" xfId="0" applyFill="1" applyAlignment="1">
      <alignment wrapText="1"/>
    </xf>
    <xf numFmtId="0" fontId="0" fillId="5" borderId="4" xfId="0" applyFill="1" applyBorder="1" applyAlignment="1">
      <alignment wrapText="1"/>
    </xf>
    <xf numFmtId="165" fontId="0" fillId="5" borderId="0" xfId="0" applyNumberFormat="1" applyFill="1" applyAlignment="1">
      <alignment wrapText="1"/>
    </xf>
    <xf numFmtId="6" fontId="0" fillId="5" borderId="4" xfId="0" applyNumberFormat="1" applyFill="1" applyBorder="1" applyAlignment="1">
      <alignment wrapText="1"/>
    </xf>
    <xf numFmtId="17" fontId="0" fillId="0" borderId="0" xfId="0" applyNumberFormat="1" applyFill="1" applyBorder="1" applyAlignment="1">
      <alignment horizontal="left" vertical="top" wrapText="1"/>
    </xf>
    <xf numFmtId="16" fontId="0" fillId="0" borderId="0" xfId="0" applyNumberFormat="1" applyFill="1" applyBorder="1" applyAlignment="1">
      <alignment horizontal="left" vertical="top" wrapText="1"/>
    </xf>
  </cellXfs>
  <cellStyles count="4">
    <cellStyle name="Normal" xfId="0" builtinId="0"/>
    <cellStyle name="Normal 2" xfId="2"/>
    <cellStyle name="Normal 3" xfId="1"/>
    <cellStyle name="Normal 3 2" xfId="3"/>
  </cellStyles>
  <dxfs count="45">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border diagonalUp="0" diagonalDown="0" outline="0">
        <left/>
        <right/>
        <top style="thin">
          <color auto="1"/>
        </top>
        <bottom/>
      </border>
    </dxf>
    <dxf>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border diagonalUp="0" diagonalDown="0" outline="0">
        <left/>
        <right/>
        <top style="thin">
          <color auto="1"/>
        </top>
        <bottom/>
      </border>
    </dxf>
    <dxf>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center"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167" formatCode="&quot;$&quot;#,##0.00"/>
      <fill>
        <patternFill patternType="solid">
          <fgColor indexed="64"/>
          <bgColor theme="6" tint="-0.249977111117893"/>
        </patternFill>
      </fill>
      <alignment horizontal="right" vertical="top" textRotation="0" wrapText="1" indent="0" justifyLastLine="0" shrinkToFit="0" readingOrder="0"/>
    </dxf>
    <dxf>
      <numFmt numFmtId="167" formatCode="&quot;$&quot;#,##0.00"/>
    </dxf>
    <dxf>
      <font>
        <b val="0"/>
        <i val="0"/>
        <strike val="0"/>
        <condense val="0"/>
        <extend val="0"/>
        <outline val="0"/>
        <shadow val="0"/>
        <u val="none"/>
        <vertAlign val="baseline"/>
        <sz val="10"/>
        <color theme="0"/>
        <name val="Arial"/>
        <scheme val="none"/>
      </font>
      <numFmt numFmtId="3" formatCode="#,##0"/>
      <fill>
        <patternFill patternType="solid">
          <fgColor indexed="64"/>
          <bgColor theme="6" tint="-0.249977111117893"/>
        </patternFill>
      </fill>
      <alignment horizontal="right" vertical="top" textRotation="0" wrapText="1" indent="0" justifyLastLine="0" shrinkToFit="0" readingOrder="0"/>
    </dxf>
    <dxf>
      <font>
        <b val="0"/>
        <i val="0"/>
        <strike val="0"/>
        <condense val="0"/>
        <extend val="0"/>
        <outline val="0"/>
        <shadow val="0"/>
        <u val="none"/>
        <vertAlign val="baseline"/>
        <sz val="10"/>
        <color theme="0"/>
        <name val="Arial"/>
        <scheme val="none"/>
      </font>
      <numFmt numFmtId="3" formatCode="#,##0"/>
      <fill>
        <patternFill patternType="solid">
          <fgColor indexed="64"/>
          <bgColor theme="6" tint="-0.249977111117893"/>
        </patternFill>
      </fill>
      <alignment horizontal="right"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numFmt numFmtId="166" formatCode="[$-409]mmmm\-yy;@"/>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general" vertical="top" textRotation="0" wrapText="1" indent="0" justifyLastLine="0" shrinkToFit="0" readingOrder="0"/>
    </dxf>
    <dxf>
      <font>
        <b val="0"/>
        <i val="0"/>
        <strike val="0"/>
        <condense val="0"/>
        <extend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font>
        <b val="0"/>
        <i val="0"/>
        <strike val="0"/>
        <condense val="0"/>
        <extend val="0"/>
        <outline val="0"/>
        <shadow val="0"/>
        <u val="none"/>
        <vertAlign val="baseline"/>
        <sz val="10"/>
        <color theme="0"/>
        <name val="Arial"/>
        <scheme val="none"/>
      </font>
      <numFmt numFmtId="164" formatCode="m/d/yyyy\ h:mm:ss;@"/>
      <fill>
        <patternFill patternType="solid">
          <fgColor indexed="64"/>
          <bgColor theme="6" tint="-0.249977111117893"/>
        </patternFill>
      </fill>
      <alignment horizontal="left" vertical="top" textRotation="0" wrapText="1" indent="0" justifyLastLine="0" shrinkToFit="0" readingOrder="0"/>
    </dxf>
    <dxf>
      <border outline="0">
        <top style="thin">
          <color indexed="64"/>
        </top>
      </border>
    </dxf>
    <dxf>
      <font>
        <strike val="0"/>
        <outline val="0"/>
        <shadow val="0"/>
        <u val="none"/>
        <vertAlign val="baseline"/>
        <sz val="10"/>
        <color theme="0"/>
        <name val="Arial"/>
        <scheme val="none"/>
      </font>
      <fill>
        <patternFill patternType="solid">
          <fgColor indexed="64"/>
          <bgColor theme="6" tint="-0.249977111117893"/>
        </patternFill>
      </fill>
      <alignment horizontal="left" vertical="top" textRotation="0" wrapText="1" indent="0" justifyLastLine="0" shrinkToFit="0" readingOrder="0"/>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rgb="FF000000"/>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9525</xdr:colOff>
      <xdr:row>2</xdr:row>
      <xdr:rowOff>19050</xdr:rowOff>
    </xdr:from>
    <xdr:to>
      <xdr:col>13</xdr:col>
      <xdr:colOff>19050</xdr:colOff>
      <xdr:row>26</xdr:row>
      <xdr:rowOff>28575</xdr:rowOff>
    </xdr:to>
    <xdr:sp macro="" textlink="">
      <xdr:nvSpPr>
        <xdr:cNvPr id="3" name="TextBox 2"/>
        <xdr:cNvSpPr txBox="1"/>
      </xdr:nvSpPr>
      <xdr:spPr>
        <a:xfrm>
          <a:off x="5095875" y="400050"/>
          <a:ext cx="5495925" cy="425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Public Program</a:t>
          </a:r>
          <a:r>
            <a:rPr lang="en-US" sz="1100"/>
            <a:t>: Ranger-led programs offered to the general public. This includes hikes, tours, talks, campfire programs, canoe trips, bike trips, living history, craft activities, demonstrations, Roving Ranger, Ask the Naturalist, and Junior Ranger Camp etc. Public programs typically serve small audiences - less than 100 visitors.</a:t>
          </a:r>
        </a:p>
        <a:p>
          <a:endParaRPr lang="en-US" sz="1100"/>
        </a:p>
        <a:p>
          <a:r>
            <a:rPr lang="en-US" sz="1100" b="1"/>
            <a:t>School Program </a:t>
          </a:r>
          <a:r>
            <a:rPr lang="en-US" sz="1100"/>
            <a:t>- includes children from public schools, private schools and home school groups that visit your site during the school year.</a:t>
          </a:r>
        </a:p>
        <a:p>
          <a:endParaRPr lang="en-US" sz="1100"/>
        </a:p>
        <a:p>
          <a:r>
            <a:rPr lang="en-US" sz="1100" b="1"/>
            <a:t>Group Program </a:t>
          </a:r>
          <a:r>
            <a:rPr lang="en-US" sz="1100"/>
            <a:t>- includes any prearranged group program other than school programs; may include daycare centers, youth groups, family reunions, corporate groups, special interest groups/clubs, bus tours or birthday parties.</a:t>
          </a:r>
        </a:p>
        <a:p>
          <a:endParaRPr lang="en-US" sz="1100"/>
        </a:p>
        <a:p>
          <a:r>
            <a:rPr lang="en-US" sz="1100" b="1"/>
            <a:t>Outreach</a:t>
          </a:r>
          <a:r>
            <a:rPr lang="en-US" sz="1100"/>
            <a:t> - includes any offsite program; may include schools, civic organizations etc.</a:t>
          </a:r>
        </a:p>
        <a:p>
          <a:endParaRPr lang="en-US" sz="1100"/>
        </a:p>
        <a:p>
          <a:r>
            <a:rPr lang="en-US" sz="1100" b="1"/>
            <a:t>Special Event </a:t>
          </a:r>
          <a:r>
            <a:rPr lang="en-US" sz="1100"/>
            <a:t>- BIG events that require a great deal of planning, preparation, staff involvement and time, and normally occur only on an annual basis. There are typically multiple activities/ programs happening through-out the event. Program attendees may not have direct contact with the interpreter. Examples include Festivals, Fourth of July Celebrations, etc.  Most sites have only a couple of Special Events each year.  These events typically serve large audiences - more than 100 visitors.</a:t>
          </a:r>
        </a:p>
        <a:p>
          <a:endParaRPr lang="en-US" sz="1100"/>
        </a:p>
        <a:p>
          <a:r>
            <a:rPr lang="en-US" sz="1100" b="1"/>
            <a:t>Intro to Site </a:t>
          </a:r>
          <a:r>
            <a:rPr lang="en-US" sz="1100"/>
            <a:t>- includes interpretive programs that serve as an introduction to the site, an introductory program presented prior to showing the video about your site and safety talks for rock climbing at Tallulah Gorge.  These short programs last 15 - 30 minutes.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371474</xdr:colOff>
      <xdr:row>27</xdr:row>
      <xdr:rowOff>19050</xdr:rowOff>
    </xdr:to>
    <xdr:sp macro="" textlink="">
      <xdr:nvSpPr>
        <xdr:cNvPr id="2" name="TextBox 1"/>
        <xdr:cNvSpPr txBox="1"/>
      </xdr:nvSpPr>
      <xdr:spPr>
        <a:xfrm>
          <a:off x="4953000" y="323850"/>
          <a:ext cx="5010149" cy="439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Public Program</a:t>
          </a:r>
          <a:r>
            <a:rPr lang="en-US" sz="1100"/>
            <a:t>: Ranger-led programs offered to the general public. This includes hikes, tours, talks, campfire programs, canoe trips, bike trips, living history, craft activities, demonstrations, Roving Ranger, Ask the Naturalist, and Junior Ranger Camp etc. Public programs typically serve small audiences - less than 100 visitors.</a:t>
          </a:r>
        </a:p>
        <a:p>
          <a:endParaRPr lang="en-US" sz="1100"/>
        </a:p>
        <a:p>
          <a:r>
            <a:rPr lang="en-US" sz="1100" b="1"/>
            <a:t>School Program </a:t>
          </a:r>
          <a:r>
            <a:rPr lang="en-US" sz="1100"/>
            <a:t>- includes children from public schools, private schools and home school groups that visit your site during the school year.</a:t>
          </a:r>
        </a:p>
        <a:p>
          <a:endParaRPr lang="en-US" sz="1100"/>
        </a:p>
        <a:p>
          <a:r>
            <a:rPr lang="en-US" sz="1100" b="1"/>
            <a:t>Group Program </a:t>
          </a:r>
          <a:r>
            <a:rPr lang="en-US" sz="1100"/>
            <a:t>- includes any prearranged group program other than school programs; may include daycare centers, youth groups, family reunions, corporate groups, special interest groups/clubs, bus tours or birthday parties.</a:t>
          </a:r>
        </a:p>
        <a:p>
          <a:endParaRPr lang="en-US" sz="1100"/>
        </a:p>
        <a:p>
          <a:r>
            <a:rPr lang="en-US" sz="1100" b="1"/>
            <a:t>Outreach</a:t>
          </a:r>
          <a:r>
            <a:rPr lang="en-US" sz="1100"/>
            <a:t> - includes any offsite program; may include schools, civic organizations etc.</a:t>
          </a:r>
        </a:p>
        <a:p>
          <a:endParaRPr lang="en-US" sz="1100"/>
        </a:p>
        <a:p>
          <a:r>
            <a:rPr lang="en-US" sz="1100" b="1"/>
            <a:t>Special Event </a:t>
          </a:r>
          <a:r>
            <a:rPr lang="en-US" sz="1100"/>
            <a:t>- BIG events that require a great deal of planning, preparation, staff involvement and time, and normally occur only on an annual basis. There are typically multiple activities/ programs happening through-out the event. Program attendees may not have direct contact with the interpreter. Examples include Festivals, Fourth of July Celebrations, etc.  Most sites have only a couple of Special Events each year.  These events typically serve large audiences - more than 100 visitors.</a:t>
          </a:r>
        </a:p>
        <a:p>
          <a:endParaRPr lang="en-US" sz="1100"/>
        </a:p>
        <a:p>
          <a:r>
            <a:rPr lang="en-US" sz="1100" b="1"/>
            <a:t>Intro to Site </a:t>
          </a:r>
          <a:r>
            <a:rPr lang="en-US" sz="1100"/>
            <a:t>- includes interpretive programs that serve as an introduction to the site, an introductory program presented prior to showing the video about your site and safety talks for rock climbing at Tallulah Gorge.  These short programs last 15 - 30 minutes.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371474</xdr:colOff>
      <xdr:row>27</xdr:row>
      <xdr:rowOff>19050</xdr:rowOff>
    </xdr:to>
    <xdr:sp macro="" textlink="">
      <xdr:nvSpPr>
        <xdr:cNvPr id="3" name="TextBox 2"/>
        <xdr:cNvSpPr txBox="1"/>
      </xdr:nvSpPr>
      <xdr:spPr>
        <a:xfrm>
          <a:off x="4972050" y="323850"/>
          <a:ext cx="5124449" cy="439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Public Program</a:t>
          </a:r>
          <a:r>
            <a:rPr lang="en-US" sz="1100"/>
            <a:t>: Ranger-led programs offered to the general public. This includes hikes, tours, talks, campfire programs, canoe trips, bike trips, living history, craft activities, demonstrations, Roving Ranger, Ask the Naturalist, and Junior Ranger Camp etc. Public programs typically serve small audiences - less than 100 visitors.</a:t>
          </a:r>
        </a:p>
        <a:p>
          <a:endParaRPr lang="en-US" sz="1100"/>
        </a:p>
        <a:p>
          <a:r>
            <a:rPr lang="en-US" sz="1100" b="1"/>
            <a:t>School Program </a:t>
          </a:r>
          <a:r>
            <a:rPr lang="en-US" sz="1100"/>
            <a:t>- includes children from public schools, private schools and home school groups that visit your site during the school year.</a:t>
          </a:r>
        </a:p>
        <a:p>
          <a:endParaRPr lang="en-US" sz="1100"/>
        </a:p>
        <a:p>
          <a:r>
            <a:rPr lang="en-US" sz="1100" b="1"/>
            <a:t>Group Program </a:t>
          </a:r>
          <a:r>
            <a:rPr lang="en-US" sz="1100"/>
            <a:t>- includes any prearranged group program other than school programs; may include daycare centers, youth groups, family reunions, corporate groups, special interest groups/clubs, bus tours or birthday parties.</a:t>
          </a:r>
        </a:p>
        <a:p>
          <a:endParaRPr lang="en-US" sz="1100"/>
        </a:p>
        <a:p>
          <a:r>
            <a:rPr lang="en-US" sz="1100" b="1"/>
            <a:t>Outreach</a:t>
          </a:r>
          <a:r>
            <a:rPr lang="en-US" sz="1100"/>
            <a:t> - includes any offsite program; may include schools, civic organizations etc.</a:t>
          </a:r>
        </a:p>
        <a:p>
          <a:endParaRPr lang="en-US" sz="1100"/>
        </a:p>
        <a:p>
          <a:r>
            <a:rPr lang="en-US" sz="1100" b="1"/>
            <a:t>Special Event </a:t>
          </a:r>
          <a:r>
            <a:rPr lang="en-US" sz="1100"/>
            <a:t>- BIG events that require a great deal of planning, preparation, staff involvement and time, and normally occur only on an annual basis. There are typically multiple activities/ programs happening through-out the event. Program attendees may not have direct contact with the interpreter. Examples include Festivals, Fourth of July Celebrations, etc.  Most sites have only a couple of Special Events each year.  These events typically serve large audiences - more than 100 visitors.</a:t>
          </a:r>
        </a:p>
        <a:p>
          <a:endParaRPr lang="en-US" sz="1100"/>
        </a:p>
        <a:p>
          <a:r>
            <a:rPr lang="en-US" sz="1100" b="1"/>
            <a:t>Intro to Site </a:t>
          </a:r>
          <a:r>
            <a:rPr lang="en-US" sz="1100"/>
            <a:t>- includes interpretive programs that serve as an introduction to the site, an introductory program presented prior to showing the video about your site and safety talks for rock climbing at Tallulah Gorge.  These short programs last 15 - 30 minutes.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600074</xdr:colOff>
      <xdr:row>3</xdr:row>
      <xdr:rowOff>180975</xdr:rowOff>
    </xdr:from>
    <xdr:to>
      <xdr:col>13</xdr:col>
      <xdr:colOff>609599</xdr:colOff>
      <xdr:row>27</xdr:row>
      <xdr:rowOff>19050</xdr:rowOff>
    </xdr:to>
    <xdr:sp macro="" textlink="">
      <xdr:nvSpPr>
        <xdr:cNvPr id="2" name="TextBox 1"/>
        <xdr:cNvSpPr txBox="1"/>
      </xdr:nvSpPr>
      <xdr:spPr>
        <a:xfrm>
          <a:off x="5353049" y="723900"/>
          <a:ext cx="5495925" cy="425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Public Program</a:t>
          </a:r>
          <a:r>
            <a:rPr lang="en-US" sz="1100"/>
            <a:t>: Ranger-led programs offered to the general public. This includes hikes, tours, talks, campfire programs, canoe trips, bike trips, living history, craft activities, demonstrations, Roving Ranger, Ask the Naturalist, and Junior Ranger Camp etc. Public programs typically serve small audiences - less than 100 visitors.</a:t>
          </a:r>
        </a:p>
        <a:p>
          <a:endParaRPr lang="en-US" sz="1100"/>
        </a:p>
        <a:p>
          <a:r>
            <a:rPr lang="en-US" sz="1100" b="1"/>
            <a:t>School Program </a:t>
          </a:r>
          <a:r>
            <a:rPr lang="en-US" sz="1100"/>
            <a:t>- includes children from public schools, private schools and home school groups that visit your site during the school year.</a:t>
          </a:r>
        </a:p>
        <a:p>
          <a:endParaRPr lang="en-US" sz="1100"/>
        </a:p>
        <a:p>
          <a:r>
            <a:rPr lang="en-US" sz="1100" b="1"/>
            <a:t>Group Program </a:t>
          </a:r>
          <a:r>
            <a:rPr lang="en-US" sz="1100"/>
            <a:t>- includes any prearranged group program other than school programs; may include daycare centers, youth groups, family reunions, corporate groups, special interest groups/clubs, bus tours or birthday parties.</a:t>
          </a:r>
        </a:p>
        <a:p>
          <a:endParaRPr lang="en-US" sz="1100"/>
        </a:p>
        <a:p>
          <a:r>
            <a:rPr lang="en-US" sz="1100" b="1"/>
            <a:t>Outreach</a:t>
          </a:r>
          <a:r>
            <a:rPr lang="en-US" sz="1100"/>
            <a:t> - includes any offsite program; may include schools, civic organizations etc.</a:t>
          </a:r>
        </a:p>
        <a:p>
          <a:endParaRPr lang="en-US" sz="1100"/>
        </a:p>
        <a:p>
          <a:r>
            <a:rPr lang="en-US" sz="1100" b="1"/>
            <a:t>Special Event </a:t>
          </a:r>
          <a:r>
            <a:rPr lang="en-US" sz="1100"/>
            <a:t>- are BIG events that require a great deal of planning, preparation, staff involvement and time, and normally occur only on an annual basis. There are typically multiple activities/ programs happening through-out the event. Program attendees may not have direct contact with the interpreter. Examples include Festivals, Fourth of July Celebrations, etc.  Most sites have only a couple of Special Events each year.  These events typically serve large audiences - more than 100 visitors.</a:t>
          </a:r>
        </a:p>
        <a:p>
          <a:endParaRPr lang="en-US" sz="1100"/>
        </a:p>
        <a:p>
          <a:r>
            <a:rPr lang="en-US" sz="1100" b="1"/>
            <a:t>Intro to Site </a:t>
          </a:r>
          <a:r>
            <a:rPr lang="en-US" sz="1100"/>
            <a:t>- includes interpretive programs that serve as an introduction to the site, an introductory program presented prior to showing the video about your site and safety talks for rock climbing at Tallulah Gorge.  These are short programs that last 15 - 30 minutes.</a:t>
          </a:r>
        </a:p>
      </xdr:txBody>
    </xdr:sp>
    <xdr:clientData/>
  </xdr:twoCellAnchor>
</xdr:wsDr>
</file>

<file path=xl/tables/table1.xml><?xml version="1.0" encoding="utf-8"?>
<table xmlns="http://schemas.openxmlformats.org/spreadsheetml/2006/main" id="1" name="Table1" displayName="Table1" ref="A1:AA3926" totalsRowCount="1" headerRowDxfId="44" dataDxfId="42" totalsRowDxfId="40" headerRowBorderDxfId="43" tableBorderDxfId="41" totalsRowBorderDxfId="39">
  <autoFilter ref="A1:AA3925"/>
  <sortState ref="A42:Y3366">
    <sortCondition ref="A1:A3471"/>
  </sortState>
  <tableColumns count="27">
    <tableColumn id="1" name="Timestamp" totalsRowDxfId="38"/>
    <tableColumn id="2" name="Region" totalsRowDxfId="37"/>
    <tableColumn id="3" name="Site Name" totalsRowDxfId="36"/>
    <tableColumn id="4" name="Month/Year" totalsRowDxfId="35"/>
    <tableColumn id="5" name="Day &amp; Time" totalsRowDxfId="34"/>
    <tableColumn id="6" name="Program Title or Group Name" totalsRowDxfId="33"/>
    <tableColumn id="7" name="Program Type" totalsRowDxfId="32"/>
    <tableColumn id="8" name="Program Description" totalsRowDxfId="31"/>
    <tableColumn id="22" name="Program Presenter" totalsRowDxfId="30"/>
    <tableColumn id="9" name="# Programs" totalsRowFunction="sum" totalsRowDxfId="29"/>
    <tableColumn id="10" name="Attendance" totalsRowFunction="sum" totalsRowDxfId="28"/>
    <tableColumn id="11" name="Program Fee Revenue" totalsRowFunction="sum" dataDxfId="27" totalsRowDxfId="26"/>
    <tableColumn id="12" name="Did this program generate indirect revenue?" totalsRowFunction="sum" dataDxfId="25" totalsRowDxfId="24"/>
    <tableColumn id="13" name="Historic Site Admission" totalsRowFunction="sum" dataDxfId="23" totalsRowDxfId="22"/>
    <tableColumn id="14" name="Park Pass" totalsRowFunction="sum" dataDxfId="21" totalsRowDxfId="20"/>
    <tableColumn id="15" name="Gift Shop Sales" totalsRowFunction="sum" dataDxfId="19" totalsRowDxfId="18"/>
    <tableColumn id="16" name="Camping" totalsRowFunction="sum" dataDxfId="17" totalsRowDxfId="16"/>
    <tableColumn id="17" name="Cabins" totalsRowFunction="sum" dataDxfId="15" totalsRowDxfId="14"/>
    <tableColumn id="18" name="Revenue to Friends" totalsRowFunction="sum" dataDxfId="13" totalsRowDxfId="12"/>
    <tableColumn id="19" name="Other Indirect Revenue" totalsRowFunction="sum" dataDxfId="11" totalsRowDxfId="10"/>
    <tableColumn id="20" name=" Cost" totalsRowFunction="sum" dataDxfId="9" totalsRowDxfId="8"/>
    <tableColumn id="21" name="Comments" totalsRowFunction="sum" totalsRowDxfId="7"/>
    <tableColumn id="23" name="Column1" totalsRowDxfId="6"/>
    <tableColumn id="24" name="Column2" totalsRowDxfId="5"/>
    <tableColumn id="25" name="Column3" totalsRowDxfId="4"/>
    <tableColumn id="26" name="Column4" dataDxfId="3" totalsRowDxfId="2"/>
    <tableColumn id="27" name="Column5" dataDxfId="1" totalsRow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AA3926"/>
  <sheetViews>
    <sheetView tabSelected="1" workbookViewId="0">
      <pane ySplit="1" topLeftCell="A3765" activePane="bottomLeft" state="frozen"/>
      <selection pane="bottomLeft" activeCell="M3929" sqref="M3929"/>
    </sheetView>
  </sheetViews>
  <sheetFormatPr defaultColWidth="17.140625" defaultRowHeight="15" customHeight="1" x14ac:dyDescent="0.2"/>
  <cols>
    <col min="1" max="1" width="18.140625" style="91" bestFit="1" customWidth="1"/>
    <col min="2" max="2" width="9.85546875" style="91" customWidth="1"/>
    <col min="3" max="3" width="18" style="26" customWidth="1"/>
    <col min="4" max="4" width="14.85546875" style="33" customWidth="1"/>
    <col min="5" max="5" width="56" style="91" bestFit="1" customWidth="1"/>
    <col min="6" max="6" width="25.42578125" style="91" customWidth="1"/>
    <col min="7" max="7" width="16.7109375" style="91" customWidth="1"/>
    <col min="8" max="8" width="22.85546875" style="91" customWidth="1"/>
    <col min="9" max="9" width="18.85546875" style="91" customWidth="1"/>
    <col min="10" max="11" width="11.42578125" style="46" customWidth="1"/>
    <col min="12" max="12" width="12.7109375" style="162" customWidth="1"/>
    <col min="13" max="13" width="17.140625" style="137" customWidth="1"/>
    <col min="14" max="14" width="13" style="138" customWidth="1"/>
    <col min="15" max="15" width="10.42578125" style="138" customWidth="1"/>
    <col min="16" max="16" width="11" style="138" customWidth="1"/>
    <col min="17" max="17" width="12" style="138" customWidth="1"/>
    <col min="18" max="18" width="10.140625" style="138" customWidth="1"/>
    <col min="19" max="19" width="11.28515625" style="138" customWidth="1"/>
    <col min="20" max="20" width="14.28515625" style="138" customWidth="1"/>
    <col min="21" max="21" width="12.140625" style="138" customWidth="1"/>
    <col min="22" max="22" width="104" style="91" customWidth="1"/>
    <col min="23" max="16384" width="17.140625" style="91"/>
  </cols>
  <sheetData>
    <row r="1" spans="1:27" ht="23.25" customHeight="1" x14ac:dyDescent="0.2">
      <c r="A1" s="96" t="s">
        <v>0</v>
      </c>
      <c r="B1" s="96" t="s">
        <v>1</v>
      </c>
      <c r="C1" s="111" t="s">
        <v>2</v>
      </c>
      <c r="D1" s="66" t="s">
        <v>1247</v>
      </c>
      <c r="E1" s="90" t="s">
        <v>1248</v>
      </c>
      <c r="F1" s="90" t="s">
        <v>3</v>
      </c>
      <c r="G1" s="90" t="s">
        <v>4</v>
      </c>
      <c r="H1" s="90" t="s">
        <v>5</v>
      </c>
      <c r="I1" s="90" t="s">
        <v>2804</v>
      </c>
      <c r="J1" s="114" t="s">
        <v>1251</v>
      </c>
      <c r="K1" s="114" t="s">
        <v>1249</v>
      </c>
      <c r="L1" s="132" t="s">
        <v>6</v>
      </c>
      <c r="M1" s="133" t="s">
        <v>7</v>
      </c>
      <c r="N1" s="134" t="s">
        <v>8</v>
      </c>
      <c r="O1" s="134" t="s">
        <v>9</v>
      </c>
      <c r="P1" s="134" t="s">
        <v>10</v>
      </c>
      <c r="Q1" s="134" t="s">
        <v>11</v>
      </c>
      <c r="R1" s="134" t="s">
        <v>12</v>
      </c>
      <c r="S1" s="134" t="s">
        <v>13</v>
      </c>
      <c r="T1" s="134" t="s">
        <v>14</v>
      </c>
      <c r="U1" s="135" t="s">
        <v>1250</v>
      </c>
      <c r="V1" s="96" t="s">
        <v>15</v>
      </c>
      <c r="W1" s="98" t="s">
        <v>5148</v>
      </c>
      <c r="X1" s="98" t="s">
        <v>5149</v>
      </c>
      <c r="Y1" s="98" t="s">
        <v>5150</v>
      </c>
      <c r="Z1" s="98" t="s">
        <v>8498</v>
      </c>
      <c r="AA1" s="98" t="s">
        <v>8499</v>
      </c>
    </row>
    <row r="2" spans="1:27" s="26" customFormat="1" ht="15" customHeight="1" x14ac:dyDescent="0.2">
      <c r="A2" s="37">
        <v>41492.447418981479</v>
      </c>
      <c r="B2" s="26" t="s">
        <v>16</v>
      </c>
      <c r="C2" s="34" t="s">
        <v>799</v>
      </c>
      <c r="D2" s="33">
        <v>41456</v>
      </c>
      <c r="E2" s="26" t="s">
        <v>800</v>
      </c>
      <c r="F2" s="26" t="s">
        <v>801</v>
      </c>
      <c r="G2" s="26" t="s">
        <v>42</v>
      </c>
      <c r="H2" s="26" t="s">
        <v>802</v>
      </c>
      <c r="J2" s="115">
        <v>4</v>
      </c>
      <c r="K2" s="115">
        <v>32</v>
      </c>
      <c r="L2" s="136">
        <v>160</v>
      </c>
      <c r="M2" s="137" t="s">
        <v>44</v>
      </c>
      <c r="N2" s="138"/>
      <c r="O2" s="138"/>
      <c r="P2" s="138">
        <v>8</v>
      </c>
      <c r="Q2" s="138"/>
      <c r="R2" s="138"/>
      <c r="S2" s="138"/>
      <c r="T2" s="138"/>
      <c r="U2" s="138"/>
    </row>
    <row r="3" spans="1:27" s="26" customFormat="1" ht="15" customHeight="1" x14ac:dyDescent="0.2">
      <c r="A3" s="37">
        <v>41492.448807870402</v>
      </c>
      <c r="B3" s="26" t="s">
        <v>16</v>
      </c>
      <c r="C3" s="26" t="s">
        <v>799</v>
      </c>
      <c r="D3" s="33">
        <v>41456</v>
      </c>
      <c r="E3" s="26" t="s">
        <v>803</v>
      </c>
      <c r="F3" s="26" t="s">
        <v>804</v>
      </c>
      <c r="G3" s="26" t="s">
        <v>42</v>
      </c>
      <c r="H3" s="26" t="s">
        <v>805</v>
      </c>
      <c r="J3" s="115">
        <v>1</v>
      </c>
      <c r="K3" s="115">
        <v>12</v>
      </c>
      <c r="L3" s="136"/>
      <c r="M3" s="137" t="s">
        <v>22</v>
      </c>
      <c r="N3" s="138"/>
      <c r="O3" s="138"/>
      <c r="P3" s="138"/>
      <c r="Q3" s="138"/>
      <c r="R3" s="138"/>
      <c r="S3" s="138"/>
      <c r="T3" s="138"/>
      <c r="U3" s="138"/>
    </row>
    <row r="4" spans="1:27" s="26" customFormat="1" ht="15" customHeight="1" x14ac:dyDescent="0.2">
      <c r="A4" s="38">
        <v>41521.359375</v>
      </c>
      <c r="B4" s="29" t="s">
        <v>16</v>
      </c>
      <c r="C4" s="29" t="s">
        <v>799</v>
      </c>
      <c r="D4" s="30">
        <v>41487</v>
      </c>
      <c r="E4" s="31" t="s">
        <v>1580</v>
      </c>
      <c r="F4" s="29" t="s">
        <v>1581</v>
      </c>
      <c r="G4" s="29" t="s">
        <v>42</v>
      </c>
      <c r="H4" s="29" t="s">
        <v>1582</v>
      </c>
      <c r="I4" s="29"/>
      <c r="J4" s="116">
        <v>1</v>
      </c>
      <c r="K4" s="116">
        <v>10</v>
      </c>
      <c r="L4" s="139">
        <v>50</v>
      </c>
      <c r="M4" s="140" t="s">
        <v>22</v>
      </c>
      <c r="N4" s="141"/>
      <c r="O4" s="141"/>
      <c r="P4" s="141"/>
      <c r="Q4" s="141"/>
      <c r="R4" s="141"/>
      <c r="S4" s="141"/>
      <c r="T4" s="141"/>
      <c r="U4" s="141"/>
      <c r="V4" s="29"/>
    </row>
    <row r="5" spans="1:27" s="26" customFormat="1" ht="15" customHeight="1" x14ac:dyDescent="0.2">
      <c r="A5" s="38">
        <v>41521.360613425924</v>
      </c>
      <c r="B5" s="29" t="s">
        <v>16</v>
      </c>
      <c r="C5" s="29" t="s">
        <v>799</v>
      </c>
      <c r="D5" s="30">
        <v>41487</v>
      </c>
      <c r="E5" s="31" t="s">
        <v>1583</v>
      </c>
      <c r="F5" s="29" t="s">
        <v>1584</v>
      </c>
      <c r="G5" s="29" t="s">
        <v>42</v>
      </c>
      <c r="H5" s="29" t="s">
        <v>1585</v>
      </c>
      <c r="I5" s="29"/>
      <c r="J5" s="116">
        <v>2</v>
      </c>
      <c r="K5" s="116">
        <v>17</v>
      </c>
      <c r="L5" s="139">
        <v>85</v>
      </c>
      <c r="M5" s="140" t="s">
        <v>44</v>
      </c>
      <c r="N5" s="141"/>
      <c r="O5" s="141"/>
      <c r="P5" s="141">
        <v>2</v>
      </c>
      <c r="Q5" s="141"/>
      <c r="R5" s="141"/>
      <c r="S5" s="141"/>
      <c r="T5" s="141"/>
      <c r="U5" s="141"/>
      <c r="V5" s="29"/>
    </row>
    <row r="6" spans="1:27" s="26" customFormat="1" ht="15" customHeight="1" x14ac:dyDescent="0.2">
      <c r="A6" s="38">
        <v>41521.362442129626</v>
      </c>
      <c r="B6" s="29" t="s">
        <v>16</v>
      </c>
      <c r="C6" s="29" t="s">
        <v>799</v>
      </c>
      <c r="D6" s="30">
        <v>41487</v>
      </c>
      <c r="E6" s="31" t="s">
        <v>1583</v>
      </c>
      <c r="F6" s="29" t="s">
        <v>1586</v>
      </c>
      <c r="G6" s="29" t="s">
        <v>42</v>
      </c>
      <c r="H6" s="29" t="s">
        <v>1587</v>
      </c>
      <c r="I6" s="29"/>
      <c r="J6" s="116">
        <v>1</v>
      </c>
      <c r="K6" s="116">
        <v>9</v>
      </c>
      <c r="L6" s="139">
        <v>45</v>
      </c>
      <c r="M6" s="140" t="s">
        <v>22</v>
      </c>
      <c r="N6" s="141"/>
      <c r="O6" s="141"/>
      <c r="P6" s="141"/>
      <c r="Q6" s="141"/>
      <c r="R6" s="141"/>
      <c r="S6" s="141"/>
      <c r="T6" s="141"/>
      <c r="U6" s="141"/>
      <c r="V6" s="29"/>
    </row>
    <row r="7" spans="1:27" s="26" customFormat="1" ht="15" customHeight="1" x14ac:dyDescent="0.2">
      <c r="A7" s="32">
        <v>41551.629421296297</v>
      </c>
      <c r="B7" s="26" t="s">
        <v>16</v>
      </c>
      <c r="C7" s="26" t="s">
        <v>799</v>
      </c>
      <c r="D7" s="30">
        <v>41518</v>
      </c>
      <c r="E7" s="26" t="s">
        <v>2441</v>
      </c>
      <c r="F7" s="26" t="s">
        <v>801</v>
      </c>
      <c r="G7" s="26" t="s">
        <v>42</v>
      </c>
      <c r="H7" s="26" t="s">
        <v>2442</v>
      </c>
      <c r="J7" s="46">
        <v>1</v>
      </c>
      <c r="K7" s="46">
        <v>10</v>
      </c>
      <c r="L7" s="136">
        <v>50</v>
      </c>
      <c r="M7" s="137" t="s">
        <v>22</v>
      </c>
      <c r="N7" s="138"/>
      <c r="O7" s="138"/>
      <c r="P7" s="138"/>
      <c r="Q7" s="138"/>
      <c r="R7" s="138"/>
      <c r="S7" s="138"/>
      <c r="T7" s="138"/>
      <c r="U7" s="138"/>
    </row>
    <row r="8" spans="1:27" s="26" customFormat="1" ht="15" customHeight="1" x14ac:dyDescent="0.2">
      <c r="A8" s="32">
        <v>41551.630243055559</v>
      </c>
      <c r="B8" s="26" t="s">
        <v>16</v>
      </c>
      <c r="C8" s="26" t="s">
        <v>799</v>
      </c>
      <c r="D8" s="30">
        <v>41518</v>
      </c>
      <c r="E8" s="26" t="s">
        <v>2441</v>
      </c>
      <c r="F8" s="26" t="s">
        <v>801</v>
      </c>
      <c r="G8" s="26" t="s">
        <v>42</v>
      </c>
      <c r="H8" s="26" t="s">
        <v>1582</v>
      </c>
      <c r="J8" s="46">
        <v>1</v>
      </c>
      <c r="K8" s="46">
        <v>9</v>
      </c>
      <c r="L8" s="136">
        <v>45</v>
      </c>
      <c r="M8" s="137" t="s">
        <v>44</v>
      </c>
      <c r="N8" s="138"/>
      <c r="O8" s="138"/>
      <c r="P8" s="138">
        <v>3</v>
      </c>
      <c r="Q8" s="138"/>
      <c r="R8" s="138"/>
      <c r="S8" s="138"/>
      <c r="T8" s="138"/>
      <c r="U8" s="138"/>
    </row>
    <row r="9" spans="1:27" s="26" customFormat="1" ht="15" customHeight="1" x14ac:dyDescent="0.2">
      <c r="A9" s="32">
        <v>41551.630937499998</v>
      </c>
      <c r="B9" s="26" t="s">
        <v>16</v>
      </c>
      <c r="C9" s="26" t="s">
        <v>799</v>
      </c>
      <c r="D9" s="30">
        <v>41518</v>
      </c>
      <c r="E9" s="26" t="s">
        <v>2443</v>
      </c>
      <c r="F9" s="26" t="s">
        <v>801</v>
      </c>
      <c r="G9" s="26" t="s">
        <v>42</v>
      </c>
      <c r="H9" s="26" t="s">
        <v>2444</v>
      </c>
      <c r="J9" s="46">
        <v>1</v>
      </c>
      <c r="K9" s="46">
        <v>9</v>
      </c>
      <c r="L9" s="136">
        <v>45</v>
      </c>
      <c r="M9" s="137" t="s">
        <v>22</v>
      </c>
      <c r="N9" s="138"/>
      <c r="O9" s="138"/>
      <c r="P9" s="138"/>
      <c r="Q9" s="138"/>
      <c r="R9" s="138"/>
      <c r="S9" s="138"/>
      <c r="T9" s="138"/>
      <c r="U9" s="138"/>
    </row>
    <row r="10" spans="1:27" s="26" customFormat="1" ht="15" customHeight="1" x14ac:dyDescent="0.2">
      <c r="A10" s="32">
        <v>41551.631805555553</v>
      </c>
      <c r="B10" s="26" t="s">
        <v>16</v>
      </c>
      <c r="C10" s="26" t="s">
        <v>799</v>
      </c>
      <c r="D10" s="30">
        <v>41518</v>
      </c>
      <c r="E10" s="26" t="s">
        <v>2445</v>
      </c>
      <c r="F10" s="26" t="s">
        <v>801</v>
      </c>
      <c r="G10" s="26" t="s">
        <v>42</v>
      </c>
      <c r="H10" s="26" t="s">
        <v>2446</v>
      </c>
      <c r="J10" s="46">
        <v>1</v>
      </c>
      <c r="K10" s="46">
        <v>10</v>
      </c>
      <c r="L10" s="136">
        <v>50</v>
      </c>
      <c r="M10" s="137" t="s">
        <v>22</v>
      </c>
      <c r="N10" s="138"/>
      <c r="O10" s="138"/>
      <c r="P10" s="138"/>
      <c r="Q10" s="138"/>
      <c r="R10" s="138"/>
      <c r="S10" s="138"/>
      <c r="T10" s="138"/>
      <c r="U10" s="138"/>
    </row>
    <row r="11" spans="1:27" s="26" customFormat="1" ht="15" customHeight="1" x14ac:dyDescent="0.2">
      <c r="A11" s="32">
        <v>41551.634560185186</v>
      </c>
      <c r="B11" s="26" t="s">
        <v>16</v>
      </c>
      <c r="C11" s="26" t="s">
        <v>799</v>
      </c>
      <c r="D11" s="30">
        <v>41518</v>
      </c>
      <c r="E11" s="26" t="s">
        <v>2447</v>
      </c>
      <c r="F11" s="26" t="s">
        <v>2448</v>
      </c>
      <c r="G11" s="26" t="s">
        <v>156</v>
      </c>
      <c r="H11" s="26" t="s">
        <v>2449</v>
      </c>
      <c r="J11" s="46">
        <v>1</v>
      </c>
      <c r="K11" s="46">
        <v>58</v>
      </c>
      <c r="L11" s="136"/>
      <c r="M11" s="137" t="s">
        <v>44</v>
      </c>
      <c r="N11" s="138"/>
      <c r="O11" s="138">
        <v>50</v>
      </c>
      <c r="P11" s="138"/>
      <c r="Q11" s="138"/>
      <c r="R11" s="138"/>
      <c r="S11" s="138"/>
      <c r="T11" s="138"/>
      <c r="U11" s="138"/>
    </row>
    <row r="12" spans="1:27" s="26" customFormat="1" ht="15" customHeight="1" x14ac:dyDescent="0.2">
      <c r="A12" s="48">
        <v>41584.526875000003</v>
      </c>
      <c r="B12" s="49" t="s">
        <v>16</v>
      </c>
      <c r="C12" s="50" t="s">
        <v>799</v>
      </c>
      <c r="D12" s="67">
        <v>41579</v>
      </c>
      <c r="E12" s="50" t="s">
        <v>2806</v>
      </c>
      <c r="F12" s="50" t="s">
        <v>2937</v>
      </c>
      <c r="G12" s="49" t="s">
        <v>42</v>
      </c>
      <c r="H12" s="50" t="s">
        <v>2938</v>
      </c>
      <c r="I12" s="50"/>
      <c r="J12" s="117">
        <v>1</v>
      </c>
      <c r="K12" s="117"/>
      <c r="L12" s="142">
        <v>45</v>
      </c>
      <c r="M12" s="143" t="s">
        <v>44</v>
      </c>
      <c r="N12" s="144"/>
      <c r="O12" s="144"/>
      <c r="P12" s="144">
        <v>1</v>
      </c>
      <c r="Q12" s="144"/>
      <c r="R12" s="144"/>
      <c r="S12" s="144"/>
      <c r="T12" s="144"/>
      <c r="U12" s="144"/>
      <c r="V12" s="50"/>
    </row>
    <row r="13" spans="1:27" s="26" customFormat="1" ht="15" customHeight="1" x14ac:dyDescent="0.2">
      <c r="A13" s="48">
        <v>41592.425243055601</v>
      </c>
      <c r="B13" s="49" t="s">
        <v>16</v>
      </c>
      <c r="C13" s="50" t="s">
        <v>799</v>
      </c>
      <c r="D13" s="67">
        <v>41579</v>
      </c>
      <c r="E13" s="50" t="s">
        <v>3003</v>
      </c>
      <c r="F13" s="34" t="s">
        <v>3004</v>
      </c>
      <c r="G13" s="49" t="s">
        <v>42</v>
      </c>
      <c r="H13" s="50" t="s">
        <v>3005</v>
      </c>
      <c r="I13" s="50" t="s">
        <v>3001</v>
      </c>
      <c r="J13" s="117">
        <v>1</v>
      </c>
      <c r="K13" s="117">
        <v>10</v>
      </c>
      <c r="L13" s="142">
        <v>50</v>
      </c>
      <c r="M13" s="143" t="s">
        <v>22</v>
      </c>
      <c r="N13" s="144"/>
      <c r="O13" s="144"/>
      <c r="P13" s="144"/>
      <c r="Q13" s="144"/>
      <c r="R13" s="144"/>
      <c r="S13" s="144"/>
      <c r="T13" s="144"/>
      <c r="U13" s="144"/>
      <c r="V13" s="50"/>
    </row>
    <row r="14" spans="1:27" s="26" customFormat="1" ht="15" customHeight="1" x14ac:dyDescent="0.2">
      <c r="A14" s="48">
        <v>41599.390405092599</v>
      </c>
      <c r="B14" s="49" t="s">
        <v>16</v>
      </c>
      <c r="C14" s="50" t="s">
        <v>799</v>
      </c>
      <c r="D14" s="67">
        <v>41579</v>
      </c>
      <c r="E14" s="50" t="s">
        <v>3003</v>
      </c>
      <c r="F14" s="50" t="s">
        <v>3070</v>
      </c>
      <c r="G14" s="49" t="s">
        <v>42</v>
      </c>
      <c r="H14" s="50" t="s">
        <v>3071</v>
      </c>
      <c r="I14" s="50" t="s">
        <v>3001</v>
      </c>
      <c r="J14" s="117">
        <v>1</v>
      </c>
      <c r="K14" s="117">
        <v>10</v>
      </c>
      <c r="L14" s="142">
        <v>50</v>
      </c>
      <c r="M14" s="143" t="s">
        <v>22</v>
      </c>
      <c r="N14" s="144"/>
      <c r="O14" s="144"/>
      <c r="P14" s="144"/>
      <c r="Q14" s="144"/>
      <c r="R14" s="144"/>
      <c r="S14" s="144"/>
      <c r="T14" s="144"/>
      <c r="U14" s="144"/>
      <c r="V14" s="50"/>
    </row>
    <row r="15" spans="1:27" s="26" customFormat="1" ht="15" customHeight="1" x14ac:dyDescent="0.2">
      <c r="A15" s="32">
        <v>41613.39576388889</v>
      </c>
      <c r="B15" s="26" t="s">
        <v>16</v>
      </c>
      <c r="C15" s="26" t="s">
        <v>799</v>
      </c>
      <c r="D15" s="68">
        <v>41609</v>
      </c>
      <c r="E15" s="26" t="s">
        <v>2806</v>
      </c>
      <c r="F15" s="26" t="s">
        <v>801</v>
      </c>
      <c r="G15" s="26" t="s">
        <v>42</v>
      </c>
      <c r="H15" s="26" t="s">
        <v>1582</v>
      </c>
      <c r="I15" s="26" t="s">
        <v>3001</v>
      </c>
      <c r="J15" s="46">
        <v>1</v>
      </c>
      <c r="K15" s="46">
        <v>10</v>
      </c>
      <c r="L15" s="136">
        <v>50</v>
      </c>
      <c r="M15" s="137" t="s">
        <v>22</v>
      </c>
      <c r="N15" s="138"/>
      <c r="O15" s="138"/>
      <c r="P15" s="138"/>
      <c r="Q15" s="138"/>
      <c r="R15" s="138"/>
      <c r="S15" s="138"/>
      <c r="T15" s="138"/>
      <c r="U15" s="138"/>
    </row>
    <row r="16" spans="1:27" s="26" customFormat="1" ht="15" customHeight="1" x14ac:dyDescent="0.2">
      <c r="A16" s="32">
        <v>41618.368414351855</v>
      </c>
      <c r="B16" s="26" t="s">
        <v>16</v>
      </c>
      <c r="C16" s="26" t="s">
        <v>799</v>
      </c>
      <c r="D16" s="68">
        <v>41609</v>
      </c>
      <c r="E16" s="26" t="s">
        <v>3250</v>
      </c>
      <c r="F16" s="26" t="s">
        <v>3728</v>
      </c>
      <c r="G16" s="26" t="s">
        <v>26</v>
      </c>
      <c r="H16" s="26" t="s">
        <v>3729</v>
      </c>
      <c r="I16" s="26" t="s">
        <v>2926</v>
      </c>
      <c r="J16" s="46">
        <v>1</v>
      </c>
      <c r="K16" s="46">
        <v>7</v>
      </c>
      <c r="L16" s="136">
        <v>57.97</v>
      </c>
      <c r="M16" s="137" t="s">
        <v>44</v>
      </c>
      <c r="N16" s="138">
        <v>33.479999999999997</v>
      </c>
      <c r="O16" s="138"/>
      <c r="P16" s="138">
        <v>24.49</v>
      </c>
      <c r="Q16" s="138"/>
      <c r="R16" s="138"/>
      <c r="S16" s="138"/>
      <c r="T16" s="138"/>
      <c r="U16" s="138"/>
    </row>
    <row r="17" spans="1:25" s="26" customFormat="1" ht="15" customHeight="1" x14ac:dyDescent="0.2">
      <c r="A17" s="32">
        <v>41621.537546296298</v>
      </c>
      <c r="B17" s="26" t="s">
        <v>16</v>
      </c>
      <c r="C17" s="26" t="s">
        <v>799</v>
      </c>
      <c r="D17" s="68">
        <v>41609</v>
      </c>
      <c r="E17" s="26" t="s">
        <v>2806</v>
      </c>
      <c r="F17" s="26" t="s">
        <v>3744</v>
      </c>
      <c r="G17" s="26" t="s">
        <v>42</v>
      </c>
      <c r="I17" s="26" t="s">
        <v>3001</v>
      </c>
      <c r="J17" s="46">
        <v>1</v>
      </c>
      <c r="K17" s="46">
        <v>10</v>
      </c>
      <c r="L17" s="136">
        <v>50</v>
      </c>
      <c r="M17" s="137" t="s">
        <v>44</v>
      </c>
      <c r="N17" s="138"/>
      <c r="O17" s="138"/>
      <c r="P17" s="138">
        <v>1</v>
      </c>
      <c r="Q17" s="138"/>
      <c r="R17" s="138"/>
      <c r="S17" s="138"/>
      <c r="T17" s="138"/>
      <c r="U17" s="138"/>
    </row>
    <row r="18" spans="1:25" s="26" customFormat="1" ht="15" customHeight="1" x14ac:dyDescent="0.2">
      <c r="A18" s="32">
        <v>41624.50476851852</v>
      </c>
      <c r="B18" s="26" t="s">
        <v>16</v>
      </c>
      <c r="C18" s="26" t="s">
        <v>799</v>
      </c>
      <c r="D18" s="68">
        <v>41609</v>
      </c>
      <c r="E18" s="26" t="s">
        <v>3760</v>
      </c>
      <c r="F18" s="26" t="s">
        <v>3761</v>
      </c>
      <c r="G18" s="34" t="s">
        <v>26</v>
      </c>
      <c r="H18" s="26" t="s">
        <v>3762</v>
      </c>
      <c r="I18" s="26" t="s">
        <v>2926</v>
      </c>
      <c r="J18" s="46">
        <v>1</v>
      </c>
      <c r="K18" s="46">
        <v>6</v>
      </c>
      <c r="L18" s="136">
        <v>31.32</v>
      </c>
      <c r="M18" s="137" t="s">
        <v>44</v>
      </c>
      <c r="N18" s="138">
        <v>31.32</v>
      </c>
      <c r="O18" s="138"/>
      <c r="P18" s="138">
        <v>11.7</v>
      </c>
      <c r="Q18" s="138"/>
      <c r="R18" s="138"/>
      <c r="S18" s="138"/>
      <c r="T18" s="138"/>
      <c r="U18" s="138"/>
    </row>
    <row r="19" spans="1:25" s="26" customFormat="1" ht="15" customHeight="1" x14ac:dyDescent="0.2">
      <c r="A19" s="32">
        <v>41626.504976851851</v>
      </c>
      <c r="B19" s="26" t="s">
        <v>16</v>
      </c>
      <c r="C19" s="26" t="s">
        <v>799</v>
      </c>
      <c r="D19" s="68">
        <v>41609</v>
      </c>
      <c r="E19" s="26" t="s">
        <v>3765</v>
      </c>
      <c r="F19" s="26" t="s">
        <v>3766</v>
      </c>
      <c r="G19" s="26" t="s">
        <v>42</v>
      </c>
      <c r="H19" s="26" t="s">
        <v>3767</v>
      </c>
      <c r="I19" s="26" t="s">
        <v>3001</v>
      </c>
      <c r="J19" s="46">
        <v>1</v>
      </c>
      <c r="K19" s="46">
        <v>10</v>
      </c>
      <c r="L19" s="136">
        <v>50</v>
      </c>
      <c r="M19" s="137" t="s">
        <v>44</v>
      </c>
      <c r="N19" s="138"/>
      <c r="O19" s="138"/>
      <c r="P19" s="138">
        <v>2</v>
      </c>
      <c r="Q19" s="138"/>
      <c r="R19" s="138"/>
      <c r="S19" s="138"/>
      <c r="T19" s="138"/>
      <c r="U19" s="138"/>
    </row>
    <row r="20" spans="1:25" s="26" customFormat="1" ht="15" customHeight="1" x14ac:dyDescent="0.2">
      <c r="A20" s="53">
        <v>41641.597083333298</v>
      </c>
      <c r="B20" s="54" t="s">
        <v>16</v>
      </c>
      <c r="C20" s="52" t="s">
        <v>799</v>
      </c>
      <c r="D20" s="69">
        <v>41640</v>
      </c>
      <c r="E20" s="54" t="s">
        <v>4140</v>
      </c>
      <c r="F20" s="54" t="s">
        <v>4120</v>
      </c>
      <c r="G20" s="54" t="s">
        <v>26</v>
      </c>
      <c r="H20" s="54" t="s">
        <v>4141</v>
      </c>
      <c r="I20" s="54" t="s">
        <v>2926</v>
      </c>
      <c r="J20" s="95">
        <v>1</v>
      </c>
      <c r="K20" s="118">
        <v>22</v>
      </c>
      <c r="L20" s="145"/>
      <c r="M20" s="146" t="s">
        <v>44</v>
      </c>
      <c r="N20" s="147"/>
      <c r="O20" s="147">
        <v>10</v>
      </c>
      <c r="P20" s="147"/>
      <c r="Q20" s="147">
        <v>156</v>
      </c>
      <c r="R20" s="147"/>
      <c r="S20" s="147"/>
      <c r="T20" s="147"/>
      <c r="U20" s="147"/>
      <c r="V20" s="54" t="s">
        <v>4142</v>
      </c>
      <c r="W20" s="52"/>
      <c r="X20" s="52"/>
      <c r="Y20" s="52"/>
    </row>
    <row r="21" spans="1:25" s="26" customFormat="1" ht="15" customHeight="1" x14ac:dyDescent="0.2">
      <c r="A21" s="55">
        <v>41647.510358796302</v>
      </c>
      <c r="B21" s="52" t="s">
        <v>16</v>
      </c>
      <c r="C21" s="52" t="s">
        <v>799</v>
      </c>
      <c r="D21" s="69">
        <v>41640</v>
      </c>
      <c r="E21" s="52" t="s">
        <v>2806</v>
      </c>
      <c r="F21" s="52" t="s">
        <v>4160</v>
      </c>
      <c r="G21" s="52" t="s">
        <v>42</v>
      </c>
      <c r="H21" s="52" t="s">
        <v>4161</v>
      </c>
      <c r="I21" s="52" t="s">
        <v>3001</v>
      </c>
      <c r="J21" s="95">
        <v>1</v>
      </c>
      <c r="K21" s="118">
        <v>11</v>
      </c>
      <c r="L21" s="148">
        <v>55</v>
      </c>
      <c r="M21" s="146" t="s">
        <v>22</v>
      </c>
      <c r="N21" s="147"/>
      <c r="O21" s="147"/>
      <c r="P21" s="147"/>
      <c r="Q21" s="147"/>
      <c r="R21" s="147"/>
      <c r="S21" s="147"/>
      <c r="T21" s="147"/>
      <c r="U21" s="149"/>
      <c r="V21" s="52"/>
      <c r="W21" s="52"/>
      <c r="X21" s="52"/>
      <c r="Y21" s="52"/>
    </row>
    <row r="22" spans="1:25" s="26" customFormat="1" ht="15" customHeight="1" x14ac:dyDescent="0.2">
      <c r="A22" s="55">
        <v>41654.511921296304</v>
      </c>
      <c r="B22" s="52" t="s">
        <v>16</v>
      </c>
      <c r="C22" s="52" t="s">
        <v>799</v>
      </c>
      <c r="D22" s="69">
        <v>41640</v>
      </c>
      <c r="E22" s="52" t="s">
        <v>3003</v>
      </c>
      <c r="F22" s="52" t="s">
        <v>801</v>
      </c>
      <c r="G22" s="52" t="s">
        <v>42</v>
      </c>
      <c r="H22" s="52" t="s">
        <v>4188</v>
      </c>
      <c r="I22" s="52" t="s">
        <v>3001</v>
      </c>
      <c r="J22" s="95">
        <v>1</v>
      </c>
      <c r="K22" s="118">
        <v>10</v>
      </c>
      <c r="L22" s="148">
        <v>50</v>
      </c>
      <c r="M22" s="146" t="s">
        <v>44</v>
      </c>
      <c r="N22" s="147"/>
      <c r="O22" s="147"/>
      <c r="P22" s="147">
        <v>1</v>
      </c>
      <c r="Q22" s="147"/>
      <c r="R22" s="147"/>
      <c r="S22" s="147"/>
      <c r="T22" s="147"/>
      <c r="U22" s="149"/>
      <c r="V22" s="52"/>
      <c r="W22" s="52"/>
      <c r="X22" s="52"/>
      <c r="Y22" s="52"/>
    </row>
    <row r="23" spans="1:25" s="26" customFormat="1" ht="15" customHeight="1" x14ac:dyDescent="0.2">
      <c r="A23" s="55">
        <v>41661.542476851799</v>
      </c>
      <c r="B23" s="52" t="s">
        <v>16</v>
      </c>
      <c r="C23" s="52" t="s">
        <v>799</v>
      </c>
      <c r="D23" s="69">
        <v>41640</v>
      </c>
      <c r="E23" s="52" t="s">
        <v>3003</v>
      </c>
      <c r="F23" s="52" t="s">
        <v>4160</v>
      </c>
      <c r="G23" s="52" t="s">
        <v>42</v>
      </c>
      <c r="H23" s="52"/>
      <c r="I23" s="52" t="s">
        <v>3001</v>
      </c>
      <c r="J23" s="95">
        <v>1</v>
      </c>
      <c r="K23" s="118">
        <v>9</v>
      </c>
      <c r="L23" s="148">
        <v>45</v>
      </c>
      <c r="M23" s="146" t="s">
        <v>22</v>
      </c>
      <c r="N23" s="147"/>
      <c r="O23" s="147"/>
      <c r="P23" s="147"/>
      <c r="Q23" s="147"/>
      <c r="R23" s="147"/>
      <c r="S23" s="147"/>
      <c r="T23" s="147"/>
      <c r="U23" s="149"/>
      <c r="V23" s="52"/>
      <c r="W23" s="52"/>
      <c r="X23" s="52"/>
      <c r="Y23" s="52"/>
    </row>
    <row r="24" spans="1:25" s="26" customFormat="1" ht="15" customHeight="1" x14ac:dyDescent="0.2">
      <c r="A24" s="32">
        <v>41674.596643518518</v>
      </c>
      <c r="B24" s="26" t="s">
        <v>16</v>
      </c>
      <c r="C24" s="26" t="s">
        <v>799</v>
      </c>
      <c r="D24" s="33">
        <v>41671</v>
      </c>
      <c r="E24" s="26" t="s">
        <v>4560</v>
      </c>
      <c r="F24" s="26" t="s">
        <v>4561</v>
      </c>
      <c r="G24" s="34" t="s">
        <v>42</v>
      </c>
      <c r="H24" s="34" t="s">
        <v>4562</v>
      </c>
      <c r="I24" s="26" t="s">
        <v>3001</v>
      </c>
      <c r="J24" s="46">
        <v>1</v>
      </c>
      <c r="K24" s="46">
        <v>27</v>
      </c>
      <c r="L24" s="136"/>
      <c r="M24" s="137" t="s">
        <v>44</v>
      </c>
      <c r="N24" s="138"/>
      <c r="O24" s="138">
        <v>65</v>
      </c>
      <c r="P24" s="138"/>
      <c r="Q24" s="138"/>
      <c r="R24" s="138"/>
      <c r="S24" s="138"/>
      <c r="T24" s="138">
        <v>115</v>
      </c>
      <c r="U24" s="138"/>
    </row>
    <row r="25" spans="1:25" s="26" customFormat="1" ht="15" customHeight="1" x14ac:dyDescent="0.2">
      <c r="A25" s="32">
        <v>41690.362118055556</v>
      </c>
      <c r="B25" s="26" t="s">
        <v>16</v>
      </c>
      <c r="C25" s="26" t="s">
        <v>799</v>
      </c>
      <c r="D25" s="33">
        <v>41671</v>
      </c>
      <c r="E25" s="26" t="s">
        <v>3003</v>
      </c>
      <c r="F25" s="26" t="s">
        <v>4625</v>
      </c>
      <c r="G25" s="26" t="s">
        <v>42</v>
      </c>
      <c r="H25" s="26" t="s">
        <v>4626</v>
      </c>
      <c r="I25" s="26" t="s">
        <v>3001</v>
      </c>
      <c r="J25" s="46">
        <v>1</v>
      </c>
      <c r="K25" s="46">
        <v>9</v>
      </c>
      <c r="L25" s="136">
        <v>45</v>
      </c>
      <c r="M25" s="137" t="s">
        <v>22</v>
      </c>
      <c r="N25" s="138"/>
      <c r="O25" s="138"/>
      <c r="P25" s="138"/>
      <c r="Q25" s="138"/>
      <c r="R25" s="138"/>
      <c r="S25" s="138"/>
      <c r="T25" s="138"/>
      <c r="U25" s="138"/>
    </row>
    <row r="26" spans="1:25" s="26" customFormat="1" ht="15" customHeight="1" x14ac:dyDescent="0.2">
      <c r="A26" s="32">
        <v>41696.518912037034</v>
      </c>
      <c r="B26" s="26" t="s">
        <v>16</v>
      </c>
      <c r="C26" s="26" t="s">
        <v>799</v>
      </c>
      <c r="D26" s="33">
        <v>41671</v>
      </c>
      <c r="E26" s="26" t="s">
        <v>4694</v>
      </c>
      <c r="F26" s="26" t="s">
        <v>4695</v>
      </c>
      <c r="G26" s="26" t="s">
        <v>42</v>
      </c>
      <c r="I26" s="26" t="s">
        <v>3001</v>
      </c>
      <c r="J26" s="46">
        <v>1</v>
      </c>
      <c r="K26" s="46">
        <v>10</v>
      </c>
      <c r="L26" s="136">
        <v>50</v>
      </c>
      <c r="M26" s="137" t="s">
        <v>22</v>
      </c>
      <c r="N26" s="138"/>
      <c r="O26" s="138"/>
      <c r="P26" s="138"/>
      <c r="Q26" s="138"/>
      <c r="R26" s="138"/>
      <c r="S26" s="138"/>
      <c r="T26" s="138"/>
      <c r="U26" s="138"/>
    </row>
    <row r="27" spans="1:25" s="26" customFormat="1" ht="15" customHeight="1" x14ac:dyDescent="0.2">
      <c r="A27" s="32">
        <v>41703.567210648151</v>
      </c>
      <c r="B27" s="26" t="s">
        <v>16</v>
      </c>
      <c r="C27" s="26" t="s">
        <v>799</v>
      </c>
      <c r="D27" s="33">
        <v>41699</v>
      </c>
      <c r="E27" s="26" t="s">
        <v>4694</v>
      </c>
      <c r="F27" s="26" t="s">
        <v>4937</v>
      </c>
      <c r="G27" s="26" t="s">
        <v>42</v>
      </c>
      <c r="H27" s="26" t="s">
        <v>4938</v>
      </c>
      <c r="I27" s="26" t="s">
        <v>3001</v>
      </c>
      <c r="J27" s="46">
        <v>1</v>
      </c>
      <c r="K27" s="46">
        <v>10</v>
      </c>
      <c r="L27" s="136">
        <v>50</v>
      </c>
      <c r="M27" s="137" t="s">
        <v>22</v>
      </c>
      <c r="N27" s="138"/>
      <c r="O27" s="138"/>
      <c r="P27" s="138"/>
      <c r="Q27" s="138"/>
      <c r="R27" s="138"/>
      <c r="S27" s="138"/>
      <c r="T27" s="138"/>
      <c r="U27" s="138"/>
    </row>
    <row r="28" spans="1:25" s="26" customFormat="1" ht="15" customHeight="1" x14ac:dyDescent="0.2">
      <c r="A28" s="32">
        <v>41710.559618055559</v>
      </c>
      <c r="B28" s="26" t="s">
        <v>16</v>
      </c>
      <c r="C28" s="26" t="s">
        <v>799</v>
      </c>
      <c r="D28" s="33">
        <v>41699</v>
      </c>
      <c r="E28" s="26" t="s">
        <v>4694</v>
      </c>
      <c r="F28" s="26" t="s">
        <v>5161</v>
      </c>
      <c r="G28" s="26" t="s">
        <v>42</v>
      </c>
      <c r="H28" s="26" t="s">
        <v>5162</v>
      </c>
      <c r="I28" s="26" t="s">
        <v>3001</v>
      </c>
      <c r="J28" s="46">
        <v>1</v>
      </c>
      <c r="K28" s="46">
        <v>10</v>
      </c>
      <c r="L28" s="136">
        <v>50</v>
      </c>
      <c r="M28" s="137" t="s">
        <v>22</v>
      </c>
      <c r="N28" s="138"/>
      <c r="O28" s="138"/>
      <c r="P28" s="138"/>
      <c r="Q28" s="138"/>
      <c r="R28" s="138"/>
      <c r="S28" s="138"/>
      <c r="T28" s="138"/>
      <c r="U28" s="138"/>
    </row>
    <row r="29" spans="1:25" s="26" customFormat="1" ht="15" customHeight="1" x14ac:dyDescent="0.2">
      <c r="A29" s="32">
        <v>41710.561481481483</v>
      </c>
      <c r="B29" s="26" t="s">
        <v>16</v>
      </c>
      <c r="C29" s="26" t="s">
        <v>799</v>
      </c>
      <c r="D29" s="33">
        <v>41699</v>
      </c>
      <c r="E29" s="26" t="s">
        <v>5163</v>
      </c>
      <c r="F29" s="26" t="s">
        <v>5164</v>
      </c>
      <c r="G29" s="26" t="s">
        <v>156</v>
      </c>
      <c r="H29" s="34" t="s">
        <v>5165</v>
      </c>
      <c r="I29" s="26" t="s">
        <v>2925</v>
      </c>
      <c r="J29" s="46">
        <v>1</v>
      </c>
      <c r="K29" s="46">
        <v>35</v>
      </c>
      <c r="L29" s="136"/>
      <c r="M29" s="137" t="s">
        <v>22</v>
      </c>
      <c r="N29" s="138"/>
      <c r="O29" s="138"/>
      <c r="P29" s="138"/>
      <c r="Q29" s="138"/>
      <c r="R29" s="138"/>
      <c r="S29" s="138"/>
      <c r="T29" s="138"/>
      <c r="U29" s="138"/>
    </row>
    <row r="30" spans="1:25" s="26" customFormat="1" ht="15" customHeight="1" x14ac:dyDescent="0.2">
      <c r="A30" s="32">
        <v>41717.576643518521</v>
      </c>
      <c r="B30" s="26" t="s">
        <v>16</v>
      </c>
      <c r="C30" s="26" t="s">
        <v>799</v>
      </c>
      <c r="D30" s="33">
        <v>41699</v>
      </c>
      <c r="E30" s="26" t="s">
        <v>2806</v>
      </c>
      <c r="F30" s="26" t="s">
        <v>5202</v>
      </c>
      <c r="G30" s="26" t="s">
        <v>42</v>
      </c>
      <c r="H30" s="26" t="s">
        <v>5162</v>
      </c>
      <c r="I30" s="26" t="s">
        <v>3001</v>
      </c>
      <c r="J30" s="46">
        <v>1</v>
      </c>
      <c r="K30" s="46">
        <v>10</v>
      </c>
      <c r="L30" s="136">
        <v>50</v>
      </c>
      <c r="M30" s="137" t="s">
        <v>22</v>
      </c>
      <c r="N30" s="138"/>
      <c r="O30" s="138"/>
      <c r="P30" s="138"/>
      <c r="Q30" s="138"/>
      <c r="R30" s="138"/>
      <c r="S30" s="138"/>
      <c r="T30" s="138"/>
      <c r="U30" s="138">
        <v>0</v>
      </c>
    </row>
    <row r="31" spans="1:25" s="26" customFormat="1" ht="15" customHeight="1" x14ac:dyDescent="0.2">
      <c r="A31" s="32">
        <v>41723.353101851855</v>
      </c>
      <c r="B31" s="26" t="s">
        <v>16</v>
      </c>
      <c r="C31" s="26" t="s">
        <v>799</v>
      </c>
      <c r="D31" s="33">
        <v>41699</v>
      </c>
      <c r="E31" s="26" t="s">
        <v>5258</v>
      </c>
      <c r="F31" s="26" t="s">
        <v>5259</v>
      </c>
      <c r="G31" s="26" t="s">
        <v>156</v>
      </c>
      <c r="H31" s="26" t="s">
        <v>5260</v>
      </c>
      <c r="I31" s="26" t="s">
        <v>2812</v>
      </c>
      <c r="J31" s="46">
        <v>1</v>
      </c>
      <c r="K31" s="46">
        <v>20</v>
      </c>
      <c r="L31" s="136"/>
      <c r="M31" s="137" t="s">
        <v>22</v>
      </c>
      <c r="N31" s="138"/>
      <c r="O31" s="138"/>
      <c r="P31" s="138"/>
      <c r="Q31" s="138"/>
      <c r="R31" s="138"/>
      <c r="S31" s="138"/>
      <c r="T31" s="138"/>
      <c r="U31" s="138"/>
    </row>
    <row r="32" spans="1:25" s="26" customFormat="1" ht="15" customHeight="1" x14ac:dyDescent="0.2">
      <c r="A32" s="32">
        <v>41726.479120370372</v>
      </c>
      <c r="B32" s="26" t="s">
        <v>16</v>
      </c>
      <c r="C32" s="26" t="s">
        <v>799</v>
      </c>
      <c r="D32" s="33">
        <v>41699</v>
      </c>
      <c r="E32" s="26" t="s">
        <v>5344</v>
      </c>
      <c r="F32" s="26" t="s">
        <v>801</v>
      </c>
      <c r="G32" s="26" t="s">
        <v>42</v>
      </c>
      <c r="H32" s="26" t="s">
        <v>5345</v>
      </c>
      <c r="I32" s="26" t="s">
        <v>3001</v>
      </c>
      <c r="J32" s="46">
        <v>1</v>
      </c>
      <c r="K32" s="46">
        <v>10</v>
      </c>
      <c r="L32" s="136">
        <v>50</v>
      </c>
      <c r="M32" s="137" t="s">
        <v>22</v>
      </c>
      <c r="N32" s="138"/>
      <c r="O32" s="138"/>
      <c r="P32" s="138"/>
      <c r="Q32" s="138"/>
      <c r="R32" s="138"/>
      <c r="S32" s="138"/>
      <c r="T32" s="138"/>
      <c r="U32" s="138"/>
    </row>
    <row r="33" spans="1:25" s="26" customFormat="1" ht="15" customHeight="1" x14ac:dyDescent="0.2">
      <c r="A33" s="32">
        <v>41726.481377314813</v>
      </c>
      <c r="B33" s="26" t="s">
        <v>16</v>
      </c>
      <c r="C33" s="26" t="s">
        <v>799</v>
      </c>
      <c r="D33" s="33">
        <v>41699</v>
      </c>
      <c r="E33" s="26" t="s">
        <v>5346</v>
      </c>
      <c r="F33" s="26" t="s">
        <v>5347</v>
      </c>
      <c r="G33" s="26" t="s">
        <v>42</v>
      </c>
      <c r="H33" s="26" t="s">
        <v>5348</v>
      </c>
      <c r="I33" s="26" t="s">
        <v>2925</v>
      </c>
      <c r="J33" s="46">
        <v>1</v>
      </c>
      <c r="K33" s="46">
        <v>40</v>
      </c>
      <c r="L33" s="136"/>
      <c r="M33" s="137" t="s">
        <v>44</v>
      </c>
      <c r="N33" s="138">
        <v>42</v>
      </c>
      <c r="O33" s="138"/>
      <c r="P33" s="138">
        <v>30</v>
      </c>
      <c r="Q33" s="138"/>
      <c r="R33" s="138"/>
      <c r="S33" s="138"/>
      <c r="T33" s="138">
        <v>115</v>
      </c>
      <c r="U33" s="138"/>
      <c r="V33" s="26" t="s">
        <v>5349</v>
      </c>
    </row>
    <row r="34" spans="1:25" s="26" customFormat="1" ht="15" customHeight="1" x14ac:dyDescent="0.2">
      <c r="A34" s="32">
        <v>41731.524525462963</v>
      </c>
      <c r="B34" s="26" t="s">
        <v>16</v>
      </c>
      <c r="C34" s="26" t="s">
        <v>799</v>
      </c>
      <c r="D34" s="33">
        <v>41730</v>
      </c>
      <c r="E34" s="26" t="s">
        <v>2806</v>
      </c>
      <c r="F34" s="26" t="s">
        <v>5522</v>
      </c>
      <c r="G34" s="26" t="s">
        <v>42</v>
      </c>
      <c r="I34" s="26" t="s">
        <v>3001</v>
      </c>
      <c r="J34" s="46">
        <v>1</v>
      </c>
      <c r="K34" s="46">
        <v>10</v>
      </c>
      <c r="L34" s="138">
        <v>50</v>
      </c>
      <c r="M34" s="137" t="s">
        <v>22</v>
      </c>
      <c r="N34" s="138"/>
      <c r="O34" s="138"/>
      <c r="P34" s="138"/>
      <c r="Q34" s="138"/>
      <c r="R34" s="138"/>
      <c r="S34" s="138"/>
      <c r="T34" s="138"/>
      <c r="U34" s="138"/>
    </row>
    <row r="35" spans="1:25" s="26" customFormat="1" ht="15" customHeight="1" x14ac:dyDescent="0.2">
      <c r="A35" s="92">
        <v>41738.368622685186</v>
      </c>
      <c r="B35" s="91" t="s">
        <v>16</v>
      </c>
      <c r="C35" s="26" t="s">
        <v>799</v>
      </c>
      <c r="D35" s="33">
        <v>41730</v>
      </c>
      <c r="E35" s="91" t="s">
        <v>5787</v>
      </c>
      <c r="F35" s="91" t="s">
        <v>5788</v>
      </c>
      <c r="G35" s="91" t="s">
        <v>156</v>
      </c>
      <c r="H35" s="91" t="s">
        <v>5789</v>
      </c>
      <c r="I35" s="91" t="s">
        <v>2926</v>
      </c>
      <c r="J35" s="46">
        <v>1</v>
      </c>
      <c r="K35" s="46">
        <v>24</v>
      </c>
      <c r="L35" s="138"/>
      <c r="M35" s="137" t="s">
        <v>44</v>
      </c>
      <c r="N35" s="138"/>
      <c r="O35" s="138">
        <v>25</v>
      </c>
      <c r="P35" s="138">
        <v>11</v>
      </c>
      <c r="Q35" s="138"/>
      <c r="R35" s="138"/>
      <c r="S35" s="138"/>
      <c r="T35" s="138"/>
      <c r="U35" s="138"/>
      <c r="V35" s="91"/>
      <c r="W35" s="91"/>
      <c r="X35" s="91"/>
      <c r="Y35" s="91"/>
    </row>
    <row r="36" spans="1:25" s="26" customFormat="1" ht="15" customHeight="1" x14ac:dyDescent="0.2">
      <c r="A36" s="32">
        <v>41738.526655092595</v>
      </c>
      <c r="B36" s="26" t="s">
        <v>16</v>
      </c>
      <c r="C36" s="26" t="s">
        <v>799</v>
      </c>
      <c r="D36" s="33">
        <v>41730</v>
      </c>
      <c r="E36" s="26" t="s">
        <v>2806</v>
      </c>
      <c r="F36" s="26" t="s">
        <v>5795</v>
      </c>
      <c r="G36" s="26" t="s">
        <v>42</v>
      </c>
      <c r="H36" s="26" t="s">
        <v>5796</v>
      </c>
      <c r="I36" s="26" t="s">
        <v>3001</v>
      </c>
      <c r="J36" s="46">
        <v>1</v>
      </c>
      <c r="K36" s="46">
        <v>10</v>
      </c>
      <c r="L36" s="138">
        <v>50</v>
      </c>
      <c r="M36" s="137" t="s">
        <v>44</v>
      </c>
      <c r="N36" s="138"/>
      <c r="O36" s="138"/>
      <c r="P36" s="138">
        <v>1</v>
      </c>
      <c r="Q36" s="138"/>
      <c r="R36" s="138"/>
      <c r="S36" s="138"/>
      <c r="T36" s="138"/>
      <c r="U36" s="138"/>
    </row>
    <row r="37" spans="1:25" s="26" customFormat="1" ht="15" customHeight="1" x14ac:dyDescent="0.2">
      <c r="A37" s="32">
        <v>41745.618969907409</v>
      </c>
      <c r="B37" s="26" t="s">
        <v>16</v>
      </c>
      <c r="C37" s="26" t="s">
        <v>799</v>
      </c>
      <c r="D37" s="33">
        <v>41730</v>
      </c>
      <c r="E37" s="26" t="s">
        <v>3003</v>
      </c>
      <c r="F37" s="26" t="s">
        <v>4160</v>
      </c>
      <c r="G37" s="26" t="s">
        <v>42</v>
      </c>
      <c r="H37" s="26" t="s">
        <v>5975</v>
      </c>
      <c r="I37" s="26" t="s">
        <v>3001</v>
      </c>
      <c r="J37" s="46">
        <v>1</v>
      </c>
      <c r="K37" s="46">
        <v>10</v>
      </c>
      <c r="L37" s="138">
        <v>50</v>
      </c>
      <c r="M37" s="137" t="s">
        <v>44</v>
      </c>
      <c r="N37" s="138"/>
      <c r="O37" s="138"/>
      <c r="P37" s="138">
        <v>1</v>
      </c>
      <c r="Q37" s="138"/>
      <c r="R37" s="138"/>
      <c r="S37" s="138"/>
      <c r="T37" s="138"/>
      <c r="U37" s="138"/>
    </row>
    <row r="38" spans="1:25" s="26" customFormat="1" ht="15" customHeight="1" x14ac:dyDescent="0.2">
      <c r="A38" s="92">
        <v>41751.363587962966</v>
      </c>
      <c r="B38" s="91" t="s">
        <v>16</v>
      </c>
      <c r="C38" s="26" t="s">
        <v>799</v>
      </c>
      <c r="D38" s="33">
        <v>41730</v>
      </c>
      <c r="E38" s="91" t="s">
        <v>6013</v>
      </c>
      <c r="F38" s="91" t="s">
        <v>6014</v>
      </c>
      <c r="G38" s="91" t="s">
        <v>156</v>
      </c>
      <c r="H38" s="91" t="s">
        <v>6014</v>
      </c>
      <c r="I38" s="91" t="s">
        <v>2925</v>
      </c>
      <c r="J38" s="46">
        <v>1</v>
      </c>
      <c r="K38" s="46">
        <v>90</v>
      </c>
      <c r="L38" s="138"/>
      <c r="M38" s="137" t="s">
        <v>22</v>
      </c>
      <c r="N38" s="138"/>
      <c r="O38" s="138"/>
      <c r="P38" s="138"/>
      <c r="Q38" s="138"/>
      <c r="R38" s="138"/>
      <c r="S38" s="138"/>
      <c r="T38" s="138"/>
      <c r="U38" s="138"/>
      <c r="V38" s="91" t="s">
        <v>6015</v>
      </c>
      <c r="W38" s="91"/>
      <c r="X38" s="91"/>
      <c r="Y38" s="91"/>
    </row>
    <row r="39" spans="1:25" s="26" customFormat="1" ht="15" customHeight="1" x14ac:dyDescent="0.2">
      <c r="A39" s="55">
        <v>41760.4663657407</v>
      </c>
      <c r="B39" s="52" t="s">
        <v>16</v>
      </c>
      <c r="C39" s="52" t="s">
        <v>799</v>
      </c>
      <c r="D39" s="88" t="s">
        <v>6076</v>
      </c>
      <c r="E39" s="52" t="s">
        <v>5344</v>
      </c>
      <c r="F39" s="52" t="s">
        <v>4160</v>
      </c>
      <c r="G39" s="52" t="s">
        <v>42</v>
      </c>
      <c r="H39" s="52" t="s">
        <v>6219</v>
      </c>
      <c r="I39" s="52" t="s">
        <v>3001</v>
      </c>
      <c r="J39" s="95">
        <v>1</v>
      </c>
      <c r="K39" s="95">
        <v>11</v>
      </c>
      <c r="L39" s="149">
        <v>55</v>
      </c>
      <c r="M39" s="146" t="s">
        <v>22</v>
      </c>
      <c r="N39" s="149"/>
      <c r="O39" s="149"/>
      <c r="P39" s="149"/>
      <c r="Q39" s="149"/>
      <c r="R39" s="149"/>
      <c r="S39" s="149"/>
      <c r="T39" s="149"/>
      <c r="U39" s="149"/>
      <c r="V39" s="52"/>
    </row>
    <row r="40" spans="1:25" s="26" customFormat="1" ht="15" customHeight="1" x14ac:dyDescent="0.2">
      <c r="A40" s="55">
        <v>41760.466921296298</v>
      </c>
      <c r="B40" s="52" t="s">
        <v>16</v>
      </c>
      <c r="C40" s="52" t="s">
        <v>799</v>
      </c>
      <c r="D40" s="88" t="s">
        <v>6076</v>
      </c>
      <c r="E40" s="52" t="s">
        <v>5344</v>
      </c>
      <c r="F40" s="52" t="s">
        <v>4160</v>
      </c>
      <c r="G40" s="52" t="s">
        <v>42</v>
      </c>
      <c r="H40" s="52" t="s">
        <v>6220</v>
      </c>
      <c r="I40" s="52" t="s">
        <v>3001</v>
      </c>
      <c r="J40" s="95">
        <v>1</v>
      </c>
      <c r="K40" s="95">
        <v>10</v>
      </c>
      <c r="L40" s="149">
        <v>50</v>
      </c>
      <c r="M40" s="146" t="s">
        <v>22</v>
      </c>
      <c r="N40" s="149"/>
      <c r="O40" s="149"/>
      <c r="P40" s="149"/>
      <c r="Q40" s="149"/>
      <c r="R40" s="149"/>
      <c r="S40" s="149"/>
      <c r="T40" s="149"/>
      <c r="U40" s="149"/>
      <c r="V40" s="52"/>
    </row>
    <row r="41" spans="1:25" s="26" customFormat="1" ht="15" customHeight="1" x14ac:dyDescent="0.2">
      <c r="A41" s="55">
        <v>41760.467962962997</v>
      </c>
      <c r="B41" s="52" t="s">
        <v>16</v>
      </c>
      <c r="C41" s="52" t="s">
        <v>799</v>
      </c>
      <c r="D41" s="88" t="s">
        <v>6076</v>
      </c>
      <c r="E41" s="52" t="s">
        <v>6221</v>
      </c>
      <c r="F41" s="52" t="s">
        <v>6222</v>
      </c>
      <c r="G41" s="52" t="s">
        <v>20</v>
      </c>
      <c r="H41" s="52" t="s">
        <v>6223</v>
      </c>
      <c r="I41" s="52" t="s">
        <v>2926</v>
      </c>
      <c r="J41" s="95">
        <v>1</v>
      </c>
      <c r="K41" s="95">
        <v>90</v>
      </c>
      <c r="L41" s="149"/>
      <c r="M41" s="146" t="s">
        <v>22</v>
      </c>
      <c r="N41" s="149"/>
      <c r="O41" s="149"/>
      <c r="P41" s="149"/>
      <c r="Q41" s="149"/>
      <c r="R41" s="149"/>
      <c r="S41" s="149"/>
      <c r="T41" s="149"/>
      <c r="U41" s="149"/>
      <c r="V41" s="52"/>
    </row>
    <row r="42" spans="1:25" s="26" customFormat="1" ht="15" customHeight="1" x14ac:dyDescent="0.2">
      <c r="A42" s="93">
        <v>41760.613391203697</v>
      </c>
      <c r="B42" s="89" t="s">
        <v>16</v>
      </c>
      <c r="C42" s="52" t="s">
        <v>23</v>
      </c>
      <c r="D42" s="87" t="s">
        <v>6224</v>
      </c>
      <c r="E42" s="89" t="s">
        <v>6225</v>
      </c>
      <c r="F42" s="89" t="s">
        <v>6226</v>
      </c>
      <c r="G42" s="89" t="s">
        <v>20</v>
      </c>
      <c r="H42" s="89" t="s">
        <v>6227</v>
      </c>
      <c r="I42" s="89" t="s">
        <v>6228</v>
      </c>
      <c r="J42" s="95">
        <v>4</v>
      </c>
      <c r="K42" s="95">
        <v>100</v>
      </c>
      <c r="L42" s="150">
        <v>356</v>
      </c>
      <c r="M42" s="146" t="s">
        <v>22</v>
      </c>
      <c r="N42" s="149"/>
      <c r="O42" s="149"/>
      <c r="P42" s="149"/>
      <c r="Q42" s="149"/>
      <c r="R42" s="149"/>
      <c r="S42" s="149"/>
      <c r="T42" s="149"/>
      <c r="U42" s="149">
        <v>5</v>
      </c>
      <c r="V42" s="89"/>
      <c r="W42" s="91"/>
      <c r="X42" s="91"/>
      <c r="Y42" s="91"/>
    </row>
    <row r="43" spans="1:25" s="26" customFormat="1" ht="15" customHeight="1" x14ac:dyDescent="0.2">
      <c r="A43" s="93">
        <v>41763.613136574102</v>
      </c>
      <c r="B43" s="89" t="s">
        <v>38</v>
      </c>
      <c r="C43" s="52" t="s">
        <v>47</v>
      </c>
      <c r="D43" s="87" t="s">
        <v>6224</v>
      </c>
      <c r="E43" s="89" t="s">
        <v>6350</v>
      </c>
      <c r="F43" s="89" t="s">
        <v>6351</v>
      </c>
      <c r="G43" s="89" t="s">
        <v>42</v>
      </c>
      <c r="H43" s="89" t="s">
        <v>6352</v>
      </c>
      <c r="I43" s="89" t="s">
        <v>6353</v>
      </c>
      <c r="J43" s="95">
        <v>1</v>
      </c>
      <c r="K43" s="95">
        <v>31</v>
      </c>
      <c r="L43" s="150">
        <v>675</v>
      </c>
      <c r="M43" s="146" t="s">
        <v>44</v>
      </c>
      <c r="N43" s="149"/>
      <c r="O43" s="149">
        <v>25</v>
      </c>
      <c r="P43" s="149"/>
      <c r="Q43" s="149">
        <v>100</v>
      </c>
      <c r="R43" s="149"/>
      <c r="S43" s="149"/>
      <c r="T43" s="149"/>
      <c r="U43" s="149">
        <v>592</v>
      </c>
      <c r="V43" s="89" t="s">
        <v>6354</v>
      </c>
      <c r="W43" s="91"/>
      <c r="X43" s="91"/>
      <c r="Y43" s="91"/>
    </row>
    <row r="44" spans="1:25" s="26" customFormat="1" ht="15" customHeight="1" x14ac:dyDescent="0.2">
      <c r="A44" s="93">
        <v>41763.724652777797</v>
      </c>
      <c r="B44" s="89" t="s">
        <v>152</v>
      </c>
      <c r="C44" s="52" t="s">
        <v>4143</v>
      </c>
      <c r="D44" s="87" t="s">
        <v>6224</v>
      </c>
      <c r="E44" s="89" t="s">
        <v>6355</v>
      </c>
      <c r="F44" s="89" t="s">
        <v>6356</v>
      </c>
      <c r="G44" s="89" t="s">
        <v>26</v>
      </c>
      <c r="H44" s="89" t="s">
        <v>6357</v>
      </c>
      <c r="I44" s="89" t="s">
        <v>3001</v>
      </c>
      <c r="J44" s="95">
        <v>1</v>
      </c>
      <c r="K44" s="95">
        <v>0</v>
      </c>
      <c r="L44" s="150">
        <v>0</v>
      </c>
      <c r="M44" s="146" t="s">
        <v>22</v>
      </c>
      <c r="N44" s="149"/>
      <c r="O44" s="149"/>
      <c r="P44" s="149"/>
      <c r="Q44" s="149"/>
      <c r="R44" s="149"/>
      <c r="S44" s="149"/>
      <c r="T44" s="149"/>
      <c r="U44" s="149"/>
      <c r="V44" s="89"/>
      <c r="W44" s="91"/>
      <c r="X44" s="91"/>
      <c r="Y44" s="91"/>
    </row>
    <row r="45" spans="1:25" s="26" customFormat="1" ht="15" customHeight="1" x14ac:dyDescent="0.2">
      <c r="A45" s="93">
        <v>41763.726099537002</v>
      </c>
      <c r="B45" s="89" t="s">
        <v>152</v>
      </c>
      <c r="C45" s="52" t="s">
        <v>4143</v>
      </c>
      <c r="D45" s="87" t="s">
        <v>6224</v>
      </c>
      <c r="E45" s="89" t="s">
        <v>4208</v>
      </c>
      <c r="F45" s="89" t="s">
        <v>6358</v>
      </c>
      <c r="G45" s="89" t="s">
        <v>26</v>
      </c>
      <c r="H45" s="89" t="s">
        <v>6359</v>
      </c>
      <c r="I45" s="89" t="s">
        <v>3001</v>
      </c>
      <c r="J45" s="95">
        <v>1</v>
      </c>
      <c r="K45" s="95">
        <v>7</v>
      </c>
      <c r="L45" s="150">
        <v>25</v>
      </c>
      <c r="M45" s="146" t="s">
        <v>22</v>
      </c>
      <c r="N45" s="149"/>
      <c r="O45" s="149"/>
      <c r="P45" s="149"/>
      <c r="Q45" s="149"/>
      <c r="R45" s="149"/>
      <c r="S45" s="149"/>
      <c r="T45" s="149"/>
      <c r="U45" s="149"/>
      <c r="V45" s="89"/>
      <c r="W45" s="91"/>
      <c r="X45" s="91"/>
      <c r="Y45" s="91"/>
    </row>
    <row r="46" spans="1:25" s="26" customFormat="1" ht="15" customHeight="1" x14ac:dyDescent="0.2">
      <c r="A46" s="93">
        <v>41763.727407407401</v>
      </c>
      <c r="B46" s="89" t="s">
        <v>152</v>
      </c>
      <c r="C46" s="52" t="s">
        <v>4143</v>
      </c>
      <c r="D46" s="87" t="s">
        <v>6224</v>
      </c>
      <c r="E46" s="89" t="s">
        <v>6360</v>
      </c>
      <c r="F46" s="89" t="s">
        <v>6361</v>
      </c>
      <c r="G46" s="89" t="s">
        <v>26</v>
      </c>
      <c r="H46" s="89" t="s">
        <v>6362</v>
      </c>
      <c r="I46" s="89" t="s">
        <v>3001</v>
      </c>
      <c r="J46" s="95">
        <v>1</v>
      </c>
      <c r="K46" s="95">
        <v>0</v>
      </c>
      <c r="L46" s="150"/>
      <c r="M46" s="146" t="s">
        <v>22</v>
      </c>
      <c r="N46" s="149"/>
      <c r="O46" s="149"/>
      <c r="P46" s="149"/>
      <c r="Q46" s="149"/>
      <c r="R46" s="149"/>
      <c r="S46" s="149"/>
      <c r="T46" s="149"/>
      <c r="U46" s="149"/>
      <c r="V46" s="89"/>
      <c r="W46" s="91"/>
      <c r="X46" s="91"/>
      <c r="Y46" s="91"/>
    </row>
    <row r="47" spans="1:25" s="26" customFormat="1" ht="15" customHeight="1" x14ac:dyDescent="0.2">
      <c r="A47" s="53">
        <v>41802.466307870403</v>
      </c>
      <c r="B47" s="54" t="s">
        <v>16</v>
      </c>
      <c r="C47" s="52" t="s">
        <v>799</v>
      </c>
      <c r="D47" s="113" t="s">
        <v>7147</v>
      </c>
      <c r="E47" s="54" t="s">
        <v>7598</v>
      </c>
      <c r="F47" s="54" t="s">
        <v>7599</v>
      </c>
      <c r="G47" s="54" t="s">
        <v>156</v>
      </c>
      <c r="H47" s="54" t="s">
        <v>7600</v>
      </c>
      <c r="I47" s="54" t="s">
        <v>2925</v>
      </c>
      <c r="J47" s="118">
        <v>1</v>
      </c>
      <c r="K47" s="118">
        <v>22</v>
      </c>
      <c r="L47" s="145"/>
      <c r="M47" s="146" t="s">
        <v>44</v>
      </c>
      <c r="N47" s="147"/>
      <c r="O47" s="147">
        <v>30</v>
      </c>
      <c r="P47" s="147">
        <v>39.44</v>
      </c>
      <c r="Q47" s="147">
        <v>52</v>
      </c>
      <c r="R47" s="147"/>
      <c r="S47" s="147">
        <v>20</v>
      </c>
      <c r="T47" s="147"/>
      <c r="U47" s="147"/>
      <c r="V47" s="54"/>
    </row>
    <row r="48" spans="1:25" s="26" customFormat="1" ht="15" customHeight="1" x14ac:dyDescent="0.2">
      <c r="A48" s="37">
        <v>41466.457777777803</v>
      </c>
      <c r="B48" s="26" t="s">
        <v>152</v>
      </c>
      <c r="C48" s="26" t="s">
        <v>165</v>
      </c>
      <c r="D48" s="33">
        <v>41456</v>
      </c>
      <c r="E48" s="26" t="s">
        <v>166</v>
      </c>
      <c r="F48" s="26" t="s">
        <v>167</v>
      </c>
      <c r="G48" s="26" t="s">
        <v>26</v>
      </c>
      <c r="H48" s="26" t="s">
        <v>168</v>
      </c>
      <c r="J48" s="115">
        <v>1</v>
      </c>
      <c r="K48" s="115">
        <v>10</v>
      </c>
      <c r="L48" s="136">
        <v>10</v>
      </c>
      <c r="M48" s="137" t="s">
        <v>44</v>
      </c>
      <c r="N48" s="138"/>
      <c r="O48" s="138">
        <v>15</v>
      </c>
      <c r="P48" s="138"/>
      <c r="Q48" s="138"/>
      <c r="R48" s="138"/>
      <c r="S48" s="138"/>
      <c r="T48" s="138"/>
      <c r="U48" s="138">
        <v>5</v>
      </c>
    </row>
    <row r="49" spans="1:22" s="26" customFormat="1" ht="15" customHeight="1" x14ac:dyDescent="0.2">
      <c r="A49" s="37">
        <v>41466.459224537</v>
      </c>
      <c r="B49" s="26" t="s">
        <v>152</v>
      </c>
      <c r="C49" s="26" t="s">
        <v>165</v>
      </c>
      <c r="D49" s="33">
        <v>41456</v>
      </c>
      <c r="E49" s="26" t="s">
        <v>169</v>
      </c>
      <c r="F49" s="26" t="s">
        <v>170</v>
      </c>
      <c r="G49" s="26" t="s">
        <v>26</v>
      </c>
      <c r="H49" s="26" t="s">
        <v>171</v>
      </c>
      <c r="J49" s="115">
        <v>1</v>
      </c>
      <c r="K49" s="115">
        <v>28</v>
      </c>
      <c r="L49" s="136">
        <v>28</v>
      </c>
      <c r="M49" s="137" t="s">
        <v>44</v>
      </c>
      <c r="N49" s="138"/>
      <c r="O49" s="138">
        <v>45</v>
      </c>
      <c r="P49" s="138"/>
      <c r="Q49" s="138"/>
      <c r="R49" s="138"/>
      <c r="S49" s="138"/>
      <c r="T49" s="138"/>
      <c r="U49" s="138">
        <v>28</v>
      </c>
    </row>
    <row r="50" spans="1:22" s="26" customFormat="1" ht="15" customHeight="1" x14ac:dyDescent="0.2">
      <c r="A50" s="37">
        <v>41466.460613425901</v>
      </c>
      <c r="B50" s="26" t="s">
        <v>152</v>
      </c>
      <c r="C50" s="26" t="s">
        <v>165</v>
      </c>
      <c r="D50" s="33">
        <v>41456</v>
      </c>
      <c r="E50" s="26" t="s">
        <v>172</v>
      </c>
      <c r="F50" s="26" t="s">
        <v>173</v>
      </c>
      <c r="G50" s="26" t="s">
        <v>26</v>
      </c>
      <c r="H50" s="26" t="s">
        <v>174</v>
      </c>
      <c r="J50" s="115">
        <v>1</v>
      </c>
      <c r="K50" s="115">
        <v>11</v>
      </c>
      <c r="L50" s="136"/>
      <c r="M50" s="137" t="s">
        <v>44</v>
      </c>
      <c r="N50" s="138"/>
      <c r="O50" s="138"/>
      <c r="P50" s="138"/>
      <c r="Q50" s="138"/>
      <c r="R50" s="138"/>
      <c r="S50" s="138"/>
      <c r="T50" s="138"/>
      <c r="U50" s="138"/>
    </row>
    <row r="51" spans="1:22" s="26" customFormat="1" ht="15" customHeight="1" x14ac:dyDescent="0.2">
      <c r="A51" s="37">
        <v>41466.462766203702</v>
      </c>
      <c r="B51" s="26" t="s">
        <v>152</v>
      </c>
      <c r="C51" s="26" t="s">
        <v>165</v>
      </c>
      <c r="D51" s="33">
        <v>41456</v>
      </c>
      <c r="E51" s="26" t="s">
        <v>175</v>
      </c>
      <c r="F51" s="26" t="s">
        <v>176</v>
      </c>
      <c r="G51" s="26" t="s">
        <v>26</v>
      </c>
      <c r="H51" s="26" t="s">
        <v>177</v>
      </c>
      <c r="J51" s="115">
        <v>1</v>
      </c>
      <c r="K51" s="115">
        <v>18</v>
      </c>
      <c r="L51" s="136">
        <v>72</v>
      </c>
      <c r="M51" s="137" t="s">
        <v>44</v>
      </c>
      <c r="N51" s="138"/>
      <c r="O51" s="138">
        <v>120</v>
      </c>
      <c r="P51" s="138"/>
      <c r="Q51" s="138"/>
      <c r="R51" s="138"/>
      <c r="S51" s="138"/>
      <c r="T51" s="138"/>
      <c r="U51" s="138">
        <v>72</v>
      </c>
    </row>
    <row r="52" spans="1:22" s="26" customFormat="1" ht="15" customHeight="1" x14ac:dyDescent="0.2">
      <c r="A52" s="37">
        <v>41466.463819444398</v>
      </c>
      <c r="B52" s="26" t="s">
        <v>152</v>
      </c>
      <c r="C52" s="26" t="s">
        <v>165</v>
      </c>
      <c r="D52" s="33">
        <v>41456</v>
      </c>
      <c r="E52" s="26" t="s">
        <v>178</v>
      </c>
      <c r="F52" s="26" t="s">
        <v>179</v>
      </c>
      <c r="G52" s="26" t="s">
        <v>26</v>
      </c>
      <c r="H52" s="26" t="s">
        <v>180</v>
      </c>
      <c r="J52" s="115">
        <v>1</v>
      </c>
      <c r="K52" s="115">
        <v>12</v>
      </c>
      <c r="L52" s="136">
        <v>12</v>
      </c>
      <c r="M52" s="137" t="s">
        <v>44</v>
      </c>
      <c r="N52" s="138"/>
      <c r="O52" s="138">
        <v>20</v>
      </c>
      <c r="P52" s="138"/>
      <c r="Q52" s="138"/>
      <c r="R52" s="138"/>
      <c r="S52" s="138"/>
      <c r="T52" s="138"/>
      <c r="U52" s="138">
        <v>6</v>
      </c>
    </row>
    <row r="53" spans="1:22" s="26" customFormat="1" ht="15" customHeight="1" x14ac:dyDescent="0.2">
      <c r="A53" s="37">
        <v>41492.655821759297</v>
      </c>
      <c r="B53" s="26" t="s">
        <v>152</v>
      </c>
      <c r="C53" s="26" t="s">
        <v>165</v>
      </c>
      <c r="D53" s="33">
        <v>41456</v>
      </c>
      <c r="E53" s="26" t="s">
        <v>706</v>
      </c>
      <c r="F53" s="26" t="s">
        <v>1276</v>
      </c>
      <c r="G53" s="26" t="s">
        <v>156</v>
      </c>
      <c r="H53" s="26" t="s">
        <v>1277</v>
      </c>
      <c r="J53" s="115">
        <v>1</v>
      </c>
      <c r="K53" s="115">
        <v>298</v>
      </c>
      <c r="L53" s="136"/>
      <c r="M53" s="137" t="s">
        <v>44</v>
      </c>
      <c r="N53" s="138"/>
      <c r="O53" s="138">
        <v>310</v>
      </c>
      <c r="P53" s="138">
        <v>460</v>
      </c>
      <c r="Q53" s="138"/>
      <c r="R53" s="138"/>
      <c r="S53" s="138">
        <v>456</v>
      </c>
      <c r="T53" s="138"/>
      <c r="U53" s="138">
        <v>925</v>
      </c>
      <c r="V53" s="26" t="s">
        <v>806</v>
      </c>
    </row>
    <row r="54" spans="1:22" s="26" customFormat="1" ht="15" customHeight="1" x14ac:dyDescent="0.2">
      <c r="A54" s="37">
        <v>41492.663449074098</v>
      </c>
      <c r="B54" s="26" t="s">
        <v>152</v>
      </c>
      <c r="C54" s="26" t="s">
        <v>165</v>
      </c>
      <c r="D54" s="33">
        <v>41456</v>
      </c>
      <c r="E54" s="26" t="s">
        <v>807</v>
      </c>
      <c r="F54" s="26" t="s">
        <v>808</v>
      </c>
      <c r="G54" s="26" t="s">
        <v>26</v>
      </c>
      <c r="H54" s="26" t="s">
        <v>809</v>
      </c>
      <c r="J54" s="115">
        <v>3</v>
      </c>
      <c r="K54" s="115">
        <v>30</v>
      </c>
      <c r="L54" s="136"/>
      <c r="M54" s="137" t="s">
        <v>44</v>
      </c>
      <c r="N54" s="138"/>
      <c r="O54" s="138">
        <v>50</v>
      </c>
      <c r="P54" s="138"/>
      <c r="Q54" s="138"/>
      <c r="R54" s="138"/>
      <c r="S54" s="138"/>
      <c r="T54" s="138"/>
      <c r="U54" s="138"/>
    </row>
    <row r="55" spans="1:22" s="26" customFormat="1" ht="15" customHeight="1" x14ac:dyDescent="0.2">
      <c r="A55" s="37">
        <v>41492.666111111103</v>
      </c>
      <c r="B55" s="26" t="s">
        <v>152</v>
      </c>
      <c r="C55" s="26" t="s">
        <v>165</v>
      </c>
      <c r="D55" s="33">
        <v>41456</v>
      </c>
      <c r="E55" s="26" t="s">
        <v>810</v>
      </c>
      <c r="F55" s="26" t="s">
        <v>811</v>
      </c>
      <c r="G55" s="26" t="s">
        <v>26</v>
      </c>
      <c r="H55" s="26" t="s">
        <v>812</v>
      </c>
      <c r="J55" s="115">
        <v>3</v>
      </c>
      <c r="K55" s="115">
        <v>36</v>
      </c>
      <c r="L55" s="136"/>
      <c r="M55" s="137" t="s">
        <v>44</v>
      </c>
      <c r="N55" s="138"/>
      <c r="O55" s="138">
        <v>60</v>
      </c>
      <c r="P55" s="138"/>
      <c r="Q55" s="138"/>
      <c r="R55" s="138"/>
      <c r="S55" s="138"/>
      <c r="T55" s="138"/>
      <c r="U55" s="138"/>
    </row>
    <row r="56" spans="1:22" s="26" customFormat="1" ht="15" customHeight="1" x14ac:dyDescent="0.2">
      <c r="A56" s="37">
        <v>41492.670763888898</v>
      </c>
      <c r="B56" s="26" t="s">
        <v>152</v>
      </c>
      <c r="C56" s="26" t="s">
        <v>165</v>
      </c>
      <c r="D56" s="33">
        <v>41456</v>
      </c>
      <c r="E56" s="26" t="s">
        <v>817</v>
      </c>
      <c r="F56" s="26" t="s">
        <v>818</v>
      </c>
      <c r="G56" s="26" t="s">
        <v>26</v>
      </c>
      <c r="H56" s="26" t="s">
        <v>819</v>
      </c>
      <c r="J56" s="115">
        <v>3</v>
      </c>
      <c r="K56" s="115">
        <v>33</v>
      </c>
      <c r="L56" s="136"/>
      <c r="M56" s="137" t="s">
        <v>44</v>
      </c>
      <c r="N56" s="138"/>
      <c r="O56" s="138">
        <v>55</v>
      </c>
      <c r="P56" s="138"/>
      <c r="Q56" s="138"/>
      <c r="R56" s="138"/>
      <c r="S56" s="138"/>
      <c r="T56" s="138"/>
      <c r="U56" s="138"/>
    </row>
    <row r="57" spans="1:22" s="26" customFormat="1" ht="15" customHeight="1" x14ac:dyDescent="0.2">
      <c r="A57" s="37">
        <v>41492.673240740703</v>
      </c>
      <c r="B57" s="26" t="s">
        <v>152</v>
      </c>
      <c r="C57" s="26" t="s">
        <v>165</v>
      </c>
      <c r="D57" s="33">
        <v>41456</v>
      </c>
      <c r="E57" s="26" t="s">
        <v>820</v>
      </c>
      <c r="F57" s="26" t="s">
        <v>821</v>
      </c>
      <c r="G57" s="26" t="s">
        <v>26</v>
      </c>
      <c r="H57" s="26" t="s">
        <v>822</v>
      </c>
      <c r="J57" s="115">
        <v>2</v>
      </c>
      <c r="K57" s="115">
        <v>17</v>
      </c>
      <c r="L57" s="136">
        <v>17</v>
      </c>
      <c r="M57" s="137" t="s">
        <v>44</v>
      </c>
      <c r="N57" s="138"/>
      <c r="O57" s="138">
        <v>25</v>
      </c>
      <c r="P57" s="138"/>
      <c r="Q57" s="138"/>
      <c r="R57" s="138"/>
      <c r="S57" s="138"/>
      <c r="T57" s="138"/>
      <c r="U57" s="138">
        <v>8</v>
      </c>
    </row>
    <row r="58" spans="1:22" s="26" customFormat="1" ht="15" customHeight="1" x14ac:dyDescent="0.2">
      <c r="A58" s="37">
        <v>41492.674699074101</v>
      </c>
      <c r="B58" s="26" t="s">
        <v>152</v>
      </c>
      <c r="C58" s="26" t="s">
        <v>165</v>
      </c>
      <c r="D58" s="33">
        <v>41456</v>
      </c>
      <c r="E58" s="26" t="s">
        <v>823</v>
      </c>
      <c r="F58" s="26" t="s">
        <v>824</v>
      </c>
      <c r="G58" s="26" t="s">
        <v>26</v>
      </c>
      <c r="H58" s="26" t="s">
        <v>825</v>
      </c>
      <c r="J58" s="115">
        <v>1</v>
      </c>
      <c r="K58" s="115">
        <v>3</v>
      </c>
      <c r="L58" s="136"/>
      <c r="M58" s="137" t="s">
        <v>44</v>
      </c>
      <c r="N58" s="138"/>
      <c r="O58" s="138"/>
      <c r="P58" s="138"/>
      <c r="Q58" s="138"/>
      <c r="R58" s="138"/>
      <c r="S58" s="138"/>
      <c r="T58" s="138"/>
      <c r="U58" s="138"/>
    </row>
    <row r="59" spans="1:22" s="26" customFormat="1" ht="15" customHeight="1" x14ac:dyDescent="0.2">
      <c r="A59" s="37">
        <v>41492.676168981503</v>
      </c>
      <c r="B59" s="26" t="s">
        <v>152</v>
      </c>
      <c r="C59" s="26" t="s">
        <v>165</v>
      </c>
      <c r="D59" s="33">
        <v>41456</v>
      </c>
      <c r="E59" s="26" t="s">
        <v>826</v>
      </c>
      <c r="F59" s="26" t="s">
        <v>827</v>
      </c>
      <c r="G59" s="26" t="s">
        <v>26</v>
      </c>
      <c r="H59" s="26" t="s">
        <v>828</v>
      </c>
      <c r="J59" s="115">
        <v>1</v>
      </c>
      <c r="K59" s="115">
        <v>7</v>
      </c>
      <c r="L59" s="136"/>
      <c r="M59" s="137" t="s">
        <v>44</v>
      </c>
      <c r="N59" s="138"/>
      <c r="O59" s="138">
        <v>10</v>
      </c>
      <c r="P59" s="138"/>
      <c r="Q59" s="138"/>
      <c r="R59" s="138"/>
      <c r="S59" s="138"/>
      <c r="T59" s="138"/>
      <c r="U59" s="138"/>
    </row>
    <row r="60" spans="1:22" s="26" customFormat="1" ht="15" customHeight="1" x14ac:dyDescent="0.2">
      <c r="A60" s="37">
        <v>41492.6793287037</v>
      </c>
      <c r="B60" s="26" t="s">
        <v>152</v>
      </c>
      <c r="C60" s="26" t="s">
        <v>165</v>
      </c>
      <c r="D60" s="33">
        <v>41456</v>
      </c>
      <c r="E60" s="26" t="s">
        <v>829</v>
      </c>
      <c r="F60" s="26" t="s">
        <v>830</v>
      </c>
      <c r="G60" s="26" t="s">
        <v>26</v>
      </c>
      <c r="H60" s="26" t="s">
        <v>831</v>
      </c>
      <c r="J60" s="115">
        <v>3</v>
      </c>
      <c r="K60" s="115">
        <v>117</v>
      </c>
      <c r="L60" s="136"/>
      <c r="M60" s="137" t="s">
        <v>44</v>
      </c>
      <c r="N60" s="138"/>
      <c r="O60" s="138">
        <v>195</v>
      </c>
      <c r="P60" s="138"/>
      <c r="Q60" s="138"/>
      <c r="R60" s="138"/>
      <c r="S60" s="138"/>
      <c r="T60" s="138"/>
      <c r="U60" s="138"/>
    </row>
    <row r="61" spans="1:22" s="26" customFormat="1" ht="15" customHeight="1" x14ac:dyDescent="0.2">
      <c r="A61" s="37">
        <v>41492.683854166702</v>
      </c>
      <c r="B61" s="26" t="s">
        <v>152</v>
      </c>
      <c r="C61" s="26" t="s">
        <v>165</v>
      </c>
      <c r="D61" s="33">
        <v>41456</v>
      </c>
      <c r="E61" s="26" t="s">
        <v>832</v>
      </c>
      <c r="F61" s="26" t="s">
        <v>833</v>
      </c>
      <c r="G61" s="26" t="s">
        <v>26</v>
      </c>
      <c r="H61" s="26" t="s">
        <v>834</v>
      </c>
      <c r="J61" s="115">
        <v>2</v>
      </c>
      <c r="K61" s="115">
        <v>37</v>
      </c>
      <c r="L61" s="136"/>
      <c r="M61" s="137" t="s">
        <v>44</v>
      </c>
      <c r="N61" s="138"/>
      <c r="O61" s="138">
        <v>60</v>
      </c>
      <c r="P61" s="138"/>
      <c r="Q61" s="138"/>
      <c r="R61" s="138"/>
      <c r="S61" s="138"/>
      <c r="T61" s="138"/>
      <c r="U61" s="138"/>
    </row>
    <row r="62" spans="1:22" s="26" customFormat="1" ht="15" customHeight="1" x14ac:dyDescent="0.2">
      <c r="A62" s="37">
        <v>41492.685057870403</v>
      </c>
      <c r="B62" s="26" t="s">
        <v>152</v>
      </c>
      <c r="C62" s="26" t="s">
        <v>165</v>
      </c>
      <c r="D62" s="33">
        <v>41456</v>
      </c>
      <c r="E62" s="26" t="s">
        <v>835</v>
      </c>
      <c r="F62" s="26" t="s">
        <v>836</v>
      </c>
      <c r="G62" s="26" t="s">
        <v>26</v>
      </c>
      <c r="H62" s="26" t="s">
        <v>700</v>
      </c>
      <c r="J62" s="115">
        <v>2</v>
      </c>
      <c r="K62" s="115">
        <v>9</v>
      </c>
      <c r="L62" s="136"/>
      <c r="M62" s="137" t="s">
        <v>44</v>
      </c>
      <c r="N62" s="138"/>
      <c r="O62" s="138"/>
      <c r="P62" s="138"/>
      <c r="Q62" s="138"/>
      <c r="R62" s="138"/>
      <c r="S62" s="138"/>
      <c r="T62" s="138"/>
      <c r="U62" s="138"/>
    </row>
    <row r="63" spans="1:22" s="26" customFormat="1" ht="15" customHeight="1" x14ac:dyDescent="0.2">
      <c r="A63" s="37">
        <v>41492.691053240698</v>
      </c>
      <c r="B63" s="26" t="s">
        <v>152</v>
      </c>
      <c r="C63" s="26" t="s">
        <v>165</v>
      </c>
      <c r="D63" s="33">
        <v>41456</v>
      </c>
      <c r="E63" s="26" t="s">
        <v>837</v>
      </c>
      <c r="F63" s="26" t="s">
        <v>838</v>
      </c>
      <c r="G63" s="26" t="s">
        <v>26</v>
      </c>
      <c r="H63" s="26" t="s">
        <v>839</v>
      </c>
      <c r="J63" s="115">
        <v>2</v>
      </c>
      <c r="K63" s="115">
        <v>11</v>
      </c>
      <c r="L63" s="136">
        <v>165</v>
      </c>
      <c r="M63" s="137" t="s">
        <v>44</v>
      </c>
      <c r="N63" s="138"/>
      <c r="O63" s="138"/>
      <c r="P63" s="138"/>
      <c r="Q63" s="138"/>
      <c r="R63" s="138"/>
      <c r="S63" s="138"/>
      <c r="T63" s="138"/>
      <c r="U63" s="138"/>
      <c r="V63" s="26" t="s">
        <v>840</v>
      </c>
    </row>
    <row r="64" spans="1:22" s="26" customFormat="1" ht="15" customHeight="1" x14ac:dyDescent="0.2">
      <c r="A64" s="37">
        <v>41492.692696759303</v>
      </c>
      <c r="B64" s="26" t="s">
        <v>152</v>
      </c>
      <c r="C64" s="26" t="s">
        <v>165</v>
      </c>
      <c r="D64" s="33">
        <v>41456</v>
      </c>
      <c r="E64" s="26" t="s">
        <v>841</v>
      </c>
      <c r="F64" s="26" t="s">
        <v>842</v>
      </c>
      <c r="G64" s="26" t="s">
        <v>26</v>
      </c>
      <c r="H64" s="26" t="s">
        <v>839</v>
      </c>
      <c r="J64" s="115">
        <v>1</v>
      </c>
      <c r="K64" s="115">
        <v>4</v>
      </c>
      <c r="L64" s="136">
        <v>60</v>
      </c>
      <c r="M64" s="137" t="s">
        <v>44</v>
      </c>
      <c r="N64" s="138"/>
      <c r="O64" s="138"/>
      <c r="P64" s="138"/>
      <c r="Q64" s="138"/>
      <c r="R64" s="138"/>
      <c r="S64" s="138"/>
      <c r="T64" s="138"/>
      <c r="U64" s="138"/>
      <c r="V64" s="26" t="s">
        <v>843</v>
      </c>
    </row>
    <row r="65" spans="1:22" s="26" customFormat="1" ht="15" customHeight="1" x14ac:dyDescent="0.2">
      <c r="A65" s="37">
        <v>41492.694351851802</v>
      </c>
      <c r="B65" s="26" t="s">
        <v>152</v>
      </c>
      <c r="C65" s="26" t="s">
        <v>165</v>
      </c>
      <c r="D65" s="33">
        <v>41456</v>
      </c>
      <c r="E65" s="26" t="s">
        <v>844</v>
      </c>
      <c r="F65" s="26" t="s">
        <v>845</v>
      </c>
      <c r="G65" s="26" t="s">
        <v>26</v>
      </c>
      <c r="H65" s="26" t="s">
        <v>839</v>
      </c>
      <c r="J65" s="115">
        <v>2</v>
      </c>
      <c r="K65" s="115">
        <v>8</v>
      </c>
      <c r="L65" s="136">
        <v>120</v>
      </c>
      <c r="M65" s="137" t="s">
        <v>44</v>
      </c>
      <c r="N65" s="138"/>
      <c r="O65" s="138"/>
      <c r="P65" s="138"/>
      <c r="Q65" s="138"/>
      <c r="R65" s="138"/>
      <c r="S65" s="138"/>
      <c r="T65" s="138"/>
      <c r="U65" s="138"/>
      <c r="V65" s="26" t="s">
        <v>846</v>
      </c>
    </row>
    <row r="66" spans="1:22" s="26" customFormat="1" ht="15" customHeight="1" x14ac:dyDescent="0.2">
      <c r="A66" s="37">
        <v>41493.379999999997</v>
      </c>
      <c r="B66" s="26" t="s">
        <v>152</v>
      </c>
      <c r="C66" s="26" t="s">
        <v>165</v>
      </c>
      <c r="D66" s="33">
        <v>41456</v>
      </c>
      <c r="E66" s="26" t="s">
        <v>960</v>
      </c>
      <c r="F66" s="26" t="s">
        <v>961</v>
      </c>
      <c r="G66" s="26" t="s">
        <v>26</v>
      </c>
      <c r="H66" s="26" t="s">
        <v>962</v>
      </c>
      <c r="J66" s="115">
        <v>1</v>
      </c>
      <c r="K66" s="115">
        <v>51</v>
      </c>
      <c r="L66" s="136"/>
      <c r="M66" s="137" t="s">
        <v>44</v>
      </c>
      <c r="N66" s="138"/>
      <c r="O66" s="138">
        <v>85</v>
      </c>
      <c r="P66" s="138"/>
      <c r="Q66" s="138"/>
      <c r="R66" s="138"/>
      <c r="S66" s="138"/>
      <c r="T66" s="138"/>
      <c r="U66" s="138"/>
    </row>
    <row r="67" spans="1:22" s="26" customFormat="1" ht="15" customHeight="1" x14ac:dyDescent="0.2">
      <c r="A67" s="37">
        <v>41493.381979166697</v>
      </c>
      <c r="B67" s="26" t="s">
        <v>152</v>
      </c>
      <c r="C67" s="26" t="s">
        <v>165</v>
      </c>
      <c r="D67" s="33">
        <v>41456</v>
      </c>
      <c r="E67" s="26" t="s">
        <v>820</v>
      </c>
      <c r="F67" s="26" t="s">
        <v>963</v>
      </c>
      <c r="G67" s="26" t="s">
        <v>26</v>
      </c>
      <c r="H67" s="26" t="s">
        <v>964</v>
      </c>
      <c r="J67" s="115">
        <v>2</v>
      </c>
      <c r="K67" s="115">
        <v>12</v>
      </c>
      <c r="L67" s="136"/>
      <c r="M67" s="137" t="s">
        <v>44</v>
      </c>
      <c r="N67" s="138"/>
      <c r="O67" s="138">
        <v>20</v>
      </c>
      <c r="P67" s="138"/>
      <c r="Q67" s="138"/>
      <c r="R67" s="138"/>
      <c r="S67" s="138"/>
      <c r="T67" s="138"/>
      <c r="U67" s="138"/>
    </row>
    <row r="68" spans="1:22" s="26" customFormat="1" ht="15" customHeight="1" x14ac:dyDescent="0.2">
      <c r="A68" s="37">
        <v>41493.385914351798</v>
      </c>
      <c r="B68" s="26" t="s">
        <v>152</v>
      </c>
      <c r="C68" s="26" t="s">
        <v>165</v>
      </c>
      <c r="D68" s="33">
        <v>41456</v>
      </c>
      <c r="E68" s="26" t="s">
        <v>965</v>
      </c>
      <c r="F68" s="26" t="s">
        <v>966</v>
      </c>
      <c r="G68" s="26" t="s">
        <v>26</v>
      </c>
      <c r="H68" s="26" t="s">
        <v>967</v>
      </c>
      <c r="J68" s="115">
        <v>1</v>
      </c>
      <c r="K68" s="115">
        <v>7</v>
      </c>
      <c r="L68" s="136"/>
      <c r="M68" s="137" t="s">
        <v>44</v>
      </c>
      <c r="N68" s="138"/>
      <c r="O68" s="138">
        <v>10</v>
      </c>
      <c r="P68" s="138"/>
      <c r="Q68" s="138"/>
      <c r="R68" s="138"/>
      <c r="S68" s="138"/>
      <c r="T68" s="138"/>
      <c r="U68" s="138"/>
    </row>
    <row r="69" spans="1:22" s="26" customFormat="1" ht="15" customHeight="1" x14ac:dyDescent="0.2">
      <c r="A69" s="37">
        <v>41493.387511574103</v>
      </c>
      <c r="B69" s="26" t="s">
        <v>152</v>
      </c>
      <c r="C69" s="26" t="s">
        <v>165</v>
      </c>
      <c r="D69" s="33">
        <v>41456</v>
      </c>
      <c r="E69" s="26" t="s">
        <v>968</v>
      </c>
      <c r="F69" s="26" t="s">
        <v>969</v>
      </c>
      <c r="G69" s="26" t="s">
        <v>26</v>
      </c>
      <c r="H69" s="26" t="s">
        <v>970</v>
      </c>
      <c r="J69" s="115">
        <v>1</v>
      </c>
      <c r="K69" s="115">
        <v>7</v>
      </c>
      <c r="L69" s="136"/>
      <c r="M69" s="137" t="s">
        <v>44</v>
      </c>
      <c r="N69" s="138"/>
      <c r="O69" s="138">
        <v>10</v>
      </c>
      <c r="P69" s="138"/>
      <c r="Q69" s="138"/>
      <c r="R69" s="138"/>
      <c r="S69" s="138"/>
      <c r="T69" s="138"/>
      <c r="U69" s="138"/>
    </row>
    <row r="70" spans="1:22" s="26" customFormat="1" ht="15" customHeight="1" x14ac:dyDescent="0.2">
      <c r="A70" s="37">
        <v>41493.388437499998</v>
      </c>
      <c r="B70" s="26" t="s">
        <v>152</v>
      </c>
      <c r="C70" s="26" t="s">
        <v>165</v>
      </c>
      <c r="D70" s="33">
        <v>41456</v>
      </c>
      <c r="E70" s="26" t="s">
        <v>826</v>
      </c>
      <c r="F70" s="26" t="s">
        <v>971</v>
      </c>
      <c r="G70" s="26" t="s">
        <v>26</v>
      </c>
      <c r="H70" s="26" t="s">
        <v>972</v>
      </c>
      <c r="J70" s="115">
        <v>1</v>
      </c>
      <c r="K70" s="115">
        <v>4</v>
      </c>
      <c r="L70" s="136"/>
      <c r="M70" s="137" t="s">
        <v>44</v>
      </c>
      <c r="N70" s="138"/>
      <c r="O70" s="138">
        <v>5</v>
      </c>
      <c r="P70" s="138"/>
      <c r="Q70" s="138"/>
      <c r="R70" s="138"/>
      <c r="S70" s="138"/>
      <c r="T70" s="138"/>
      <c r="U70" s="138"/>
    </row>
    <row r="71" spans="1:22" s="26" customFormat="1" ht="15" customHeight="1" x14ac:dyDescent="0.2">
      <c r="A71" s="37">
        <v>41493.389745370398</v>
      </c>
      <c r="B71" s="26" t="s">
        <v>152</v>
      </c>
      <c r="C71" s="26" t="s">
        <v>165</v>
      </c>
      <c r="D71" s="33">
        <v>41456</v>
      </c>
      <c r="E71" s="26" t="s">
        <v>960</v>
      </c>
      <c r="F71" s="26" t="s">
        <v>973</v>
      </c>
      <c r="G71" s="26" t="s">
        <v>26</v>
      </c>
      <c r="H71" s="26" t="s">
        <v>974</v>
      </c>
      <c r="J71" s="115">
        <v>1</v>
      </c>
      <c r="K71" s="115">
        <v>5</v>
      </c>
      <c r="L71" s="136"/>
      <c r="M71" s="137" t="s">
        <v>44</v>
      </c>
      <c r="N71" s="138"/>
      <c r="O71" s="138">
        <v>5</v>
      </c>
      <c r="P71" s="138"/>
      <c r="Q71" s="138"/>
      <c r="R71" s="138"/>
      <c r="S71" s="138"/>
      <c r="T71" s="138"/>
      <c r="U71" s="138"/>
    </row>
    <row r="72" spans="1:22" s="26" customFormat="1" ht="15" customHeight="1" x14ac:dyDescent="0.2">
      <c r="A72" s="28">
        <v>41524.490868055553</v>
      </c>
      <c r="B72" s="29" t="s">
        <v>152</v>
      </c>
      <c r="C72" s="29" t="s">
        <v>165</v>
      </c>
      <c r="D72" s="30">
        <v>41487</v>
      </c>
      <c r="E72" s="29" t="s">
        <v>820</v>
      </c>
      <c r="F72" s="29" t="s">
        <v>1778</v>
      </c>
      <c r="G72" s="29" t="s">
        <v>26</v>
      </c>
      <c r="H72" s="29" t="s">
        <v>1779</v>
      </c>
      <c r="I72" s="29"/>
      <c r="J72" s="116">
        <v>3</v>
      </c>
      <c r="K72" s="116">
        <v>24</v>
      </c>
      <c r="L72" s="139"/>
      <c r="M72" s="140" t="s">
        <v>44</v>
      </c>
      <c r="N72" s="141"/>
      <c r="O72" s="141">
        <v>40</v>
      </c>
      <c r="P72" s="141"/>
      <c r="Q72" s="141"/>
      <c r="R72" s="141"/>
      <c r="S72" s="141"/>
      <c r="T72" s="141"/>
      <c r="U72" s="141"/>
      <c r="V72" s="29"/>
    </row>
    <row r="73" spans="1:22" s="26" customFormat="1" ht="15" customHeight="1" x14ac:dyDescent="0.2">
      <c r="A73" s="28">
        <v>41524.495150462964</v>
      </c>
      <c r="B73" s="29" t="s">
        <v>152</v>
      </c>
      <c r="C73" s="29" t="s">
        <v>165</v>
      </c>
      <c r="D73" s="30">
        <v>41487</v>
      </c>
      <c r="E73" s="29" t="s">
        <v>1780</v>
      </c>
      <c r="F73" s="29" t="s">
        <v>821</v>
      </c>
      <c r="G73" s="29" t="s">
        <v>26</v>
      </c>
      <c r="H73" s="29" t="s">
        <v>1781</v>
      </c>
      <c r="I73" s="29"/>
      <c r="J73" s="116">
        <v>2</v>
      </c>
      <c r="K73" s="116">
        <v>14</v>
      </c>
      <c r="L73" s="139">
        <v>14</v>
      </c>
      <c r="M73" s="140" t="s">
        <v>44</v>
      </c>
      <c r="N73" s="141"/>
      <c r="O73" s="141">
        <v>20</v>
      </c>
      <c r="P73" s="141"/>
      <c r="Q73" s="141"/>
      <c r="R73" s="141"/>
      <c r="S73" s="141"/>
      <c r="T73" s="141"/>
      <c r="U73" s="141">
        <v>7</v>
      </c>
      <c r="V73" s="29"/>
    </row>
    <row r="74" spans="1:22" s="26" customFormat="1" ht="15" customHeight="1" x14ac:dyDescent="0.2">
      <c r="A74" s="28">
        <v>41524.49827546296</v>
      </c>
      <c r="B74" s="29" t="s">
        <v>152</v>
      </c>
      <c r="C74" s="29" t="s">
        <v>165</v>
      </c>
      <c r="D74" s="30">
        <v>41487</v>
      </c>
      <c r="E74" s="29" t="s">
        <v>1782</v>
      </c>
      <c r="F74" s="29" t="s">
        <v>830</v>
      </c>
      <c r="G74" s="29" t="s">
        <v>26</v>
      </c>
      <c r="H74" s="29" t="s">
        <v>1783</v>
      </c>
      <c r="I74" s="29"/>
      <c r="J74" s="116">
        <v>5</v>
      </c>
      <c r="K74" s="116">
        <v>138</v>
      </c>
      <c r="L74" s="139"/>
      <c r="M74" s="140" t="s">
        <v>44</v>
      </c>
      <c r="N74" s="141"/>
      <c r="O74" s="141">
        <v>230</v>
      </c>
      <c r="P74" s="141"/>
      <c r="Q74" s="141"/>
      <c r="R74" s="141"/>
      <c r="S74" s="141"/>
      <c r="T74" s="141"/>
      <c r="U74" s="141"/>
      <c r="V74" s="29"/>
    </row>
    <row r="75" spans="1:22" s="26" customFormat="1" ht="15" customHeight="1" x14ac:dyDescent="0.2">
      <c r="A75" s="28">
        <v>41524.501064814816</v>
      </c>
      <c r="B75" s="29" t="s">
        <v>152</v>
      </c>
      <c r="C75" s="29" t="s">
        <v>165</v>
      </c>
      <c r="D75" s="30">
        <v>41487</v>
      </c>
      <c r="E75" s="29" t="s">
        <v>817</v>
      </c>
      <c r="F75" s="29" t="s">
        <v>68</v>
      </c>
      <c r="G75" s="29" t="s">
        <v>26</v>
      </c>
      <c r="H75" s="29" t="s">
        <v>1784</v>
      </c>
      <c r="I75" s="29"/>
      <c r="J75" s="116">
        <v>5</v>
      </c>
      <c r="K75" s="116">
        <v>11</v>
      </c>
      <c r="L75" s="139"/>
      <c r="M75" s="140" t="s">
        <v>44</v>
      </c>
      <c r="N75" s="141"/>
      <c r="O75" s="141">
        <v>55</v>
      </c>
      <c r="P75" s="141"/>
      <c r="Q75" s="141"/>
      <c r="R75" s="141"/>
      <c r="S75" s="141"/>
      <c r="T75" s="141"/>
      <c r="U75" s="141"/>
      <c r="V75" s="29" t="s">
        <v>1785</v>
      </c>
    </row>
    <row r="76" spans="1:22" s="26" customFormat="1" ht="15" customHeight="1" x14ac:dyDescent="0.2">
      <c r="A76" s="28">
        <v>41524.501064814816</v>
      </c>
      <c r="B76" s="29" t="s">
        <v>152</v>
      </c>
      <c r="C76" s="29" t="s">
        <v>165</v>
      </c>
      <c r="D76" s="30">
        <v>41487</v>
      </c>
      <c r="E76" s="29" t="s">
        <v>817</v>
      </c>
      <c r="F76" s="29" t="s">
        <v>68</v>
      </c>
      <c r="G76" s="29" t="s">
        <v>26</v>
      </c>
      <c r="H76" s="29" t="s">
        <v>1784</v>
      </c>
      <c r="I76" s="29"/>
      <c r="J76" s="116">
        <v>5</v>
      </c>
      <c r="K76" s="116">
        <v>11</v>
      </c>
      <c r="L76" s="139"/>
      <c r="M76" s="140" t="s">
        <v>44</v>
      </c>
      <c r="N76" s="141"/>
      <c r="O76" s="141">
        <v>55</v>
      </c>
      <c r="P76" s="141"/>
      <c r="Q76" s="141"/>
      <c r="R76" s="141"/>
      <c r="S76" s="141"/>
      <c r="T76" s="141"/>
      <c r="U76" s="141"/>
      <c r="V76" s="29" t="s">
        <v>1785</v>
      </c>
    </row>
    <row r="77" spans="1:22" s="26" customFormat="1" ht="15" customHeight="1" x14ac:dyDescent="0.2">
      <c r="A77" s="28">
        <v>41524.534953703704</v>
      </c>
      <c r="B77" s="29" t="s">
        <v>152</v>
      </c>
      <c r="C77" s="29" t="s">
        <v>165</v>
      </c>
      <c r="D77" s="30">
        <v>41487</v>
      </c>
      <c r="E77" s="29" t="s">
        <v>810</v>
      </c>
      <c r="F77" s="29" t="s">
        <v>1786</v>
      </c>
      <c r="G77" s="29" t="s">
        <v>26</v>
      </c>
      <c r="H77" s="29" t="s">
        <v>1787</v>
      </c>
      <c r="I77" s="29"/>
      <c r="J77" s="116">
        <v>5</v>
      </c>
      <c r="K77" s="116">
        <v>48</v>
      </c>
      <c r="L77" s="139"/>
      <c r="M77" s="140" t="s">
        <v>44</v>
      </c>
      <c r="N77" s="141"/>
      <c r="O77" s="141">
        <v>80</v>
      </c>
      <c r="P77" s="141"/>
      <c r="Q77" s="141"/>
      <c r="R77" s="141"/>
      <c r="S77" s="141"/>
      <c r="T77" s="141"/>
      <c r="U77" s="141"/>
      <c r="V77" s="29"/>
    </row>
    <row r="78" spans="1:22" s="26" customFormat="1" ht="15" customHeight="1" x14ac:dyDescent="0.2">
      <c r="A78" s="28">
        <v>41524.537164351852</v>
      </c>
      <c r="B78" s="29" t="s">
        <v>152</v>
      </c>
      <c r="C78" s="29" t="s">
        <v>165</v>
      </c>
      <c r="D78" s="30">
        <v>41487</v>
      </c>
      <c r="E78" s="29" t="s">
        <v>1788</v>
      </c>
      <c r="F78" s="29" t="s">
        <v>811</v>
      </c>
      <c r="G78" s="29" t="s">
        <v>26</v>
      </c>
      <c r="H78" s="29" t="s">
        <v>1789</v>
      </c>
      <c r="I78" s="29"/>
      <c r="J78" s="116">
        <v>7</v>
      </c>
      <c r="K78" s="116">
        <v>69</v>
      </c>
      <c r="L78" s="139"/>
      <c r="M78" s="140" t="s">
        <v>44</v>
      </c>
      <c r="N78" s="141"/>
      <c r="O78" s="141">
        <v>65</v>
      </c>
      <c r="P78" s="141"/>
      <c r="Q78" s="141"/>
      <c r="R78" s="141"/>
      <c r="S78" s="141"/>
      <c r="T78" s="141"/>
      <c r="U78" s="141"/>
      <c r="V78" s="29"/>
    </row>
    <row r="79" spans="1:22" s="26" customFormat="1" ht="15" customHeight="1" x14ac:dyDescent="0.2">
      <c r="A79" s="28">
        <v>41528.484965277778</v>
      </c>
      <c r="B79" s="29" t="s">
        <v>152</v>
      </c>
      <c r="C79" s="29" t="s">
        <v>165</v>
      </c>
      <c r="D79" s="30">
        <v>41487</v>
      </c>
      <c r="E79" s="29" t="s">
        <v>1945</v>
      </c>
      <c r="F79" s="29" t="s">
        <v>1946</v>
      </c>
      <c r="G79" s="29" t="s">
        <v>26</v>
      </c>
      <c r="H79" s="29" t="s">
        <v>1947</v>
      </c>
      <c r="I79" s="29"/>
      <c r="J79" s="116">
        <v>1</v>
      </c>
      <c r="K79" s="116">
        <v>0</v>
      </c>
      <c r="L79" s="139"/>
      <c r="M79" s="140" t="s">
        <v>22</v>
      </c>
      <c r="N79" s="141"/>
      <c r="O79" s="141"/>
      <c r="P79" s="141"/>
      <c r="Q79" s="141"/>
      <c r="R79" s="141"/>
      <c r="S79" s="141"/>
      <c r="T79" s="141"/>
      <c r="U79" s="141"/>
      <c r="V79" s="29" t="s">
        <v>1948</v>
      </c>
    </row>
    <row r="80" spans="1:22" s="26" customFormat="1" ht="15" customHeight="1" x14ac:dyDescent="0.2">
      <c r="A80" s="28">
        <v>41528.487118055556</v>
      </c>
      <c r="B80" s="29" t="s">
        <v>152</v>
      </c>
      <c r="C80" s="29" t="s">
        <v>165</v>
      </c>
      <c r="D80" s="30">
        <v>41487</v>
      </c>
      <c r="E80" s="29" t="s">
        <v>1949</v>
      </c>
      <c r="F80" s="29" t="s">
        <v>1950</v>
      </c>
      <c r="G80" s="29" t="s">
        <v>26</v>
      </c>
      <c r="H80" s="29" t="s">
        <v>1951</v>
      </c>
      <c r="I80" s="29"/>
      <c r="J80" s="116">
        <v>3</v>
      </c>
      <c r="K80" s="116">
        <v>19</v>
      </c>
      <c r="L80" s="139"/>
      <c r="M80" s="140" t="s">
        <v>44</v>
      </c>
      <c r="N80" s="141"/>
      <c r="O80" s="141"/>
      <c r="P80" s="141"/>
      <c r="Q80" s="141"/>
      <c r="R80" s="141"/>
      <c r="S80" s="141"/>
      <c r="T80" s="141"/>
      <c r="U80" s="141"/>
      <c r="V80" s="29"/>
    </row>
    <row r="81" spans="1:22" s="26" customFormat="1" ht="15" customHeight="1" x14ac:dyDescent="0.2">
      <c r="A81" s="28">
        <v>41528.489224537036</v>
      </c>
      <c r="B81" s="29" t="s">
        <v>152</v>
      </c>
      <c r="C81" s="29" t="s">
        <v>165</v>
      </c>
      <c r="D81" s="30">
        <v>41487</v>
      </c>
      <c r="E81" s="29" t="s">
        <v>1949</v>
      </c>
      <c r="F81" s="29" t="s">
        <v>961</v>
      </c>
      <c r="G81" s="29" t="s">
        <v>26</v>
      </c>
      <c r="H81" s="29" t="s">
        <v>1952</v>
      </c>
      <c r="I81" s="29"/>
      <c r="J81" s="116">
        <v>4</v>
      </c>
      <c r="K81" s="116">
        <v>186</v>
      </c>
      <c r="L81" s="139"/>
      <c r="M81" s="140" t="s">
        <v>44</v>
      </c>
      <c r="N81" s="141"/>
      <c r="O81" s="141">
        <v>310</v>
      </c>
      <c r="P81" s="141"/>
      <c r="Q81" s="141"/>
      <c r="R81" s="141"/>
      <c r="S81" s="141"/>
      <c r="T81" s="141"/>
      <c r="U81" s="141"/>
      <c r="V81" s="29"/>
    </row>
    <row r="82" spans="1:22" s="26" customFormat="1" ht="15" customHeight="1" x14ac:dyDescent="0.2">
      <c r="A82" s="28">
        <v>41528.49082175926</v>
      </c>
      <c r="B82" s="29" t="s">
        <v>152</v>
      </c>
      <c r="C82" s="29" t="s">
        <v>165</v>
      </c>
      <c r="D82" s="30">
        <v>41487</v>
      </c>
      <c r="E82" s="29" t="s">
        <v>1953</v>
      </c>
      <c r="F82" s="29" t="s">
        <v>1954</v>
      </c>
      <c r="G82" s="29" t="s">
        <v>26</v>
      </c>
      <c r="H82" s="29" t="s">
        <v>1955</v>
      </c>
      <c r="I82" s="29"/>
      <c r="J82" s="116">
        <v>2</v>
      </c>
      <c r="K82" s="116">
        <v>13</v>
      </c>
      <c r="L82" s="139"/>
      <c r="M82" s="140" t="s">
        <v>44</v>
      </c>
      <c r="N82" s="141"/>
      <c r="O82" s="141">
        <v>20</v>
      </c>
      <c r="P82" s="141"/>
      <c r="Q82" s="141"/>
      <c r="R82" s="141"/>
      <c r="S82" s="141"/>
      <c r="T82" s="141"/>
      <c r="U82" s="141"/>
      <c r="V82" s="29"/>
    </row>
    <row r="83" spans="1:22" s="26" customFormat="1" ht="15" customHeight="1" x14ac:dyDescent="0.2">
      <c r="A83" s="28">
        <v>41528.492650462962</v>
      </c>
      <c r="B83" s="29" t="s">
        <v>152</v>
      </c>
      <c r="C83" s="29" t="s">
        <v>165</v>
      </c>
      <c r="D83" s="30">
        <v>41487</v>
      </c>
      <c r="E83" s="29" t="s">
        <v>835</v>
      </c>
      <c r="F83" s="29" t="s">
        <v>1956</v>
      </c>
      <c r="G83" s="29" t="s">
        <v>26</v>
      </c>
      <c r="H83" s="29" t="s">
        <v>1957</v>
      </c>
      <c r="I83" s="29"/>
      <c r="J83" s="116">
        <v>1</v>
      </c>
      <c r="K83" s="116">
        <v>3</v>
      </c>
      <c r="L83" s="139"/>
      <c r="M83" s="140" t="s">
        <v>44</v>
      </c>
      <c r="N83" s="141"/>
      <c r="O83" s="141"/>
      <c r="P83" s="141"/>
      <c r="Q83" s="141"/>
      <c r="R83" s="141"/>
      <c r="S83" s="141"/>
      <c r="T83" s="141"/>
      <c r="U83" s="141"/>
      <c r="V83" s="29"/>
    </row>
    <row r="84" spans="1:22" s="26" customFormat="1" ht="15" customHeight="1" x14ac:dyDescent="0.2">
      <c r="A84" s="28">
        <v>41528.494293981479</v>
      </c>
      <c r="B84" s="29" t="s">
        <v>152</v>
      </c>
      <c r="C84" s="29" t="s">
        <v>165</v>
      </c>
      <c r="D84" s="30">
        <v>41487</v>
      </c>
      <c r="E84" s="29" t="s">
        <v>1958</v>
      </c>
      <c r="F84" s="29" t="s">
        <v>1959</v>
      </c>
      <c r="G84" s="29" t="s">
        <v>26</v>
      </c>
      <c r="H84" s="29" t="s">
        <v>1960</v>
      </c>
      <c r="I84" s="29"/>
      <c r="J84" s="116">
        <v>1</v>
      </c>
      <c r="K84" s="116">
        <v>10</v>
      </c>
      <c r="L84" s="139"/>
      <c r="M84" s="140" t="s">
        <v>44</v>
      </c>
      <c r="N84" s="141"/>
      <c r="O84" s="141">
        <v>15</v>
      </c>
      <c r="P84" s="141"/>
      <c r="Q84" s="141"/>
      <c r="R84" s="141"/>
      <c r="S84" s="141"/>
      <c r="T84" s="141"/>
      <c r="U84" s="141"/>
      <c r="V84" s="29"/>
    </row>
    <row r="85" spans="1:22" s="26" customFormat="1" ht="15" customHeight="1" x14ac:dyDescent="0.2">
      <c r="A85" s="28">
        <v>41528.497002314813</v>
      </c>
      <c r="B85" s="29" t="s">
        <v>152</v>
      </c>
      <c r="C85" s="29" t="s">
        <v>165</v>
      </c>
      <c r="D85" s="30">
        <v>41487</v>
      </c>
      <c r="E85" s="29" t="s">
        <v>1961</v>
      </c>
      <c r="F85" s="29" t="s">
        <v>1962</v>
      </c>
      <c r="G85" s="29" t="s">
        <v>26</v>
      </c>
      <c r="H85" s="29" t="s">
        <v>1963</v>
      </c>
      <c r="I85" s="29"/>
      <c r="J85" s="116">
        <v>1</v>
      </c>
      <c r="K85" s="116">
        <v>12</v>
      </c>
      <c r="L85" s="139"/>
      <c r="M85" s="140" t="s">
        <v>44</v>
      </c>
      <c r="N85" s="141"/>
      <c r="O85" s="141">
        <v>20</v>
      </c>
      <c r="P85" s="141"/>
      <c r="Q85" s="141"/>
      <c r="R85" s="141"/>
      <c r="S85" s="141"/>
      <c r="T85" s="141"/>
      <c r="U85" s="141"/>
      <c r="V85" s="29"/>
    </row>
    <row r="86" spans="1:22" s="26" customFormat="1" ht="15" customHeight="1" x14ac:dyDescent="0.2">
      <c r="A86" s="32">
        <v>41549.430648148147</v>
      </c>
      <c r="B86" s="26" t="s">
        <v>152</v>
      </c>
      <c r="C86" s="26" t="s">
        <v>165</v>
      </c>
      <c r="D86" s="30">
        <v>41518</v>
      </c>
      <c r="E86" s="26" t="s">
        <v>820</v>
      </c>
      <c r="F86" s="26" t="s">
        <v>1950</v>
      </c>
      <c r="G86" s="26" t="s">
        <v>26</v>
      </c>
      <c r="H86" s="26" t="s">
        <v>2322</v>
      </c>
      <c r="J86" s="46">
        <v>3</v>
      </c>
      <c r="K86" s="46">
        <v>15</v>
      </c>
      <c r="L86" s="136"/>
      <c r="M86" s="137" t="s">
        <v>44</v>
      </c>
      <c r="N86" s="138"/>
      <c r="O86" s="138">
        <v>25</v>
      </c>
      <c r="P86" s="138"/>
      <c r="Q86" s="138"/>
      <c r="R86" s="138"/>
      <c r="S86" s="138"/>
      <c r="T86" s="138"/>
      <c r="U86" s="138"/>
    </row>
    <row r="87" spans="1:22" s="26" customFormat="1" ht="15" customHeight="1" x14ac:dyDescent="0.2">
      <c r="A87" s="32">
        <v>41549.433622685188</v>
      </c>
      <c r="B87" s="26" t="s">
        <v>152</v>
      </c>
      <c r="C87" s="26" t="s">
        <v>165</v>
      </c>
      <c r="D87" s="30">
        <v>41518</v>
      </c>
      <c r="E87" s="26" t="s">
        <v>2323</v>
      </c>
      <c r="F87" s="26" t="s">
        <v>830</v>
      </c>
      <c r="G87" s="26" t="s">
        <v>26</v>
      </c>
      <c r="H87" s="26" t="s">
        <v>2324</v>
      </c>
      <c r="J87" s="115">
        <v>4</v>
      </c>
      <c r="K87" s="115">
        <v>119</v>
      </c>
      <c r="L87" s="136"/>
      <c r="M87" s="137" t="s">
        <v>44</v>
      </c>
      <c r="N87" s="138"/>
      <c r="O87" s="138">
        <v>200</v>
      </c>
      <c r="P87" s="138"/>
      <c r="Q87" s="138"/>
      <c r="R87" s="138"/>
      <c r="S87" s="138"/>
      <c r="T87" s="138"/>
      <c r="U87" s="138"/>
    </row>
    <row r="88" spans="1:22" s="26" customFormat="1" ht="15" customHeight="1" x14ac:dyDescent="0.2">
      <c r="A88" s="32">
        <v>41549.445706018516</v>
      </c>
      <c r="B88" s="26" t="s">
        <v>152</v>
      </c>
      <c r="C88" s="26" t="s">
        <v>165</v>
      </c>
      <c r="D88" s="30">
        <v>41518</v>
      </c>
      <c r="E88" s="26" t="s">
        <v>2325</v>
      </c>
      <c r="F88" s="26" t="s">
        <v>1954</v>
      </c>
      <c r="G88" s="26" t="s">
        <v>26</v>
      </c>
      <c r="H88" s="26" t="s">
        <v>2326</v>
      </c>
      <c r="J88" s="46">
        <v>3</v>
      </c>
      <c r="K88" s="46">
        <v>22</v>
      </c>
      <c r="L88" s="136"/>
      <c r="M88" s="137" t="s">
        <v>44</v>
      </c>
      <c r="N88" s="138"/>
      <c r="O88" s="138">
        <v>35</v>
      </c>
      <c r="P88" s="138"/>
      <c r="Q88" s="138"/>
      <c r="R88" s="138"/>
      <c r="S88" s="138"/>
      <c r="T88" s="138"/>
      <c r="U88" s="138"/>
    </row>
    <row r="89" spans="1:22" s="26" customFormat="1" ht="15" customHeight="1" x14ac:dyDescent="0.2">
      <c r="A89" s="32">
        <v>41549.449178240742</v>
      </c>
      <c r="B89" s="26" t="s">
        <v>152</v>
      </c>
      <c r="C89" s="26" t="s">
        <v>165</v>
      </c>
      <c r="D89" s="30">
        <v>41518</v>
      </c>
      <c r="E89" s="26" t="s">
        <v>2327</v>
      </c>
      <c r="F89" s="26" t="s">
        <v>2328</v>
      </c>
      <c r="G89" s="26" t="s">
        <v>26</v>
      </c>
      <c r="H89" s="26" t="s">
        <v>2329</v>
      </c>
      <c r="J89" s="46">
        <v>2</v>
      </c>
      <c r="K89" s="46">
        <v>20</v>
      </c>
      <c r="L89" s="136"/>
      <c r="M89" s="137" t="s">
        <v>44</v>
      </c>
      <c r="N89" s="138"/>
      <c r="O89" s="138">
        <v>30</v>
      </c>
      <c r="P89" s="138"/>
      <c r="Q89" s="138"/>
      <c r="R89" s="138"/>
      <c r="S89" s="138"/>
      <c r="T89" s="138"/>
      <c r="U89" s="138"/>
    </row>
    <row r="90" spans="1:22" s="26" customFormat="1" ht="15" customHeight="1" x14ac:dyDescent="0.2">
      <c r="A90" s="32">
        <v>41549.456909722219</v>
      </c>
      <c r="B90" s="26" t="s">
        <v>152</v>
      </c>
      <c r="C90" s="26" t="s">
        <v>165</v>
      </c>
      <c r="D90" s="30">
        <v>41518</v>
      </c>
      <c r="E90" s="26" t="s">
        <v>2330</v>
      </c>
      <c r="F90" s="26" t="s">
        <v>68</v>
      </c>
      <c r="G90" s="26" t="s">
        <v>26</v>
      </c>
      <c r="H90" s="26" t="s">
        <v>2331</v>
      </c>
      <c r="J90" s="46">
        <v>2</v>
      </c>
      <c r="K90" s="46">
        <v>20</v>
      </c>
      <c r="L90" s="136"/>
      <c r="M90" s="137" t="s">
        <v>44</v>
      </c>
      <c r="N90" s="138"/>
      <c r="O90" s="138">
        <v>30</v>
      </c>
      <c r="P90" s="138"/>
      <c r="Q90" s="138"/>
      <c r="R90" s="138"/>
      <c r="S90" s="138"/>
      <c r="T90" s="138"/>
      <c r="U90" s="138"/>
    </row>
    <row r="91" spans="1:22" s="26" customFormat="1" ht="15" customHeight="1" x14ac:dyDescent="0.2">
      <c r="A91" s="32">
        <v>41549.478587962964</v>
      </c>
      <c r="B91" s="26" t="s">
        <v>152</v>
      </c>
      <c r="C91" s="26" t="s">
        <v>165</v>
      </c>
      <c r="D91" s="30">
        <v>41518</v>
      </c>
      <c r="E91" s="26" t="s">
        <v>2332</v>
      </c>
      <c r="F91" s="26" t="s">
        <v>961</v>
      </c>
      <c r="G91" s="26" t="s">
        <v>26</v>
      </c>
      <c r="H91" s="26" t="s">
        <v>2333</v>
      </c>
      <c r="J91" s="46">
        <v>2</v>
      </c>
      <c r="K91" s="46">
        <v>99</v>
      </c>
      <c r="L91" s="136"/>
      <c r="M91" s="137" t="s">
        <v>44</v>
      </c>
      <c r="N91" s="138"/>
      <c r="O91" s="138">
        <v>165</v>
      </c>
      <c r="P91" s="138"/>
      <c r="Q91" s="138"/>
      <c r="R91" s="138"/>
      <c r="S91" s="138"/>
      <c r="T91" s="138"/>
      <c r="U91" s="138"/>
    </row>
    <row r="92" spans="1:22" s="26" customFormat="1" ht="15" customHeight="1" x14ac:dyDescent="0.2">
      <c r="A92" s="32">
        <v>41549.513240740744</v>
      </c>
      <c r="B92" s="26" t="s">
        <v>152</v>
      </c>
      <c r="C92" s="26" t="s">
        <v>165</v>
      </c>
      <c r="D92" s="30">
        <v>41518</v>
      </c>
      <c r="E92" s="26" t="s">
        <v>1780</v>
      </c>
      <c r="F92" s="26" t="s">
        <v>821</v>
      </c>
      <c r="G92" s="26" t="s">
        <v>26</v>
      </c>
      <c r="H92" s="26" t="s">
        <v>2334</v>
      </c>
      <c r="J92" s="46">
        <v>1</v>
      </c>
      <c r="K92" s="46">
        <v>14</v>
      </c>
      <c r="L92" s="136">
        <v>14</v>
      </c>
      <c r="M92" s="137" t="s">
        <v>44</v>
      </c>
      <c r="N92" s="138"/>
      <c r="O92" s="138">
        <v>20</v>
      </c>
      <c r="P92" s="138"/>
      <c r="Q92" s="138"/>
      <c r="R92" s="138"/>
      <c r="S92" s="138"/>
      <c r="T92" s="138"/>
      <c r="U92" s="138">
        <v>7</v>
      </c>
    </row>
    <row r="93" spans="1:22" s="26" customFormat="1" ht="15" customHeight="1" x14ac:dyDescent="0.2">
      <c r="A93" s="32">
        <v>41549.517685185187</v>
      </c>
      <c r="B93" s="26" t="s">
        <v>152</v>
      </c>
      <c r="C93" s="26" t="s">
        <v>165</v>
      </c>
      <c r="D93" s="30">
        <v>41518</v>
      </c>
      <c r="E93" s="26" t="s">
        <v>1945</v>
      </c>
      <c r="F93" s="26" t="s">
        <v>833</v>
      </c>
      <c r="G93" s="26" t="s">
        <v>26</v>
      </c>
      <c r="H93" s="26" t="s">
        <v>2335</v>
      </c>
      <c r="J93" s="46">
        <v>1</v>
      </c>
      <c r="K93" s="46">
        <v>33</v>
      </c>
      <c r="L93" s="136"/>
      <c r="M93" s="137" t="s">
        <v>44</v>
      </c>
      <c r="N93" s="138"/>
      <c r="O93" s="138">
        <v>55</v>
      </c>
      <c r="P93" s="138"/>
      <c r="Q93" s="138"/>
      <c r="R93" s="138"/>
      <c r="S93" s="138"/>
      <c r="T93" s="138"/>
      <c r="U93" s="138"/>
    </row>
    <row r="94" spans="1:22" s="26" customFormat="1" ht="15" customHeight="1" x14ac:dyDescent="0.2">
      <c r="A94" s="32">
        <v>41549.521851851852</v>
      </c>
      <c r="B94" s="26" t="s">
        <v>152</v>
      </c>
      <c r="C94" s="26" t="s">
        <v>165</v>
      </c>
      <c r="D94" s="30">
        <v>41518</v>
      </c>
      <c r="E94" s="26" t="s">
        <v>2336</v>
      </c>
      <c r="F94" s="26" t="s">
        <v>2337</v>
      </c>
      <c r="G94" s="26" t="s">
        <v>26</v>
      </c>
      <c r="H94" s="26" t="s">
        <v>2338</v>
      </c>
      <c r="J94" s="46">
        <v>1</v>
      </c>
      <c r="K94" s="46">
        <v>21</v>
      </c>
      <c r="L94" s="136"/>
      <c r="M94" s="137" t="s">
        <v>44</v>
      </c>
      <c r="N94" s="138"/>
      <c r="O94" s="138">
        <v>35</v>
      </c>
      <c r="P94" s="138"/>
      <c r="Q94" s="138"/>
      <c r="R94" s="138"/>
      <c r="S94" s="138"/>
      <c r="T94" s="138"/>
      <c r="U94" s="138"/>
    </row>
    <row r="95" spans="1:22" s="26" customFormat="1" ht="15" customHeight="1" x14ac:dyDescent="0.2">
      <c r="A95" s="32">
        <v>41549.52516203704</v>
      </c>
      <c r="B95" s="26" t="s">
        <v>152</v>
      </c>
      <c r="C95" s="26" t="s">
        <v>165</v>
      </c>
      <c r="D95" s="30">
        <v>41518</v>
      </c>
      <c r="E95" s="26" t="s">
        <v>2330</v>
      </c>
      <c r="F95" s="26" t="s">
        <v>2339</v>
      </c>
      <c r="G95" s="26" t="s">
        <v>156</v>
      </c>
      <c r="H95" s="26" t="s">
        <v>2340</v>
      </c>
      <c r="J95" s="46">
        <v>1</v>
      </c>
      <c r="K95" s="46">
        <v>25</v>
      </c>
      <c r="L95" s="136"/>
      <c r="M95" s="137"/>
      <c r="N95" s="138"/>
      <c r="O95" s="138"/>
      <c r="P95" s="138"/>
      <c r="Q95" s="138"/>
      <c r="R95" s="138"/>
      <c r="S95" s="138"/>
      <c r="T95" s="138"/>
      <c r="U95" s="138"/>
    </row>
    <row r="96" spans="1:22" s="26" customFormat="1" ht="15" customHeight="1" x14ac:dyDescent="0.2">
      <c r="A96" s="32">
        <v>41549.527291666665</v>
      </c>
      <c r="B96" s="26" t="s">
        <v>152</v>
      </c>
      <c r="C96" s="26" t="s">
        <v>165</v>
      </c>
      <c r="D96" s="30">
        <v>41518</v>
      </c>
      <c r="E96" s="26" t="s">
        <v>2341</v>
      </c>
      <c r="F96" s="26" t="s">
        <v>2342</v>
      </c>
      <c r="G96" s="26" t="s">
        <v>26</v>
      </c>
      <c r="H96" s="26" t="s">
        <v>2343</v>
      </c>
      <c r="J96" s="46">
        <v>1</v>
      </c>
      <c r="K96" s="46">
        <v>38</v>
      </c>
      <c r="L96" s="136"/>
      <c r="M96" s="137" t="s">
        <v>44</v>
      </c>
      <c r="N96" s="138"/>
      <c r="O96" s="138"/>
      <c r="P96" s="138"/>
      <c r="Q96" s="138"/>
      <c r="R96" s="138"/>
      <c r="S96" s="138"/>
      <c r="T96" s="138"/>
      <c r="U96" s="138"/>
      <c r="V96" s="26" t="s">
        <v>2344</v>
      </c>
    </row>
    <row r="97" spans="1:25" s="26" customFormat="1" ht="15" customHeight="1" x14ac:dyDescent="0.2">
      <c r="A97" s="55">
        <v>41648.423263888901</v>
      </c>
      <c r="B97" s="56" t="s">
        <v>38</v>
      </c>
      <c r="C97" s="52" t="s">
        <v>4162</v>
      </c>
      <c r="D97" s="69">
        <v>41640</v>
      </c>
      <c r="E97" s="52" t="s">
        <v>4163</v>
      </c>
      <c r="F97" s="52" t="s">
        <v>4120</v>
      </c>
      <c r="G97" s="52" t="s">
        <v>26</v>
      </c>
      <c r="H97" s="52" t="s">
        <v>2275</v>
      </c>
      <c r="I97" s="52" t="s">
        <v>3599</v>
      </c>
      <c r="J97" s="95">
        <v>1</v>
      </c>
      <c r="K97" s="118">
        <v>37</v>
      </c>
      <c r="L97" s="148"/>
      <c r="M97" s="146" t="s">
        <v>44</v>
      </c>
      <c r="N97" s="147"/>
      <c r="O97" s="147">
        <v>50</v>
      </c>
      <c r="P97" s="147"/>
      <c r="Q97" s="147"/>
      <c r="R97" s="147"/>
      <c r="S97" s="147"/>
      <c r="T97" s="147"/>
      <c r="U97" s="149"/>
      <c r="V97" s="52" t="s">
        <v>4164</v>
      </c>
      <c r="W97" s="52"/>
      <c r="X97" s="52"/>
      <c r="Y97" s="52"/>
    </row>
    <row r="98" spans="1:25" s="26" customFormat="1" ht="15" customHeight="1" x14ac:dyDescent="0.2">
      <c r="A98" s="32">
        <v>41673.847974537035</v>
      </c>
      <c r="B98" s="34" t="s">
        <v>38</v>
      </c>
      <c r="C98" s="26" t="s">
        <v>4162</v>
      </c>
      <c r="D98" s="33">
        <v>41671</v>
      </c>
      <c r="E98" s="26" t="s">
        <v>3875</v>
      </c>
      <c r="F98" s="26" t="s">
        <v>4555</v>
      </c>
      <c r="G98" s="26" t="s">
        <v>26</v>
      </c>
      <c r="H98" s="26" t="s">
        <v>4556</v>
      </c>
      <c r="I98" s="26" t="s">
        <v>3001</v>
      </c>
      <c r="J98" s="46">
        <v>1</v>
      </c>
      <c r="K98" s="46">
        <v>25</v>
      </c>
      <c r="L98" s="136"/>
      <c r="M98" s="137" t="s">
        <v>44</v>
      </c>
      <c r="N98" s="138"/>
      <c r="O98" s="138">
        <v>30</v>
      </c>
      <c r="P98" s="138"/>
      <c r="Q98" s="138"/>
      <c r="R98" s="138"/>
      <c r="S98" s="138"/>
      <c r="T98" s="138"/>
      <c r="U98" s="138"/>
      <c r="V98" s="26" t="s">
        <v>4557</v>
      </c>
    </row>
    <row r="99" spans="1:25" s="26" customFormat="1" ht="15" customHeight="1" x14ac:dyDescent="0.2">
      <c r="A99" s="32">
        <v>41701.192256944443</v>
      </c>
      <c r="B99" s="34" t="s">
        <v>5155</v>
      </c>
      <c r="C99" s="26" t="s">
        <v>4162</v>
      </c>
      <c r="D99" s="33">
        <v>41699</v>
      </c>
      <c r="E99" s="26" t="s">
        <v>4812</v>
      </c>
      <c r="F99" s="26" t="s">
        <v>4813</v>
      </c>
      <c r="G99" s="26" t="s">
        <v>26</v>
      </c>
      <c r="H99" s="26" t="s">
        <v>4814</v>
      </c>
      <c r="I99" s="34" t="s">
        <v>3001</v>
      </c>
      <c r="J99" s="46">
        <v>1</v>
      </c>
      <c r="K99" s="46">
        <v>25</v>
      </c>
      <c r="L99" s="136"/>
      <c r="M99" s="137" t="s">
        <v>44</v>
      </c>
      <c r="N99" s="138"/>
      <c r="O99" s="138">
        <v>30</v>
      </c>
      <c r="P99" s="138"/>
      <c r="Q99" s="138"/>
      <c r="R99" s="138"/>
      <c r="S99" s="138"/>
      <c r="T99" s="138"/>
      <c r="U99" s="138">
        <v>30</v>
      </c>
      <c r="V99" s="26" t="s">
        <v>4815</v>
      </c>
    </row>
    <row r="100" spans="1:25" s="26" customFormat="1" ht="15" customHeight="1" x14ac:dyDescent="0.2">
      <c r="A100" s="93">
        <v>41763.7286805556</v>
      </c>
      <c r="B100" s="89" t="s">
        <v>152</v>
      </c>
      <c r="C100" s="52" t="s">
        <v>4143</v>
      </c>
      <c r="D100" s="87" t="s">
        <v>6224</v>
      </c>
      <c r="E100" s="89" t="s">
        <v>6363</v>
      </c>
      <c r="F100" s="89" t="s">
        <v>6364</v>
      </c>
      <c r="G100" s="89" t="s">
        <v>26</v>
      </c>
      <c r="H100" s="89" t="s">
        <v>1627</v>
      </c>
      <c r="I100" s="89" t="s">
        <v>3001</v>
      </c>
      <c r="J100" s="95">
        <v>1</v>
      </c>
      <c r="K100" s="95">
        <v>2</v>
      </c>
      <c r="L100" s="150">
        <v>10</v>
      </c>
      <c r="M100" s="146" t="s">
        <v>44</v>
      </c>
      <c r="N100" s="149"/>
      <c r="O100" s="149">
        <v>5</v>
      </c>
      <c r="P100" s="149">
        <v>15</v>
      </c>
      <c r="Q100" s="149"/>
      <c r="R100" s="149"/>
      <c r="S100" s="149"/>
      <c r="T100" s="149"/>
      <c r="U100" s="149"/>
      <c r="V100" s="89"/>
      <c r="W100" s="91"/>
      <c r="X100" s="91"/>
      <c r="Y100" s="91"/>
    </row>
    <row r="101" spans="1:25" s="26" customFormat="1" ht="15" customHeight="1" x14ac:dyDescent="0.2">
      <c r="A101" s="93">
        <v>41763.729907407404</v>
      </c>
      <c r="B101" s="89" t="s">
        <v>152</v>
      </c>
      <c r="C101" s="52" t="s">
        <v>4143</v>
      </c>
      <c r="D101" s="87" t="s">
        <v>6224</v>
      </c>
      <c r="E101" s="89" t="s">
        <v>6365</v>
      </c>
      <c r="F101" s="89" t="s">
        <v>6358</v>
      </c>
      <c r="G101" s="89" t="s">
        <v>26</v>
      </c>
      <c r="H101" s="89" t="s">
        <v>6359</v>
      </c>
      <c r="I101" s="89" t="s">
        <v>3001</v>
      </c>
      <c r="J101" s="95">
        <v>1</v>
      </c>
      <c r="K101" s="95">
        <v>5</v>
      </c>
      <c r="L101" s="150">
        <v>20</v>
      </c>
      <c r="M101" s="146" t="s">
        <v>44</v>
      </c>
      <c r="N101" s="149"/>
      <c r="O101" s="149">
        <v>5</v>
      </c>
      <c r="P101" s="149">
        <v>10</v>
      </c>
      <c r="Q101" s="149"/>
      <c r="R101" s="149"/>
      <c r="S101" s="149"/>
      <c r="T101" s="149"/>
      <c r="U101" s="149"/>
      <c r="V101" s="89"/>
      <c r="W101" s="91"/>
      <c r="X101" s="91"/>
      <c r="Y101" s="91"/>
    </row>
    <row r="102" spans="1:25" s="26" customFormat="1" ht="15" customHeight="1" x14ac:dyDescent="0.2">
      <c r="A102" s="93">
        <v>41764.661504629599</v>
      </c>
      <c r="B102" s="89" t="s">
        <v>38</v>
      </c>
      <c r="C102" s="52" t="s">
        <v>39</v>
      </c>
      <c r="D102" s="87" t="s">
        <v>6224</v>
      </c>
      <c r="E102" s="89" t="s">
        <v>6395</v>
      </c>
      <c r="F102" s="89" t="s">
        <v>2085</v>
      </c>
      <c r="G102" s="89" t="s">
        <v>26</v>
      </c>
      <c r="H102" s="89" t="s">
        <v>6396</v>
      </c>
      <c r="I102" s="89" t="s">
        <v>2812</v>
      </c>
      <c r="J102" s="95">
        <v>1</v>
      </c>
      <c r="K102" s="95">
        <v>3</v>
      </c>
      <c r="L102" s="150">
        <v>60</v>
      </c>
      <c r="M102" s="146" t="s">
        <v>22</v>
      </c>
      <c r="N102" s="149"/>
      <c r="O102" s="149"/>
      <c r="P102" s="149"/>
      <c r="Q102" s="149"/>
      <c r="R102" s="149"/>
      <c r="S102" s="149"/>
      <c r="T102" s="149"/>
      <c r="U102" s="149"/>
      <c r="V102" s="89"/>
      <c r="W102" s="91"/>
      <c r="X102" s="91"/>
      <c r="Y102" s="91"/>
    </row>
    <row r="103" spans="1:25" s="26" customFormat="1" ht="15" customHeight="1" x14ac:dyDescent="0.2">
      <c r="A103" s="53">
        <v>41799.929606481499</v>
      </c>
      <c r="B103" s="54" t="s">
        <v>152</v>
      </c>
      <c r="C103" s="52" t="s">
        <v>4162</v>
      </c>
      <c r="D103" s="113" t="s">
        <v>7147</v>
      </c>
      <c r="E103" s="54" t="s">
        <v>7473</v>
      </c>
      <c r="F103" s="54" t="s">
        <v>7474</v>
      </c>
      <c r="G103" s="128" t="s">
        <v>26</v>
      </c>
      <c r="H103" s="56" t="s">
        <v>7475</v>
      </c>
      <c r="I103" s="54" t="s">
        <v>2986</v>
      </c>
      <c r="J103" s="118">
        <v>1</v>
      </c>
      <c r="K103" s="118">
        <v>2</v>
      </c>
      <c r="L103" s="145">
        <v>2</v>
      </c>
      <c r="M103" s="146" t="s">
        <v>22</v>
      </c>
      <c r="N103" s="147"/>
      <c r="O103" s="147"/>
      <c r="P103" s="147"/>
      <c r="Q103" s="147"/>
      <c r="R103" s="147"/>
      <c r="S103" s="147"/>
      <c r="T103" s="147"/>
      <c r="U103" s="147">
        <v>10</v>
      </c>
      <c r="V103" s="54" t="s">
        <v>7476</v>
      </c>
    </row>
    <row r="104" spans="1:25" s="26" customFormat="1" ht="15" customHeight="1" x14ac:dyDescent="0.2">
      <c r="A104" s="53">
        <v>41799.937743055598</v>
      </c>
      <c r="B104" s="54" t="s">
        <v>152</v>
      </c>
      <c r="C104" s="52" t="s">
        <v>4162</v>
      </c>
      <c r="D104" s="113" t="s">
        <v>7147</v>
      </c>
      <c r="E104" s="54" t="s">
        <v>7483</v>
      </c>
      <c r="F104" s="54" t="s">
        <v>7484</v>
      </c>
      <c r="G104" s="54" t="s">
        <v>26</v>
      </c>
      <c r="H104" s="54" t="s">
        <v>7485</v>
      </c>
      <c r="I104" s="54" t="s">
        <v>2986</v>
      </c>
      <c r="J104" s="118">
        <v>2</v>
      </c>
      <c r="K104" s="118"/>
      <c r="L104" s="145"/>
      <c r="M104" s="146" t="s">
        <v>22</v>
      </c>
      <c r="N104" s="147"/>
      <c r="O104" s="147"/>
      <c r="P104" s="147"/>
      <c r="Q104" s="147"/>
      <c r="R104" s="147"/>
      <c r="S104" s="147"/>
      <c r="T104" s="147"/>
      <c r="U104" s="147">
        <v>5</v>
      </c>
      <c r="V104" s="54" t="s">
        <v>7486</v>
      </c>
    </row>
    <row r="105" spans="1:25" s="26" customFormat="1" ht="15" customHeight="1" x14ac:dyDescent="0.2">
      <c r="A105" s="53">
        <v>41799.939918981501</v>
      </c>
      <c r="B105" s="54" t="s">
        <v>152</v>
      </c>
      <c r="C105" s="52" t="s">
        <v>4162</v>
      </c>
      <c r="D105" s="113" t="s">
        <v>7147</v>
      </c>
      <c r="E105" s="54" t="s">
        <v>7487</v>
      </c>
      <c r="F105" s="54" t="s">
        <v>7488</v>
      </c>
      <c r="G105" s="54" t="s">
        <v>26</v>
      </c>
      <c r="H105" s="54" t="s">
        <v>7489</v>
      </c>
      <c r="I105" s="54" t="s">
        <v>2986</v>
      </c>
      <c r="J105" s="118">
        <v>2</v>
      </c>
      <c r="K105" s="118">
        <v>5</v>
      </c>
      <c r="L105" s="145"/>
      <c r="M105" s="146" t="s">
        <v>22</v>
      </c>
      <c r="N105" s="147"/>
      <c r="O105" s="147"/>
      <c r="P105" s="147"/>
      <c r="Q105" s="147"/>
      <c r="R105" s="147"/>
      <c r="S105" s="147"/>
      <c r="T105" s="147"/>
      <c r="U105" s="147">
        <v>5</v>
      </c>
      <c r="V105" s="54"/>
    </row>
    <row r="106" spans="1:25" s="26" customFormat="1" ht="15" customHeight="1" x14ac:dyDescent="0.2">
      <c r="A106" s="53">
        <v>41799.943287037</v>
      </c>
      <c r="B106" s="54" t="s">
        <v>152</v>
      </c>
      <c r="C106" s="52" t="s">
        <v>4162</v>
      </c>
      <c r="D106" s="113" t="s">
        <v>7147</v>
      </c>
      <c r="E106" s="54" t="s">
        <v>7490</v>
      </c>
      <c r="F106" s="54" t="s">
        <v>7491</v>
      </c>
      <c r="G106" s="54" t="s">
        <v>26</v>
      </c>
      <c r="H106" s="54" t="s">
        <v>7492</v>
      </c>
      <c r="I106" s="54" t="s">
        <v>2986</v>
      </c>
      <c r="J106" s="118">
        <v>1</v>
      </c>
      <c r="K106" s="118">
        <v>2</v>
      </c>
      <c r="L106" s="145">
        <v>0</v>
      </c>
      <c r="M106" s="146" t="s">
        <v>44</v>
      </c>
      <c r="N106" s="147"/>
      <c r="O106" s="147">
        <v>5</v>
      </c>
      <c r="P106" s="147"/>
      <c r="Q106" s="147"/>
      <c r="R106" s="147"/>
      <c r="S106" s="147"/>
      <c r="T106" s="147"/>
      <c r="U106" s="147"/>
      <c r="V106" s="54" t="s">
        <v>7493</v>
      </c>
    </row>
    <row r="107" spans="1:25" s="26" customFormat="1" ht="15" customHeight="1" x14ac:dyDescent="0.2">
      <c r="A107" s="53">
        <v>41799.945798611101</v>
      </c>
      <c r="B107" s="54" t="s">
        <v>152</v>
      </c>
      <c r="C107" s="52" t="s">
        <v>4162</v>
      </c>
      <c r="D107" s="113" t="s">
        <v>7147</v>
      </c>
      <c r="E107" s="54" t="s">
        <v>7494</v>
      </c>
      <c r="F107" s="54" t="s">
        <v>7495</v>
      </c>
      <c r="G107" s="54" t="s">
        <v>26</v>
      </c>
      <c r="H107" s="54" t="s">
        <v>7496</v>
      </c>
      <c r="I107" s="54" t="s">
        <v>2986</v>
      </c>
      <c r="J107" s="118">
        <v>1</v>
      </c>
      <c r="K107" s="118">
        <v>18</v>
      </c>
      <c r="L107" s="145"/>
      <c r="M107" s="146" t="s">
        <v>44</v>
      </c>
      <c r="N107" s="147"/>
      <c r="O107" s="147">
        <v>10</v>
      </c>
      <c r="P107" s="147"/>
      <c r="Q107" s="147">
        <v>60</v>
      </c>
      <c r="R107" s="147"/>
      <c r="S107" s="147"/>
      <c r="T107" s="147"/>
      <c r="U107" s="147">
        <v>15</v>
      </c>
      <c r="V107" s="54" t="s">
        <v>7497</v>
      </c>
    </row>
    <row r="108" spans="1:25" s="26" customFormat="1" ht="15" customHeight="1" x14ac:dyDescent="0.2">
      <c r="A108" s="37">
        <v>41474.4924537037</v>
      </c>
      <c r="B108" s="26" t="s">
        <v>152</v>
      </c>
      <c r="C108" s="26" t="s">
        <v>247</v>
      </c>
      <c r="D108" s="33">
        <v>41456</v>
      </c>
      <c r="E108" s="26" t="s">
        <v>248</v>
      </c>
      <c r="F108" s="26" t="s">
        <v>249</v>
      </c>
      <c r="G108" s="26" t="s">
        <v>26</v>
      </c>
      <c r="H108" s="26" t="s">
        <v>250</v>
      </c>
      <c r="J108" s="115">
        <v>1</v>
      </c>
      <c r="K108" s="115">
        <v>36</v>
      </c>
      <c r="L108" s="136"/>
      <c r="M108" s="137" t="s">
        <v>22</v>
      </c>
      <c r="N108" s="138"/>
      <c r="O108" s="138"/>
      <c r="P108" s="138"/>
      <c r="Q108" s="138"/>
      <c r="R108" s="138"/>
      <c r="S108" s="138"/>
      <c r="T108" s="138"/>
      <c r="U108" s="138"/>
      <c r="V108" s="26" t="s">
        <v>251</v>
      </c>
    </row>
    <row r="109" spans="1:25" s="26" customFormat="1" ht="15" customHeight="1" x14ac:dyDescent="0.2">
      <c r="A109" s="37">
        <v>41485.457314814797</v>
      </c>
      <c r="B109" s="26" t="s">
        <v>152</v>
      </c>
      <c r="C109" s="26" t="s">
        <v>247</v>
      </c>
      <c r="D109" s="33">
        <v>41456</v>
      </c>
      <c r="E109" s="26" t="s">
        <v>361</v>
      </c>
      <c r="F109" s="26" t="s">
        <v>362</v>
      </c>
      <c r="G109" s="26" t="s">
        <v>156</v>
      </c>
      <c r="H109" s="26" t="s">
        <v>363</v>
      </c>
      <c r="J109" s="115">
        <v>1</v>
      </c>
      <c r="K109" s="115">
        <v>323</v>
      </c>
      <c r="L109" s="136"/>
      <c r="M109" s="137" t="s">
        <v>44</v>
      </c>
      <c r="N109" s="138">
        <v>1219</v>
      </c>
      <c r="O109" s="138"/>
      <c r="P109" s="138">
        <v>287.7</v>
      </c>
      <c r="Q109" s="138"/>
      <c r="R109" s="138"/>
      <c r="S109" s="138"/>
      <c r="T109" s="138"/>
      <c r="U109" s="138"/>
    </row>
    <row r="110" spans="1:25" s="26" customFormat="1" ht="15" customHeight="1" x14ac:dyDescent="0.2">
      <c r="A110" s="32">
        <v>41548.463437500002</v>
      </c>
      <c r="B110" s="26" t="s">
        <v>152</v>
      </c>
      <c r="C110" s="26" t="s">
        <v>247</v>
      </c>
      <c r="D110" s="30">
        <v>41518</v>
      </c>
      <c r="E110" s="26" t="s">
        <v>2303</v>
      </c>
      <c r="F110" s="26" t="s">
        <v>2304</v>
      </c>
      <c r="G110" s="26" t="s">
        <v>20</v>
      </c>
      <c r="J110" s="46">
        <v>1</v>
      </c>
      <c r="K110" s="46">
        <v>18</v>
      </c>
      <c r="L110" s="136"/>
      <c r="M110" s="137" t="s">
        <v>44</v>
      </c>
      <c r="N110" s="138">
        <v>63</v>
      </c>
      <c r="O110" s="138"/>
      <c r="P110" s="138"/>
      <c r="Q110" s="138"/>
      <c r="R110" s="138"/>
      <c r="S110" s="138"/>
      <c r="T110" s="138"/>
      <c r="U110" s="138"/>
    </row>
    <row r="111" spans="1:25" s="26" customFormat="1" ht="15" customHeight="1" x14ac:dyDescent="0.2">
      <c r="A111" s="32">
        <v>41548.464618055557</v>
      </c>
      <c r="B111" s="26" t="s">
        <v>152</v>
      </c>
      <c r="C111" s="26" t="s">
        <v>247</v>
      </c>
      <c r="D111" s="30">
        <v>41518</v>
      </c>
      <c r="E111" s="26" t="s">
        <v>2305</v>
      </c>
      <c r="F111" s="26" t="s">
        <v>2306</v>
      </c>
      <c r="G111" s="26" t="s">
        <v>20</v>
      </c>
      <c r="J111" s="46">
        <v>4</v>
      </c>
      <c r="K111" s="46">
        <v>93</v>
      </c>
      <c r="L111" s="136"/>
      <c r="M111" s="137" t="s">
        <v>44</v>
      </c>
      <c r="N111" s="138">
        <v>315</v>
      </c>
      <c r="O111" s="138"/>
      <c r="P111" s="138"/>
      <c r="Q111" s="138"/>
      <c r="R111" s="138"/>
      <c r="S111" s="138"/>
      <c r="T111" s="138"/>
      <c r="U111" s="138"/>
    </row>
    <row r="112" spans="1:25" s="26" customFormat="1" ht="15" customHeight="1" x14ac:dyDescent="0.2">
      <c r="A112" s="32">
        <v>41548.465752314813</v>
      </c>
      <c r="B112" s="26" t="s">
        <v>152</v>
      </c>
      <c r="C112" s="26" t="s">
        <v>247</v>
      </c>
      <c r="D112" s="30">
        <v>41518</v>
      </c>
      <c r="E112" s="26" t="s">
        <v>2307</v>
      </c>
      <c r="F112" s="26" t="s">
        <v>2308</v>
      </c>
      <c r="G112" s="26" t="s">
        <v>20</v>
      </c>
      <c r="J112" s="46">
        <v>1</v>
      </c>
      <c r="K112" s="46">
        <v>17</v>
      </c>
      <c r="L112" s="136"/>
      <c r="M112" s="137" t="s">
        <v>44</v>
      </c>
      <c r="N112" s="138">
        <v>59.5</v>
      </c>
      <c r="O112" s="138"/>
      <c r="P112" s="138"/>
      <c r="Q112" s="138"/>
      <c r="R112" s="138"/>
      <c r="S112" s="138"/>
      <c r="T112" s="138"/>
      <c r="U112" s="138"/>
    </row>
    <row r="113" spans="1:25" s="26" customFormat="1" ht="15" customHeight="1" x14ac:dyDescent="0.2">
      <c r="A113" s="32">
        <v>41548.467129629629</v>
      </c>
      <c r="B113" s="26" t="s">
        <v>152</v>
      </c>
      <c r="C113" s="26" t="s">
        <v>247</v>
      </c>
      <c r="D113" s="30">
        <v>41518</v>
      </c>
      <c r="E113" s="26" t="s">
        <v>706</v>
      </c>
      <c r="F113" s="26" t="s">
        <v>2309</v>
      </c>
      <c r="G113" s="26" t="s">
        <v>42</v>
      </c>
      <c r="J113" s="46">
        <v>1</v>
      </c>
      <c r="K113" s="46">
        <v>20</v>
      </c>
      <c r="L113" s="136"/>
      <c r="M113" s="137" t="s">
        <v>44</v>
      </c>
      <c r="N113" s="138">
        <v>100</v>
      </c>
      <c r="O113" s="138"/>
      <c r="P113" s="138"/>
      <c r="Q113" s="138"/>
      <c r="R113" s="138"/>
      <c r="S113" s="138"/>
      <c r="T113" s="138"/>
      <c r="U113" s="138"/>
    </row>
    <row r="114" spans="1:25" s="26" customFormat="1" ht="15" customHeight="1" x14ac:dyDescent="0.2">
      <c r="A114" s="32">
        <v>41548.470092592594</v>
      </c>
      <c r="B114" s="26" t="s">
        <v>152</v>
      </c>
      <c r="C114" s="26" t="s">
        <v>247</v>
      </c>
      <c r="D114" s="30">
        <v>41518</v>
      </c>
      <c r="E114" s="26" t="s">
        <v>1215</v>
      </c>
      <c r="F114" s="26" t="s">
        <v>2310</v>
      </c>
      <c r="G114" s="26" t="s">
        <v>156</v>
      </c>
      <c r="H114" s="26" t="s">
        <v>2257</v>
      </c>
      <c r="J114" s="46">
        <v>1</v>
      </c>
      <c r="K114" s="46">
        <v>35</v>
      </c>
      <c r="L114" s="136"/>
      <c r="M114" s="137" t="s">
        <v>22</v>
      </c>
      <c r="N114" s="138"/>
      <c r="O114" s="138"/>
      <c r="P114" s="138"/>
      <c r="Q114" s="138"/>
      <c r="R114" s="138"/>
      <c r="S114" s="138"/>
      <c r="T114" s="138"/>
      <c r="U114" s="138"/>
      <c r="V114" s="26" t="s">
        <v>2311</v>
      </c>
    </row>
    <row r="115" spans="1:25" s="26" customFormat="1" ht="15" customHeight="1" x14ac:dyDescent="0.2">
      <c r="A115" s="48">
        <v>41593.698263888902</v>
      </c>
      <c r="B115" s="49" t="s">
        <v>152</v>
      </c>
      <c r="C115" s="50" t="s">
        <v>247</v>
      </c>
      <c r="D115" s="67">
        <v>41579</v>
      </c>
      <c r="E115" s="50" t="s">
        <v>3025</v>
      </c>
      <c r="F115" s="50" t="s">
        <v>3026</v>
      </c>
      <c r="G115" s="49" t="s">
        <v>351</v>
      </c>
      <c r="H115" s="50" t="s">
        <v>3027</v>
      </c>
      <c r="I115" s="50" t="s">
        <v>2986</v>
      </c>
      <c r="J115" s="117">
        <v>1</v>
      </c>
      <c r="K115" s="117">
        <v>26</v>
      </c>
      <c r="L115" s="142"/>
      <c r="M115" s="143" t="s">
        <v>44</v>
      </c>
      <c r="N115" s="144"/>
      <c r="O115" s="144"/>
      <c r="P115" s="144"/>
      <c r="Q115" s="144"/>
      <c r="R115" s="144"/>
      <c r="S115" s="144">
        <v>50</v>
      </c>
      <c r="T115" s="144"/>
      <c r="U115" s="144"/>
      <c r="V115" s="50" t="s">
        <v>3028</v>
      </c>
    </row>
    <row r="116" spans="1:25" s="26" customFormat="1" ht="15" customHeight="1" x14ac:dyDescent="0.2">
      <c r="A116" s="48">
        <v>41593.699594907397</v>
      </c>
      <c r="B116" s="49" t="s">
        <v>152</v>
      </c>
      <c r="C116" s="50" t="s">
        <v>247</v>
      </c>
      <c r="D116" s="67">
        <v>41579</v>
      </c>
      <c r="E116" s="50" t="s">
        <v>3029</v>
      </c>
      <c r="F116" s="50" t="s">
        <v>3030</v>
      </c>
      <c r="G116" s="49" t="s">
        <v>20</v>
      </c>
      <c r="H116" s="50"/>
      <c r="I116" s="50" t="s">
        <v>2986</v>
      </c>
      <c r="J116" s="117">
        <v>4</v>
      </c>
      <c r="K116" s="117">
        <v>87</v>
      </c>
      <c r="L116" s="142"/>
      <c r="M116" s="143" t="s">
        <v>44</v>
      </c>
      <c r="N116" s="144">
        <v>304.5</v>
      </c>
      <c r="O116" s="144"/>
      <c r="P116" s="144"/>
      <c r="Q116" s="144"/>
      <c r="R116" s="144"/>
      <c r="S116" s="144"/>
      <c r="T116" s="144"/>
      <c r="U116" s="144"/>
      <c r="V116" s="50"/>
    </row>
    <row r="117" spans="1:25" s="26" customFormat="1" ht="15" customHeight="1" x14ac:dyDescent="0.2">
      <c r="A117" s="48">
        <v>41593.701134259303</v>
      </c>
      <c r="B117" s="49" t="s">
        <v>152</v>
      </c>
      <c r="C117" s="50" t="s">
        <v>247</v>
      </c>
      <c r="D117" s="67">
        <v>41579</v>
      </c>
      <c r="E117" s="50" t="s">
        <v>3031</v>
      </c>
      <c r="F117" s="50" t="s">
        <v>3032</v>
      </c>
      <c r="G117" s="49" t="s">
        <v>20</v>
      </c>
      <c r="H117" s="50"/>
      <c r="I117" s="50" t="s">
        <v>2986</v>
      </c>
      <c r="J117" s="117">
        <v>3</v>
      </c>
      <c r="K117" s="117">
        <v>93</v>
      </c>
      <c r="L117" s="142"/>
      <c r="M117" s="143" t="s">
        <v>44</v>
      </c>
      <c r="N117" s="144">
        <v>325.5</v>
      </c>
      <c r="O117" s="144"/>
      <c r="P117" s="144">
        <v>120</v>
      </c>
      <c r="Q117" s="144"/>
      <c r="R117" s="144"/>
      <c r="S117" s="144"/>
      <c r="T117" s="144"/>
      <c r="U117" s="144"/>
      <c r="V117" s="50"/>
    </row>
    <row r="118" spans="1:25" s="26" customFormat="1" ht="15" customHeight="1" x14ac:dyDescent="0.2">
      <c r="A118" s="48">
        <v>41600.6202430556</v>
      </c>
      <c r="B118" s="49" t="s">
        <v>152</v>
      </c>
      <c r="C118" s="50" t="s">
        <v>247</v>
      </c>
      <c r="D118" s="67">
        <v>41579</v>
      </c>
      <c r="E118" s="50" t="s">
        <v>3080</v>
      </c>
      <c r="F118" s="50" t="s">
        <v>3081</v>
      </c>
      <c r="G118" s="49" t="s">
        <v>351</v>
      </c>
      <c r="H118" s="50" t="s">
        <v>3082</v>
      </c>
      <c r="I118" s="50" t="s">
        <v>2812</v>
      </c>
      <c r="J118" s="117">
        <v>6</v>
      </c>
      <c r="K118" s="117">
        <v>120</v>
      </c>
      <c r="L118" s="142"/>
      <c r="M118" s="143" t="s">
        <v>22</v>
      </c>
      <c r="N118" s="144"/>
      <c r="O118" s="144"/>
      <c r="P118" s="144"/>
      <c r="Q118" s="144"/>
      <c r="R118" s="144"/>
      <c r="S118" s="144"/>
      <c r="T118" s="144"/>
      <c r="U118" s="144"/>
      <c r="V118" s="50" t="s">
        <v>3083</v>
      </c>
    </row>
    <row r="119" spans="1:25" s="26" customFormat="1" ht="15" customHeight="1" x14ac:dyDescent="0.2">
      <c r="A119" s="48">
        <v>41600.623981481498</v>
      </c>
      <c r="B119" s="49" t="s">
        <v>152</v>
      </c>
      <c r="C119" s="50" t="s">
        <v>247</v>
      </c>
      <c r="D119" s="67">
        <v>41579</v>
      </c>
      <c r="E119" s="50" t="s">
        <v>3084</v>
      </c>
      <c r="F119" s="50" t="s">
        <v>3085</v>
      </c>
      <c r="G119" s="49" t="s">
        <v>20</v>
      </c>
      <c r="H119" s="50"/>
      <c r="I119" s="50" t="s">
        <v>2986</v>
      </c>
      <c r="J119" s="117">
        <v>5</v>
      </c>
      <c r="K119" s="117">
        <v>113</v>
      </c>
      <c r="L119" s="142"/>
      <c r="M119" s="143" t="s">
        <v>44</v>
      </c>
      <c r="N119" s="144">
        <v>395.5</v>
      </c>
      <c r="O119" s="144"/>
      <c r="P119" s="144">
        <v>196.2</v>
      </c>
      <c r="Q119" s="144"/>
      <c r="R119" s="144"/>
      <c r="S119" s="144"/>
      <c r="T119" s="144"/>
      <c r="U119" s="144"/>
      <c r="V119" s="50"/>
    </row>
    <row r="120" spans="1:25" s="26" customFormat="1" ht="15" customHeight="1" x14ac:dyDescent="0.2">
      <c r="A120" s="48">
        <v>41601.5924884259</v>
      </c>
      <c r="B120" s="49" t="s">
        <v>152</v>
      </c>
      <c r="C120" s="50" t="s">
        <v>247</v>
      </c>
      <c r="D120" s="67">
        <v>41579</v>
      </c>
      <c r="E120" s="50" t="s">
        <v>3097</v>
      </c>
      <c r="F120" s="50" t="s">
        <v>3098</v>
      </c>
      <c r="G120" s="49" t="s">
        <v>42</v>
      </c>
      <c r="H120" s="50"/>
      <c r="I120" s="50" t="s">
        <v>2986</v>
      </c>
      <c r="J120" s="117">
        <v>1</v>
      </c>
      <c r="K120" s="117">
        <v>12</v>
      </c>
      <c r="L120" s="142"/>
      <c r="M120" s="143" t="s">
        <v>44</v>
      </c>
      <c r="N120" s="144">
        <v>60</v>
      </c>
      <c r="O120" s="144"/>
      <c r="P120" s="144"/>
      <c r="Q120" s="144"/>
      <c r="R120" s="144"/>
      <c r="S120" s="144"/>
      <c r="T120" s="144"/>
      <c r="U120" s="144"/>
      <c r="V120" s="50"/>
    </row>
    <row r="121" spans="1:25" s="26" customFormat="1" ht="15" customHeight="1" x14ac:dyDescent="0.2">
      <c r="A121" s="32">
        <v>41622.632662037038</v>
      </c>
      <c r="B121" s="26" t="s">
        <v>152</v>
      </c>
      <c r="C121" s="26" t="s">
        <v>247</v>
      </c>
      <c r="D121" s="68">
        <v>41609</v>
      </c>
      <c r="E121" s="26" t="s">
        <v>3751</v>
      </c>
      <c r="F121" s="26" t="s">
        <v>3752</v>
      </c>
      <c r="G121" s="26" t="s">
        <v>156</v>
      </c>
      <c r="H121" s="26" t="s">
        <v>3753</v>
      </c>
      <c r="I121" s="26" t="s">
        <v>2986</v>
      </c>
      <c r="J121" s="46">
        <v>1</v>
      </c>
      <c r="K121" s="46">
        <v>208</v>
      </c>
      <c r="L121" s="136"/>
      <c r="M121" s="137" t="s">
        <v>44</v>
      </c>
      <c r="N121" s="138">
        <v>973.5</v>
      </c>
      <c r="O121" s="138"/>
      <c r="P121" s="138">
        <v>105.35</v>
      </c>
      <c r="Q121" s="138"/>
      <c r="R121" s="138"/>
      <c r="S121" s="138"/>
      <c r="T121" s="138"/>
      <c r="U121" s="138"/>
    </row>
    <row r="122" spans="1:25" s="26" customFormat="1" ht="15" customHeight="1" x14ac:dyDescent="0.2">
      <c r="A122" s="32">
        <v>41623.484872685185</v>
      </c>
      <c r="B122" s="26" t="s">
        <v>152</v>
      </c>
      <c r="C122" s="26" t="s">
        <v>247</v>
      </c>
      <c r="D122" s="68">
        <v>41609</v>
      </c>
      <c r="E122" s="26" t="s">
        <v>3757</v>
      </c>
      <c r="F122" s="26" t="s">
        <v>3758</v>
      </c>
      <c r="G122" s="26" t="s">
        <v>156</v>
      </c>
      <c r="H122" s="26" t="s">
        <v>3759</v>
      </c>
      <c r="I122" s="26" t="s">
        <v>2986</v>
      </c>
      <c r="J122" s="46">
        <v>1</v>
      </c>
      <c r="K122" s="46">
        <v>288</v>
      </c>
      <c r="L122" s="136"/>
      <c r="M122" s="137" t="s">
        <v>44</v>
      </c>
      <c r="N122" s="138">
        <v>921.5</v>
      </c>
      <c r="O122" s="138"/>
      <c r="P122" s="138">
        <v>46</v>
      </c>
      <c r="Q122" s="138"/>
      <c r="R122" s="138"/>
      <c r="S122" s="138"/>
      <c r="T122" s="138"/>
      <c r="U122" s="138"/>
    </row>
    <row r="123" spans="1:25" s="26" customFormat="1" ht="15" customHeight="1" x14ac:dyDescent="0.2">
      <c r="A123" s="55">
        <v>41661.431365740696</v>
      </c>
      <c r="B123" s="52" t="s">
        <v>152</v>
      </c>
      <c r="C123" s="52" t="s">
        <v>247</v>
      </c>
      <c r="D123" s="69">
        <v>41640</v>
      </c>
      <c r="E123" s="52" t="s">
        <v>724</v>
      </c>
      <c r="F123" s="52" t="s">
        <v>4236</v>
      </c>
      <c r="G123" s="52" t="s">
        <v>42</v>
      </c>
      <c r="H123" s="52"/>
      <c r="I123" s="52" t="s">
        <v>2986</v>
      </c>
      <c r="J123" s="95">
        <v>1</v>
      </c>
      <c r="K123" s="118">
        <v>8</v>
      </c>
      <c r="L123" s="148"/>
      <c r="M123" s="146" t="s">
        <v>44</v>
      </c>
      <c r="N123" s="147">
        <v>44</v>
      </c>
      <c r="O123" s="147"/>
      <c r="P123" s="147"/>
      <c r="Q123" s="147"/>
      <c r="R123" s="147"/>
      <c r="S123" s="147"/>
      <c r="T123" s="147"/>
      <c r="U123" s="149"/>
      <c r="V123" s="52" t="s">
        <v>4237</v>
      </c>
      <c r="W123" s="52"/>
      <c r="X123" s="52"/>
      <c r="Y123" s="52"/>
    </row>
    <row r="124" spans="1:25" s="26" customFormat="1" ht="15" customHeight="1" x14ac:dyDescent="0.2">
      <c r="A124" s="32">
        <v>41690.526898148149</v>
      </c>
      <c r="B124" s="26" t="s">
        <v>152</v>
      </c>
      <c r="C124" s="26" t="s">
        <v>247</v>
      </c>
      <c r="D124" s="33">
        <v>41671</v>
      </c>
      <c r="E124" s="26" t="s">
        <v>768</v>
      </c>
      <c r="F124" s="26" t="s">
        <v>2082</v>
      </c>
      <c r="G124" s="26" t="s">
        <v>20</v>
      </c>
      <c r="I124" s="26" t="s">
        <v>2986</v>
      </c>
      <c r="J124" s="46">
        <v>2</v>
      </c>
      <c r="K124" s="46">
        <v>40</v>
      </c>
      <c r="L124" s="136"/>
      <c r="M124" s="137" t="s">
        <v>44</v>
      </c>
      <c r="N124" s="138">
        <v>168</v>
      </c>
      <c r="O124" s="138"/>
      <c r="P124" s="138">
        <v>40</v>
      </c>
      <c r="Q124" s="138"/>
      <c r="R124" s="138"/>
      <c r="S124" s="138"/>
      <c r="T124" s="138"/>
      <c r="U124" s="138"/>
    </row>
    <row r="125" spans="1:25" s="26" customFormat="1" ht="15" customHeight="1" x14ac:dyDescent="0.2">
      <c r="A125" s="32">
        <v>41711.654398148145</v>
      </c>
      <c r="B125" s="26" t="s">
        <v>152</v>
      </c>
      <c r="C125" s="26" t="s">
        <v>247</v>
      </c>
      <c r="D125" s="33">
        <v>41699</v>
      </c>
      <c r="E125" s="26" t="s">
        <v>4050</v>
      </c>
      <c r="F125" s="26" t="s">
        <v>4376</v>
      </c>
      <c r="G125" s="26" t="s">
        <v>20</v>
      </c>
      <c r="I125" s="26" t="s">
        <v>2986</v>
      </c>
      <c r="J125" s="46">
        <v>2</v>
      </c>
      <c r="K125" s="46">
        <v>39</v>
      </c>
      <c r="L125" s="136"/>
      <c r="M125" s="137" t="s">
        <v>44</v>
      </c>
      <c r="N125" s="138">
        <v>126</v>
      </c>
      <c r="O125" s="138"/>
      <c r="P125" s="138"/>
      <c r="Q125" s="138"/>
      <c r="R125" s="138"/>
      <c r="S125" s="138"/>
      <c r="T125" s="138"/>
      <c r="U125" s="138"/>
    </row>
    <row r="126" spans="1:25" s="26" customFormat="1" ht="15" customHeight="1" x14ac:dyDescent="0.2">
      <c r="A126" s="32">
        <v>41727.377650462964</v>
      </c>
      <c r="B126" s="26" t="s">
        <v>152</v>
      </c>
      <c r="C126" s="26" t="s">
        <v>247</v>
      </c>
      <c r="D126" s="33">
        <v>41699</v>
      </c>
      <c r="E126" s="26" t="s">
        <v>5350</v>
      </c>
      <c r="F126" s="26" t="s">
        <v>5351</v>
      </c>
      <c r="G126" s="26" t="s">
        <v>20</v>
      </c>
      <c r="I126" s="26" t="s">
        <v>2986</v>
      </c>
      <c r="J126" s="46">
        <v>4</v>
      </c>
      <c r="K126" s="46">
        <v>69</v>
      </c>
      <c r="L126" s="136"/>
      <c r="M126" s="137" t="s">
        <v>44</v>
      </c>
      <c r="N126" s="138">
        <v>241.5</v>
      </c>
      <c r="O126" s="138"/>
      <c r="P126" s="138"/>
      <c r="Q126" s="138"/>
      <c r="R126" s="138"/>
      <c r="S126" s="138"/>
      <c r="T126" s="138"/>
      <c r="U126" s="138"/>
    </row>
    <row r="127" spans="1:25" s="26" customFormat="1" ht="15" customHeight="1" x14ac:dyDescent="0.2">
      <c r="A127" s="93">
        <v>41765.339259259301</v>
      </c>
      <c r="B127" s="89" t="s">
        <v>16</v>
      </c>
      <c r="C127" s="52" t="s">
        <v>23</v>
      </c>
      <c r="D127" s="87" t="s">
        <v>6224</v>
      </c>
      <c r="E127" s="89" t="s">
        <v>2119</v>
      </c>
      <c r="F127" s="89" t="s">
        <v>6400</v>
      </c>
      <c r="G127" s="89" t="s">
        <v>42</v>
      </c>
      <c r="H127" s="89" t="s">
        <v>6401</v>
      </c>
      <c r="I127" s="89" t="s">
        <v>3001</v>
      </c>
      <c r="J127" s="95">
        <v>1</v>
      </c>
      <c r="K127" s="95">
        <v>12</v>
      </c>
      <c r="L127" s="150">
        <v>50</v>
      </c>
      <c r="M127" s="146" t="s">
        <v>44</v>
      </c>
      <c r="N127" s="149"/>
      <c r="O127" s="149"/>
      <c r="P127" s="149">
        <v>2</v>
      </c>
      <c r="Q127" s="149"/>
      <c r="R127" s="149"/>
      <c r="S127" s="149"/>
      <c r="T127" s="149"/>
      <c r="U127" s="149"/>
      <c r="V127" s="89"/>
      <c r="W127" s="91"/>
      <c r="X127" s="91"/>
      <c r="Y127" s="91"/>
    </row>
    <row r="128" spans="1:25" s="26" customFormat="1" ht="15" customHeight="1" x14ac:dyDescent="0.2">
      <c r="A128" s="93">
        <v>41766.6159259259</v>
      </c>
      <c r="B128" s="89" t="s">
        <v>16</v>
      </c>
      <c r="C128" s="52" t="s">
        <v>23</v>
      </c>
      <c r="D128" s="87" t="s">
        <v>6224</v>
      </c>
      <c r="E128" s="89" t="s">
        <v>2939</v>
      </c>
      <c r="F128" s="89" t="s">
        <v>6460</v>
      </c>
      <c r="G128" s="89" t="s">
        <v>20</v>
      </c>
      <c r="H128" s="89" t="s">
        <v>6461</v>
      </c>
      <c r="I128" s="89" t="s">
        <v>6462</v>
      </c>
      <c r="J128" s="95">
        <v>3</v>
      </c>
      <c r="K128" s="95">
        <v>135</v>
      </c>
      <c r="L128" s="150">
        <v>452</v>
      </c>
      <c r="M128" s="146" t="s">
        <v>44</v>
      </c>
      <c r="N128" s="149"/>
      <c r="O128" s="149"/>
      <c r="P128" s="149">
        <v>10</v>
      </c>
      <c r="Q128" s="149"/>
      <c r="R128" s="149"/>
      <c r="S128" s="149"/>
      <c r="T128" s="149"/>
      <c r="U128" s="149">
        <v>10</v>
      </c>
      <c r="V128" s="89"/>
      <c r="W128" s="91"/>
      <c r="X128" s="91"/>
      <c r="Y128" s="91"/>
    </row>
    <row r="129" spans="1:25" s="26" customFormat="1" ht="15" customHeight="1" x14ac:dyDescent="0.2">
      <c r="A129" s="93">
        <v>41767.410810185203</v>
      </c>
      <c r="B129" s="89" t="s">
        <v>152</v>
      </c>
      <c r="C129" s="52" t="s">
        <v>2060</v>
      </c>
      <c r="D129" s="87" t="s">
        <v>6224</v>
      </c>
      <c r="E129" s="89" t="s">
        <v>6463</v>
      </c>
      <c r="F129" s="89" t="s">
        <v>6464</v>
      </c>
      <c r="G129" s="89" t="s">
        <v>20</v>
      </c>
      <c r="H129" s="89"/>
      <c r="I129" s="89" t="s">
        <v>2986</v>
      </c>
      <c r="J129" s="95">
        <v>1</v>
      </c>
      <c r="K129" s="95">
        <v>28</v>
      </c>
      <c r="L129" s="150"/>
      <c r="M129" s="146" t="s">
        <v>44</v>
      </c>
      <c r="N129" s="149">
        <v>105.5</v>
      </c>
      <c r="O129" s="149"/>
      <c r="P129" s="149"/>
      <c r="Q129" s="149"/>
      <c r="R129" s="149"/>
      <c r="S129" s="149"/>
      <c r="T129" s="149"/>
      <c r="U129" s="149"/>
      <c r="V129" s="89"/>
      <c r="W129" s="91"/>
      <c r="X129" s="91"/>
      <c r="Y129" s="91"/>
    </row>
    <row r="130" spans="1:25" s="26" customFormat="1" ht="15" customHeight="1" x14ac:dyDescent="0.2">
      <c r="A130" s="37">
        <v>41494.484722222202</v>
      </c>
      <c r="B130" s="26" t="s">
        <v>152</v>
      </c>
      <c r="C130" s="26" t="s">
        <v>1036</v>
      </c>
      <c r="D130" s="33">
        <v>41456</v>
      </c>
      <c r="E130" s="26" t="s">
        <v>1037</v>
      </c>
      <c r="F130" s="26" t="s">
        <v>1038</v>
      </c>
      <c r="G130" s="26" t="s">
        <v>26</v>
      </c>
      <c r="H130" s="26" t="s">
        <v>1039</v>
      </c>
      <c r="J130" s="115">
        <v>1</v>
      </c>
      <c r="K130" s="115">
        <v>0</v>
      </c>
      <c r="L130" s="136"/>
      <c r="M130" s="137" t="s">
        <v>22</v>
      </c>
      <c r="N130" s="138"/>
      <c r="O130" s="138"/>
      <c r="P130" s="138"/>
      <c r="Q130" s="138"/>
      <c r="R130" s="138"/>
      <c r="S130" s="138"/>
      <c r="T130" s="138"/>
      <c r="U130" s="138"/>
      <c r="V130" s="26" t="s">
        <v>1040</v>
      </c>
    </row>
    <row r="131" spans="1:25" s="26" customFormat="1" ht="15" customHeight="1" x14ac:dyDescent="0.2">
      <c r="A131" s="37">
        <v>41494.487407407403</v>
      </c>
      <c r="B131" s="26" t="s">
        <v>152</v>
      </c>
      <c r="C131" s="26" t="s">
        <v>1036</v>
      </c>
      <c r="D131" s="33">
        <v>41456</v>
      </c>
      <c r="E131" s="26" t="s">
        <v>1041</v>
      </c>
      <c r="F131" s="26" t="s">
        <v>1042</v>
      </c>
      <c r="G131" s="26" t="s">
        <v>26</v>
      </c>
      <c r="H131" s="26" t="s">
        <v>1043</v>
      </c>
      <c r="J131" s="115">
        <v>1</v>
      </c>
      <c r="K131" s="115">
        <v>5</v>
      </c>
      <c r="L131" s="136"/>
      <c r="M131" s="137" t="s">
        <v>22</v>
      </c>
      <c r="N131" s="138"/>
      <c r="O131" s="138"/>
      <c r="P131" s="138"/>
      <c r="Q131" s="138"/>
      <c r="R131" s="138"/>
      <c r="S131" s="138"/>
      <c r="T131" s="138"/>
      <c r="U131" s="138"/>
    </row>
    <row r="132" spans="1:25" s="26" customFormat="1" ht="15" customHeight="1" x14ac:dyDescent="0.2">
      <c r="A132" s="37">
        <v>41494.4897569444</v>
      </c>
      <c r="B132" s="26" t="s">
        <v>152</v>
      </c>
      <c r="C132" s="26" t="s">
        <v>1036</v>
      </c>
      <c r="D132" s="33">
        <v>41456</v>
      </c>
      <c r="E132" s="26" t="s">
        <v>1044</v>
      </c>
      <c r="F132" s="26" t="s">
        <v>1045</v>
      </c>
      <c r="G132" s="26" t="s">
        <v>26</v>
      </c>
      <c r="H132" s="26" t="s">
        <v>1046</v>
      </c>
      <c r="J132" s="115">
        <v>1</v>
      </c>
      <c r="K132" s="115">
        <v>0</v>
      </c>
      <c r="L132" s="136"/>
      <c r="M132" s="137" t="s">
        <v>22</v>
      </c>
      <c r="N132" s="138"/>
      <c r="O132" s="138"/>
      <c r="P132" s="138"/>
      <c r="Q132" s="138"/>
      <c r="R132" s="138"/>
      <c r="S132" s="138"/>
      <c r="T132" s="138"/>
      <c r="U132" s="138"/>
      <c r="V132" s="26" t="s">
        <v>1047</v>
      </c>
    </row>
    <row r="133" spans="1:25" s="26" customFormat="1" ht="15" customHeight="1" x14ac:dyDescent="0.2">
      <c r="A133" s="37">
        <v>41494.492002314801</v>
      </c>
      <c r="B133" s="26" t="s">
        <v>152</v>
      </c>
      <c r="C133" s="26" t="s">
        <v>1036</v>
      </c>
      <c r="D133" s="33">
        <v>41456</v>
      </c>
      <c r="E133" s="26" t="s">
        <v>1048</v>
      </c>
      <c r="F133" s="26" t="s">
        <v>1049</v>
      </c>
      <c r="G133" s="26" t="s">
        <v>26</v>
      </c>
      <c r="H133" s="26" t="s">
        <v>1050</v>
      </c>
      <c r="J133" s="115">
        <v>1</v>
      </c>
      <c r="K133" s="115">
        <v>0</v>
      </c>
      <c r="L133" s="136"/>
      <c r="M133" s="137" t="s">
        <v>22</v>
      </c>
      <c r="N133" s="138"/>
      <c r="O133" s="138"/>
      <c r="P133" s="138"/>
      <c r="Q133" s="138"/>
      <c r="R133" s="138"/>
      <c r="S133" s="138"/>
      <c r="T133" s="138"/>
      <c r="U133" s="138" t="s">
        <v>1051</v>
      </c>
    </row>
    <row r="134" spans="1:25" s="26" customFormat="1" ht="15" customHeight="1" x14ac:dyDescent="0.2">
      <c r="A134" s="37">
        <v>41494.494872685202</v>
      </c>
      <c r="B134" s="26" t="s">
        <v>152</v>
      </c>
      <c r="C134" s="26" t="s">
        <v>1036</v>
      </c>
      <c r="D134" s="33">
        <v>41456</v>
      </c>
      <c r="E134" s="26" t="s">
        <v>1052</v>
      </c>
      <c r="F134" s="26" t="s">
        <v>1053</v>
      </c>
      <c r="G134" s="26" t="s">
        <v>26</v>
      </c>
      <c r="H134" s="26" t="s">
        <v>1054</v>
      </c>
      <c r="J134" s="115">
        <v>4</v>
      </c>
      <c r="K134" s="115">
        <v>15</v>
      </c>
      <c r="L134" s="136"/>
      <c r="M134" s="137" t="s">
        <v>22</v>
      </c>
      <c r="N134" s="138"/>
      <c r="O134" s="138"/>
      <c r="P134" s="138"/>
      <c r="Q134" s="138"/>
      <c r="R134" s="138"/>
      <c r="S134" s="138"/>
      <c r="T134" s="138"/>
      <c r="U134" s="138"/>
    </row>
    <row r="135" spans="1:25" s="26" customFormat="1" ht="15" customHeight="1" x14ac:dyDescent="0.2">
      <c r="A135" s="37">
        <v>41494.5014814815</v>
      </c>
      <c r="B135" s="26" t="s">
        <v>152</v>
      </c>
      <c r="C135" s="26" t="s">
        <v>1036</v>
      </c>
      <c r="D135" s="33">
        <v>41456</v>
      </c>
      <c r="E135" s="26" t="s">
        <v>1052</v>
      </c>
      <c r="F135" s="26" t="s">
        <v>1055</v>
      </c>
      <c r="G135" s="26" t="s">
        <v>26</v>
      </c>
      <c r="H135" s="26" t="s">
        <v>1056</v>
      </c>
      <c r="J135" s="115">
        <v>4</v>
      </c>
      <c r="K135" s="115">
        <v>2</v>
      </c>
      <c r="L135" s="136"/>
      <c r="M135" s="137" t="s">
        <v>22</v>
      </c>
      <c r="N135" s="138"/>
      <c r="O135" s="138"/>
      <c r="P135" s="138"/>
      <c r="Q135" s="138"/>
      <c r="R135" s="138"/>
      <c r="S135" s="138"/>
      <c r="T135" s="138"/>
      <c r="U135" s="138"/>
    </row>
    <row r="136" spans="1:25" s="26" customFormat="1" ht="15" customHeight="1" x14ac:dyDescent="0.2">
      <c r="A136" s="37">
        <v>41494.502037036997</v>
      </c>
      <c r="B136" s="26" t="s">
        <v>152</v>
      </c>
      <c r="C136" s="26" t="s">
        <v>1036</v>
      </c>
      <c r="D136" s="33">
        <v>41456</v>
      </c>
      <c r="E136" s="26" t="s">
        <v>1057</v>
      </c>
      <c r="F136" s="26" t="s">
        <v>1038</v>
      </c>
      <c r="G136" s="26" t="s">
        <v>26</v>
      </c>
      <c r="H136" s="26" t="s">
        <v>1039</v>
      </c>
      <c r="J136" s="115">
        <v>1</v>
      </c>
      <c r="K136" s="115">
        <v>0</v>
      </c>
      <c r="L136" s="136"/>
      <c r="M136" s="137" t="s">
        <v>22</v>
      </c>
      <c r="N136" s="138"/>
      <c r="O136" s="138"/>
      <c r="P136" s="138"/>
      <c r="Q136" s="138"/>
      <c r="R136" s="138"/>
      <c r="S136" s="138"/>
      <c r="T136" s="138"/>
      <c r="U136" s="138"/>
      <c r="V136" s="26" t="s">
        <v>1040</v>
      </c>
    </row>
    <row r="137" spans="1:25" s="26" customFormat="1" ht="15" customHeight="1" x14ac:dyDescent="0.2">
      <c r="A137" s="37">
        <v>41494.504675925898</v>
      </c>
      <c r="B137" s="26" t="s">
        <v>152</v>
      </c>
      <c r="C137" s="26" t="s">
        <v>1036</v>
      </c>
      <c r="D137" s="33">
        <v>41456</v>
      </c>
      <c r="E137" s="26" t="s">
        <v>1058</v>
      </c>
      <c r="F137" s="26" t="s">
        <v>1042</v>
      </c>
      <c r="G137" s="26" t="s">
        <v>26</v>
      </c>
      <c r="H137" s="26" t="s">
        <v>1043</v>
      </c>
      <c r="J137" s="115">
        <v>1</v>
      </c>
      <c r="K137" s="115">
        <v>4</v>
      </c>
      <c r="L137" s="136"/>
      <c r="M137" s="137" t="s">
        <v>22</v>
      </c>
      <c r="N137" s="138"/>
      <c r="O137" s="138"/>
      <c r="P137" s="138"/>
      <c r="Q137" s="138"/>
      <c r="R137" s="138"/>
      <c r="S137" s="138"/>
      <c r="T137" s="138"/>
      <c r="U137" s="138"/>
      <c r="V137" s="26" t="s">
        <v>1040</v>
      </c>
    </row>
    <row r="138" spans="1:25" s="26" customFormat="1" ht="15" customHeight="1" x14ac:dyDescent="0.2">
      <c r="A138" s="37">
        <v>41494.505497685197</v>
      </c>
      <c r="B138" s="26" t="s">
        <v>152</v>
      </c>
      <c r="C138" s="26" t="s">
        <v>1036</v>
      </c>
      <c r="D138" s="33">
        <v>41456</v>
      </c>
      <c r="E138" s="26" t="s">
        <v>1059</v>
      </c>
      <c r="F138" s="26" t="s">
        <v>1045</v>
      </c>
      <c r="G138" s="26" t="s">
        <v>26</v>
      </c>
      <c r="H138" s="26" t="s">
        <v>1046</v>
      </c>
      <c r="J138" s="115">
        <v>1</v>
      </c>
      <c r="K138" s="115">
        <v>0</v>
      </c>
      <c r="L138" s="136"/>
      <c r="M138" s="137" t="s">
        <v>22</v>
      </c>
      <c r="N138" s="138"/>
      <c r="O138" s="138"/>
      <c r="P138" s="138"/>
      <c r="Q138" s="138"/>
      <c r="R138" s="138"/>
      <c r="S138" s="138"/>
      <c r="T138" s="138"/>
      <c r="U138" s="138"/>
    </row>
    <row r="139" spans="1:25" s="26" customFormat="1" ht="15" customHeight="1" x14ac:dyDescent="0.2">
      <c r="A139" s="37">
        <v>41494.506168981497</v>
      </c>
      <c r="B139" s="26" t="s">
        <v>152</v>
      </c>
      <c r="C139" s="26" t="s">
        <v>1036</v>
      </c>
      <c r="D139" s="33">
        <v>41456</v>
      </c>
      <c r="E139" s="26" t="s">
        <v>1060</v>
      </c>
      <c r="F139" s="26" t="s">
        <v>1049</v>
      </c>
      <c r="G139" s="26" t="s">
        <v>26</v>
      </c>
      <c r="H139" s="26" t="s">
        <v>1050</v>
      </c>
      <c r="J139" s="115">
        <v>1</v>
      </c>
      <c r="K139" s="115">
        <v>0</v>
      </c>
      <c r="L139" s="136"/>
      <c r="M139" s="137" t="s">
        <v>22</v>
      </c>
      <c r="N139" s="138"/>
      <c r="O139" s="138"/>
      <c r="P139" s="138"/>
      <c r="Q139" s="138"/>
      <c r="R139" s="138"/>
      <c r="S139" s="138"/>
      <c r="T139" s="138"/>
      <c r="U139" s="138"/>
    </row>
    <row r="140" spans="1:25" s="26" customFormat="1" ht="15" customHeight="1" x14ac:dyDescent="0.2">
      <c r="A140" s="37">
        <v>41494.506770833301</v>
      </c>
      <c r="B140" s="26" t="s">
        <v>152</v>
      </c>
      <c r="C140" s="26" t="s">
        <v>1036</v>
      </c>
      <c r="D140" s="33">
        <v>41456</v>
      </c>
      <c r="E140" s="26" t="s">
        <v>1061</v>
      </c>
      <c r="F140" s="26" t="s">
        <v>1053</v>
      </c>
      <c r="G140" s="26" t="s">
        <v>26</v>
      </c>
      <c r="H140" s="26" t="s">
        <v>1054</v>
      </c>
      <c r="J140" s="115">
        <v>4</v>
      </c>
      <c r="K140" s="115">
        <v>2</v>
      </c>
      <c r="L140" s="136"/>
      <c r="M140" s="137" t="s">
        <v>22</v>
      </c>
      <c r="N140" s="138"/>
      <c r="O140" s="138"/>
      <c r="P140" s="138"/>
      <c r="Q140" s="138"/>
      <c r="R140" s="138"/>
      <c r="S140" s="138"/>
      <c r="T140" s="138"/>
      <c r="U140" s="138"/>
    </row>
    <row r="141" spans="1:25" s="26" customFormat="1" ht="15" customHeight="1" x14ac:dyDescent="0.2">
      <c r="A141" s="37">
        <v>41494.507337962998</v>
      </c>
      <c r="B141" s="26" t="s">
        <v>152</v>
      </c>
      <c r="C141" s="26" t="s">
        <v>1036</v>
      </c>
      <c r="D141" s="33">
        <v>41456</v>
      </c>
      <c r="E141" s="26" t="s">
        <v>1061</v>
      </c>
      <c r="F141" s="26" t="s">
        <v>1055</v>
      </c>
      <c r="G141" s="26" t="s">
        <v>26</v>
      </c>
      <c r="H141" s="26" t="s">
        <v>1056</v>
      </c>
      <c r="J141" s="115">
        <v>4</v>
      </c>
      <c r="K141" s="115">
        <v>2</v>
      </c>
      <c r="L141" s="136"/>
      <c r="M141" s="137" t="s">
        <v>22</v>
      </c>
      <c r="N141" s="138"/>
      <c r="O141" s="138"/>
      <c r="P141" s="138"/>
      <c r="Q141" s="138"/>
      <c r="R141" s="138"/>
      <c r="S141" s="138"/>
      <c r="T141" s="138"/>
      <c r="U141" s="138"/>
    </row>
    <row r="142" spans="1:25" s="26" customFormat="1" ht="15" customHeight="1" x14ac:dyDescent="0.2">
      <c r="A142" s="37">
        <v>41494.509351851899</v>
      </c>
      <c r="B142" s="26" t="s">
        <v>152</v>
      </c>
      <c r="C142" s="26" t="s">
        <v>1036</v>
      </c>
      <c r="D142" s="33">
        <v>41456</v>
      </c>
      <c r="E142" s="26" t="s">
        <v>1062</v>
      </c>
      <c r="F142" s="26" t="s">
        <v>1049</v>
      </c>
      <c r="G142" s="26" t="s">
        <v>26</v>
      </c>
      <c r="H142" s="26" t="s">
        <v>1050</v>
      </c>
      <c r="J142" s="115">
        <v>1</v>
      </c>
      <c r="K142" s="115">
        <v>0</v>
      </c>
      <c r="L142" s="136"/>
      <c r="M142" s="137" t="s">
        <v>22</v>
      </c>
      <c r="N142" s="138"/>
      <c r="O142" s="138"/>
      <c r="P142" s="138"/>
      <c r="Q142" s="138"/>
      <c r="R142" s="138"/>
      <c r="S142" s="138"/>
      <c r="T142" s="138"/>
      <c r="U142" s="138"/>
    </row>
    <row r="143" spans="1:25" s="26" customFormat="1" ht="15" customHeight="1" x14ac:dyDescent="0.2">
      <c r="A143" s="37">
        <v>41494.510416666701</v>
      </c>
      <c r="B143" s="26" t="s">
        <v>152</v>
      </c>
      <c r="C143" s="26" t="s">
        <v>1036</v>
      </c>
      <c r="D143" s="33">
        <v>41456</v>
      </c>
      <c r="E143" s="26" t="s">
        <v>1041</v>
      </c>
      <c r="F143" s="26" t="s">
        <v>1063</v>
      </c>
      <c r="G143" s="26" t="s">
        <v>26</v>
      </c>
      <c r="H143" s="26" t="s">
        <v>1064</v>
      </c>
      <c r="J143" s="115">
        <v>1</v>
      </c>
      <c r="K143" s="115">
        <v>7</v>
      </c>
      <c r="L143" s="136"/>
      <c r="M143" s="137" t="s">
        <v>22</v>
      </c>
      <c r="N143" s="138"/>
      <c r="O143" s="138"/>
      <c r="P143" s="138"/>
      <c r="Q143" s="138"/>
      <c r="R143" s="138"/>
      <c r="S143" s="138"/>
      <c r="T143" s="138"/>
      <c r="U143" s="138"/>
    </row>
    <row r="144" spans="1:25" s="26" customFormat="1" ht="15" customHeight="1" x14ac:dyDescent="0.2">
      <c r="A144" s="37">
        <v>41494.513275463003</v>
      </c>
      <c r="B144" s="26" t="s">
        <v>152</v>
      </c>
      <c r="C144" s="26" t="s">
        <v>1036</v>
      </c>
      <c r="D144" s="33">
        <v>41456</v>
      </c>
      <c r="E144" s="26" t="s">
        <v>1044</v>
      </c>
      <c r="F144" s="26" t="s">
        <v>1065</v>
      </c>
      <c r="G144" s="26" t="s">
        <v>26</v>
      </c>
      <c r="H144" s="26" t="s">
        <v>1066</v>
      </c>
      <c r="J144" s="115">
        <v>1</v>
      </c>
      <c r="K144" s="115">
        <v>3</v>
      </c>
      <c r="L144" s="136"/>
      <c r="M144" s="137" t="s">
        <v>22</v>
      </c>
      <c r="N144" s="138"/>
      <c r="O144" s="138"/>
      <c r="P144" s="138"/>
      <c r="Q144" s="138"/>
      <c r="R144" s="138"/>
      <c r="S144" s="138"/>
      <c r="T144" s="138"/>
      <c r="U144" s="138"/>
      <c r="V144" s="26" t="s">
        <v>1067</v>
      </c>
    </row>
    <row r="145" spans="1:22" s="26" customFormat="1" ht="15" customHeight="1" x14ac:dyDescent="0.2">
      <c r="A145" s="37">
        <v>41494.513298611098</v>
      </c>
      <c r="B145" s="26" t="s">
        <v>152</v>
      </c>
      <c r="C145" s="26" t="s">
        <v>1036</v>
      </c>
      <c r="D145" s="33">
        <v>41456</v>
      </c>
      <c r="E145" s="26" t="s">
        <v>1044</v>
      </c>
      <c r="F145" s="26" t="s">
        <v>1065</v>
      </c>
      <c r="G145" s="26" t="s">
        <v>26</v>
      </c>
      <c r="H145" s="26" t="s">
        <v>1066</v>
      </c>
      <c r="J145" s="115">
        <v>1</v>
      </c>
      <c r="K145" s="115">
        <v>3</v>
      </c>
      <c r="L145" s="136"/>
      <c r="M145" s="137" t="s">
        <v>22</v>
      </c>
      <c r="N145" s="138"/>
      <c r="O145" s="138"/>
      <c r="P145" s="138"/>
      <c r="Q145" s="138"/>
      <c r="R145" s="138"/>
      <c r="S145" s="138"/>
      <c r="T145" s="138"/>
      <c r="U145" s="138"/>
      <c r="V145" s="26" t="s">
        <v>1067</v>
      </c>
    </row>
    <row r="146" spans="1:22" s="26" customFormat="1" ht="15" customHeight="1" x14ac:dyDescent="0.2">
      <c r="A146" s="37">
        <v>41494.513356481497</v>
      </c>
      <c r="B146" s="26" t="s">
        <v>152</v>
      </c>
      <c r="C146" s="26" t="s">
        <v>1036</v>
      </c>
      <c r="D146" s="33">
        <v>41456</v>
      </c>
      <c r="E146" s="26" t="s">
        <v>1044</v>
      </c>
      <c r="F146" s="26" t="s">
        <v>1065</v>
      </c>
      <c r="G146" s="26" t="s">
        <v>26</v>
      </c>
      <c r="H146" s="26" t="s">
        <v>1066</v>
      </c>
      <c r="J146" s="115">
        <v>1</v>
      </c>
      <c r="K146" s="115">
        <v>3</v>
      </c>
      <c r="L146" s="136"/>
      <c r="M146" s="137" t="s">
        <v>22</v>
      </c>
      <c r="N146" s="138"/>
      <c r="O146" s="138"/>
      <c r="P146" s="138"/>
      <c r="Q146" s="138"/>
      <c r="R146" s="138"/>
      <c r="S146" s="138"/>
      <c r="T146" s="138"/>
      <c r="U146" s="138"/>
      <c r="V146" s="26" t="s">
        <v>1067</v>
      </c>
    </row>
    <row r="147" spans="1:22" s="26" customFormat="1" ht="15" customHeight="1" x14ac:dyDescent="0.2">
      <c r="A147" s="37">
        <v>41494.5143171296</v>
      </c>
      <c r="B147" s="26" t="s">
        <v>152</v>
      </c>
      <c r="C147" s="26" t="s">
        <v>1036</v>
      </c>
      <c r="D147" s="33">
        <v>41456</v>
      </c>
      <c r="E147" s="26" t="s">
        <v>1068</v>
      </c>
      <c r="F147" s="26" t="s">
        <v>1069</v>
      </c>
      <c r="G147" s="26" t="s">
        <v>26</v>
      </c>
      <c r="H147" s="26" t="s">
        <v>1070</v>
      </c>
      <c r="J147" s="115">
        <v>1</v>
      </c>
      <c r="K147" s="115">
        <v>5</v>
      </c>
      <c r="L147" s="136"/>
      <c r="M147" s="137" t="s">
        <v>22</v>
      </c>
      <c r="N147" s="138"/>
      <c r="O147" s="138"/>
      <c r="P147" s="138"/>
      <c r="Q147" s="138"/>
      <c r="R147" s="138"/>
      <c r="S147" s="138"/>
      <c r="T147" s="138"/>
      <c r="U147" s="138"/>
      <c r="V147" s="26" t="s">
        <v>1071</v>
      </c>
    </row>
    <row r="148" spans="1:22" s="26" customFormat="1" ht="15" customHeight="1" x14ac:dyDescent="0.2">
      <c r="A148" s="37">
        <v>41494.514803240701</v>
      </c>
      <c r="B148" s="26" t="s">
        <v>152</v>
      </c>
      <c r="C148" s="26" t="s">
        <v>1036</v>
      </c>
      <c r="D148" s="33">
        <v>41456</v>
      </c>
      <c r="E148" s="26" t="s">
        <v>1052</v>
      </c>
      <c r="F148" s="26" t="s">
        <v>1053</v>
      </c>
      <c r="G148" s="26" t="s">
        <v>26</v>
      </c>
      <c r="H148" s="26" t="s">
        <v>1054</v>
      </c>
      <c r="J148" s="115">
        <v>4</v>
      </c>
      <c r="K148" s="115">
        <v>9</v>
      </c>
      <c r="L148" s="136"/>
      <c r="M148" s="137" t="s">
        <v>22</v>
      </c>
      <c r="N148" s="138"/>
      <c r="O148" s="138"/>
      <c r="P148" s="138"/>
      <c r="Q148" s="138"/>
      <c r="R148" s="138"/>
      <c r="S148" s="138"/>
      <c r="T148" s="138"/>
      <c r="U148" s="138"/>
    </row>
    <row r="149" spans="1:22" s="26" customFormat="1" ht="15" customHeight="1" x14ac:dyDescent="0.2">
      <c r="A149" s="37">
        <v>41494.515474537002</v>
      </c>
      <c r="B149" s="26" t="s">
        <v>152</v>
      </c>
      <c r="C149" s="26" t="s">
        <v>1036</v>
      </c>
      <c r="D149" s="33">
        <v>41456</v>
      </c>
      <c r="E149" s="26" t="s">
        <v>1072</v>
      </c>
      <c r="F149" s="26" t="s">
        <v>1049</v>
      </c>
      <c r="G149" s="26" t="s">
        <v>26</v>
      </c>
      <c r="H149" s="26" t="s">
        <v>1050</v>
      </c>
      <c r="J149" s="115">
        <v>1</v>
      </c>
      <c r="K149" s="115">
        <v>0</v>
      </c>
      <c r="L149" s="136"/>
      <c r="M149" s="137" t="s">
        <v>22</v>
      </c>
      <c r="N149" s="138"/>
      <c r="O149" s="138"/>
      <c r="P149" s="138"/>
      <c r="Q149" s="138"/>
      <c r="R149" s="138"/>
      <c r="S149" s="138"/>
      <c r="T149" s="138"/>
      <c r="U149" s="138"/>
    </row>
    <row r="150" spans="1:22" s="26" customFormat="1" ht="15" customHeight="1" x14ac:dyDescent="0.2">
      <c r="A150" s="37">
        <v>41494.516064814801</v>
      </c>
      <c r="B150" s="26" t="s">
        <v>152</v>
      </c>
      <c r="C150" s="26" t="s">
        <v>1036</v>
      </c>
      <c r="D150" s="33">
        <v>41456</v>
      </c>
      <c r="E150" s="26" t="s">
        <v>1058</v>
      </c>
      <c r="F150" s="26" t="s">
        <v>1063</v>
      </c>
      <c r="G150" s="26" t="s">
        <v>26</v>
      </c>
      <c r="H150" s="26" t="s">
        <v>1064</v>
      </c>
      <c r="J150" s="115">
        <v>1</v>
      </c>
      <c r="K150" s="115">
        <v>0</v>
      </c>
      <c r="L150" s="136"/>
      <c r="M150" s="137" t="s">
        <v>22</v>
      </c>
      <c r="N150" s="138"/>
      <c r="O150" s="138"/>
      <c r="P150" s="138"/>
      <c r="Q150" s="138"/>
      <c r="R150" s="138"/>
      <c r="S150" s="138"/>
      <c r="T150" s="138"/>
      <c r="U150" s="138"/>
    </row>
    <row r="151" spans="1:22" s="26" customFormat="1" ht="15" customHeight="1" x14ac:dyDescent="0.2">
      <c r="A151" s="37">
        <v>41494.517071759299</v>
      </c>
      <c r="B151" s="26" t="s">
        <v>152</v>
      </c>
      <c r="C151" s="26" t="s">
        <v>1036</v>
      </c>
      <c r="D151" s="33">
        <v>41456</v>
      </c>
      <c r="E151" s="26" t="s">
        <v>1073</v>
      </c>
      <c r="F151" s="26" t="s">
        <v>1065</v>
      </c>
      <c r="G151" s="26" t="s">
        <v>26</v>
      </c>
      <c r="H151" s="26" t="s">
        <v>1066</v>
      </c>
      <c r="J151" s="115">
        <v>1</v>
      </c>
      <c r="K151" s="115">
        <v>0</v>
      </c>
      <c r="L151" s="136"/>
      <c r="M151" s="137" t="s">
        <v>22</v>
      </c>
      <c r="N151" s="138"/>
      <c r="O151" s="138"/>
      <c r="P151" s="138"/>
      <c r="Q151" s="138"/>
      <c r="R151" s="138"/>
      <c r="S151" s="138"/>
      <c r="T151" s="138"/>
      <c r="U151" s="138"/>
    </row>
    <row r="152" spans="1:22" s="26" customFormat="1" ht="15" customHeight="1" x14ac:dyDescent="0.2">
      <c r="A152" s="37">
        <v>41494.5177430556</v>
      </c>
      <c r="B152" s="26" t="s">
        <v>152</v>
      </c>
      <c r="C152" s="26" t="s">
        <v>1036</v>
      </c>
      <c r="D152" s="33">
        <v>41456</v>
      </c>
      <c r="E152" s="26" t="s">
        <v>1074</v>
      </c>
      <c r="F152" s="26" t="s">
        <v>1069</v>
      </c>
      <c r="G152" s="26" t="s">
        <v>26</v>
      </c>
      <c r="H152" s="26" t="s">
        <v>1070</v>
      </c>
      <c r="J152" s="115">
        <v>1</v>
      </c>
      <c r="K152" s="115">
        <v>4</v>
      </c>
      <c r="L152" s="136"/>
      <c r="M152" s="137" t="s">
        <v>22</v>
      </c>
      <c r="N152" s="138"/>
      <c r="O152" s="138"/>
      <c r="P152" s="138"/>
      <c r="Q152" s="138"/>
      <c r="R152" s="138"/>
      <c r="S152" s="138"/>
      <c r="T152" s="138"/>
      <c r="U152" s="138"/>
    </row>
    <row r="153" spans="1:22" s="26" customFormat="1" ht="15" customHeight="1" x14ac:dyDescent="0.2">
      <c r="A153" s="37">
        <v>41494.518379629597</v>
      </c>
      <c r="B153" s="26" t="s">
        <v>152</v>
      </c>
      <c r="C153" s="26" t="s">
        <v>1036</v>
      </c>
      <c r="D153" s="33">
        <v>41456</v>
      </c>
      <c r="E153" s="26" t="s">
        <v>1075</v>
      </c>
      <c r="F153" s="26" t="s">
        <v>1055</v>
      </c>
      <c r="G153" s="26" t="s">
        <v>26</v>
      </c>
      <c r="H153" s="26" t="s">
        <v>1056</v>
      </c>
      <c r="J153" s="115">
        <v>4</v>
      </c>
      <c r="K153" s="115">
        <v>0</v>
      </c>
      <c r="L153" s="136"/>
      <c r="M153" s="137" t="s">
        <v>22</v>
      </c>
      <c r="N153" s="138"/>
      <c r="O153" s="138"/>
      <c r="P153" s="138"/>
      <c r="Q153" s="138"/>
      <c r="R153" s="138"/>
      <c r="S153" s="138"/>
      <c r="T153" s="138"/>
      <c r="U153" s="138"/>
    </row>
    <row r="154" spans="1:22" s="26" customFormat="1" ht="15" customHeight="1" x14ac:dyDescent="0.2">
      <c r="A154" s="37">
        <v>41494.521446759303</v>
      </c>
      <c r="B154" s="26" t="s">
        <v>152</v>
      </c>
      <c r="C154" s="26" t="s">
        <v>1036</v>
      </c>
      <c r="D154" s="33">
        <v>41456</v>
      </c>
      <c r="E154" s="26" t="s">
        <v>1076</v>
      </c>
      <c r="F154" s="26" t="s">
        <v>1077</v>
      </c>
      <c r="G154" s="26" t="s">
        <v>42</v>
      </c>
      <c r="H154" s="26" t="s">
        <v>1078</v>
      </c>
      <c r="J154" s="115">
        <v>1</v>
      </c>
      <c r="K154" s="115">
        <v>6</v>
      </c>
      <c r="L154" s="136">
        <v>20</v>
      </c>
      <c r="M154" s="137" t="s">
        <v>22</v>
      </c>
      <c r="N154" s="138"/>
      <c r="O154" s="138"/>
      <c r="P154" s="138"/>
      <c r="Q154" s="138"/>
      <c r="R154" s="138"/>
      <c r="S154" s="138"/>
      <c r="T154" s="138"/>
      <c r="U154" s="138"/>
    </row>
    <row r="155" spans="1:22" s="26" customFormat="1" ht="15" customHeight="1" x14ac:dyDescent="0.2">
      <c r="A155" s="37">
        <v>41494.523645833302</v>
      </c>
      <c r="B155" s="26" t="s">
        <v>152</v>
      </c>
      <c r="C155" s="26" t="s">
        <v>1036</v>
      </c>
      <c r="D155" s="33">
        <v>41456</v>
      </c>
      <c r="E155" s="26" t="s">
        <v>1079</v>
      </c>
      <c r="F155" s="26" t="s">
        <v>1077</v>
      </c>
      <c r="G155" s="26" t="s">
        <v>26</v>
      </c>
      <c r="H155" s="26" t="s">
        <v>1078</v>
      </c>
      <c r="J155" s="115">
        <v>1</v>
      </c>
      <c r="K155" s="115">
        <v>10</v>
      </c>
      <c r="L155" s="136">
        <v>30</v>
      </c>
      <c r="M155" s="137" t="s">
        <v>22</v>
      </c>
      <c r="N155" s="138"/>
      <c r="O155" s="138"/>
      <c r="P155" s="138"/>
      <c r="Q155" s="138"/>
      <c r="R155" s="138"/>
      <c r="S155" s="138"/>
      <c r="T155" s="138"/>
      <c r="U155" s="138"/>
    </row>
    <row r="156" spans="1:22" s="26" customFormat="1" ht="15" customHeight="1" x14ac:dyDescent="0.2">
      <c r="A156" s="37">
        <v>41494.527013888903</v>
      </c>
      <c r="B156" s="26" t="s">
        <v>152</v>
      </c>
      <c r="C156" s="26" t="s">
        <v>1036</v>
      </c>
      <c r="D156" s="33">
        <v>41456</v>
      </c>
      <c r="E156" s="26" t="s">
        <v>1080</v>
      </c>
      <c r="F156" s="26" t="s">
        <v>1081</v>
      </c>
      <c r="G156" s="26" t="s">
        <v>42</v>
      </c>
      <c r="H156" s="26" t="s">
        <v>1082</v>
      </c>
      <c r="J156" s="115">
        <v>1</v>
      </c>
      <c r="K156" s="115">
        <v>13</v>
      </c>
      <c r="L156" s="136"/>
      <c r="M156" s="137" t="s">
        <v>44</v>
      </c>
      <c r="N156" s="138"/>
      <c r="O156" s="138"/>
      <c r="P156" s="138"/>
      <c r="Q156" s="138">
        <v>80</v>
      </c>
      <c r="R156" s="138"/>
      <c r="S156" s="138"/>
      <c r="T156" s="138"/>
      <c r="U156" s="138"/>
    </row>
    <row r="157" spans="1:22" s="26" customFormat="1" ht="15" customHeight="1" x14ac:dyDescent="0.2">
      <c r="A157" s="37">
        <v>41494.527974536999</v>
      </c>
      <c r="B157" s="26" t="s">
        <v>152</v>
      </c>
      <c r="C157" s="26" t="s">
        <v>1036</v>
      </c>
      <c r="D157" s="33">
        <v>41456</v>
      </c>
      <c r="E157" s="26" t="s">
        <v>1083</v>
      </c>
      <c r="F157" s="26" t="s">
        <v>1084</v>
      </c>
      <c r="G157" s="26" t="s">
        <v>42</v>
      </c>
      <c r="H157" s="26" t="s">
        <v>1085</v>
      </c>
      <c r="J157" s="115">
        <v>1</v>
      </c>
      <c r="K157" s="115">
        <v>12</v>
      </c>
      <c r="L157" s="136"/>
      <c r="M157" s="137" t="s">
        <v>22</v>
      </c>
      <c r="N157" s="138"/>
      <c r="O157" s="138"/>
      <c r="P157" s="138"/>
      <c r="Q157" s="138"/>
      <c r="R157" s="138"/>
      <c r="S157" s="138"/>
      <c r="T157" s="138"/>
      <c r="U157" s="138"/>
    </row>
    <row r="158" spans="1:22" s="26" customFormat="1" ht="15" customHeight="1" x14ac:dyDescent="0.2">
      <c r="A158" s="37">
        <v>41494.530543981498</v>
      </c>
      <c r="B158" s="26" t="s">
        <v>152</v>
      </c>
      <c r="C158" s="26" t="s">
        <v>1036</v>
      </c>
      <c r="D158" s="33">
        <v>41456</v>
      </c>
      <c r="E158" s="26" t="s">
        <v>1086</v>
      </c>
      <c r="F158" s="26" t="s">
        <v>1087</v>
      </c>
      <c r="G158" s="26" t="s">
        <v>26</v>
      </c>
      <c r="H158" s="26" t="s">
        <v>1088</v>
      </c>
      <c r="J158" s="115">
        <v>5</v>
      </c>
      <c r="K158" s="115">
        <v>9</v>
      </c>
      <c r="L158" s="136">
        <v>540</v>
      </c>
      <c r="M158" s="137" t="s">
        <v>44</v>
      </c>
      <c r="N158" s="138"/>
      <c r="O158" s="138"/>
      <c r="P158" s="138">
        <v>40</v>
      </c>
      <c r="Q158" s="138"/>
      <c r="R158" s="138"/>
      <c r="S158" s="138"/>
      <c r="T158" s="138"/>
      <c r="U158" s="138"/>
    </row>
    <row r="159" spans="1:22" s="26" customFormat="1" ht="15" customHeight="1" x14ac:dyDescent="0.2">
      <c r="A159" s="37">
        <v>41494.531493055598</v>
      </c>
      <c r="B159" s="26" t="s">
        <v>152</v>
      </c>
      <c r="C159" s="26" t="s">
        <v>1036</v>
      </c>
      <c r="D159" s="33">
        <v>41456</v>
      </c>
      <c r="E159" s="26" t="s">
        <v>1086</v>
      </c>
      <c r="F159" s="26" t="s">
        <v>1087</v>
      </c>
      <c r="G159" s="26" t="s">
        <v>26</v>
      </c>
      <c r="H159" s="26" t="s">
        <v>1089</v>
      </c>
      <c r="J159" s="115">
        <v>5</v>
      </c>
      <c r="K159" s="115">
        <v>7</v>
      </c>
      <c r="L159" s="136">
        <v>420</v>
      </c>
      <c r="M159" s="137" t="s">
        <v>22</v>
      </c>
      <c r="N159" s="138"/>
      <c r="O159" s="138"/>
      <c r="P159" s="138"/>
      <c r="Q159" s="138"/>
      <c r="R159" s="138"/>
      <c r="S159" s="138"/>
      <c r="T159" s="138"/>
      <c r="U159" s="138"/>
    </row>
    <row r="160" spans="1:22" s="26" customFormat="1" ht="15" customHeight="1" x14ac:dyDescent="0.2">
      <c r="A160" s="37">
        <v>41494.5328703704</v>
      </c>
      <c r="B160" s="26" t="s">
        <v>152</v>
      </c>
      <c r="C160" s="26" t="s">
        <v>1036</v>
      </c>
      <c r="D160" s="33">
        <v>41456</v>
      </c>
      <c r="E160" s="26" t="s">
        <v>1090</v>
      </c>
      <c r="F160" s="26" t="s">
        <v>1091</v>
      </c>
      <c r="G160" s="26" t="s">
        <v>42</v>
      </c>
      <c r="H160" s="26" t="s">
        <v>1092</v>
      </c>
      <c r="J160" s="115">
        <v>3</v>
      </c>
      <c r="K160" s="115">
        <v>65</v>
      </c>
      <c r="L160" s="136"/>
      <c r="M160" s="137" t="s">
        <v>22</v>
      </c>
      <c r="N160" s="138"/>
      <c r="O160" s="138"/>
      <c r="P160" s="138"/>
      <c r="Q160" s="138"/>
      <c r="R160" s="138"/>
      <c r="S160" s="138"/>
      <c r="T160" s="138"/>
      <c r="U160" s="138"/>
    </row>
    <row r="161" spans="1:22" s="26" customFormat="1" ht="15" customHeight="1" x14ac:dyDescent="0.2">
      <c r="A161" s="37">
        <v>41494.532939814802</v>
      </c>
      <c r="B161" s="26" t="s">
        <v>152</v>
      </c>
      <c r="C161" s="26" t="s">
        <v>1036</v>
      </c>
      <c r="D161" s="33">
        <v>41456</v>
      </c>
      <c r="E161" s="26" t="s">
        <v>1090</v>
      </c>
      <c r="F161" s="26" t="s">
        <v>1091</v>
      </c>
      <c r="G161" s="26" t="s">
        <v>42</v>
      </c>
      <c r="H161" s="26" t="s">
        <v>1092</v>
      </c>
      <c r="J161" s="115">
        <v>3</v>
      </c>
      <c r="K161" s="115">
        <v>65</v>
      </c>
      <c r="L161" s="136"/>
      <c r="M161" s="137" t="s">
        <v>22</v>
      </c>
      <c r="N161" s="138"/>
      <c r="O161" s="138"/>
      <c r="P161" s="138"/>
      <c r="Q161" s="138"/>
      <c r="R161" s="138"/>
      <c r="S161" s="138"/>
      <c r="T161" s="138"/>
      <c r="U161" s="138"/>
    </row>
    <row r="162" spans="1:22" s="26" customFormat="1" ht="15" customHeight="1" x14ac:dyDescent="0.2">
      <c r="A162" s="37">
        <v>41494.533449074101</v>
      </c>
      <c r="B162" s="26" t="s">
        <v>152</v>
      </c>
      <c r="C162" s="26" t="s">
        <v>1036</v>
      </c>
      <c r="D162" s="33">
        <v>41456</v>
      </c>
      <c r="E162" s="26" t="s">
        <v>1093</v>
      </c>
      <c r="F162" s="26" t="s">
        <v>1091</v>
      </c>
      <c r="G162" s="26" t="s">
        <v>42</v>
      </c>
      <c r="H162" s="26" t="s">
        <v>1092</v>
      </c>
      <c r="J162" s="115">
        <v>3</v>
      </c>
      <c r="K162" s="115">
        <v>65</v>
      </c>
      <c r="L162" s="136"/>
      <c r="M162" s="137" t="s">
        <v>22</v>
      </c>
      <c r="N162" s="138"/>
      <c r="O162" s="138"/>
      <c r="P162" s="138"/>
      <c r="Q162" s="138"/>
      <c r="R162" s="138"/>
      <c r="S162" s="138"/>
      <c r="T162" s="138"/>
      <c r="U162" s="138"/>
    </row>
    <row r="163" spans="1:22" s="26" customFormat="1" ht="15" customHeight="1" x14ac:dyDescent="0.2">
      <c r="A163" s="38">
        <v>41522.542349537034</v>
      </c>
      <c r="B163" s="29" t="s">
        <v>152</v>
      </c>
      <c r="C163" s="29" t="s">
        <v>1036</v>
      </c>
      <c r="D163" s="30">
        <v>41487</v>
      </c>
      <c r="E163" s="31" t="s">
        <v>1694</v>
      </c>
      <c r="F163" s="29" t="s">
        <v>1695</v>
      </c>
      <c r="G163" s="29" t="s">
        <v>42</v>
      </c>
      <c r="H163" s="29" t="s">
        <v>1696</v>
      </c>
      <c r="I163" s="29"/>
      <c r="J163" s="116">
        <v>2</v>
      </c>
      <c r="K163" s="116">
        <v>7</v>
      </c>
      <c r="L163" s="139">
        <v>21</v>
      </c>
      <c r="M163" s="140" t="s">
        <v>44</v>
      </c>
      <c r="N163" s="141"/>
      <c r="O163" s="141">
        <v>10</v>
      </c>
      <c r="P163" s="141"/>
      <c r="Q163" s="141"/>
      <c r="R163" s="141"/>
      <c r="S163" s="141"/>
      <c r="T163" s="141"/>
      <c r="U163" s="141"/>
      <c r="V163" s="29"/>
    </row>
    <row r="164" spans="1:22" s="26" customFormat="1" ht="15" customHeight="1" x14ac:dyDescent="0.2">
      <c r="A164" s="38">
        <v>41522.54478009259</v>
      </c>
      <c r="B164" s="29" t="s">
        <v>152</v>
      </c>
      <c r="C164" s="29" t="s">
        <v>1036</v>
      </c>
      <c r="D164" s="30">
        <v>41487</v>
      </c>
      <c r="E164" s="31" t="s">
        <v>1697</v>
      </c>
      <c r="F164" s="29" t="s">
        <v>785</v>
      </c>
      <c r="G164" s="39" t="s">
        <v>26</v>
      </c>
      <c r="H164" s="29" t="s">
        <v>1698</v>
      </c>
      <c r="I164" s="29"/>
      <c r="J164" s="116">
        <v>1</v>
      </c>
      <c r="K164" s="116">
        <v>4</v>
      </c>
      <c r="L164" s="139">
        <v>240</v>
      </c>
      <c r="M164" s="140" t="s">
        <v>22</v>
      </c>
      <c r="N164" s="141"/>
      <c r="O164" s="141"/>
      <c r="P164" s="141"/>
      <c r="Q164" s="141"/>
      <c r="R164" s="141"/>
      <c r="S164" s="141"/>
      <c r="T164" s="141"/>
      <c r="U164" s="141">
        <v>30</v>
      </c>
      <c r="V164" s="29" t="s">
        <v>1699</v>
      </c>
    </row>
    <row r="165" spans="1:22" s="26" customFormat="1" ht="15" customHeight="1" x14ac:dyDescent="0.2">
      <c r="A165" s="38">
        <v>41522.547893518517</v>
      </c>
      <c r="B165" s="29" t="s">
        <v>152</v>
      </c>
      <c r="C165" s="29" t="s">
        <v>1036</v>
      </c>
      <c r="D165" s="30">
        <v>41487</v>
      </c>
      <c r="E165" s="31" t="s">
        <v>1700</v>
      </c>
      <c r="F165" s="29" t="s">
        <v>1701</v>
      </c>
      <c r="G165" s="29" t="s">
        <v>42</v>
      </c>
      <c r="H165" s="29" t="s">
        <v>1702</v>
      </c>
      <c r="I165" s="29"/>
      <c r="J165" s="116">
        <v>1</v>
      </c>
      <c r="K165" s="116">
        <v>0</v>
      </c>
      <c r="L165" s="139">
        <v>0</v>
      </c>
      <c r="M165" s="140" t="s">
        <v>22</v>
      </c>
      <c r="N165" s="141"/>
      <c r="O165" s="141"/>
      <c r="P165" s="141"/>
      <c r="Q165" s="141"/>
      <c r="R165" s="141"/>
      <c r="S165" s="141"/>
      <c r="T165" s="141"/>
      <c r="U165" s="141"/>
      <c r="V165" s="29" t="s">
        <v>1703</v>
      </c>
    </row>
    <row r="166" spans="1:22" s="26" customFormat="1" ht="15" customHeight="1" x14ac:dyDescent="0.2">
      <c r="A166" s="38">
        <v>41522.553229166668</v>
      </c>
      <c r="B166" s="29" t="s">
        <v>152</v>
      </c>
      <c r="C166" s="29" t="s">
        <v>1036</v>
      </c>
      <c r="D166" s="30">
        <v>41487</v>
      </c>
      <c r="E166" s="31" t="s">
        <v>1704</v>
      </c>
      <c r="F166" s="29" t="s">
        <v>1705</v>
      </c>
      <c r="G166" s="29" t="s">
        <v>26</v>
      </c>
      <c r="H166" s="29" t="s">
        <v>1706</v>
      </c>
      <c r="I166" s="29"/>
      <c r="J166" s="116">
        <v>1</v>
      </c>
      <c r="K166" s="116">
        <v>17</v>
      </c>
      <c r="L166" s="139"/>
      <c r="M166" s="140" t="s">
        <v>22</v>
      </c>
      <c r="N166" s="141"/>
      <c r="O166" s="141"/>
      <c r="P166" s="141"/>
      <c r="Q166" s="141"/>
      <c r="R166" s="141"/>
      <c r="S166" s="141"/>
      <c r="T166" s="141"/>
      <c r="U166" s="141"/>
      <c r="V166" s="29" t="s">
        <v>1707</v>
      </c>
    </row>
    <row r="167" spans="1:22" s="26" customFormat="1" ht="15" customHeight="1" x14ac:dyDescent="0.2">
      <c r="A167" s="32">
        <v>41556.673495370371</v>
      </c>
      <c r="B167" s="26" t="s">
        <v>152</v>
      </c>
      <c r="C167" s="26" t="s">
        <v>1036</v>
      </c>
      <c r="D167" s="30">
        <v>41518</v>
      </c>
      <c r="E167" s="26" t="s">
        <v>2677</v>
      </c>
      <c r="F167" s="26" t="s">
        <v>2678</v>
      </c>
      <c r="G167" s="26" t="s">
        <v>156</v>
      </c>
      <c r="H167" s="26" t="s">
        <v>2679</v>
      </c>
      <c r="J167" s="46">
        <v>1</v>
      </c>
      <c r="K167" s="46">
        <v>25</v>
      </c>
      <c r="L167" s="136">
        <v>75</v>
      </c>
      <c r="M167" s="137" t="s">
        <v>44</v>
      </c>
      <c r="N167" s="138"/>
      <c r="O167" s="138">
        <v>100</v>
      </c>
      <c r="P167" s="138"/>
      <c r="Q167" s="138"/>
      <c r="R167" s="138"/>
      <c r="S167" s="138"/>
      <c r="T167" s="138"/>
      <c r="U167" s="138"/>
    </row>
    <row r="168" spans="1:22" s="26" customFormat="1" ht="15" customHeight="1" x14ac:dyDescent="0.2">
      <c r="A168" s="32">
        <v>41556.675243055557</v>
      </c>
      <c r="B168" s="26" t="s">
        <v>152</v>
      </c>
      <c r="C168" s="26" t="s">
        <v>1036</v>
      </c>
      <c r="D168" s="30">
        <v>41518</v>
      </c>
      <c r="E168" s="26" t="s">
        <v>2680</v>
      </c>
      <c r="F168" s="26" t="s">
        <v>2681</v>
      </c>
      <c r="G168" s="26" t="s">
        <v>156</v>
      </c>
      <c r="H168" s="26" t="s">
        <v>2682</v>
      </c>
      <c r="J168" s="46">
        <v>1</v>
      </c>
      <c r="K168" s="46">
        <v>22</v>
      </c>
      <c r="L168" s="136"/>
      <c r="M168" s="137" t="s">
        <v>44</v>
      </c>
      <c r="N168" s="138"/>
      <c r="O168" s="138">
        <v>35</v>
      </c>
      <c r="P168" s="138"/>
      <c r="Q168" s="138"/>
      <c r="R168" s="138"/>
      <c r="S168" s="138"/>
      <c r="T168" s="138"/>
      <c r="U168" s="138"/>
      <c r="V168" s="26" t="s">
        <v>2683</v>
      </c>
    </row>
    <row r="169" spans="1:22" s="26" customFormat="1" ht="15" customHeight="1" x14ac:dyDescent="0.2">
      <c r="A169" s="32">
        <v>41556.678240740737</v>
      </c>
      <c r="B169" s="26" t="s">
        <v>152</v>
      </c>
      <c r="C169" s="26" t="s">
        <v>1036</v>
      </c>
      <c r="D169" s="30">
        <v>41518</v>
      </c>
      <c r="E169" s="26" t="s">
        <v>2687</v>
      </c>
      <c r="F169" s="26" t="s">
        <v>2688</v>
      </c>
      <c r="G169" s="26" t="s">
        <v>42</v>
      </c>
      <c r="H169" s="26" t="s">
        <v>2689</v>
      </c>
      <c r="J169" s="46">
        <v>2</v>
      </c>
      <c r="K169" s="46">
        <v>29</v>
      </c>
      <c r="L169" s="136">
        <v>87</v>
      </c>
      <c r="M169" s="137" t="s">
        <v>22</v>
      </c>
      <c r="N169" s="138"/>
      <c r="O169" s="138"/>
      <c r="P169" s="138"/>
      <c r="Q169" s="138"/>
      <c r="R169" s="138"/>
      <c r="S169" s="138"/>
      <c r="T169" s="138"/>
      <c r="U169" s="138"/>
    </row>
    <row r="170" spans="1:22" s="26" customFormat="1" ht="15" customHeight="1" x14ac:dyDescent="0.2">
      <c r="A170" s="32">
        <v>41556.679918981485</v>
      </c>
      <c r="B170" s="26" t="s">
        <v>152</v>
      </c>
      <c r="C170" s="26" t="s">
        <v>1036</v>
      </c>
      <c r="D170" s="30">
        <v>41518</v>
      </c>
      <c r="E170" s="26" t="s">
        <v>2693</v>
      </c>
      <c r="F170" s="26" t="s">
        <v>2694</v>
      </c>
      <c r="G170" s="26" t="s">
        <v>26</v>
      </c>
      <c r="H170" s="26" t="s">
        <v>2695</v>
      </c>
      <c r="J170" s="46">
        <v>1</v>
      </c>
      <c r="K170" s="46">
        <v>6</v>
      </c>
      <c r="L170" s="136"/>
      <c r="M170" s="137" t="s">
        <v>44</v>
      </c>
      <c r="N170" s="138"/>
      <c r="O170" s="138">
        <v>20</v>
      </c>
      <c r="P170" s="138"/>
      <c r="Q170" s="138"/>
      <c r="R170" s="138"/>
      <c r="S170" s="138"/>
      <c r="T170" s="138"/>
      <c r="U170" s="138"/>
    </row>
    <row r="171" spans="1:22" s="26" customFormat="1" ht="15" customHeight="1" x14ac:dyDescent="0.2">
      <c r="A171" s="32">
        <v>41556.680798611109</v>
      </c>
      <c r="B171" s="26" t="s">
        <v>152</v>
      </c>
      <c r="C171" s="26" t="s">
        <v>1036</v>
      </c>
      <c r="D171" s="30">
        <v>41518</v>
      </c>
      <c r="E171" s="26" t="s">
        <v>1057</v>
      </c>
      <c r="F171" s="26" t="s">
        <v>1038</v>
      </c>
      <c r="G171" s="26" t="s">
        <v>26</v>
      </c>
      <c r="H171" s="26" t="s">
        <v>2696</v>
      </c>
      <c r="J171" s="46">
        <v>1</v>
      </c>
      <c r="K171" s="46">
        <v>0</v>
      </c>
      <c r="L171" s="136"/>
      <c r="M171" s="137" t="s">
        <v>22</v>
      </c>
      <c r="N171" s="138"/>
      <c r="O171" s="138"/>
      <c r="P171" s="138"/>
      <c r="Q171" s="138"/>
      <c r="R171" s="138"/>
      <c r="S171" s="138"/>
      <c r="T171" s="138"/>
      <c r="U171" s="138"/>
    </row>
    <row r="172" spans="1:22" s="26" customFormat="1" ht="15" customHeight="1" x14ac:dyDescent="0.2">
      <c r="A172" s="32">
        <v>41556.68141203704</v>
      </c>
      <c r="B172" s="26" t="s">
        <v>152</v>
      </c>
      <c r="C172" s="26" t="s">
        <v>1036</v>
      </c>
      <c r="D172" s="30">
        <v>41518</v>
      </c>
      <c r="E172" s="26" t="s">
        <v>2700</v>
      </c>
      <c r="F172" s="26" t="s">
        <v>1049</v>
      </c>
      <c r="G172" s="26" t="s">
        <v>26</v>
      </c>
      <c r="H172" s="26" t="s">
        <v>2701</v>
      </c>
      <c r="J172" s="46">
        <v>1</v>
      </c>
      <c r="K172" s="46">
        <v>0</v>
      </c>
      <c r="L172" s="136"/>
      <c r="M172" s="137" t="s">
        <v>22</v>
      </c>
      <c r="N172" s="138"/>
      <c r="O172" s="138"/>
      <c r="P172" s="138"/>
      <c r="Q172" s="138"/>
      <c r="R172" s="138"/>
      <c r="S172" s="138"/>
      <c r="T172" s="138"/>
      <c r="U172" s="138"/>
    </row>
    <row r="173" spans="1:22" s="26" customFormat="1" ht="15" customHeight="1" x14ac:dyDescent="0.2">
      <c r="A173" s="32">
        <v>41556.682453703703</v>
      </c>
      <c r="B173" s="26" t="s">
        <v>152</v>
      </c>
      <c r="C173" s="26" t="s">
        <v>1036</v>
      </c>
      <c r="D173" s="30">
        <v>41518</v>
      </c>
      <c r="E173" s="26" t="s">
        <v>2704</v>
      </c>
      <c r="F173" s="26" t="s">
        <v>2705</v>
      </c>
      <c r="G173" s="26" t="s">
        <v>26</v>
      </c>
      <c r="H173" s="26" t="s">
        <v>2706</v>
      </c>
      <c r="J173" s="46">
        <v>1</v>
      </c>
      <c r="K173" s="46">
        <v>0</v>
      </c>
      <c r="L173" s="136"/>
      <c r="M173" s="137" t="s">
        <v>22</v>
      </c>
      <c r="N173" s="138"/>
      <c r="O173" s="138"/>
      <c r="P173" s="138"/>
      <c r="Q173" s="138"/>
      <c r="R173" s="138"/>
      <c r="S173" s="138"/>
      <c r="T173" s="138"/>
      <c r="U173" s="138"/>
    </row>
    <row r="174" spans="1:22" s="26" customFormat="1" ht="15" customHeight="1" x14ac:dyDescent="0.2">
      <c r="A174" s="32">
        <v>41556.683530092596</v>
      </c>
      <c r="B174" s="26" t="s">
        <v>152</v>
      </c>
      <c r="C174" s="26" t="s">
        <v>1036</v>
      </c>
      <c r="D174" s="30">
        <v>41518</v>
      </c>
      <c r="E174" s="26" t="s">
        <v>2707</v>
      </c>
      <c r="F174" s="26" t="s">
        <v>2708</v>
      </c>
      <c r="G174" s="26" t="s">
        <v>26</v>
      </c>
      <c r="H174" s="26" t="s">
        <v>2709</v>
      </c>
      <c r="J174" s="46">
        <v>1</v>
      </c>
      <c r="K174" s="46">
        <v>8</v>
      </c>
      <c r="L174" s="136"/>
      <c r="M174" s="137" t="s">
        <v>22</v>
      </c>
      <c r="N174" s="138"/>
      <c r="O174" s="138"/>
      <c r="P174" s="138"/>
      <c r="Q174" s="138"/>
      <c r="R174" s="138"/>
      <c r="S174" s="138"/>
      <c r="T174" s="138"/>
      <c r="U174" s="138"/>
    </row>
    <row r="175" spans="1:22" s="26" customFormat="1" ht="15" customHeight="1" x14ac:dyDescent="0.2">
      <c r="A175" s="32">
        <v>41556.685370370367</v>
      </c>
      <c r="B175" s="26" t="s">
        <v>152</v>
      </c>
      <c r="C175" s="26" t="s">
        <v>1036</v>
      </c>
      <c r="D175" s="30">
        <v>41518</v>
      </c>
      <c r="E175" s="26" t="s">
        <v>2712</v>
      </c>
      <c r="F175" s="26" t="s">
        <v>2713</v>
      </c>
      <c r="G175" s="26" t="s">
        <v>20</v>
      </c>
      <c r="H175" s="26" t="s">
        <v>2714</v>
      </c>
      <c r="J175" s="46">
        <v>3</v>
      </c>
      <c r="K175" s="46">
        <v>157</v>
      </c>
      <c r="L175" s="136">
        <v>150</v>
      </c>
      <c r="M175" s="137" t="s">
        <v>22</v>
      </c>
      <c r="N175" s="138"/>
      <c r="O175" s="138"/>
      <c r="P175" s="138"/>
      <c r="Q175" s="138"/>
      <c r="R175" s="138"/>
      <c r="S175" s="138"/>
      <c r="T175" s="138"/>
      <c r="U175" s="138"/>
    </row>
    <row r="176" spans="1:22" s="26" customFormat="1" ht="15" customHeight="1" x14ac:dyDescent="0.2">
      <c r="A176" s="32">
        <v>41556.687037037038</v>
      </c>
      <c r="B176" s="26" t="s">
        <v>152</v>
      </c>
      <c r="C176" s="26" t="s">
        <v>1036</v>
      </c>
      <c r="D176" s="30">
        <v>41518</v>
      </c>
      <c r="E176" s="26" t="s">
        <v>1037</v>
      </c>
      <c r="F176" s="26" t="s">
        <v>1038</v>
      </c>
      <c r="G176" s="26" t="s">
        <v>26</v>
      </c>
      <c r="H176" s="26" t="s">
        <v>2696</v>
      </c>
      <c r="J176" s="46">
        <v>1</v>
      </c>
      <c r="K176" s="46">
        <v>5</v>
      </c>
      <c r="L176" s="136">
        <v>0</v>
      </c>
      <c r="M176" s="137" t="s">
        <v>22</v>
      </c>
      <c r="N176" s="138"/>
      <c r="O176" s="138"/>
      <c r="P176" s="138"/>
      <c r="Q176" s="138"/>
      <c r="R176" s="138"/>
      <c r="S176" s="138"/>
      <c r="T176" s="138"/>
      <c r="U176" s="138"/>
    </row>
    <row r="177" spans="1:22" s="26" customFormat="1" ht="15" customHeight="1" x14ac:dyDescent="0.2">
      <c r="A177" s="32">
        <v>41556.687708333331</v>
      </c>
      <c r="B177" s="26" t="s">
        <v>152</v>
      </c>
      <c r="C177" s="26" t="s">
        <v>1036</v>
      </c>
      <c r="D177" s="30">
        <v>41518</v>
      </c>
      <c r="E177" s="26" t="s">
        <v>2718</v>
      </c>
      <c r="F177" s="26" t="s">
        <v>1049</v>
      </c>
      <c r="G177" s="26" t="s">
        <v>26</v>
      </c>
      <c r="H177" s="34" t="s">
        <v>2701</v>
      </c>
      <c r="I177" s="34"/>
      <c r="J177" s="46">
        <v>1</v>
      </c>
      <c r="K177" s="46">
        <v>0</v>
      </c>
      <c r="L177" s="136"/>
      <c r="M177" s="137" t="s">
        <v>22</v>
      </c>
      <c r="N177" s="138"/>
      <c r="O177" s="138"/>
      <c r="P177" s="138"/>
      <c r="Q177" s="138"/>
      <c r="R177" s="138"/>
      <c r="S177" s="138"/>
      <c r="T177" s="138"/>
      <c r="U177" s="138"/>
    </row>
    <row r="178" spans="1:22" s="26" customFormat="1" ht="15" customHeight="1" x14ac:dyDescent="0.2">
      <c r="A178" s="32">
        <v>41556.688518518517</v>
      </c>
      <c r="B178" s="26" t="s">
        <v>152</v>
      </c>
      <c r="C178" s="26" t="s">
        <v>1036</v>
      </c>
      <c r="D178" s="30">
        <v>41518</v>
      </c>
      <c r="E178" s="26" t="s">
        <v>2719</v>
      </c>
      <c r="F178" s="26" t="s">
        <v>2705</v>
      </c>
      <c r="G178" s="26" t="s">
        <v>26</v>
      </c>
      <c r="H178" s="26" t="s">
        <v>2706</v>
      </c>
      <c r="J178" s="46">
        <v>3</v>
      </c>
      <c r="K178" s="46">
        <v>9</v>
      </c>
      <c r="L178" s="136">
        <v>0</v>
      </c>
      <c r="M178" s="137" t="s">
        <v>22</v>
      </c>
      <c r="N178" s="138"/>
      <c r="O178" s="138"/>
      <c r="P178" s="138"/>
      <c r="Q178" s="138"/>
      <c r="R178" s="138"/>
      <c r="S178" s="138"/>
      <c r="T178" s="138"/>
      <c r="U178" s="138"/>
    </row>
    <row r="179" spans="1:22" s="26" customFormat="1" ht="15" customHeight="1" x14ac:dyDescent="0.2">
      <c r="A179" s="32">
        <v>41556.689722222225</v>
      </c>
      <c r="B179" s="26" t="s">
        <v>152</v>
      </c>
      <c r="C179" s="26" t="s">
        <v>1036</v>
      </c>
      <c r="D179" s="30">
        <v>41518</v>
      </c>
      <c r="E179" s="26" t="s">
        <v>2720</v>
      </c>
      <c r="F179" s="26" t="s">
        <v>2721</v>
      </c>
      <c r="G179" s="26" t="s">
        <v>26</v>
      </c>
      <c r="H179" s="26" t="s">
        <v>2722</v>
      </c>
      <c r="J179" s="46">
        <v>1</v>
      </c>
      <c r="K179" s="46">
        <v>0</v>
      </c>
      <c r="L179" s="136">
        <v>0</v>
      </c>
      <c r="M179" s="137" t="s">
        <v>22</v>
      </c>
      <c r="N179" s="138"/>
      <c r="O179" s="138"/>
      <c r="P179" s="138"/>
      <c r="Q179" s="138"/>
      <c r="R179" s="138"/>
      <c r="S179" s="138"/>
      <c r="T179" s="138"/>
      <c r="U179" s="138"/>
    </row>
    <row r="180" spans="1:22" s="26" customFormat="1" ht="15" customHeight="1" x14ac:dyDescent="0.2">
      <c r="A180" s="32">
        <v>41556.69017361111</v>
      </c>
      <c r="B180" s="26" t="s">
        <v>152</v>
      </c>
      <c r="C180" s="26" t="s">
        <v>1036</v>
      </c>
      <c r="D180" s="30">
        <v>41518</v>
      </c>
      <c r="E180" s="26" t="s">
        <v>1057</v>
      </c>
      <c r="F180" s="26" t="s">
        <v>1038</v>
      </c>
      <c r="G180" s="26" t="s">
        <v>26</v>
      </c>
      <c r="H180" s="26" t="s">
        <v>2696</v>
      </c>
      <c r="J180" s="46">
        <v>1</v>
      </c>
      <c r="K180" s="46">
        <v>0</v>
      </c>
      <c r="L180" s="136">
        <v>0</v>
      </c>
      <c r="M180" s="137" t="s">
        <v>22</v>
      </c>
      <c r="N180" s="138"/>
      <c r="O180" s="138"/>
      <c r="P180" s="138"/>
      <c r="Q180" s="138"/>
      <c r="R180" s="138"/>
      <c r="S180" s="138"/>
      <c r="T180" s="138"/>
      <c r="U180" s="138"/>
    </row>
    <row r="181" spans="1:22" s="26" customFormat="1" ht="15" customHeight="1" x14ac:dyDescent="0.2">
      <c r="A181" s="32">
        <v>41556.690810185188</v>
      </c>
      <c r="B181" s="26" t="s">
        <v>152</v>
      </c>
      <c r="C181" s="26" t="s">
        <v>1036</v>
      </c>
      <c r="D181" s="30">
        <v>41518</v>
      </c>
      <c r="E181" s="26" t="s">
        <v>2700</v>
      </c>
      <c r="F181" s="26" t="s">
        <v>1049</v>
      </c>
      <c r="G181" s="26" t="s">
        <v>26</v>
      </c>
      <c r="H181" s="26" t="s">
        <v>2701</v>
      </c>
      <c r="J181" s="46">
        <v>1</v>
      </c>
      <c r="K181" s="46">
        <v>0</v>
      </c>
      <c r="L181" s="136">
        <v>0</v>
      </c>
      <c r="M181" s="137" t="s">
        <v>22</v>
      </c>
      <c r="N181" s="138"/>
      <c r="O181" s="138"/>
      <c r="P181" s="138"/>
      <c r="Q181" s="138"/>
      <c r="R181" s="138"/>
      <c r="S181" s="138"/>
      <c r="T181" s="138"/>
      <c r="U181" s="138"/>
    </row>
    <row r="182" spans="1:22" s="26" customFormat="1" ht="15" customHeight="1" x14ac:dyDescent="0.2">
      <c r="A182" s="32">
        <v>41556.691296296296</v>
      </c>
      <c r="B182" s="26" t="s">
        <v>152</v>
      </c>
      <c r="C182" s="26" t="s">
        <v>1036</v>
      </c>
      <c r="D182" s="30">
        <v>41518</v>
      </c>
      <c r="E182" s="26" t="s">
        <v>2719</v>
      </c>
      <c r="F182" s="26" t="s">
        <v>2705</v>
      </c>
      <c r="G182" s="26" t="s">
        <v>26</v>
      </c>
      <c r="H182" s="26" t="s">
        <v>2706</v>
      </c>
      <c r="J182" s="46">
        <v>3</v>
      </c>
      <c r="K182" s="46">
        <v>5</v>
      </c>
      <c r="L182" s="136">
        <v>0</v>
      </c>
      <c r="M182" s="137" t="s">
        <v>22</v>
      </c>
      <c r="N182" s="138"/>
      <c r="O182" s="138"/>
      <c r="P182" s="138"/>
      <c r="Q182" s="138"/>
      <c r="R182" s="138"/>
      <c r="S182" s="138"/>
      <c r="T182" s="138"/>
      <c r="U182" s="138"/>
    </row>
    <row r="183" spans="1:22" s="26" customFormat="1" ht="15" customHeight="1" x14ac:dyDescent="0.2">
      <c r="A183" s="32">
        <v>41556.691979166666</v>
      </c>
      <c r="B183" s="26" t="s">
        <v>152</v>
      </c>
      <c r="C183" s="26" t="s">
        <v>1036</v>
      </c>
      <c r="D183" s="30">
        <v>41518</v>
      </c>
      <c r="E183" s="26" t="s">
        <v>2707</v>
      </c>
      <c r="F183" s="26" t="s">
        <v>2708</v>
      </c>
      <c r="G183" s="26" t="s">
        <v>26</v>
      </c>
      <c r="H183" s="26" t="s">
        <v>2723</v>
      </c>
      <c r="J183" s="46">
        <v>1</v>
      </c>
      <c r="K183" s="46">
        <v>17</v>
      </c>
      <c r="L183" s="136">
        <v>0</v>
      </c>
      <c r="M183" s="137" t="s">
        <v>22</v>
      </c>
      <c r="N183" s="138"/>
      <c r="O183" s="138"/>
      <c r="P183" s="138"/>
      <c r="Q183" s="138"/>
      <c r="R183" s="138"/>
      <c r="S183" s="138"/>
      <c r="T183" s="138"/>
      <c r="U183" s="138"/>
    </row>
    <row r="184" spans="1:22" s="26" customFormat="1" ht="15" customHeight="1" x14ac:dyDescent="0.2">
      <c r="A184" s="32">
        <v>41556.692743055559</v>
      </c>
      <c r="B184" s="26" t="s">
        <v>152</v>
      </c>
      <c r="C184" s="26" t="s">
        <v>1036</v>
      </c>
      <c r="D184" s="30">
        <v>41518</v>
      </c>
      <c r="E184" s="26" t="s">
        <v>2724</v>
      </c>
      <c r="F184" s="26" t="s">
        <v>2725</v>
      </c>
      <c r="G184" s="26" t="s">
        <v>26</v>
      </c>
      <c r="H184" s="26" t="s">
        <v>2726</v>
      </c>
      <c r="J184" s="46">
        <v>1</v>
      </c>
      <c r="K184" s="46">
        <v>12</v>
      </c>
      <c r="L184" s="136">
        <v>0</v>
      </c>
      <c r="M184" s="137" t="s">
        <v>22</v>
      </c>
      <c r="N184" s="138"/>
      <c r="O184" s="138"/>
      <c r="P184" s="138"/>
      <c r="Q184" s="138"/>
      <c r="R184" s="138"/>
      <c r="S184" s="138"/>
      <c r="T184" s="138"/>
      <c r="U184" s="138"/>
    </row>
    <row r="185" spans="1:22" s="26" customFormat="1" ht="15" customHeight="1" x14ac:dyDescent="0.2">
      <c r="A185" s="32">
        <v>41556.696087962962</v>
      </c>
      <c r="B185" s="26" t="s">
        <v>152</v>
      </c>
      <c r="C185" s="26" t="s">
        <v>1036</v>
      </c>
      <c r="D185" s="30">
        <v>41518</v>
      </c>
      <c r="E185" s="26" t="s">
        <v>2727</v>
      </c>
      <c r="F185" s="26" t="s">
        <v>2728</v>
      </c>
      <c r="G185" s="26" t="s">
        <v>20</v>
      </c>
      <c r="H185" s="26" t="s">
        <v>2729</v>
      </c>
      <c r="J185" s="46">
        <v>5</v>
      </c>
      <c r="K185" s="46">
        <v>50</v>
      </c>
      <c r="L185" s="136">
        <v>150</v>
      </c>
      <c r="M185" s="137" t="s">
        <v>44</v>
      </c>
      <c r="N185" s="138"/>
      <c r="O185" s="138">
        <v>110</v>
      </c>
      <c r="P185" s="138"/>
      <c r="Q185" s="138"/>
      <c r="R185" s="138"/>
      <c r="S185" s="138"/>
      <c r="T185" s="138"/>
      <c r="U185" s="138"/>
      <c r="V185" s="26" t="s">
        <v>2730</v>
      </c>
    </row>
    <row r="186" spans="1:22" s="26" customFormat="1" ht="15" customHeight="1" x14ac:dyDescent="0.2">
      <c r="A186" s="32">
        <v>41556.698472222219</v>
      </c>
      <c r="B186" s="26" t="s">
        <v>152</v>
      </c>
      <c r="C186" s="26" t="s">
        <v>1036</v>
      </c>
      <c r="D186" s="30">
        <v>41518</v>
      </c>
      <c r="E186" s="26" t="s">
        <v>2680</v>
      </c>
      <c r="F186" s="26" t="s">
        <v>2731</v>
      </c>
      <c r="G186" s="26" t="s">
        <v>156</v>
      </c>
      <c r="H186" s="26" t="s">
        <v>2732</v>
      </c>
      <c r="J186" s="46">
        <v>1</v>
      </c>
      <c r="K186" s="46">
        <v>100</v>
      </c>
      <c r="L186" s="136"/>
      <c r="M186" s="137" t="s">
        <v>22</v>
      </c>
      <c r="N186" s="138"/>
      <c r="O186" s="138"/>
      <c r="P186" s="138"/>
      <c r="Q186" s="138"/>
      <c r="R186" s="138"/>
      <c r="S186" s="138"/>
      <c r="T186" s="138"/>
      <c r="U186" s="138"/>
      <c r="V186" s="26" t="s">
        <v>2733</v>
      </c>
    </row>
    <row r="187" spans="1:22" s="26" customFormat="1" ht="15" customHeight="1" x14ac:dyDescent="0.2">
      <c r="A187" s="32">
        <v>41556.700381944444</v>
      </c>
      <c r="B187" s="26" t="s">
        <v>152</v>
      </c>
      <c r="C187" s="26" t="s">
        <v>1036</v>
      </c>
      <c r="D187" s="30">
        <v>41518</v>
      </c>
      <c r="E187" s="26" t="s">
        <v>2734</v>
      </c>
      <c r="F187" s="26" t="s">
        <v>2735</v>
      </c>
      <c r="G187" s="26" t="s">
        <v>20</v>
      </c>
      <c r="H187" s="26" t="s">
        <v>2736</v>
      </c>
      <c r="J187" s="46">
        <v>2</v>
      </c>
      <c r="K187" s="46">
        <v>34</v>
      </c>
      <c r="L187" s="136">
        <v>81</v>
      </c>
      <c r="M187" s="137" t="s">
        <v>44</v>
      </c>
      <c r="N187" s="138"/>
      <c r="O187" s="138"/>
      <c r="P187" s="138"/>
      <c r="Q187" s="138"/>
      <c r="R187" s="138"/>
      <c r="S187" s="138"/>
      <c r="T187" s="138"/>
      <c r="U187" s="138"/>
      <c r="V187" s="46" t="s">
        <v>2737</v>
      </c>
    </row>
    <row r="188" spans="1:22" s="26" customFormat="1" ht="15" customHeight="1" x14ac:dyDescent="0.2">
      <c r="A188" s="32">
        <v>41556.701481481483</v>
      </c>
      <c r="B188" s="26" t="s">
        <v>152</v>
      </c>
      <c r="C188" s="26" t="s">
        <v>1036</v>
      </c>
      <c r="D188" s="30">
        <v>41518</v>
      </c>
      <c r="E188" s="26" t="s">
        <v>2700</v>
      </c>
      <c r="F188" s="26" t="s">
        <v>1038</v>
      </c>
      <c r="G188" s="26" t="s">
        <v>26</v>
      </c>
      <c r="H188" s="26" t="s">
        <v>2696</v>
      </c>
      <c r="J188" s="46">
        <v>1</v>
      </c>
      <c r="K188" s="46">
        <v>4</v>
      </c>
      <c r="L188" s="136">
        <v>0</v>
      </c>
      <c r="M188" s="137" t="s">
        <v>22</v>
      </c>
      <c r="N188" s="138"/>
      <c r="O188" s="138"/>
      <c r="P188" s="138"/>
      <c r="Q188" s="138"/>
      <c r="R188" s="138"/>
      <c r="S188" s="138"/>
      <c r="T188" s="138"/>
      <c r="U188" s="138"/>
    </row>
    <row r="189" spans="1:22" s="26" customFormat="1" ht="15" customHeight="1" x14ac:dyDescent="0.2">
      <c r="A189" s="32">
        <v>41556.702800925923</v>
      </c>
      <c r="B189" s="26" t="s">
        <v>152</v>
      </c>
      <c r="C189" s="26" t="s">
        <v>1036</v>
      </c>
      <c r="D189" s="30">
        <v>41518</v>
      </c>
      <c r="E189" s="26" t="s">
        <v>2738</v>
      </c>
      <c r="F189" s="26" t="s">
        <v>2705</v>
      </c>
      <c r="G189" s="26" t="s">
        <v>26</v>
      </c>
      <c r="H189" s="26" t="s">
        <v>2706</v>
      </c>
      <c r="J189" s="46">
        <v>1</v>
      </c>
      <c r="K189" s="46">
        <v>7</v>
      </c>
      <c r="L189" s="136">
        <v>0</v>
      </c>
      <c r="M189" s="137" t="s">
        <v>22</v>
      </c>
      <c r="N189" s="138"/>
      <c r="O189" s="138"/>
      <c r="P189" s="138"/>
      <c r="Q189" s="138"/>
      <c r="R189" s="138"/>
      <c r="S189" s="138"/>
      <c r="T189" s="138"/>
      <c r="U189" s="138"/>
    </row>
    <row r="190" spans="1:22" s="26" customFormat="1" ht="15" customHeight="1" x14ac:dyDescent="0.2">
      <c r="A190" s="32">
        <v>41556.703634259262</v>
      </c>
      <c r="B190" s="26" t="s">
        <v>152</v>
      </c>
      <c r="C190" s="26" t="s">
        <v>1036</v>
      </c>
      <c r="D190" s="30">
        <v>41518</v>
      </c>
      <c r="E190" s="26" t="s">
        <v>2707</v>
      </c>
      <c r="F190" s="26" t="s">
        <v>2725</v>
      </c>
      <c r="G190" s="26" t="s">
        <v>26</v>
      </c>
      <c r="H190" s="26" t="s">
        <v>2726</v>
      </c>
      <c r="J190" s="46">
        <v>4</v>
      </c>
      <c r="K190" s="46">
        <v>14</v>
      </c>
      <c r="L190" s="136">
        <v>0</v>
      </c>
      <c r="M190" s="137" t="s">
        <v>22</v>
      </c>
      <c r="N190" s="138"/>
      <c r="O190" s="138"/>
      <c r="P190" s="138"/>
      <c r="Q190" s="138"/>
      <c r="R190" s="138"/>
      <c r="S190" s="138"/>
      <c r="T190" s="138"/>
      <c r="U190" s="138"/>
    </row>
    <row r="191" spans="1:22" s="26" customFormat="1" ht="15" customHeight="1" x14ac:dyDescent="0.2">
      <c r="A191" s="48">
        <v>41605.486215277801</v>
      </c>
      <c r="B191" s="49" t="s">
        <v>152</v>
      </c>
      <c r="C191" s="50" t="s">
        <v>1036</v>
      </c>
      <c r="D191" s="67">
        <v>41579</v>
      </c>
      <c r="E191" s="50" t="s">
        <v>3108</v>
      </c>
      <c r="F191" s="50" t="s">
        <v>3109</v>
      </c>
      <c r="G191" s="49" t="s">
        <v>26</v>
      </c>
      <c r="H191" s="50" t="s">
        <v>3110</v>
      </c>
      <c r="I191" s="50" t="s">
        <v>2986</v>
      </c>
      <c r="J191" s="117">
        <v>4</v>
      </c>
      <c r="K191" s="117">
        <v>9</v>
      </c>
      <c r="L191" s="142"/>
      <c r="M191" s="143" t="s">
        <v>22</v>
      </c>
      <c r="N191" s="144"/>
      <c r="O191" s="144"/>
      <c r="P191" s="144"/>
      <c r="Q191" s="144"/>
      <c r="R191" s="144"/>
      <c r="S191" s="144"/>
      <c r="T191" s="144"/>
      <c r="U191" s="144"/>
      <c r="V191" s="50"/>
    </row>
    <row r="192" spans="1:22" s="26" customFormat="1" ht="15" customHeight="1" x14ac:dyDescent="0.2">
      <c r="A192" s="48">
        <v>41605.488032407397</v>
      </c>
      <c r="B192" s="49" t="s">
        <v>152</v>
      </c>
      <c r="C192" s="50" t="s">
        <v>1036</v>
      </c>
      <c r="D192" s="67">
        <v>41579</v>
      </c>
      <c r="E192" s="50" t="s">
        <v>3111</v>
      </c>
      <c r="F192" s="50" t="s">
        <v>3112</v>
      </c>
      <c r="G192" s="49" t="s">
        <v>156</v>
      </c>
      <c r="H192" s="50" t="s">
        <v>3113</v>
      </c>
      <c r="I192" s="50" t="s">
        <v>3114</v>
      </c>
      <c r="J192" s="117">
        <v>1</v>
      </c>
      <c r="K192" s="117">
        <v>2000</v>
      </c>
      <c r="L192" s="142"/>
      <c r="M192" s="143" t="s">
        <v>44</v>
      </c>
      <c r="N192" s="144"/>
      <c r="O192" s="144"/>
      <c r="P192" s="144"/>
      <c r="Q192" s="144"/>
      <c r="R192" s="144"/>
      <c r="S192" s="144">
        <v>500</v>
      </c>
      <c r="T192" s="144"/>
      <c r="U192" s="144"/>
      <c r="V192" s="50"/>
    </row>
    <row r="193" spans="1:22" s="26" customFormat="1" ht="15" customHeight="1" x14ac:dyDescent="0.2">
      <c r="A193" s="48">
        <v>41605.488877314798</v>
      </c>
      <c r="B193" s="49" t="s">
        <v>152</v>
      </c>
      <c r="C193" s="50" t="s">
        <v>1036</v>
      </c>
      <c r="D193" s="67">
        <v>41579</v>
      </c>
      <c r="E193" s="50" t="s">
        <v>3115</v>
      </c>
      <c r="F193" s="50" t="s">
        <v>3112</v>
      </c>
      <c r="G193" s="49" t="s">
        <v>156</v>
      </c>
      <c r="H193" s="50" t="s">
        <v>3113</v>
      </c>
      <c r="I193" s="50" t="s">
        <v>3114</v>
      </c>
      <c r="J193" s="117">
        <v>1</v>
      </c>
      <c r="K193" s="117">
        <v>500</v>
      </c>
      <c r="L193" s="142"/>
      <c r="M193" s="143" t="s">
        <v>44</v>
      </c>
      <c r="N193" s="144"/>
      <c r="O193" s="144"/>
      <c r="P193" s="144"/>
      <c r="Q193" s="144"/>
      <c r="R193" s="144"/>
      <c r="S193" s="144">
        <v>500</v>
      </c>
      <c r="T193" s="144"/>
      <c r="U193" s="144"/>
      <c r="V193" s="50"/>
    </row>
    <row r="194" spans="1:22" s="26" customFormat="1" ht="15" customHeight="1" x14ac:dyDescent="0.2">
      <c r="A194" s="48">
        <v>41605.490219907399</v>
      </c>
      <c r="B194" s="49" t="s">
        <v>152</v>
      </c>
      <c r="C194" s="50" t="s">
        <v>1036</v>
      </c>
      <c r="D194" s="67">
        <v>41579</v>
      </c>
      <c r="E194" s="50" t="s">
        <v>3116</v>
      </c>
      <c r="F194" s="50" t="s">
        <v>3117</v>
      </c>
      <c r="G194" s="49" t="s">
        <v>351</v>
      </c>
      <c r="H194" s="50" t="s">
        <v>3118</v>
      </c>
      <c r="I194" s="50" t="s">
        <v>2986</v>
      </c>
      <c r="J194" s="117">
        <v>1</v>
      </c>
      <c r="K194" s="117">
        <v>17</v>
      </c>
      <c r="L194" s="142"/>
      <c r="M194" s="143" t="s">
        <v>22</v>
      </c>
      <c r="N194" s="144"/>
      <c r="O194" s="144"/>
      <c r="P194" s="144"/>
      <c r="Q194" s="144"/>
      <c r="R194" s="144"/>
      <c r="S194" s="144"/>
      <c r="T194" s="144"/>
      <c r="U194" s="144"/>
      <c r="V194" s="50"/>
    </row>
    <row r="195" spans="1:22" s="26" customFormat="1" ht="15" customHeight="1" x14ac:dyDescent="0.2">
      <c r="A195" s="48">
        <v>41605.4930902778</v>
      </c>
      <c r="B195" s="49" t="s">
        <v>152</v>
      </c>
      <c r="C195" s="50" t="s">
        <v>1036</v>
      </c>
      <c r="D195" s="67">
        <v>41579</v>
      </c>
      <c r="E195" s="50" t="s">
        <v>2807</v>
      </c>
      <c r="F195" s="50" t="s">
        <v>3119</v>
      </c>
      <c r="G195" s="42" t="s">
        <v>26</v>
      </c>
      <c r="H195" s="50" t="s">
        <v>3120</v>
      </c>
      <c r="I195" s="50" t="s">
        <v>2812</v>
      </c>
      <c r="J195" s="117">
        <v>5</v>
      </c>
      <c r="K195" s="117">
        <v>110</v>
      </c>
      <c r="L195" s="142"/>
      <c r="M195" s="143" t="s">
        <v>44</v>
      </c>
      <c r="N195" s="144"/>
      <c r="O195" s="144"/>
      <c r="P195" s="144"/>
      <c r="Q195" s="144"/>
      <c r="R195" s="144"/>
      <c r="S195" s="144">
        <v>921</v>
      </c>
      <c r="T195" s="144"/>
      <c r="U195" s="144"/>
      <c r="V195" s="50"/>
    </row>
    <row r="196" spans="1:22" s="26" customFormat="1" ht="15" customHeight="1" x14ac:dyDescent="0.2">
      <c r="A196" s="48">
        <v>41605.495150463001</v>
      </c>
      <c r="B196" s="49" t="s">
        <v>152</v>
      </c>
      <c r="C196" s="50" t="s">
        <v>1036</v>
      </c>
      <c r="D196" s="67">
        <v>41579</v>
      </c>
      <c r="E196" s="50" t="s">
        <v>2807</v>
      </c>
      <c r="F196" s="50" t="s">
        <v>3119</v>
      </c>
      <c r="G196" s="42" t="s">
        <v>26</v>
      </c>
      <c r="H196" s="50" t="s">
        <v>3120</v>
      </c>
      <c r="I196" s="50" t="s">
        <v>2812</v>
      </c>
      <c r="J196" s="117">
        <v>5</v>
      </c>
      <c r="K196" s="117">
        <v>112</v>
      </c>
      <c r="L196" s="142"/>
      <c r="M196" s="143" t="s">
        <v>44</v>
      </c>
      <c r="N196" s="144"/>
      <c r="O196" s="144"/>
      <c r="P196" s="144"/>
      <c r="Q196" s="144"/>
      <c r="R196" s="144"/>
      <c r="S196" s="144">
        <v>400</v>
      </c>
      <c r="T196" s="144"/>
      <c r="U196" s="144"/>
      <c r="V196" s="50"/>
    </row>
    <row r="197" spans="1:22" s="26" customFormat="1" ht="15" customHeight="1" x14ac:dyDescent="0.2">
      <c r="A197" s="48">
        <v>41605.496296296304</v>
      </c>
      <c r="B197" s="49" t="s">
        <v>152</v>
      </c>
      <c r="C197" s="50" t="s">
        <v>1036</v>
      </c>
      <c r="D197" s="67">
        <v>41579</v>
      </c>
      <c r="E197" s="50" t="s">
        <v>2807</v>
      </c>
      <c r="F197" s="50" t="s">
        <v>3119</v>
      </c>
      <c r="G197" s="42" t="s">
        <v>26</v>
      </c>
      <c r="H197" s="50"/>
      <c r="I197" s="50" t="s">
        <v>2812</v>
      </c>
      <c r="J197" s="117">
        <v>5</v>
      </c>
      <c r="K197" s="117">
        <v>96</v>
      </c>
      <c r="L197" s="142"/>
      <c r="M197" s="143" t="s">
        <v>44</v>
      </c>
      <c r="N197" s="144"/>
      <c r="O197" s="144"/>
      <c r="P197" s="144"/>
      <c r="Q197" s="144"/>
      <c r="R197" s="144"/>
      <c r="S197" s="144">
        <v>350</v>
      </c>
      <c r="T197" s="144"/>
      <c r="U197" s="144"/>
      <c r="V197" s="50"/>
    </row>
    <row r="198" spans="1:22" s="26" customFormat="1" ht="15" customHeight="1" x14ac:dyDescent="0.2">
      <c r="A198" s="48">
        <v>41605.498703703699</v>
      </c>
      <c r="B198" s="49" t="s">
        <v>152</v>
      </c>
      <c r="C198" s="50" t="s">
        <v>1036</v>
      </c>
      <c r="D198" s="67">
        <v>41579</v>
      </c>
      <c r="E198" s="50" t="s">
        <v>3121</v>
      </c>
      <c r="F198" s="50" t="s">
        <v>3122</v>
      </c>
      <c r="G198" s="49" t="s">
        <v>42</v>
      </c>
      <c r="H198" s="50" t="s">
        <v>3123</v>
      </c>
      <c r="I198" s="50" t="s">
        <v>2986</v>
      </c>
      <c r="J198" s="117">
        <v>1</v>
      </c>
      <c r="K198" s="117">
        <v>13</v>
      </c>
      <c r="L198" s="142"/>
      <c r="M198" s="143" t="s">
        <v>44</v>
      </c>
      <c r="N198" s="144"/>
      <c r="O198" s="144"/>
      <c r="P198" s="144"/>
      <c r="Q198" s="144">
        <v>280</v>
      </c>
      <c r="R198" s="144"/>
      <c r="S198" s="144"/>
      <c r="T198" s="144"/>
      <c r="U198" s="144"/>
      <c r="V198" s="50"/>
    </row>
    <row r="199" spans="1:22" s="26" customFormat="1" ht="15" customHeight="1" x14ac:dyDescent="0.2">
      <c r="A199" s="48">
        <v>41605.499745370398</v>
      </c>
      <c r="B199" s="49" t="s">
        <v>152</v>
      </c>
      <c r="C199" s="50" t="s">
        <v>1036</v>
      </c>
      <c r="D199" s="67">
        <v>41579</v>
      </c>
      <c r="E199" s="50" t="s">
        <v>3124</v>
      </c>
      <c r="F199" s="50" t="s">
        <v>3125</v>
      </c>
      <c r="G199" s="49" t="s">
        <v>42</v>
      </c>
      <c r="H199" s="50" t="s">
        <v>3126</v>
      </c>
      <c r="I199" s="50" t="s">
        <v>2986</v>
      </c>
      <c r="J199" s="117">
        <v>1</v>
      </c>
      <c r="K199" s="117">
        <v>10</v>
      </c>
      <c r="L199" s="142">
        <v>10</v>
      </c>
      <c r="M199" s="143" t="s">
        <v>22</v>
      </c>
      <c r="N199" s="144"/>
      <c r="O199" s="144"/>
      <c r="P199" s="144"/>
      <c r="Q199" s="144"/>
      <c r="R199" s="144"/>
      <c r="S199" s="144"/>
      <c r="T199" s="144"/>
      <c r="U199" s="144"/>
      <c r="V199" s="50"/>
    </row>
    <row r="200" spans="1:22" s="26" customFormat="1" ht="15" customHeight="1" x14ac:dyDescent="0.2">
      <c r="A200" s="48">
        <v>41605.501319444404</v>
      </c>
      <c r="B200" s="49" t="s">
        <v>152</v>
      </c>
      <c r="C200" s="50" t="s">
        <v>1036</v>
      </c>
      <c r="D200" s="67">
        <v>41579</v>
      </c>
      <c r="E200" s="50" t="s">
        <v>2719</v>
      </c>
      <c r="F200" s="50" t="s">
        <v>3127</v>
      </c>
      <c r="G200" s="49" t="s">
        <v>26</v>
      </c>
      <c r="H200" s="50" t="s">
        <v>3128</v>
      </c>
      <c r="I200" s="50" t="s">
        <v>2986</v>
      </c>
      <c r="J200" s="117">
        <v>4</v>
      </c>
      <c r="K200" s="117">
        <v>32</v>
      </c>
      <c r="L200" s="142"/>
      <c r="M200" s="143" t="s">
        <v>22</v>
      </c>
      <c r="N200" s="144"/>
      <c r="O200" s="144"/>
      <c r="P200" s="144"/>
      <c r="Q200" s="144"/>
      <c r="R200" s="144"/>
      <c r="S200" s="144"/>
      <c r="T200" s="144"/>
      <c r="U200" s="144"/>
      <c r="V200" s="50"/>
    </row>
    <row r="201" spans="1:22" s="26" customFormat="1" ht="15" customHeight="1" x14ac:dyDescent="0.2">
      <c r="A201" s="48">
        <v>41605.506620370397</v>
      </c>
      <c r="B201" s="49" t="s">
        <v>152</v>
      </c>
      <c r="C201" s="50" t="s">
        <v>1036</v>
      </c>
      <c r="D201" s="67">
        <v>41579</v>
      </c>
      <c r="E201" s="50" t="s">
        <v>1037</v>
      </c>
      <c r="F201" s="50" t="s">
        <v>3129</v>
      </c>
      <c r="G201" s="49" t="s">
        <v>26</v>
      </c>
      <c r="H201" s="50" t="s">
        <v>3130</v>
      </c>
      <c r="I201" s="50" t="s">
        <v>2986</v>
      </c>
      <c r="J201" s="117">
        <v>4</v>
      </c>
      <c r="K201" s="117">
        <v>0</v>
      </c>
      <c r="L201" s="142"/>
      <c r="M201" s="143" t="s">
        <v>22</v>
      </c>
      <c r="N201" s="144"/>
      <c r="O201" s="144"/>
      <c r="P201" s="144"/>
      <c r="Q201" s="144"/>
      <c r="R201" s="144"/>
      <c r="S201" s="144"/>
      <c r="T201" s="144"/>
      <c r="U201" s="144"/>
      <c r="V201" s="50"/>
    </row>
    <row r="202" spans="1:22" s="26" customFormat="1" ht="15" customHeight="1" x14ac:dyDescent="0.2">
      <c r="A202" s="48">
        <v>41605.507569444402</v>
      </c>
      <c r="B202" s="49" t="s">
        <v>152</v>
      </c>
      <c r="C202" s="50" t="s">
        <v>1036</v>
      </c>
      <c r="D202" s="67">
        <v>41579</v>
      </c>
      <c r="E202" s="50" t="s">
        <v>3131</v>
      </c>
      <c r="F202" s="50" t="s">
        <v>3129</v>
      </c>
      <c r="G202" s="49" t="s">
        <v>26</v>
      </c>
      <c r="H202" s="50" t="s">
        <v>3130</v>
      </c>
      <c r="I202" s="50" t="s">
        <v>2986</v>
      </c>
      <c r="J202" s="117">
        <v>4</v>
      </c>
      <c r="K202" s="117">
        <v>7</v>
      </c>
      <c r="L202" s="142"/>
      <c r="M202" s="143" t="s">
        <v>22</v>
      </c>
      <c r="N202" s="144"/>
      <c r="O202" s="144"/>
      <c r="P202" s="144"/>
      <c r="Q202" s="144"/>
      <c r="R202" s="144"/>
      <c r="S202" s="144"/>
      <c r="T202" s="144"/>
      <c r="U202" s="144"/>
      <c r="V202" s="50"/>
    </row>
    <row r="203" spans="1:22" s="26" customFormat="1" ht="15" customHeight="1" x14ac:dyDescent="0.2">
      <c r="A203" s="48">
        <v>41605.5087152778</v>
      </c>
      <c r="B203" s="49" t="s">
        <v>152</v>
      </c>
      <c r="C203" s="50" t="s">
        <v>1036</v>
      </c>
      <c r="D203" s="67">
        <v>41579</v>
      </c>
      <c r="E203" s="50" t="s">
        <v>3132</v>
      </c>
      <c r="F203" s="50" t="s">
        <v>2809</v>
      </c>
      <c r="G203" s="49" t="s">
        <v>26</v>
      </c>
      <c r="H203" s="50" t="s">
        <v>3133</v>
      </c>
      <c r="I203" s="50" t="s">
        <v>2986</v>
      </c>
      <c r="J203" s="117">
        <v>4</v>
      </c>
      <c r="K203" s="117">
        <v>32</v>
      </c>
      <c r="L203" s="142"/>
      <c r="M203" s="143" t="s">
        <v>22</v>
      </c>
      <c r="N203" s="144"/>
      <c r="O203" s="144"/>
      <c r="P203" s="144"/>
      <c r="Q203" s="144"/>
      <c r="R203" s="144"/>
      <c r="S203" s="144"/>
      <c r="T203" s="144"/>
      <c r="U203" s="144"/>
      <c r="V203" s="50"/>
    </row>
    <row r="204" spans="1:22" s="26" customFormat="1" ht="15" customHeight="1" x14ac:dyDescent="0.2">
      <c r="A204" s="48">
        <v>41605.510115740697</v>
      </c>
      <c r="B204" s="49" t="s">
        <v>152</v>
      </c>
      <c r="C204" s="50" t="s">
        <v>1036</v>
      </c>
      <c r="D204" s="67">
        <v>41579</v>
      </c>
      <c r="E204" s="50" t="s">
        <v>2408</v>
      </c>
      <c r="F204" s="50" t="s">
        <v>2826</v>
      </c>
      <c r="G204" s="49" t="s">
        <v>26</v>
      </c>
      <c r="H204" s="50" t="s">
        <v>2722</v>
      </c>
      <c r="I204" s="50" t="s">
        <v>2986</v>
      </c>
      <c r="J204" s="117">
        <v>4</v>
      </c>
      <c r="K204" s="117">
        <v>17</v>
      </c>
      <c r="L204" s="142"/>
      <c r="M204" s="143" t="s">
        <v>22</v>
      </c>
      <c r="N204" s="144"/>
      <c r="O204" s="144"/>
      <c r="P204" s="144"/>
      <c r="Q204" s="144"/>
      <c r="R204" s="144"/>
      <c r="S204" s="144"/>
      <c r="T204" s="144"/>
      <c r="U204" s="144"/>
      <c r="V204" s="50"/>
    </row>
    <row r="205" spans="1:22" s="26" customFormat="1" ht="15" customHeight="1" x14ac:dyDescent="0.2">
      <c r="A205" s="37">
        <v>41493.365405092598</v>
      </c>
      <c r="B205" s="26" t="s">
        <v>16</v>
      </c>
      <c r="C205" s="26" t="s">
        <v>913</v>
      </c>
      <c r="D205" s="33">
        <v>41456</v>
      </c>
      <c r="E205" s="26" t="s">
        <v>914</v>
      </c>
      <c r="F205" s="26" t="s">
        <v>915</v>
      </c>
      <c r="G205" s="26" t="s">
        <v>26</v>
      </c>
      <c r="J205" s="46">
        <v>1</v>
      </c>
      <c r="K205" s="46">
        <v>6</v>
      </c>
      <c r="L205" s="136">
        <v>165</v>
      </c>
      <c r="M205" s="137" t="s">
        <v>44</v>
      </c>
      <c r="N205" s="138"/>
      <c r="O205" s="138">
        <v>15</v>
      </c>
      <c r="P205" s="138"/>
      <c r="Q205" s="138"/>
      <c r="R205" s="138"/>
      <c r="S205" s="138"/>
      <c r="T205" s="138"/>
      <c r="U205" s="138"/>
    </row>
    <row r="206" spans="1:22" s="26" customFormat="1" ht="15" customHeight="1" x14ac:dyDescent="0.2">
      <c r="A206" s="37">
        <v>41493.366365740701</v>
      </c>
      <c r="B206" s="26" t="s">
        <v>16</v>
      </c>
      <c r="C206" s="26" t="s">
        <v>913</v>
      </c>
      <c r="D206" s="33">
        <v>41456</v>
      </c>
      <c r="E206" s="26" t="s">
        <v>916</v>
      </c>
      <c r="F206" s="26" t="s">
        <v>915</v>
      </c>
      <c r="G206" s="26" t="s">
        <v>26</v>
      </c>
      <c r="J206" s="46">
        <v>1</v>
      </c>
      <c r="K206" s="46">
        <v>6</v>
      </c>
      <c r="L206" s="136">
        <v>165</v>
      </c>
      <c r="M206" s="137"/>
      <c r="N206" s="138"/>
      <c r="O206" s="138"/>
      <c r="P206" s="138"/>
      <c r="Q206" s="138"/>
      <c r="R206" s="138"/>
      <c r="S206" s="138"/>
      <c r="T206" s="138"/>
      <c r="U206" s="138"/>
    </row>
    <row r="207" spans="1:22" s="26" customFormat="1" ht="15" customHeight="1" x14ac:dyDescent="0.2">
      <c r="A207" s="37">
        <v>41493.367303240702</v>
      </c>
      <c r="B207" s="26" t="s">
        <v>16</v>
      </c>
      <c r="C207" s="26" t="s">
        <v>913</v>
      </c>
      <c r="D207" s="33">
        <v>41456</v>
      </c>
      <c r="E207" s="26" t="s">
        <v>917</v>
      </c>
      <c r="F207" s="26" t="s">
        <v>918</v>
      </c>
      <c r="G207" s="26" t="s">
        <v>26</v>
      </c>
      <c r="H207" s="26" t="s">
        <v>919</v>
      </c>
      <c r="J207" s="46">
        <v>1</v>
      </c>
      <c r="K207" s="46">
        <v>6</v>
      </c>
      <c r="L207" s="136">
        <v>4</v>
      </c>
      <c r="M207" s="137" t="s">
        <v>22</v>
      </c>
      <c r="N207" s="138"/>
      <c r="O207" s="138"/>
      <c r="P207" s="138"/>
      <c r="Q207" s="138"/>
      <c r="R207" s="138"/>
      <c r="S207" s="138"/>
      <c r="T207" s="138"/>
      <c r="U207" s="138"/>
    </row>
    <row r="208" spans="1:22" s="26" customFormat="1" ht="15" customHeight="1" x14ac:dyDescent="0.2">
      <c r="A208" s="37">
        <v>41493.367893518502</v>
      </c>
      <c r="B208" s="26" t="s">
        <v>16</v>
      </c>
      <c r="C208" s="26" t="s">
        <v>913</v>
      </c>
      <c r="D208" s="33">
        <v>41456</v>
      </c>
      <c r="E208" s="26" t="s">
        <v>920</v>
      </c>
      <c r="F208" s="26" t="s">
        <v>921</v>
      </c>
      <c r="G208" s="26" t="s">
        <v>26</v>
      </c>
      <c r="H208" s="26" t="s">
        <v>922</v>
      </c>
      <c r="J208" s="46">
        <v>1</v>
      </c>
      <c r="K208" s="46">
        <v>3</v>
      </c>
      <c r="L208" s="136">
        <v>30</v>
      </c>
      <c r="M208" s="137" t="s">
        <v>22</v>
      </c>
      <c r="N208" s="138"/>
      <c r="O208" s="138"/>
      <c r="P208" s="138"/>
      <c r="Q208" s="138"/>
      <c r="R208" s="138"/>
      <c r="S208" s="138"/>
      <c r="T208" s="138"/>
      <c r="U208" s="138"/>
    </row>
    <row r="209" spans="1:21" s="26" customFormat="1" ht="15" customHeight="1" x14ac:dyDescent="0.2">
      <c r="A209" s="37">
        <v>41493.368611111102</v>
      </c>
      <c r="B209" s="26" t="s">
        <v>16</v>
      </c>
      <c r="C209" s="26" t="s">
        <v>913</v>
      </c>
      <c r="D209" s="33">
        <v>41456</v>
      </c>
      <c r="E209" s="26" t="s">
        <v>923</v>
      </c>
      <c r="F209" s="26" t="s">
        <v>924</v>
      </c>
      <c r="G209" s="26" t="s">
        <v>26</v>
      </c>
      <c r="H209" s="26" t="s">
        <v>925</v>
      </c>
      <c r="J209" s="46">
        <v>1</v>
      </c>
      <c r="K209" s="46">
        <v>6</v>
      </c>
      <c r="L209" s="136">
        <v>20</v>
      </c>
      <c r="M209" s="137" t="s">
        <v>44</v>
      </c>
      <c r="N209" s="138"/>
      <c r="O209" s="138">
        <v>10</v>
      </c>
      <c r="P209" s="138"/>
      <c r="Q209" s="138"/>
      <c r="R209" s="138"/>
      <c r="S209" s="138"/>
      <c r="T209" s="138"/>
      <c r="U209" s="138"/>
    </row>
    <row r="210" spans="1:21" s="26" customFormat="1" ht="15" customHeight="1" x14ac:dyDescent="0.2">
      <c r="A210" s="37">
        <v>41493.369212963</v>
      </c>
      <c r="B210" s="26" t="s">
        <v>16</v>
      </c>
      <c r="C210" s="26" t="s">
        <v>913</v>
      </c>
      <c r="D210" s="33">
        <v>41456</v>
      </c>
      <c r="E210" s="26" t="s">
        <v>926</v>
      </c>
      <c r="F210" s="26" t="s">
        <v>927</v>
      </c>
      <c r="G210" s="26" t="s">
        <v>26</v>
      </c>
      <c r="J210" s="46">
        <v>1</v>
      </c>
      <c r="K210" s="46">
        <v>13</v>
      </c>
      <c r="L210" s="136">
        <v>13</v>
      </c>
      <c r="M210" s="137" t="s">
        <v>22</v>
      </c>
      <c r="N210" s="138"/>
      <c r="O210" s="138"/>
      <c r="P210" s="138"/>
      <c r="Q210" s="138"/>
      <c r="R210" s="138"/>
      <c r="S210" s="138"/>
      <c r="T210" s="138"/>
      <c r="U210" s="138"/>
    </row>
    <row r="211" spans="1:21" s="26" customFormat="1" ht="15" customHeight="1" x14ac:dyDescent="0.2">
      <c r="A211" s="37">
        <v>41493.3699305556</v>
      </c>
      <c r="B211" s="26" t="s">
        <v>16</v>
      </c>
      <c r="C211" s="26" t="s">
        <v>913</v>
      </c>
      <c r="D211" s="33">
        <v>41456</v>
      </c>
      <c r="E211" s="26" t="s">
        <v>928</v>
      </c>
      <c r="F211" s="26" t="s">
        <v>929</v>
      </c>
      <c r="G211" s="26" t="s">
        <v>26</v>
      </c>
      <c r="J211" s="46">
        <v>1</v>
      </c>
      <c r="K211" s="46">
        <v>18</v>
      </c>
      <c r="L211" s="136">
        <v>18</v>
      </c>
      <c r="M211" s="137" t="s">
        <v>22</v>
      </c>
      <c r="N211" s="138"/>
      <c r="O211" s="138"/>
      <c r="P211" s="138"/>
      <c r="Q211" s="138"/>
      <c r="R211" s="138"/>
      <c r="S211" s="138"/>
      <c r="T211" s="138"/>
      <c r="U211" s="138"/>
    </row>
    <row r="212" spans="1:21" s="26" customFormat="1" ht="15" customHeight="1" x14ac:dyDescent="0.2">
      <c r="A212" s="37">
        <v>41493.370428240698</v>
      </c>
      <c r="B212" s="26" t="s">
        <v>16</v>
      </c>
      <c r="C212" s="26" t="s">
        <v>913</v>
      </c>
      <c r="D212" s="33">
        <v>41456</v>
      </c>
      <c r="E212" s="26" t="s">
        <v>930</v>
      </c>
      <c r="F212" s="26" t="s">
        <v>931</v>
      </c>
      <c r="G212" s="26" t="s">
        <v>26</v>
      </c>
      <c r="J212" s="46">
        <v>1</v>
      </c>
      <c r="K212" s="46">
        <v>15</v>
      </c>
      <c r="L212" s="136"/>
      <c r="M212" s="137" t="s">
        <v>22</v>
      </c>
      <c r="N212" s="138"/>
      <c r="O212" s="138"/>
      <c r="P212" s="138"/>
      <c r="Q212" s="138"/>
      <c r="R212" s="138"/>
      <c r="S212" s="138"/>
      <c r="T212" s="138"/>
      <c r="U212" s="138"/>
    </row>
    <row r="213" spans="1:21" s="26" customFormat="1" ht="15" customHeight="1" x14ac:dyDescent="0.2">
      <c r="A213" s="37">
        <v>41493.371215277803</v>
      </c>
      <c r="B213" s="26" t="s">
        <v>16</v>
      </c>
      <c r="C213" s="26" t="s">
        <v>913</v>
      </c>
      <c r="D213" s="33">
        <v>41456</v>
      </c>
      <c r="E213" s="26" t="s">
        <v>932</v>
      </c>
      <c r="F213" s="26" t="s">
        <v>259</v>
      </c>
      <c r="G213" s="26" t="s">
        <v>26</v>
      </c>
      <c r="J213" s="46">
        <v>6</v>
      </c>
      <c r="K213" s="46">
        <v>21</v>
      </c>
      <c r="L213" s="136">
        <v>945</v>
      </c>
      <c r="M213" s="137" t="s">
        <v>22</v>
      </c>
      <c r="N213" s="138"/>
      <c r="O213" s="138"/>
      <c r="P213" s="138"/>
      <c r="Q213" s="138"/>
      <c r="R213" s="138"/>
      <c r="S213" s="138"/>
      <c r="T213" s="138"/>
      <c r="U213" s="138"/>
    </row>
    <row r="214" spans="1:21" s="26" customFormat="1" ht="15" customHeight="1" x14ac:dyDescent="0.2">
      <c r="A214" s="37">
        <v>41493.371805555602</v>
      </c>
      <c r="B214" s="26" t="s">
        <v>16</v>
      </c>
      <c r="C214" s="26" t="s">
        <v>913</v>
      </c>
      <c r="D214" s="33">
        <v>41456</v>
      </c>
      <c r="E214" s="26" t="s">
        <v>933</v>
      </c>
      <c r="F214" s="26" t="s">
        <v>927</v>
      </c>
      <c r="G214" s="26" t="s">
        <v>26</v>
      </c>
      <c r="J214" s="46">
        <v>1</v>
      </c>
      <c r="K214" s="46">
        <v>30</v>
      </c>
      <c r="L214" s="136">
        <v>30</v>
      </c>
      <c r="M214" s="137" t="s">
        <v>22</v>
      </c>
      <c r="N214" s="138"/>
      <c r="O214" s="138"/>
      <c r="P214" s="138"/>
      <c r="Q214" s="138"/>
      <c r="R214" s="138"/>
      <c r="S214" s="138"/>
      <c r="T214" s="138"/>
      <c r="U214" s="138"/>
    </row>
    <row r="215" spans="1:21" s="26" customFormat="1" ht="15" customHeight="1" x14ac:dyDescent="0.2">
      <c r="A215" s="37">
        <v>41493.372430555602</v>
      </c>
      <c r="B215" s="26" t="s">
        <v>16</v>
      </c>
      <c r="C215" s="26" t="s">
        <v>913</v>
      </c>
      <c r="D215" s="33">
        <v>41456</v>
      </c>
      <c r="E215" s="26" t="s">
        <v>934</v>
      </c>
      <c r="F215" s="26" t="s">
        <v>935</v>
      </c>
      <c r="G215" s="26" t="s">
        <v>26</v>
      </c>
      <c r="H215" s="26" t="s">
        <v>936</v>
      </c>
      <c r="J215" s="46">
        <v>1</v>
      </c>
      <c r="K215" s="46">
        <v>3</v>
      </c>
      <c r="L215" s="136">
        <v>2</v>
      </c>
      <c r="M215" s="137" t="s">
        <v>22</v>
      </c>
      <c r="N215" s="138"/>
      <c r="O215" s="138"/>
      <c r="P215" s="138"/>
      <c r="Q215" s="138"/>
      <c r="R215" s="138"/>
      <c r="S215" s="138"/>
      <c r="T215" s="138"/>
      <c r="U215" s="138"/>
    </row>
    <row r="216" spans="1:21" s="26" customFormat="1" ht="15" customHeight="1" x14ac:dyDescent="0.2">
      <c r="A216" s="37">
        <v>41493.3733333333</v>
      </c>
      <c r="B216" s="26" t="s">
        <v>16</v>
      </c>
      <c r="C216" s="26" t="s">
        <v>913</v>
      </c>
      <c r="D216" s="33">
        <v>41456</v>
      </c>
      <c r="E216" s="26" t="s">
        <v>937</v>
      </c>
      <c r="F216" s="26" t="s">
        <v>938</v>
      </c>
      <c r="G216" s="34" t="s">
        <v>156</v>
      </c>
      <c r="H216" s="26" t="s">
        <v>939</v>
      </c>
      <c r="J216" s="46">
        <v>1</v>
      </c>
      <c r="K216" s="46">
        <v>600</v>
      </c>
      <c r="L216" s="136"/>
      <c r="M216" s="137" t="s">
        <v>44</v>
      </c>
      <c r="N216" s="138"/>
      <c r="O216" s="138">
        <v>150</v>
      </c>
      <c r="P216" s="138"/>
      <c r="Q216" s="138"/>
      <c r="R216" s="138"/>
      <c r="S216" s="138"/>
      <c r="T216" s="138"/>
      <c r="U216" s="138"/>
    </row>
    <row r="217" spans="1:21" s="26" customFormat="1" ht="15" customHeight="1" x14ac:dyDescent="0.2">
      <c r="A217" s="37">
        <v>41493.373958333301</v>
      </c>
      <c r="B217" s="26" t="s">
        <v>16</v>
      </c>
      <c r="C217" s="26" t="s">
        <v>913</v>
      </c>
      <c r="D217" s="33">
        <v>41456</v>
      </c>
      <c r="E217" s="26" t="s">
        <v>940</v>
      </c>
      <c r="F217" s="26" t="s">
        <v>941</v>
      </c>
      <c r="G217" s="26" t="s">
        <v>26</v>
      </c>
      <c r="J217" s="46">
        <v>1</v>
      </c>
      <c r="K217" s="46">
        <v>13</v>
      </c>
      <c r="L217" s="136"/>
      <c r="M217" s="137" t="s">
        <v>44</v>
      </c>
      <c r="N217" s="138"/>
      <c r="O217" s="138">
        <v>10</v>
      </c>
      <c r="P217" s="138"/>
      <c r="Q217" s="138"/>
      <c r="R217" s="138"/>
      <c r="S217" s="138"/>
      <c r="T217" s="138"/>
      <c r="U217" s="138"/>
    </row>
    <row r="218" spans="1:21" s="26" customFormat="1" ht="15" customHeight="1" x14ac:dyDescent="0.2">
      <c r="A218" s="37">
        <v>41493.374710648102</v>
      </c>
      <c r="B218" s="26" t="s">
        <v>16</v>
      </c>
      <c r="C218" s="26" t="s">
        <v>913</v>
      </c>
      <c r="D218" s="33">
        <v>41456</v>
      </c>
      <c r="E218" s="26" t="s">
        <v>942</v>
      </c>
      <c r="F218" s="26" t="s">
        <v>943</v>
      </c>
      <c r="G218" s="26" t="s">
        <v>26</v>
      </c>
      <c r="H218" s="26" t="s">
        <v>944</v>
      </c>
      <c r="J218" s="46">
        <v>1</v>
      </c>
      <c r="K218" s="46">
        <v>14</v>
      </c>
      <c r="L218" s="136">
        <v>350</v>
      </c>
      <c r="M218" s="137" t="s">
        <v>22</v>
      </c>
      <c r="N218" s="138"/>
      <c r="O218" s="138"/>
      <c r="P218" s="138"/>
      <c r="Q218" s="138"/>
      <c r="R218" s="138"/>
      <c r="S218" s="138"/>
      <c r="T218" s="138"/>
      <c r="U218" s="138">
        <v>280</v>
      </c>
    </row>
    <row r="219" spans="1:21" s="26" customFormat="1" ht="15" customHeight="1" x14ac:dyDescent="0.2">
      <c r="A219" s="37">
        <v>41493.375416666699</v>
      </c>
      <c r="B219" s="26" t="s">
        <v>16</v>
      </c>
      <c r="C219" s="26" t="s">
        <v>913</v>
      </c>
      <c r="D219" s="33">
        <v>41456</v>
      </c>
      <c r="E219" s="26" t="s">
        <v>934</v>
      </c>
      <c r="F219" s="26" t="s">
        <v>935</v>
      </c>
      <c r="G219" s="26" t="s">
        <v>26</v>
      </c>
      <c r="H219" s="26" t="s">
        <v>945</v>
      </c>
      <c r="J219" s="46">
        <v>1</v>
      </c>
      <c r="K219" s="46">
        <v>7</v>
      </c>
      <c r="L219" s="136">
        <v>4</v>
      </c>
      <c r="M219" s="137" t="s">
        <v>22</v>
      </c>
      <c r="N219" s="138"/>
      <c r="O219" s="138"/>
      <c r="P219" s="138"/>
      <c r="Q219" s="138"/>
      <c r="R219" s="138"/>
      <c r="S219" s="138"/>
      <c r="T219" s="138"/>
      <c r="U219" s="138"/>
    </row>
    <row r="220" spans="1:21" s="26" customFormat="1" ht="15" customHeight="1" x14ac:dyDescent="0.2">
      <c r="A220" s="37">
        <v>41493.376099537003</v>
      </c>
      <c r="B220" s="26" t="s">
        <v>16</v>
      </c>
      <c r="C220" s="26" t="s">
        <v>913</v>
      </c>
      <c r="D220" s="33">
        <v>41456</v>
      </c>
      <c r="E220" s="26" t="s">
        <v>946</v>
      </c>
      <c r="F220" s="26" t="s">
        <v>947</v>
      </c>
      <c r="G220" s="26" t="s">
        <v>26</v>
      </c>
      <c r="J220" s="46">
        <v>12</v>
      </c>
      <c r="K220" s="46">
        <v>12</v>
      </c>
      <c r="L220" s="136">
        <v>850</v>
      </c>
      <c r="M220" s="137" t="s">
        <v>22</v>
      </c>
      <c r="N220" s="138"/>
      <c r="O220" s="138"/>
      <c r="P220" s="138"/>
      <c r="Q220" s="138"/>
      <c r="R220" s="138"/>
      <c r="S220" s="138"/>
      <c r="T220" s="138"/>
      <c r="U220" s="138"/>
    </row>
    <row r="221" spans="1:21" s="26" customFormat="1" ht="15" customHeight="1" x14ac:dyDescent="0.2">
      <c r="A221" s="37">
        <v>41493.377418981501</v>
      </c>
      <c r="B221" s="26" t="s">
        <v>16</v>
      </c>
      <c r="C221" s="26" t="s">
        <v>913</v>
      </c>
      <c r="D221" s="33">
        <v>41456</v>
      </c>
      <c r="E221" s="26" t="s">
        <v>948</v>
      </c>
      <c r="F221" s="26" t="s">
        <v>949</v>
      </c>
      <c r="G221" s="26" t="s">
        <v>26</v>
      </c>
      <c r="H221" s="26" t="s">
        <v>950</v>
      </c>
      <c r="J221" s="46">
        <v>2</v>
      </c>
      <c r="K221" s="46">
        <v>40</v>
      </c>
      <c r="L221" s="136">
        <v>40</v>
      </c>
      <c r="M221" s="137" t="s">
        <v>22</v>
      </c>
      <c r="N221" s="138"/>
      <c r="O221" s="138"/>
      <c r="P221" s="138"/>
      <c r="Q221" s="138"/>
      <c r="R221" s="138"/>
      <c r="S221" s="138"/>
      <c r="T221" s="138"/>
      <c r="U221" s="138"/>
    </row>
    <row r="222" spans="1:21" s="26" customFormat="1" ht="15" customHeight="1" x14ac:dyDescent="0.2">
      <c r="A222" s="37">
        <v>41493.377974536997</v>
      </c>
      <c r="B222" s="26" t="s">
        <v>16</v>
      </c>
      <c r="C222" s="26" t="s">
        <v>913</v>
      </c>
      <c r="D222" s="33">
        <v>41456</v>
      </c>
      <c r="E222" s="26" t="s">
        <v>951</v>
      </c>
      <c r="F222" s="26" t="s">
        <v>952</v>
      </c>
      <c r="G222" s="26" t="s">
        <v>351</v>
      </c>
      <c r="H222" s="26" t="s">
        <v>953</v>
      </c>
      <c r="J222" s="115">
        <v>1</v>
      </c>
      <c r="K222" s="115">
        <v>60</v>
      </c>
      <c r="L222" s="136">
        <v>60</v>
      </c>
      <c r="M222" s="137" t="s">
        <v>22</v>
      </c>
      <c r="N222" s="138"/>
      <c r="O222" s="138"/>
      <c r="P222" s="138"/>
      <c r="Q222" s="138"/>
      <c r="R222" s="138"/>
      <c r="S222" s="138"/>
      <c r="T222" s="138"/>
      <c r="U222" s="138"/>
    </row>
    <row r="223" spans="1:21" s="26" customFormat="1" ht="15" customHeight="1" x14ac:dyDescent="0.2">
      <c r="A223" s="37">
        <v>41493.378865740699</v>
      </c>
      <c r="B223" s="26" t="s">
        <v>16</v>
      </c>
      <c r="C223" s="26" t="s">
        <v>913</v>
      </c>
      <c r="D223" s="33">
        <v>41456</v>
      </c>
      <c r="E223" s="26" t="s">
        <v>954</v>
      </c>
      <c r="F223" s="26" t="s">
        <v>955</v>
      </c>
      <c r="G223" s="26" t="s">
        <v>351</v>
      </c>
      <c r="H223" s="26" t="s">
        <v>956</v>
      </c>
      <c r="J223" s="115">
        <v>1</v>
      </c>
      <c r="K223" s="115">
        <v>5</v>
      </c>
      <c r="L223" s="136"/>
      <c r="M223" s="137" t="s">
        <v>22</v>
      </c>
      <c r="N223" s="138"/>
      <c r="O223" s="138"/>
      <c r="P223" s="138"/>
      <c r="Q223" s="138"/>
      <c r="R223" s="138"/>
      <c r="S223" s="138"/>
      <c r="T223" s="138"/>
      <c r="U223" s="138"/>
    </row>
    <row r="224" spans="1:21" s="26" customFormat="1" ht="15" customHeight="1" x14ac:dyDescent="0.2">
      <c r="A224" s="37">
        <v>41493.379618055602</v>
      </c>
      <c r="B224" s="26" t="s">
        <v>16</v>
      </c>
      <c r="C224" s="26" t="s">
        <v>913</v>
      </c>
      <c r="D224" s="33">
        <v>41456</v>
      </c>
      <c r="E224" s="26" t="s">
        <v>957</v>
      </c>
      <c r="F224" s="26" t="s">
        <v>958</v>
      </c>
      <c r="G224" s="26" t="s">
        <v>351</v>
      </c>
      <c r="H224" s="26" t="s">
        <v>959</v>
      </c>
      <c r="J224" s="115">
        <v>1</v>
      </c>
      <c r="K224" s="115">
        <v>50</v>
      </c>
      <c r="L224" s="136"/>
      <c r="M224" s="137" t="s">
        <v>22</v>
      </c>
      <c r="N224" s="138"/>
      <c r="O224" s="138"/>
      <c r="P224" s="138"/>
      <c r="Q224" s="138"/>
      <c r="R224" s="138"/>
      <c r="S224" s="138"/>
      <c r="T224" s="138"/>
      <c r="U224" s="138"/>
    </row>
    <row r="225" spans="1:22" s="26" customFormat="1" ht="15" customHeight="1" x14ac:dyDescent="0.2">
      <c r="A225" s="40">
        <v>41493.380925925929</v>
      </c>
      <c r="B225" s="41" t="s">
        <v>16</v>
      </c>
      <c r="C225" s="34" t="s">
        <v>913</v>
      </c>
      <c r="D225" s="33">
        <v>41456</v>
      </c>
      <c r="E225" s="41" t="s">
        <v>1293</v>
      </c>
      <c r="F225" s="41" t="s">
        <v>1294</v>
      </c>
      <c r="G225" s="41" t="s">
        <v>60</v>
      </c>
      <c r="H225" s="41" t="s">
        <v>1295</v>
      </c>
      <c r="I225" s="41"/>
      <c r="J225" s="119">
        <v>1</v>
      </c>
      <c r="K225" s="119">
        <v>36</v>
      </c>
      <c r="L225" s="151"/>
      <c r="M225" s="152"/>
      <c r="N225" s="153"/>
      <c r="O225" s="153"/>
      <c r="P225" s="153"/>
      <c r="Q225" s="153"/>
      <c r="R225" s="153"/>
      <c r="S225" s="153"/>
      <c r="T225" s="153">
        <v>184</v>
      </c>
      <c r="U225" s="153"/>
      <c r="V225" s="42"/>
    </row>
    <row r="226" spans="1:22" s="26" customFormat="1" ht="15" customHeight="1" x14ac:dyDescent="0.2">
      <c r="A226" s="38">
        <v>41518.43954861111</v>
      </c>
      <c r="B226" s="29" t="s">
        <v>16</v>
      </c>
      <c r="C226" s="29" t="s">
        <v>913</v>
      </c>
      <c r="D226" s="30">
        <v>41487</v>
      </c>
      <c r="E226" s="31" t="s">
        <v>1492</v>
      </c>
      <c r="F226" s="29" t="s">
        <v>924</v>
      </c>
      <c r="G226" s="29" t="s">
        <v>26</v>
      </c>
      <c r="H226" s="29" t="s">
        <v>1493</v>
      </c>
      <c r="I226" s="29"/>
      <c r="J226" s="116">
        <v>1</v>
      </c>
      <c r="K226" s="116">
        <v>15</v>
      </c>
      <c r="L226" s="139">
        <v>40</v>
      </c>
      <c r="M226" s="140" t="s">
        <v>44</v>
      </c>
      <c r="N226" s="141"/>
      <c r="O226" s="141">
        <v>10</v>
      </c>
      <c r="P226" s="141"/>
      <c r="Q226" s="141"/>
      <c r="R226" s="141"/>
      <c r="S226" s="141"/>
      <c r="T226" s="141"/>
      <c r="U226" s="141"/>
      <c r="V226" s="29"/>
    </row>
    <row r="227" spans="1:22" s="26" customFormat="1" ht="15" customHeight="1" x14ac:dyDescent="0.2">
      <c r="A227" s="38">
        <v>41518.439988425926</v>
      </c>
      <c r="B227" s="29" t="s">
        <v>16</v>
      </c>
      <c r="C227" s="29" t="s">
        <v>913</v>
      </c>
      <c r="D227" s="30">
        <v>41487</v>
      </c>
      <c r="E227" s="31" t="s">
        <v>1492</v>
      </c>
      <c r="F227" s="29" t="s">
        <v>924</v>
      </c>
      <c r="G227" s="29" t="s">
        <v>26</v>
      </c>
      <c r="H227" s="29" t="s">
        <v>1493</v>
      </c>
      <c r="I227" s="29"/>
      <c r="J227" s="116">
        <v>1</v>
      </c>
      <c r="K227" s="116">
        <v>15</v>
      </c>
      <c r="L227" s="139">
        <v>40</v>
      </c>
      <c r="M227" s="140" t="s">
        <v>44</v>
      </c>
      <c r="N227" s="141"/>
      <c r="O227" s="141">
        <v>10</v>
      </c>
      <c r="P227" s="141"/>
      <c r="Q227" s="141"/>
      <c r="R227" s="141"/>
      <c r="S227" s="141"/>
      <c r="T227" s="141"/>
      <c r="U227" s="141"/>
      <c r="V227" s="29"/>
    </row>
    <row r="228" spans="1:22" s="26" customFormat="1" ht="15" customHeight="1" x14ac:dyDescent="0.2">
      <c r="A228" s="38">
        <v>41521.635868055557</v>
      </c>
      <c r="B228" s="29" t="s">
        <v>16</v>
      </c>
      <c r="C228" s="29" t="s">
        <v>913</v>
      </c>
      <c r="D228" s="30">
        <v>41487</v>
      </c>
      <c r="E228" s="31" t="s">
        <v>1616</v>
      </c>
      <c r="F228" s="29" t="s">
        <v>927</v>
      </c>
      <c r="G228" s="29" t="s">
        <v>26</v>
      </c>
      <c r="H228" s="29"/>
      <c r="I228" s="29"/>
      <c r="J228" s="116">
        <v>1</v>
      </c>
      <c r="K228" s="116">
        <v>16</v>
      </c>
      <c r="L228" s="139">
        <v>16</v>
      </c>
      <c r="M228" s="140" t="s">
        <v>44</v>
      </c>
      <c r="N228" s="141"/>
      <c r="O228" s="141">
        <v>10</v>
      </c>
      <c r="P228" s="141"/>
      <c r="Q228" s="141"/>
      <c r="R228" s="141"/>
      <c r="S228" s="141"/>
      <c r="T228" s="141"/>
      <c r="U228" s="141"/>
      <c r="V228" s="29"/>
    </row>
    <row r="229" spans="1:22" s="26" customFormat="1" ht="15" customHeight="1" x14ac:dyDescent="0.2">
      <c r="A229" s="38">
        <v>41521.637499999997</v>
      </c>
      <c r="B229" s="29" t="s">
        <v>16</v>
      </c>
      <c r="C229" s="29" t="s">
        <v>913</v>
      </c>
      <c r="D229" s="30">
        <v>41487</v>
      </c>
      <c r="E229" s="31" t="s">
        <v>1617</v>
      </c>
      <c r="F229" s="29" t="s">
        <v>929</v>
      </c>
      <c r="G229" s="29" t="s">
        <v>26</v>
      </c>
      <c r="H229" s="29"/>
      <c r="I229" s="29"/>
      <c r="J229" s="116">
        <v>1</v>
      </c>
      <c r="K229" s="116">
        <v>16</v>
      </c>
      <c r="L229" s="139">
        <v>16</v>
      </c>
      <c r="M229" s="140" t="s">
        <v>22</v>
      </c>
      <c r="N229" s="141"/>
      <c r="O229" s="141"/>
      <c r="P229" s="141"/>
      <c r="Q229" s="141"/>
      <c r="R229" s="141"/>
      <c r="S229" s="141"/>
      <c r="T229" s="141"/>
      <c r="U229" s="141"/>
      <c r="V229" s="29"/>
    </row>
    <row r="230" spans="1:22" s="26" customFormat="1" ht="15" customHeight="1" x14ac:dyDescent="0.2">
      <c r="A230" s="38">
        <v>41521.639027777775</v>
      </c>
      <c r="B230" s="29" t="s">
        <v>16</v>
      </c>
      <c r="C230" s="29" t="s">
        <v>913</v>
      </c>
      <c r="D230" s="30">
        <v>41487</v>
      </c>
      <c r="E230" s="31" t="s">
        <v>1618</v>
      </c>
      <c r="F230" s="29" t="s">
        <v>299</v>
      </c>
      <c r="G230" s="29" t="s">
        <v>26</v>
      </c>
      <c r="H230" s="29" t="s">
        <v>1619</v>
      </c>
      <c r="I230" s="29"/>
      <c r="J230" s="116">
        <v>1</v>
      </c>
      <c r="K230" s="116">
        <v>10</v>
      </c>
      <c r="L230" s="139">
        <v>8</v>
      </c>
      <c r="M230" s="140" t="s">
        <v>22</v>
      </c>
      <c r="N230" s="141"/>
      <c r="O230" s="141"/>
      <c r="P230" s="141"/>
      <c r="Q230" s="141"/>
      <c r="R230" s="141"/>
      <c r="S230" s="141"/>
      <c r="T230" s="141"/>
      <c r="U230" s="141"/>
      <c r="V230" s="29"/>
    </row>
    <row r="231" spans="1:22" s="26" customFormat="1" ht="15" customHeight="1" x14ac:dyDescent="0.2">
      <c r="A231" s="38">
        <v>41521.639687499999</v>
      </c>
      <c r="B231" s="29" t="s">
        <v>16</v>
      </c>
      <c r="C231" s="29" t="s">
        <v>913</v>
      </c>
      <c r="D231" s="30">
        <v>41487</v>
      </c>
      <c r="E231" s="31" t="s">
        <v>1616</v>
      </c>
      <c r="F231" s="29" t="s">
        <v>927</v>
      </c>
      <c r="G231" s="29" t="s">
        <v>26</v>
      </c>
      <c r="H231" s="29"/>
      <c r="I231" s="29"/>
      <c r="J231" s="116">
        <v>1</v>
      </c>
      <c r="K231" s="116">
        <v>3</v>
      </c>
      <c r="L231" s="139">
        <v>3</v>
      </c>
      <c r="M231" s="140" t="s">
        <v>22</v>
      </c>
      <c r="N231" s="141"/>
      <c r="O231" s="141"/>
      <c r="P231" s="141"/>
      <c r="Q231" s="141"/>
      <c r="R231" s="141"/>
      <c r="S231" s="141"/>
      <c r="T231" s="141"/>
      <c r="U231" s="141"/>
      <c r="V231" s="29"/>
    </row>
    <row r="232" spans="1:22" s="26" customFormat="1" ht="15" customHeight="1" x14ac:dyDescent="0.2">
      <c r="A232" s="38">
        <v>41521.640277777777</v>
      </c>
      <c r="B232" s="29" t="s">
        <v>16</v>
      </c>
      <c r="C232" s="29" t="s">
        <v>913</v>
      </c>
      <c r="D232" s="30">
        <v>41487</v>
      </c>
      <c r="E232" s="31" t="s">
        <v>1617</v>
      </c>
      <c r="F232" s="29" t="s">
        <v>929</v>
      </c>
      <c r="G232" s="29" t="s">
        <v>26</v>
      </c>
      <c r="H232" s="29"/>
      <c r="I232" s="29"/>
      <c r="J232" s="116">
        <v>1</v>
      </c>
      <c r="K232" s="116">
        <v>15</v>
      </c>
      <c r="L232" s="139">
        <v>14</v>
      </c>
      <c r="M232" s="140" t="s">
        <v>22</v>
      </c>
      <c r="N232" s="141"/>
      <c r="O232" s="141"/>
      <c r="P232" s="141"/>
      <c r="Q232" s="141"/>
      <c r="R232" s="141"/>
      <c r="S232" s="141"/>
      <c r="T232" s="141"/>
      <c r="U232" s="141"/>
      <c r="V232" s="29"/>
    </row>
    <row r="233" spans="1:22" s="26" customFormat="1" ht="15" customHeight="1" x14ac:dyDescent="0.2">
      <c r="A233" s="38">
        <v>41521.641030092593</v>
      </c>
      <c r="B233" s="29" t="s">
        <v>16</v>
      </c>
      <c r="C233" s="29" t="s">
        <v>913</v>
      </c>
      <c r="D233" s="30">
        <v>41487</v>
      </c>
      <c r="E233" s="31" t="s">
        <v>1620</v>
      </c>
      <c r="F233" s="29" t="s">
        <v>828</v>
      </c>
      <c r="G233" s="29" t="s">
        <v>26</v>
      </c>
      <c r="H233" s="29"/>
      <c r="I233" s="29"/>
      <c r="J233" s="116">
        <v>1</v>
      </c>
      <c r="K233" s="116">
        <v>0</v>
      </c>
      <c r="L233" s="139"/>
      <c r="M233" s="140" t="s">
        <v>22</v>
      </c>
      <c r="N233" s="141"/>
      <c r="O233" s="141"/>
      <c r="P233" s="141"/>
      <c r="Q233" s="141"/>
      <c r="R233" s="141"/>
      <c r="S233" s="141"/>
      <c r="T233" s="141"/>
      <c r="U233" s="141"/>
      <c r="V233" s="29"/>
    </row>
    <row r="234" spans="1:22" s="26" customFormat="1" ht="15" customHeight="1" x14ac:dyDescent="0.2">
      <c r="A234" s="38">
        <v>41521.64167824074</v>
      </c>
      <c r="B234" s="29" t="s">
        <v>16</v>
      </c>
      <c r="C234" s="29" t="s">
        <v>913</v>
      </c>
      <c r="D234" s="30">
        <v>41487</v>
      </c>
      <c r="E234" s="31" t="s">
        <v>1616</v>
      </c>
      <c r="F234" s="29" t="s">
        <v>927</v>
      </c>
      <c r="G234" s="29" t="s">
        <v>26</v>
      </c>
      <c r="H234" s="29"/>
      <c r="I234" s="29"/>
      <c r="J234" s="116">
        <v>1</v>
      </c>
      <c r="K234" s="116">
        <v>0</v>
      </c>
      <c r="L234" s="139"/>
      <c r="M234" s="140" t="s">
        <v>22</v>
      </c>
      <c r="N234" s="141"/>
      <c r="O234" s="141"/>
      <c r="P234" s="141"/>
      <c r="Q234" s="141"/>
      <c r="R234" s="141"/>
      <c r="S234" s="141"/>
      <c r="T234" s="141"/>
      <c r="U234" s="141"/>
      <c r="V234" s="29"/>
    </row>
    <row r="235" spans="1:22" s="26" customFormat="1" ht="15" customHeight="1" x14ac:dyDescent="0.2">
      <c r="A235" s="38">
        <v>41521.642256944448</v>
      </c>
      <c r="B235" s="29" t="s">
        <v>16</v>
      </c>
      <c r="C235" s="29" t="s">
        <v>913</v>
      </c>
      <c r="D235" s="30">
        <v>41487</v>
      </c>
      <c r="E235" s="31" t="s">
        <v>1621</v>
      </c>
      <c r="F235" s="29" t="s">
        <v>299</v>
      </c>
      <c r="G235" s="29" t="s">
        <v>26</v>
      </c>
      <c r="H235" s="29"/>
      <c r="I235" s="29"/>
      <c r="J235" s="116">
        <v>1</v>
      </c>
      <c r="K235" s="116">
        <v>0</v>
      </c>
      <c r="L235" s="139"/>
      <c r="M235" s="140" t="s">
        <v>22</v>
      </c>
      <c r="N235" s="141"/>
      <c r="O235" s="141"/>
      <c r="P235" s="141"/>
      <c r="Q235" s="141"/>
      <c r="R235" s="141"/>
      <c r="S235" s="141"/>
      <c r="T235" s="141"/>
      <c r="U235" s="141"/>
      <c r="V235" s="29"/>
    </row>
    <row r="236" spans="1:22" s="26" customFormat="1" ht="15" customHeight="1" x14ac:dyDescent="0.2">
      <c r="A236" s="38">
        <v>41521.642870370371</v>
      </c>
      <c r="B236" s="29" t="s">
        <v>16</v>
      </c>
      <c r="C236" s="29" t="s">
        <v>913</v>
      </c>
      <c r="D236" s="30">
        <v>41487</v>
      </c>
      <c r="E236" s="31" t="s">
        <v>1616</v>
      </c>
      <c r="F236" s="29" t="s">
        <v>927</v>
      </c>
      <c r="G236" s="29" t="s">
        <v>26</v>
      </c>
      <c r="H236" s="29"/>
      <c r="I236" s="29"/>
      <c r="J236" s="116">
        <v>1</v>
      </c>
      <c r="K236" s="116">
        <v>0</v>
      </c>
      <c r="L236" s="139"/>
      <c r="M236" s="140" t="s">
        <v>22</v>
      </c>
      <c r="N236" s="141"/>
      <c r="O236" s="141"/>
      <c r="P236" s="141"/>
      <c r="Q236" s="141"/>
      <c r="R236" s="141"/>
      <c r="S236" s="141"/>
      <c r="T236" s="141"/>
      <c r="U236" s="141"/>
      <c r="V236" s="29"/>
    </row>
    <row r="237" spans="1:22" s="26" customFormat="1" ht="15" customHeight="1" x14ac:dyDescent="0.2">
      <c r="A237" s="38">
        <v>41521.643726851849</v>
      </c>
      <c r="B237" s="29" t="s">
        <v>16</v>
      </c>
      <c r="C237" s="29" t="s">
        <v>913</v>
      </c>
      <c r="D237" s="30">
        <v>41487</v>
      </c>
      <c r="E237" s="31" t="s">
        <v>1617</v>
      </c>
      <c r="F237" s="29" t="s">
        <v>929</v>
      </c>
      <c r="G237" s="29" t="s">
        <v>26</v>
      </c>
      <c r="H237" s="29"/>
      <c r="I237" s="29"/>
      <c r="J237" s="116">
        <v>1</v>
      </c>
      <c r="K237" s="116">
        <v>31</v>
      </c>
      <c r="L237" s="139">
        <v>31</v>
      </c>
      <c r="M237" s="140" t="s">
        <v>44</v>
      </c>
      <c r="N237" s="141"/>
      <c r="O237" s="141">
        <v>5</v>
      </c>
      <c r="P237" s="141"/>
      <c r="Q237" s="141"/>
      <c r="R237" s="141"/>
      <c r="S237" s="141"/>
      <c r="T237" s="141"/>
      <c r="U237" s="141"/>
      <c r="V237" s="29"/>
    </row>
    <row r="238" spans="1:22" s="26" customFormat="1" ht="15" customHeight="1" x14ac:dyDescent="0.2">
      <c r="A238" s="38">
        <v>41521.64502314815</v>
      </c>
      <c r="B238" s="29" t="s">
        <v>16</v>
      </c>
      <c r="C238" s="29" t="s">
        <v>913</v>
      </c>
      <c r="D238" s="30">
        <v>41487</v>
      </c>
      <c r="E238" s="31" t="s">
        <v>1622</v>
      </c>
      <c r="F238" s="29" t="s">
        <v>935</v>
      </c>
      <c r="G238" s="29" t="s">
        <v>26</v>
      </c>
      <c r="H238" s="29" t="s">
        <v>1623</v>
      </c>
      <c r="I238" s="29"/>
      <c r="J238" s="116">
        <v>1</v>
      </c>
      <c r="K238" s="116">
        <v>3</v>
      </c>
      <c r="L238" s="139">
        <v>2</v>
      </c>
      <c r="M238" s="140" t="s">
        <v>22</v>
      </c>
      <c r="N238" s="141"/>
      <c r="O238" s="141"/>
      <c r="P238" s="141"/>
      <c r="Q238" s="141"/>
      <c r="R238" s="141"/>
      <c r="S238" s="141"/>
      <c r="T238" s="141"/>
      <c r="U238" s="141"/>
      <c r="V238" s="29"/>
    </row>
    <row r="239" spans="1:22" s="26" customFormat="1" ht="15" customHeight="1" x14ac:dyDescent="0.2">
      <c r="A239" s="38">
        <v>41521.645844907405</v>
      </c>
      <c r="B239" s="29" t="s">
        <v>16</v>
      </c>
      <c r="C239" s="29" t="s">
        <v>913</v>
      </c>
      <c r="D239" s="30">
        <v>41487</v>
      </c>
      <c r="E239" s="31" t="s">
        <v>1624</v>
      </c>
      <c r="F239" s="29" t="s">
        <v>918</v>
      </c>
      <c r="G239" s="29" t="s">
        <v>26</v>
      </c>
      <c r="H239" s="29" t="s">
        <v>919</v>
      </c>
      <c r="I239" s="29"/>
      <c r="J239" s="116">
        <v>1</v>
      </c>
      <c r="K239" s="116">
        <v>7</v>
      </c>
      <c r="L239" s="139">
        <v>7</v>
      </c>
      <c r="M239" s="140" t="s">
        <v>44</v>
      </c>
      <c r="N239" s="141"/>
      <c r="O239" s="141">
        <v>10</v>
      </c>
      <c r="P239" s="141"/>
      <c r="Q239" s="141"/>
      <c r="R239" s="141"/>
      <c r="S239" s="141"/>
      <c r="T239" s="141"/>
      <c r="U239" s="141"/>
      <c r="V239" s="29"/>
    </row>
    <row r="240" spans="1:22" s="26" customFormat="1" ht="15" customHeight="1" x14ac:dyDescent="0.2">
      <c r="A240" s="38">
        <v>41521.64638888889</v>
      </c>
      <c r="B240" s="29" t="s">
        <v>16</v>
      </c>
      <c r="C240" s="29" t="s">
        <v>913</v>
      </c>
      <c r="D240" s="30">
        <v>41487</v>
      </c>
      <c r="E240" s="31" t="s">
        <v>1625</v>
      </c>
      <c r="F240" s="29" t="s">
        <v>1626</v>
      </c>
      <c r="G240" s="29" t="s">
        <v>26</v>
      </c>
      <c r="H240" s="29" t="s">
        <v>1627</v>
      </c>
      <c r="I240" s="29"/>
      <c r="J240" s="116">
        <v>1</v>
      </c>
      <c r="K240" s="116">
        <v>2</v>
      </c>
      <c r="L240" s="139"/>
      <c r="M240" s="140" t="s">
        <v>22</v>
      </c>
      <c r="N240" s="141"/>
      <c r="O240" s="141"/>
      <c r="P240" s="141"/>
      <c r="Q240" s="141"/>
      <c r="R240" s="141"/>
      <c r="S240" s="141"/>
      <c r="T240" s="141"/>
      <c r="U240" s="141"/>
      <c r="V240" s="29"/>
    </row>
    <row r="241" spans="1:25" s="26" customFormat="1" ht="15" customHeight="1" x14ac:dyDescent="0.2">
      <c r="A241" s="38">
        <v>41521.647187499999</v>
      </c>
      <c r="B241" s="29" t="s">
        <v>16</v>
      </c>
      <c r="C241" s="29" t="s">
        <v>913</v>
      </c>
      <c r="D241" s="30">
        <v>41487</v>
      </c>
      <c r="E241" s="31" t="s">
        <v>1616</v>
      </c>
      <c r="F241" s="29" t="s">
        <v>927</v>
      </c>
      <c r="G241" s="29" t="s">
        <v>26</v>
      </c>
      <c r="H241" s="29"/>
      <c r="I241" s="29"/>
      <c r="J241" s="116">
        <v>1</v>
      </c>
      <c r="K241" s="116">
        <v>15</v>
      </c>
      <c r="L241" s="139">
        <v>14</v>
      </c>
      <c r="M241" s="140" t="s">
        <v>22</v>
      </c>
      <c r="N241" s="141"/>
      <c r="O241" s="141"/>
      <c r="P241" s="141"/>
      <c r="Q241" s="141"/>
      <c r="R241" s="141"/>
      <c r="S241" s="141"/>
      <c r="T241" s="141"/>
      <c r="U241" s="141"/>
      <c r="V241" s="29"/>
    </row>
    <row r="242" spans="1:25" s="26" customFormat="1" ht="15" customHeight="1" x14ac:dyDescent="0.2">
      <c r="A242" s="38">
        <v>41521.648090277777</v>
      </c>
      <c r="B242" s="29" t="s">
        <v>16</v>
      </c>
      <c r="C242" s="29" t="s">
        <v>913</v>
      </c>
      <c r="D242" s="30">
        <v>41487</v>
      </c>
      <c r="E242" s="31" t="s">
        <v>1628</v>
      </c>
      <c r="F242" s="29" t="s">
        <v>101</v>
      </c>
      <c r="G242" s="29" t="s">
        <v>26</v>
      </c>
      <c r="H242" s="29"/>
      <c r="I242" s="29"/>
      <c r="J242" s="116">
        <v>1</v>
      </c>
      <c r="K242" s="116">
        <v>20</v>
      </c>
      <c r="L242" s="139"/>
      <c r="M242" s="140" t="s">
        <v>44</v>
      </c>
      <c r="N242" s="141"/>
      <c r="O242" s="141">
        <v>10</v>
      </c>
      <c r="P242" s="141"/>
      <c r="Q242" s="141"/>
      <c r="R242" s="141"/>
      <c r="S242" s="141"/>
      <c r="T242" s="141"/>
      <c r="U242" s="141">
        <v>118</v>
      </c>
      <c r="V242" s="29"/>
    </row>
    <row r="243" spans="1:25" s="26" customFormat="1" ht="15" customHeight="1" x14ac:dyDescent="0.2">
      <c r="A243" s="38">
        <v>41521.648726851854</v>
      </c>
      <c r="B243" s="29" t="s">
        <v>16</v>
      </c>
      <c r="C243" s="29" t="s">
        <v>913</v>
      </c>
      <c r="D243" s="30">
        <v>41487</v>
      </c>
      <c r="E243" s="31" t="s">
        <v>1629</v>
      </c>
      <c r="F243" s="29" t="s">
        <v>1630</v>
      </c>
      <c r="G243" s="29" t="s">
        <v>26</v>
      </c>
      <c r="H243" s="29" t="s">
        <v>1631</v>
      </c>
      <c r="I243" s="29"/>
      <c r="J243" s="116">
        <v>1</v>
      </c>
      <c r="K243" s="116">
        <v>114</v>
      </c>
      <c r="L243" s="139"/>
      <c r="M243" s="140" t="s">
        <v>44</v>
      </c>
      <c r="N243" s="141"/>
      <c r="O243" s="141">
        <v>15</v>
      </c>
      <c r="P243" s="141"/>
      <c r="Q243" s="141"/>
      <c r="R243" s="141"/>
      <c r="S243" s="141"/>
      <c r="T243" s="141"/>
      <c r="U243" s="141"/>
      <c r="V243" s="29"/>
    </row>
    <row r="244" spans="1:25" s="26" customFormat="1" ht="15" customHeight="1" x14ac:dyDescent="0.2">
      <c r="A244" s="32">
        <v>41549.622789351852</v>
      </c>
      <c r="B244" s="26" t="s">
        <v>16</v>
      </c>
      <c r="C244" s="26" t="s">
        <v>913</v>
      </c>
      <c r="D244" s="30">
        <v>41518</v>
      </c>
      <c r="E244" s="26" t="s">
        <v>2345</v>
      </c>
      <c r="F244" s="26" t="s">
        <v>2346</v>
      </c>
      <c r="G244" s="26" t="s">
        <v>26</v>
      </c>
      <c r="H244" s="26" t="s">
        <v>700</v>
      </c>
      <c r="J244" s="46">
        <v>1</v>
      </c>
      <c r="K244" s="46">
        <v>5</v>
      </c>
      <c r="L244" s="136"/>
      <c r="M244" s="137" t="s">
        <v>22</v>
      </c>
      <c r="N244" s="138"/>
      <c r="O244" s="138"/>
      <c r="P244" s="138"/>
      <c r="Q244" s="138"/>
      <c r="R244" s="138"/>
      <c r="S244" s="138"/>
      <c r="T244" s="138"/>
      <c r="U244" s="138"/>
    </row>
    <row r="245" spans="1:25" s="26" customFormat="1" ht="15" customHeight="1" x14ac:dyDescent="0.2">
      <c r="A245" s="32">
        <v>41556.725416666668</v>
      </c>
      <c r="B245" s="26" t="s">
        <v>16</v>
      </c>
      <c r="C245" s="26" t="s">
        <v>913</v>
      </c>
      <c r="D245" s="30">
        <v>41518</v>
      </c>
      <c r="E245" s="26" t="s">
        <v>2739</v>
      </c>
      <c r="F245" s="26" t="s">
        <v>929</v>
      </c>
      <c r="G245" s="26" t="s">
        <v>26</v>
      </c>
      <c r="J245" s="46">
        <v>1</v>
      </c>
      <c r="K245" s="46">
        <v>30</v>
      </c>
      <c r="L245" s="136">
        <v>30</v>
      </c>
      <c r="M245" s="137" t="s">
        <v>22</v>
      </c>
      <c r="N245" s="138"/>
      <c r="O245" s="138"/>
      <c r="P245" s="138"/>
      <c r="Q245" s="138"/>
      <c r="R245" s="138"/>
      <c r="S245" s="138"/>
      <c r="T245" s="138"/>
      <c r="U245" s="138"/>
    </row>
    <row r="246" spans="1:25" s="26" customFormat="1" ht="15" customHeight="1" x14ac:dyDescent="0.2">
      <c r="A246" s="32">
        <v>41556.726053240738</v>
      </c>
      <c r="B246" s="26" t="s">
        <v>16</v>
      </c>
      <c r="C246" s="26" t="s">
        <v>913</v>
      </c>
      <c r="D246" s="30">
        <v>41518</v>
      </c>
      <c r="E246" s="26" t="s">
        <v>2740</v>
      </c>
      <c r="F246" s="26" t="s">
        <v>2741</v>
      </c>
      <c r="G246" s="26" t="s">
        <v>26</v>
      </c>
      <c r="H246" s="26" t="s">
        <v>2742</v>
      </c>
      <c r="J246" s="46">
        <v>1</v>
      </c>
      <c r="K246" s="46">
        <v>5</v>
      </c>
      <c r="L246" s="136">
        <v>5</v>
      </c>
      <c r="M246" s="137" t="s">
        <v>22</v>
      </c>
      <c r="N246" s="138"/>
      <c r="O246" s="138"/>
      <c r="P246" s="138"/>
      <c r="Q246" s="138"/>
      <c r="R246" s="138"/>
      <c r="S246" s="138"/>
      <c r="T246" s="138"/>
      <c r="U246" s="138"/>
    </row>
    <row r="247" spans="1:25" s="26" customFormat="1" ht="15" customHeight="1" x14ac:dyDescent="0.2">
      <c r="A247" s="32">
        <v>41556.727002314816</v>
      </c>
      <c r="B247" s="26" t="s">
        <v>16</v>
      </c>
      <c r="C247" s="26" t="s">
        <v>913</v>
      </c>
      <c r="D247" s="30">
        <v>41518</v>
      </c>
      <c r="E247" s="26" t="s">
        <v>2743</v>
      </c>
      <c r="F247" s="26" t="s">
        <v>2665</v>
      </c>
      <c r="G247" s="26" t="s">
        <v>20</v>
      </c>
      <c r="H247" s="26" t="s">
        <v>2744</v>
      </c>
      <c r="J247" s="46">
        <v>1</v>
      </c>
      <c r="K247" s="46">
        <v>10</v>
      </c>
      <c r="L247" s="136">
        <v>20</v>
      </c>
      <c r="M247" s="137" t="s">
        <v>44</v>
      </c>
      <c r="N247" s="138"/>
      <c r="O247" s="138">
        <v>10</v>
      </c>
      <c r="P247" s="138"/>
      <c r="Q247" s="138"/>
      <c r="R247" s="138"/>
      <c r="S247" s="138"/>
      <c r="T247" s="138"/>
      <c r="U247" s="138"/>
    </row>
    <row r="248" spans="1:25" s="26" customFormat="1" ht="15" customHeight="1" x14ac:dyDescent="0.2">
      <c r="A248" s="32">
        <v>41556.727523148147</v>
      </c>
      <c r="B248" s="26" t="s">
        <v>16</v>
      </c>
      <c r="C248" s="26" t="s">
        <v>913</v>
      </c>
      <c r="D248" s="30">
        <v>41518</v>
      </c>
      <c r="E248" s="26" t="s">
        <v>1492</v>
      </c>
      <c r="F248" s="26" t="s">
        <v>2745</v>
      </c>
      <c r="G248" s="26" t="s">
        <v>26</v>
      </c>
      <c r="H248" s="26" t="s">
        <v>2746</v>
      </c>
      <c r="J248" s="46">
        <v>1</v>
      </c>
      <c r="K248" s="46">
        <v>5</v>
      </c>
      <c r="L248" s="136">
        <v>10</v>
      </c>
      <c r="M248" s="137"/>
      <c r="N248" s="138"/>
      <c r="O248" s="138"/>
      <c r="P248" s="138"/>
      <c r="Q248" s="138"/>
      <c r="R248" s="138"/>
      <c r="S248" s="138"/>
      <c r="T248" s="138"/>
      <c r="U248" s="138"/>
    </row>
    <row r="249" spans="1:25" s="26" customFormat="1" ht="15" customHeight="1" x14ac:dyDescent="0.2">
      <c r="A249" s="32">
        <v>41556.728136574071</v>
      </c>
      <c r="B249" s="26" t="s">
        <v>16</v>
      </c>
      <c r="C249" s="26" t="s">
        <v>913</v>
      </c>
      <c r="D249" s="30">
        <v>41518</v>
      </c>
      <c r="E249" s="26" t="s">
        <v>1616</v>
      </c>
      <c r="F249" s="26" t="s">
        <v>927</v>
      </c>
      <c r="G249" s="26" t="s">
        <v>26</v>
      </c>
      <c r="J249" s="46">
        <v>1</v>
      </c>
      <c r="K249" s="46">
        <v>6</v>
      </c>
      <c r="L249" s="136">
        <v>6</v>
      </c>
      <c r="M249" s="137" t="s">
        <v>22</v>
      </c>
      <c r="N249" s="138"/>
      <c r="O249" s="138"/>
      <c r="P249" s="138"/>
      <c r="Q249" s="138"/>
      <c r="R249" s="138"/>
      <c r="S249" s="138"/>
      <c r="T249" s="138"/>
      <c r="U249" s="138"/>
    </row>
    <row r="250" spans="1:25" s="26" customFormat="1" ht="15" customHeight="1" x14ac:dyDescent="0.2">
      <c r="A250" s="32">
        <v>41556.728912037041</v>
      </c>
      <c r="B250" s="26" t="s">
        <v>16</v>
      </c>
      <c r="C250" s="26" t="s">
        <v>913</v>
      </c>
      <c r="D250" s="30">
        <v>41518</v>
      </c>
      <c r="E250" s="26" t="s">
        <v>2747</v>
      </c>
      <c r="F250" s="26" t="s">
        <v>2748</v>
      </c>
      <c r="G250" s="26" t="s">
        <v>26</v>
      </c>
      <c r="H250" s="26" t="s">
        <v>2749</v>
      </c>
      <c r="J250" s="46">
        <v>1</v>
      </c>
      <c r="K250" s="46">
        <v>10</v>
      </c>
      <c r="L250" s="136"/>
      <c r="M250" s="137" t="s">
        <v>44</v>
      </c>
      <c r="N250" s="138"/>
      <c r="O250" s="138">
        <v>10</v>
      </c>
      <c r="P250" s="138"/>
      <c r="Q250" s="138"/>
      <c r="R250" s="138"/>
      <c r="S250" s="138"/>
      <c r="T250" s="138"/>
      <c r="U250" s="138"/>
    </row>
    <row r="251" spans="1:25" s="57" customFormat="1" ht="15" customHeight="1" x14ac:dyDescent="0.2">
      <c r="A251" s="32">
        <v>41556.72934027778</v>
      </c>
      <c r="B251" s="26" t="s">
        <v>16</v>
      </c>
      <c r="C251" s="26" t="s">
        <v>913</v>
      </c>
      <c r="D251" s="30">
        <v>41518</v>
      </c>
      <c r="E251" s="26" t="s">
        <v>1620</v>
      </c>
      <c r="F251" s="26" t="s">
        <v>1626</v>
      </c>
      <c r="G251" s="26" t="s">
        <v>26</v>
      </c>
      <c r="H251" s="26" t="s">
        <v>700</v>
      </c>
      <c r="I251" s="26"/>
      <c r="J251" s="115">
        <v>1</v>
      </c>
      <c r="K251" s="115">
        <v>1</v>
      </c>
      <c r="L251" s="136"/>
      <c r="M251" s="137" t="s">
        <v>22</v>
      </c>
      <c r="N251" s="138"/>
      <c r="O251" s="138"/>
      <c r="P251" s="138"/>
      <c r="Q251" s="138"/>
      <c r="R251" s="138"/>
      <c r="S251" s="138"/>
      <c r="T251" s="138"/>
      <c r="U251" s="138"/>
      <c r="V251" s="26"/>
      <c r="W251" s="26"/>
      <c r="X251" s="26"/>
      <c r="Y251" s="26"/>
    </row>
    <row r="252" spans="1:25" s="57" customFormat="1" ht="15" customHeight="1" x14ac:dyDescent="0.2">
      <c r="A252" s="32">
        <v>41556.729884259257</v>
      </c>
      <c r="B252" s="26" t="s">
        <v>16</v>
      </c>
      <c r="C252" s="26" t="s">
        <v>913</v>
      </c>
      <c r="D252" s="30">
        <v>41518</v>
      </c>
      <c r="E252" s="26" t="s">
        <v>1616</v>
      </c>
      <c r="F252" s="26" t="s">
        <v>927</v>
      </c>
      <c r="G252" s="26" t="s">
        <v>26</v>
      </c>
      <c r="H252" s="26"/>
      <c r="I252" s="26"/>
      <c r="J252" s="46">
        <v>1</v>
      </c>
      <c r="K252" s="46">
        <v>13</v>
      </c>
      <c r="L252" s="136">
        <v>13</v>
      </c>
      <c r="M252" s="137" t="s">
        <v>22</v>
      </c>
      <c r="N252" s="138"/>
      <c r="O252" s="138"/>
      <c r="P252" s="138"/>
      <c r="Q252" s="138"/>
      <c r="R252" s="138"/>
      <c r="S252" s="138"/>
      <c r="T252" s="138"/>
      <c r="U252" s="138"/>
      <c r="V252" s="26"/>
      <c r="W252" s="26"/>
      <c r="X252" s="26"/>
      <c r="Y252" s="26"/>
    </row>
    <row r="253" spans="1:25" s="57" customFormat="1" ht="15" customHeight="1" x14ac:dyDescent="0.2">
      <c r="A253" s="32">
        <v>41556.73096064815</v>
      </c>
      <c r="B253" s="26" t="s">
        <v>16</v>
      </c>
      <c r="C253" s="26" t="s">
        <v>913</v>
      </c>
      <c r="D253" s="30">
        <v>41518</v>
      </c>
      <c r="E253" s="26" t="s">
        <v>2750</v>
      </c>
      <c r="F253" s="26" t="s">
        <v>2751</v>
      </c>
      <c r="G253" s="26" t="s">
        <v>26</v>
      </c>
      <c r="H253" s="26"/>
      <c r="I253" s="26"/>
      <c r="J253" s="46">
        <v>1</v>
      </c>
      <c r="K253" s="46">
        <v>10</v>
      </c>
      <c r="L253" s="136">
        <v>9</v>
      </c>
      <c r="M253" s="137" t="s">
        <v>22</v>
      </c>
      <c r="N253" s="138"/>
      <c r="O253" s="138"/>
      <c r="P253" s="138"/>
      <c r="Q253" s="138"/>
      <c r="R253" s="138"/>
      <c r="S253" s="138"/>
      <c r="T253" s="138"/>
      <c r="U253" s="138"/>
      <c r="V253" s="26"/>
      <c r="W253" s="26"/>
      <c r="X253" s="26"/>
      <c r="Y253" s="26"/>
    </row>
    <row r="254" spans="1:25" s="57" customFormat="1" ht="15" customHeight="1" x14ac:dyDescent="0.2">
      <c r="A254" s="32">
        <v>41556.732858796298</v>
      </c>
      <c r="B254" s="26" t="s">
        <v>16</v>
      </c>
      <c r="C254" s="26" t="s">
        <v>913</v>
      </c>
      <c r="D254" s="30">
        <v>41518</v>
      </c>
      <c r="E254" s="26" t="s">
        <v>2752</v>
      </c>
      <c r="F254" s="26" t="s">
        <v>2753</v>
      </c>
      <c r="G254" s="26" t="s">
        <v>351</v>
      </c>
      <c r="H254" s="26" t="s">
        <v>2754</v>
      </c>
      <c r="I254" s="26"/>
      <c r="J254" s="46">
        <v>1</v>
      </c>
      <c r="K254" s="46">
        <v>30</v>
      </c>
      <c r="L254" s="136"/>
      <c r="M254" s="137" t="s">
        <v>22</v>
      </c>
      <c r="N254" s="138"/>
      <c r="O254" s="138"/>
      <c r="P254" s="138"/>
      <c r="Q254" s="138"/>
      <c r="R254" s="138"/>
      <c r="S254" s="138"/>
      <c r="T254" s="138"/>
      <c r="U254" s="138"/>
      <c r="V254" s="26"/>
      <c r="W254" s="26"/>
      <c r="X254" s="26"/>
      <c r="Y254" s="26"/>
    </row>
    <row r="255" spans="1:25" s="57" customFormat="1" ht="15" customHeight="1" x14ac:dyDescent="0.2">
      <c r="A255" s="32">
        <v>41556.733472222222</v>
      </c>
      <c r="B255" s="26" t="s">
        <v>16</v>
      </c>
      <c r="C255" s="26" t="s">
        <v>913</v>
      </c>
      <c r="D255" s="30">
        <v>41518</v>
      </c>
      <c r="E255" s="26" t="s">
        <v>1618</v>
      </c>
      <c r="F255" s="26" t="s">
        <v>299</v>
      </c>
      <c r="G255" s="26" t="s">
        <v>26</v>
      </c>
      <c r="H255" s="26" t="s">
        <v>2755</v>
      </c>
      <c r="I255" s="26"/>
      <c r="J255" s="46">
        <v>1</v>
      </c>
      <c r="K255" s="46">
        <v>6</v>
      </c>
      <c r="L255" s="136">
        <v>4</v>
      </c>
      <c r="M255" s="137" t="s">
        <v>22</v>
      </c>
      <c r="N255" s="138"/>
      <c r="O255" s="138"/>
      <c r="P255" s="138"/>
      <c r="Q255" s="138"/>
      <c r="R255" s="138"/>
      <c r="S255" s="138"/>
      <c r="T255" s="138"/>
      <c r="U255" s="138"/>
      <c r="V255" s="26"/>
      <c r="W255" s="26"/>
      <c r="X255" s="26"/>
      <c r="Y255" s="26"/>
    </row>
    <row r="256" spans="1:25" s="57" customFormat="1" ht="15" customHeight="1" x14ac:dyDescent="0.2">
      <c r="A256" s="32">
        <v>41556.734074074076</v>
      </c>
      <c r="B256" s="26" t="s">
        <v>16</v>
      </c>
      <c r="C256" s="26" t="s">
        <v>913</v>
      </c>
      <c r="D256" s="30">
        <v>41518</v>
      </c>
      <c r="E256" s="26" t="s">
        <v>1616</v>
      </c>
      <c r="F256" s="26" t="s">
        <v>927</v>
      </c>
      <c r="G256" s="26" t="s">
        <v>26</v>
      </c>
      <c r="H256" s="26"/>
      <c r="I256" s="26"/>
      <c r="J256" s="46">
        <v>1</v>
      </c>
      <c r="K256" s="46">
        <v>8</v>
      </c>
      <c r="L256" s="136">
        <v>8</v>
      </c>
      <c r="M256" s="137" t="s">
        <v>22</v>
      </c>
      <c r="N256" s="138"/>
      <c r="O256" s="138"/>
      <c r="P256" s="138"/>
      <c r="Q256" s="138"/>
      <c r="R256" s="138"/>
      <c r="S256" s="138"/>
      <c r="T256" s="138"/>
      <c r="U256" s="138"/>
      <c r="V256" s="26"/>
      <c r="W256" s="26"/>
      <c r="X256" s="26"/>
      <c r="Y256" s="26"/>
    </row>
    <row r="257" spans="1:25" s="57" customFormat="1" ht="15" customHeight="1" x14ac:dyDescent="0.2">
      <c r="A257" s="32">
        <v>41556.734803240739</v>
      </c>
      <c r="B257" s="26" t="s">
        <v>16</v>
      </c>
      <c r="C257" s="26" t="s">
        <v>913</v>
      </c>
      <c r="D257" s="30">
        <v>41518</v>
      </c>
      <c r="E257" s="26" t="s">
        <v>1622</v>
      </c>
      <c r="F257" s="26" t="s">
        <v>935</v>
      </c>
      <c r="G257" s="26" t="s">
        <v>26</v>
      </c>
      <c r="H257" s="26" t="s">
        <v>959</v>
      </c>
      <c r="I257" s="26"/>
      <c r="J257" s="46">
        <v>1</v>
      </c>
      <c r="K257" s="46">
        <v>7</v>
      </c>
      <c r="L257" s="136">
        <v>4</v>
      </c>
      <c r="M257" s="137" t="s">
        <v>22</v>
      </c>
      <c r="N257" s="138"/>
      <c r="O257" s="138"/>
      <c r="P257" s="138"/>
      <c r="Q257" s="138"/>
      <c r="R257" s="138"/>
      <c r="S257" s="138"/>
      <c r="T257" s="138"/>
      <c r="U257" s="138"/>
      <c r="V257" s="26"/>
      <c r="W257" s="26"/>
      <c r="X257" s="26"/>
      <c r="Y257" s="26"/>
    </row>
    <row r="258" spans="1:25" s="57" customFormat="1" ht="15" customHeight="1" x14ac:dyDescent="0.2">
      <c r="A258" s="32">
        <v>41556.735868055555</v>
      </c>
      <c r="B258" s="26" t="s">
        <v>16</v>
      </c>
      <c r="C258" s="26" t="s">
        <v>913</v>
      </c>
      <c r="D258" s="30">
        <v>41518</v>
      </c>
      <c r="E258" s="26" t="s">
        <v>2756</v>
      </c>
      <c r="F258" s="26" t="s">
        <v>2757</v>
      </c>
      <c r="G258" s="26" t="s">
        <v>351</v>
      </c>
      <c r="H258" s="26" t="s">
        <v>60</v>
      </c>
      <c r="I258" s="26"/>
      <c r="J258" s="46">
        <v>1</v>
      </c>
      <c r="K258" s="46">
        <v>400</v>
      </c>
      <c r="L258" s="136"/>
      <c r="M258" s="137" t="s">
        <v>22</v>
      </c>
      <c r="N258" s="138"/>
      <c r="O258" s="138"/>
      <c r="P258" s="138"/>
      <c r="Q258" s="138"/>
      <c r="R258" s="138"/>
      <c r="S258" s="138"/>
      <c r="T258" s="138"/>
      <c r="U258" s="138"/>
      <c r="V258" s="26"/>
      <c r="W258" s="26"/>
      <c r="X258" s="26"/>
      <c r="Y258" s="26"/>
    </row>
    <row r="259" spans="1:25" s="57" customFormat="1" ht="15" customHeight="1" x14ac:dyDescent="0.2">
      <c r="A259" s="32">
        <v>41556.736284722225</v>
      </c>
      <c r="B259" s="26" t="s">
        <v>16</v>
      </c>
      <c r="C259" s="26" t="s">
        <v>913</v>
      </c>
      <c r="D259" s="30">
        <v>41518</v>
      </c>
      <c r="E259" s="26" t="s">
        <v>1616</v>
      </c>
      <c r="F259" s="26" t="s">
        <v>2758</v>
      </c>
      <c r="G259" s="26" t="s">
        <v>26</v>
      </c>
      <c r="H259" s="26"/>
      <c r="I259" s="26"/>
      <c r="J259" s="46">
        <v>1</v>
      </c>
      <c r="K259" s="46">
        <v>7</v>
      </c>
      <c r="L259" s="136">
        <v>7</v>
      </c>
      <c r="M259" s="137" t="s">
        <v>22</v>
      </c>
      <c r="N259" s="138"/>
      <c r="O259" s="138"/>
      <c r="P259" s="138"/>
      <c r="Q259" s="138"/>
      <c r="R259" s="138"/>
      <c r="S259" s="138"/>
      <c r="T259" s="138"/>
      <c r="U259" s="138"/>
      <c r="V259" s="26"/>
      <c r="W259" s="26"/>
      <c r="X259" s="26"/>
      <c r="Y259" s="26"/>
    </row>
    <row r="260" spans="1:25" s="57" customFormat="1" ht="15" customHeight="1" x14ac:dyDescent="0.2">
      <c r="A260" s="32">
        <v>41556.736990740741</v>
      </c>
      <c r="B260" s="26" t="s">
        <v>16</v>
      </c>
      <c r="C260" s="26" t="s">
        <v>913</v>
      </c>
      <c r="D260" s="30">
        <v>41518</v>
      </c>
      <c r="E260" s="26" t="s">
        <v>2759</v>
      </c>
      <c r="F260" s="26" t="s">
        <v>2760</v>
      </c>
      <c r="G260" s="26" t="s">
        <v>26</v>
      </c>
      <c r="H260" s="26"/>
      <c r="I260" s="26"/>
      <c r="J260" s="46">
        <v>1</v>
      </c>
      <c r="K260" s="46">
        <v>5</v>
      </c>
      <c r="L260" s="136"/>
      <c r="M260" s="137" t="s">
        <v>22</v>
      </c>
      <c r="N260" s="138"/>
      <c r="O260" s="138"/>
      <c r="P260" s="138"/>
      <c r="Q260" s="138"/>
      <c r="R260" s="138"/>
      <c r="S260" s="138"/>
      <c r="T260" s="138"/>
      <c r="U260" s="138"/>
      <c r="V260" s="26"/>
      <c r="W260" s="26"/>
      <c r="X260" s="26"/>
      <c r="Y260" s="26"/>
    </row>
    <row r="261" spans="1:25" s="57" customFormat="1" ht="15" customHeight="1" x14ac:dyDescent="0.2">
      <c r="A261" s="32">
        <v>41556.737754629627</v>
      </c>
      <c r="B261" s="26" t="s">
        <v>16</v>
      </c>
      <c r="C261" s="26" t="s">
        <v>913</v>
      </c>
      <c r="D261" s="30">
        <v>41518</v>
      </c>
      <c r="E261" s="26" t="s">
        <v>1617</v>
      </c>
      <c r="F261" s="26" t="s">
        <v>929</v>
      </c>
      <c r="G261" s="26" t="s">
        <v>26</v>
      </c>
      <c r="H261" s="26"/>
      <c r="I261" s="26"/>
      <c r="J261" s="46">
        <v>1</v>
      </c>
      <c r="K261" s="46">
        <v>14</v>
      </c>
      <c r="L261" s="136">
        <v>14</v>
      </c>
      <c r="M261" s="137" t="s">
        <v>44</v>
      </c>
      <c r="N261" s="138"/>
      <c r="O261" s="138"/>
      <c r="P261" s="138"/>
      <c r="Q261" s="138"/>
      <c r="R261" s="138"/>
      <c r="S261" s="138"/>
      <c r="T261" s="138"/>
      <c r="U261" s="138">
        <v>618.64</v>
      </c>
      <c r="V261" s="26"/>
      <c r="W261" s="26"/>
      <c r="X261" s="26"/>
      <c r="Y261" s="26"/>
    </row>
    <row r="262" spans="1:25" s="57" customFormat="1" ht="15" customHeight="1" x14ac:dyDescent="0.2">
      <c r="A262" s="48">
        <v>41614.717766203699</v>
      </c>
      <c r="B262" s="49" t="s">
        <v>16</v>
      </c>
      <c r="C262" s="50" t="s">
        <v>913</v>
      </c>
      <c r="D262" s="67">
        <v>41579</v>
      </c>
      <c r="E262" s="50" t="s">
        <v>923</v>
      </c>
      <c r="F262" s="50" t="s">
        <v>924</v>
      </c>
      <c r="G262" s="49" t="s">
        <v>26</v>
      </c>
      <c r="H262" s="50" t="s">
        <v>3466</v>
      </c>
      <c r="I262" s="50" t="s">
        <v>3001</v>
      </c>
      <c r="J262" s="117">
        <v>1</v>
      </c>
      <c r="K262" s="117">
        <v>0</v>
      </c>
      <c r="L262" s="142"/>
      <c r="M262" s="143" t="s">
        <v>22</v>
      </c>
      <c r="N262" s="144"/>
      <c r="O262" s="144"/>
      <c r="P262" s="144"/>
      <c r="Q262" s="144"/>
      <c r="R262" s="144"/>
      <c r="S262" s="144"/>
      <c r="T262" s="144"/>
      <c r="U262" s="144"/>
      <c r="V262" s="50"/>
      <c r="W262" s="26"/>
      <c r="X262" s="26"/>
      <c r="Y262" s="26"/>
    </row>
    <row r="263" spans="1:25" s="57" customFormat="1" ht="15" customHeight="1" x14ac:dyDescent="0.2">
      <c r="A263" s="48">
        <v>41614.718368055597</v>
      </c>
      <c r="B263" s="49" t="s">
        <v>16</v>
      </c>
      <c r="C263" s="50" t="s">
        <v>913</v>
      </c>
      <c r="D263" s="67">
        <v>41579</v>
      </c>
      <c r="E263" s="50" t="s">
        <v>3467</v>
      </c>
      <c r="F263" s="50" t="s">
        <v>927</v>
      </c>
      <c r="G263" s="49" t="s">
        <v>26</v>
      </c>
      <c r="H263" s="50"/>
      <c r="I263" s="50" t="s">
        <v>3001</v>
      </c>
      <c r="J263" s="117">
        <v>1</v>
      </c>
      <c r="K263" s="117">
        <v>4</v>
      </c>
      <c r="L263" s="142">
        <v>4</v>
      </c>
      <c r="M263" s="143" t="s">
        <v>44</v>
      </c>
      <c r="N263" s="144"/>
      <c r="O263" s="144">
        <v>5</v>
      </c>
      <c r="P263" s="144"/>
      <c r="Q263" s="144"/>
      <c r="R263" s="144"/>
      <c r="S263" s="144"/>
      <c r="T263" s="144"/>
      <c r="U263" s="144"/>
      <c r="V263" s="50"/>
      <c r="W263" s="26"/>
      <c r="X263" s="26"/>
      <c r="Y263" s="26"/>
    </row>
    <row r="264" spans="1:25" s="57" customFormat="1" ht="15" customHeight="1" x14ac:dyDescent="0.2">
      <c r="A264" s="48">
        <v>41614.718935185199</v>
      </c>
      <c r="B264" s="49" t="s">
        <v>16</v>
      </c>
      <c r="C264" s="50" t="s">
        <v>913</v>
      </c>
      <c r="D264" s="67">
        <v>41579</v>
      </c>
      <c r="E264" s="50" t="s">
        <v>3468</v>
      </c>
      <c r="F264" s="50" t="s">
        <v>2910</v>
      </c>
      <c r="G264" s="49" t="s">
        <v>26</v>
      </c>
      <c r="H264" s="50"/>
      <c r="I264" s="50" t="s">
        <v>3001</v>
      </c>
      <c r="J264" s="117">
        <v>1</v>
      </c>
      <c r="K264" s="117">
        <v>0</v>
      </c>
      <c r="L264" s="142"/>
      <c r="M264" s="143" t="s">
        <v>22</v>
      </c>
      <c r="N264" s="144"/>
      <c r="O264" s="144"/>
      <c r="P264" s="144"/>
      <c r="Q264" s="144"/>
      <c r="R264" s="144"/>
      <c r="S264" s="144"/>
      <c r="T264" s="144"/>
      <c r="U264" s="144"/>
      <c r="V264" s="50"/>
      <c r="W264" s="26"/>
      <c r="X264" s="26"/>
      <c r="Y264" s="26"/>
    </row>
    <row r="265" spans="1:25" s="57" customFormat="1" ht="15" customHeight="1" x14ac:dyDescent="0.2">
      <c r="A265" s="48">
        <v>41614.7200115741</v>
      </c>
      <c r="B265" s="49" t="s">
        <v>16</v>
      </c>
      <c r="C265" s="50" t="s">
        <v>913</v>
      </c>
      <c r="D265" s="67">
        <v>41579</v>
      </c>
      <c r="E265" s="50" t="s">
        <v>3469</v>
      </c>
      <c r="F265" s="50" t="s">
        <v>2665</v>
      </c>
      <c r="G265" s="49" t="s">
        <v>26</v>
      </c>
      <c r="H265" s="50" t="s">
        <v>3470</v>
      </c>
      <c r="I265" s="50" t="s">
        <v>3471</v>
      </c>
      <c r="J265" s="117">
        <v>1</v>
      </c>
      <c r="K265" s="117">
        <v>20</v>
      </c>
      <c r="L265" s="142">
        <v>22</v>
      </c>
      <c r="M265" s="143" t="s">
        <v>22</v>
      </c>
      <c r="N265" s="144"/>
      <c r="O265" s="144"/>
      <c r="P265" s="144"/>
      <c r="Q265" s="144"/>
      <c r="R265" s="144"/>
      <c r="S265" s="144"/>
      <c r="T265" s="144"/>
      <c r="U265" s="144"/>
      <c r="V265" s="50"/>
      <c r="W265" s="26"/>
      <c r="X265" s="26"/>
      <c r="Y265" s="26"/>
    </row>
    <row r="266" spans="1:25" s="57" customFormat="1" ht="15" customHeight="1" x14ac:dyDescent="0.2">
      <c r="A266" s="48">
        <v>41614.721342592602</v>
      </c>
      <c r="B266" s="49" t="s">
        <v>16</v>
      </c>
      <c r="C266" s="50" t="s">
        <v>913</v>
      </c>
      <c r="D266" s="67">
        <v>41579</v>
      </c>
      <c r="E266" s="50" t="s">
        <v>3472</v>
      </c>
      <c r="F266" s="50" t="s">
        <v>2741</v>
      </c>
      <c r="G266" s="49" t="s">
        <v>26</v>
      </c>
      <c r="H266" s="50" t="s">
        <v>3473</v>
      </c>
      <c r="I266" s="50" t="s">
        <v>2986</v>
      </c>
      <c r="J266" s="117">
        <v>1</v>
      </c>
      <c r="K266" s="117">
        <v>10</v>
      </c>
      <c r="L266" s="142">
        <v>10</v>
      </c>
      <c r="M266" s="143" t="s">
        <v>22</v>
      </c>
      <c r="N266" s="144"/>
      <c r="O266" s="144"/>
      <c r="P266" s="144"/>
      <c r="Q266" s="144"/>
      <c r="R266" s="144"/>
      <c r="S266" s="144"/>
      <c r="T266" s="144"/>
      <c r="U266" s="144"/>
      <c r="V266" s="50"/>
      <c r="W266" s="26"/>
      <c r="X266" s="26"/>
      <c r="Y266" s="26"/>
    </row>
    <row r="267" spans="1:25" s="57" customFormat="1" ht="15" customHeight="1" x14ac:dyDescent="0.2">
      <c r="A267" s="48">
        <v>41614.722453703696</v>
      </c>
      <c r="B267" s="49" t="s">
        <v>16</v>
      </c>
      <c r="C267" s="50" t="s">
        <v>913</v>
      </c>
      <c r="D267" s="67">
        <v>41579</v>
      </c>
      <c r="E267" s="50" t="s">
        <v>3474</v>
      </c>
      <c r="F267" s="50" t="s">
        <v>3475</v>
      </c>
      <c r="G267" s="49" t="s">
        <v>26</v>
      </c>
      <c r="H267" s="50"/>
      <c r="I267" s="50" t="s">
        <v>3265</v>
      </c>
      <c r="J267" s="117">
        <v>1</v>
      </c>
      <c r="K267" s="117">
        <v>4</v>
      </c>
      <c r="L267" s="142">
        <v>120</v>
      </c>
      <c r="M267" s="143" t="s">
        <v>44</v>
      </c>
      <c r="N267" s="144"/>
      <c r="O267" s="144">
        <v>10</v>
      </c>
      <c r="P267" s="144"/>
      <c r="Q267" s="144"/>
      <c r="R267" s="144"/>
      <c r="S267" s="144"/>
      <c r="T267" s="144"/>
      <c r="U267" s="144">
        <v>108</v>
      </c>
      <c r="V267" s="50"/>
      <c r="W267" s="26"/>
      <c r="X267" s="26"/>
      <c r="Y267" s="26"/>
    </row>
    <row r="268" spans="1:25" s="57" customFormat="1" ht="15" customHeight="1" x14ac:dyDescent="0.2">
      <c r="A268" s="48">
        <v>41614.723032407397</v>
      </c>
      <c r="B268" s="49" t="s">
        <v>16</v>
      </c>
      <c r="C268" s="50" t="s">
        <v>913</v>
      </c>
      <c r="D268" s="67">
        <v>41579</v>
      </c>
      <c r="E268" s="50" t="s">
        <v>2911</v>
      </c>
      <c r="F268" s="50" t="s">
        <v>3476</v>
      </c>
      <c r="G268" s="49" t="s">
        <v>26</v>
      </c>
      <c r="H268" s="50" t="s">
        <v>945</v>
      </c>
      <c r="I268" s="50" t="s">
        <v>2812</v>
      </c>
      <c r="J268" s="117">
        <v>1</v>
      </c>
      <c r="K268" s="117">
        <v>14</v>
      </c>
      <c r="L268" s="142">
        <v>8</v>
      </c>
      <c r="M268" s="143" t="s">
        <v>22</v>
      </c>
      <c r="N268" s="144"/>
      <c r="O268" s="144"/>
      <c r="P268" s="144"/>
      <c r="Q268" s="144"/>
      <c r="R268" s="144"/>
      <c r="S268" s="144"/>
      <c r="T268" s="144"/>
      <c r="U268" s="144"/>
      <c r="V268" s="50"/>
      <c r="W268" s="26"/>
      <c r="X268" s="26"/>
      <c r="Y268" s="26"/>
    </row>
    <row r="269" spans="1:25" s="57" customFormat="1" ht="15" customHeight="1" x14ac:dyDescent="0.2">
      <c r="A269" s="48">
        <v>41614.724108796298</v>
      </c>
      <c r="B269" s="49" t="s">
        <v>16</v>
      </c>
      <c r="C269" s="50" t="s">
        <v>913</v>
      </c>
      <c r="D269" s="67">
        <v>41579</v>
      </c>
      <c r="E269" s="50" t="s">
        <v>3477</v>
      </c>
      <c r="F269" s="50" t="s">
        <v>927</v>
      </c>
      <c r="G269" s="49" t="s">
        <v>26</v>
      </c>
      <c r="H269" s="50"/>
      <c r="I269" s="50" t="s">
        <v>2986</v>
      </c>
      <c r="J269" s="117">
        <v>1</v>
      </c>
      <c r="K269" s="117">
        <v>20</v>
      </c>
      <c r="L269" s="142">
        <v>20</v>
      </c>
      <c r="M269" s="143" t="s">
        <v>22</v>
      </c>
      <c r="N269" s="144"/>
      <c r="O269" s="144"/>
      <c r="P269" s="144"/>
      <c r="Q269" s="144"/>
      <c r="R269" s="144"/>
      <c r="S269" s="144"/>
      <c r="T269" s="144"/>
      <c r="U269" s="144"/>
      <c r="V269" s="50"/>
      <c r="W269" s="26"/>
      <c r="X269" s="26"/>
      <c r="Y269" s="26"/>
    </row>
    <row r="270" spans="1:25" s="57" customFormat="1" ht="15" customHeight="1" x14ac:dyDescent="0.2">
      <c r="A270" s="48">
        <v>41614.724618055603</v>
      </c>
      <c r="B270" s="49" t="s">
        <v>16</v>
      </c>
      <c r="C270" s="50" t="s">
        <v>913</v>
      </c>
      <c r="D270" s="67">
        <v>41579</v>
      </c>
      <c r="E270" s="50" t="s">
        <v>3478</v>
      </c>
      <c r="F270" s="50" t="s">
        <v>931</v>
      </c>
      <c r="G270" s="49" t="s">
        <v>26</v>
      </c>
      <c r="H270" s="50"/>
      <c r="I270" s="50" t="s">
        <v>2986</v>
      </c>
      <c r="J270" s="117">
        <v>1</v>
      </c>
      <c r="K270" s="117">
        <v>11</v>
      </c>
      <c r="L270" s="142"/>
      <c r="M270" s="143" t="s">
        <v>22</v>
      </c>
      <c r="N270" s="144"/>
      <c r="O270" s="144"/>
      <c r="P270" s="144"/>
      <c r="Q270" s="144"/>
      <c r="R270" s="144"/>
      <c r="S270" s="144"/>
      <c r="T270" s="144"/>
      <c r="U270" s="144"/>
      <c r="V270" s="50"/>
      <c r="W270" s="26"/>
      <c r="X270" s="26"/>
      <c r="Y270" s="26"/>
    </row>
    <row r="271" spans="1:25" s="57" customFormat="1" ht="15" customHeight="1" x14ac:dyDescent="0.2">
      <c r="A271" s="48">
        <v>41614.7253472222</v>
      </c>
      <c r="B271" s="49" t="s">
        <v>16</v>
      </c>
      <c r="C271" s="50" t="s">
        <v>913</v>
      </c>
      <c r="D271" s="67">
        <v>41579</v>
      </c>
      <c r="E271" s="50" t="s">
        <v>3479</v>
      </c>
      <c r="F271" s="50" t="s">
        <v>3480</v>
      </c>
      <c r="G271" s="49" t="s">
        <v>26</v>
      </c>
      <c r="H271" s="50" t="s">
        <v>922</v>
      </c>
      <c r="I271" s="50" t="s">
        <v>3481</v>
      </c>
      <c r="J271" s="117">
        <v>1</v>
      </c>
      <c r="K271" s="117">
        <v>9</v>
      </c>
      <c r="L271" s="142">
        <v>90</v>
      </c>
      <c r="M271" s="143" t="s">
        <v>22</v>
      </c>
      <c r="N271" s="144"/>
      <c r="O271" s="144"/>
      <c r="P271" s="144"/>
      <c r="Q271" s="144"/>
      <c r="R271" s="144"/>
      <c r="S271" s="144"/>
      <c r="T271" s="144"/>
      <c r="U271" s="144"/>
      <c r="V271" s="50"/>
      <c r="W271" s="26"/>
      <c r="X271" s="26"/>
      <c r="Y271" s="26"/>
    </row>
    <row r="272" spans="1:25" s="57" customFormat="1" ht="15" customHeight="1" x14ac:dyDescent="0.2">
      <c r="A272" s="48">
        <v>41614.725960648102</v>
      </c>
      <c r="B272" s="49" t="s">
        <v>16</v>
      </c>
      <c r="C272" s="50" t="s">
        <v>913</v>
      </c>
      <c r="D272" s="67">
        <v>41579</v>
      </c>
      <c r="E272" s="50" t="s">
        <v>3472</v>
      </c>
      <c r="F272" s="50" t="s">
        <v>3476</v>
      </c>
      <c r="G272" s="49" t="s">
        <v>26</v>
      </c>
      <c r="H272" s="50"/>
      <c r="I272" s="50" t="s">
        <v>3001</v>
      </c>
      <c r="J272" s="117">
        <v>1</v>
      </c>
      <c r="K272" s="117">
        <v>3</v>
      </c>
      <c r="L272" s="142">
        <v>3</v>
      </c>
      <c r="M272" s="143" t="s">
        <v>22</v>
      </c>
      <c r="N272" s="144"/>
      <c r="O272" s="144"/>
      <c r="P272" s="144"/>
      <c r="Q272" s="144"/>
      <c r="R272" s="144"/>
      <c r="S272" s="144"/>
      <c r="T272" s="144"/>
      <c r="U272" s="144"/>
      <c r="V272" s="50"/>
      <c r="W272" s="26"/>
      <c r="X272" s="26"/>
      <c r="Y272" s="26"/>
    </row>
    <row r="273" spans="1:25" s="57" customFormat="1" ht="15" customHeight="1" x14ac:dyDescent="0.2">
      <c r="A273" s="48">
        <v>41614.726435185199</v>
      </c>
      <c r="B273" s="49" t="s">
        <v>16</v>
      </c>
      <c r="C273" s="50" t="s">
        <v>913</v>
      </c>
      <c r="D273" s="67">
        <v>41579</v>
      </c>
      <c r="E273" s="50" t="s">
        <v>828</v>
      </c>
      <c r="F273" s="50" t="s">
        <v>3482</v>
      </c>
      <c r="G273" s="49" t="s">
        <v>26</v>
      </c>
      <c r="H273" s="50"/>
      <c r="I273" s="50" t="s">
        <v>3001</v>
      </c>
      <c r="J273" s="117">
        <v>1</v>
      </c>
      <c r="K273" s="117">
        <v>1</v>
      </c>
      <c r="L273" s="142"/>
      <c r="M273" s="143" t="s">
        <v>22</v>
      </c>
      <c r="N273" s="144"/>
      <c r="O273" s="144"/>
      <c r="P273" s="144"/>
      <c r="Q273" s="144"/>
      <c r="R273" s="144"/>
      <c r="S273" s="144"/>
      <c r="T273" s="144"/>
      <c r="U273" s="144"/>
      <c r="V273" s="50"/>
      <c r="W273" s="26"/>
      <c r="X273" s="26"/>
      <c r="Y273" s="26"/>
    </row>
    <row r="274" spans="1:25" s="57" customFormat="1" ht="15" customHeight="1" x14ac:dyDescent="0.2">
      <c r="A274" s="48">
        <v>41614.7269675926</v>
      </c>
      <c r="B274" s="49" t="s">
        <v>16</v>
      </c>
      <c r="C274" s="50" t="s">
        <v>913</v>
      </c>
      <c r="D274" s="67">
        <v>41579</v>
      </c>
      <c r="E274" s="50" t="s">
        <v>2911</v>
      </c>
      <c r="F274" s="50" t="s">
        <v>927</v>
      </c>
      <c r="G274" s="49" t="s">
        <v>26</v>
      </c>
      <c r="H274" s="50"/>
      <c r="I274" s="50" t="s">
        <v>3001</v>
      </c>
      <c r="J274" s="117">
        <v>1</v>
      </c>
      <c r="K274" s="117">
        <v>15</v>
      </c>
      <c r="L274" s="142">
        <v>15</v>
      </c>
      <c r="M274" s="143" t="s">
        <v>22</v>
      </c>
      <c r="N274" s="144"/>
      <c r="O274" s="144"/>
      <c r="P274" s="144"/>
      <c r="Q274" s="144"/>
      <c r="R274" s="144"/>
      <c r="S274" s="144"/>
      <c r="T274" s="144"/>
      <c r="U274" s="144"/>
      <c r="V274" s="50"/>
      <c r="W274" s="26"/>
      <c r="X274" s="26"/>
      <c r="Y274" s="26"/>
    </row>
    <row r="275" spans="1:25" s="57" customFormat="1" ht="15" customHeight="1" x14ac:dyDescent="0.2">
      <c r="A275" s="48">
        <v>41614.727523148198</v>
      </c>
      <c r="B275" s="49" t="s">
        <v>16</v>
      </c>
      <c r="C275" s="50" t="s">
        <v>913</v>
      </c>
      <c r="D275" s="67">
        <v>41579</v>
      </c>
      <c r="E275" s="50" t="s">
        <v>3468</v>
      </c>
      <c r="F275" s="50" t="s">
        <v>918</v>
      </c>
      <c r="G275" s="49" t="s">
        <v>26</v>
      </c>
      <c r="H275" s="50"/>
      <c r="I275" s="50" t="s">
        <v>3001</v>
      </c>
      <c r="J275" s="117">
        <v>1</v>
      </c>
      <c r="K275" s="117">
        <v>4</v>
      </c>
      <c r="L275" s="142">
        <v>4</v>
      </c>
      <c r="M275" s="143" t="s">
        <v>44</v>
      </c>
      <c r="N275" s="144"/>
      <c r="O275" s="144">
        <v>5</v>
      </c>
      <c r="P275" s="144"/>
      <c r="Q275" s="144"/>
      <c r="R275" s="144"/>
      <c r="S275" s="144"/>
      <c r="T275" s="144"/>
      <c r="U275" s="144"/>
      <c r="V275" s="50"/>
      <c r="W275" s="26"/>
      <c r="X275" s="26"/>
      <c r="Y275" s="26"/>
    </row>
    <row r="276" spans="1:25" s="57" customFormat="1" ht="15" customHeight="1" x14ac:dyDescent="0.2">
      <c r="A276" s="48">
        <v>41614.731111111098</v>
      </c>
      <c r="B276" s="49" t="s">
        <v>16</v>
      </c>
      <c r="C276" s="50" t="s">
        <v>913</v>
      </c>
      <c r="D276" s="67">
        <v>41579</v>
      </c>
      <c r="E276" s="50" t="s">
        <v>3483</v>
      </c>
      <c r="F276" s="50" t="s">
        <v>2523</v>
      </c>
      <c r="G276" s="49" t="s">
        <v>20</v>
      </c>
      <c r="H276" s="50" t="s">
        <v>3484</v>
      </c>
      <c r="I276" s="50" t="s">
        <v>3001</v>
      </c>
      <c r="J276" s="117">
        <v>2</v>
      </c>
      <c r="K276" s="117">
        <v>24</v>
      </c>
      <c r="L276" s="142">
        <v>24</v>
      </c>
      <c r="M276" s="143" t="s">
        <v>44</v>
      </c>
      <c r="N276" s="144"/>
      <c r="O276" s="144">
        <v>25</v>
      </c>
      <c r="P276" s="144"/>
      <c r="Q276" s="144"/>
      <c r="R276" s="144"/>
      <c r="S276" s="144"/>
      <c r="T276" s="144"/>
      <c r="U276" s="144"/>
      <c r="V276" s="50"/>
      <c r="W276" s="26"/>
      <c r="X276" s="26"/>
      <c r="Y276" s="26"/>
    </row>
    <row r="277" spans="1:25" s="57" customFormat="1" ht="15" customHeight="1" x14ac:dyDescent="0.2">
      <c r="A277" s="48">
        <v>41614.732060185197</v>
      </c>
      <c r="B277" s="49" t="s">
        <v>16</v>
      </c>
      <c r="C277" s="50" t="s">
        <v>913</v>
      </c>
      <c r="D277" s="67">
        <v>41579</v>
      </c>
      <c r="E277" s="50" t="s">
        <v>3477</v>
      </c>
      <c r="F277" s="50" t="s">
        <v>3485</v>
      </c>
      <c r="G277" s="49" t="s">
        <v>26</v>
      </c>
      <c r="H277" s="50"/>
      <c r="I277" s="50" t="s">
        <v>3001</v>
      </c>
      <c r="J277" s="117">
        <v>1</v>
      </c>
      <c r="K277" s="117">
        <v>11</v>
      </c>
      <c r="L277" s="142">
        <v>10</v>
      </c>
      <c r="M277" s="143" t="s">
        <v>44</v>
      </c>
      <c r="N277" s="144"/>
      <c r="O277" s="144">
        <v>5</v>
      </c>
      <c r="P277" s="144"/>
      <c r="Q277" s="144"/>
      <c r="R277" s="144"/>
      <c r="S277" s="144"/>
      <c r="T277" s="144"/>
      <c r="U277" s="144"/>
      <c r="V277" s="50"/>
      <c r="W277" s="26"/>
      <c r="X277" s="26"/>
      <c r="Y277" s="26"/>
    </row>
    <row r="278" spans="1:25" s="57" customFormat="1" ht="15" customHeight="1" x14ac:dyDescent="0.2">
      <c r="A278" s="48">
        <v>41614.732650462996</v>
      </c>
      <c r="B278" s="49" t="s">
        <v>16</v>
      </c>
      <c r="C278" s="50" t="s">
        <v>913</v>
      </c>
      <c r="D278" s="67">
        <v>41579</v>
      </c>
      <c r="E278" s="50" t="s">
        <v>923</v>
      </c>
      <c r="F278" s="50" t="s">
        <v>3486</v>
      </c>
      <c r="G278" s="49" t="s">
        <v>26</v>
      </c>
      <c r="H278" s="50"/>
      <c r="I278" s="50" t="s">
        <v>2986</v>
      </c>
      <c r="J278" s="117">
        <v>1</v>
      </c>
      <c r="K278" s="117">
        <v>9</v>
      </c>
      <c r="L278" s="142"/>
      <c r="M278" s="143" t="s">
        <v>22</v>
      </c>
      <c r="N278" s="144"/>
      <c r="O278" s="144"/>
      <c r="P278" s="144"/>
      <c r="Q278" s="144"/>
      <c r="R278" s="144"/>
      <c r="S278" s="144"/>
      <c r="T278" s="144"/>
      <c r="U278" s="144"/>
      <c r="V278" s="50"/>
      <c r="W278" s="26"/>
      <c r="X278" s="26"/>
      <c r="Y278" s="26"/>
    </row>
    <row r="279" spans="1:25" s="57" customFormat="1" ht="15" customHeight="1" x14ac:dyDescent="0.2">
      <c r="A279" s="48">
        <v>41614.733275462997</v>
      </c>
      <c r="B279" s="49" t="s">
        <v>16</v>
      </c>
      <c r="C279" s="50" t="s">
        <v>913</v>
      </c>
      <c r="D279" s="67">
        <v>41579</v>
      </c>
      <c r="E279" s="50" t="s">
        <v>2911</v>
      </c>
      <c r="F279" s="50" t="s">
        <v>927</v>
      </c>
      <c r="G279" s="49" t="s">
        <v>26</v>
      </c>
      <c r="H279" s="50"/>
      <c r="I279" s="50" t="s">
        <v>3001</v>
      </c>
      <c r="J279" s="117">
        <v>1</v>
      </c>
      <c r="K279" s="117">
        <v>31</v>
      </c>
      <c r="L279" s="142">
        <v>31</v>
      </c>
      <c r="M279" s="143" t="s">
        <v>44</v>
      </c>
      <c r="N279" s="144"/>
      <c r="O279" s="144">
        <v>20</v>
      </c>
      <c r="P279" s="144"/>
      <c r="Q279" s="144"/>
      <c r="R279" s="144"/>
      <c r="S279" s="144"/>
      <c r="T279" s="144"/>
      <c r="U279" s="144"/>
      <c r="V279" s="50"/>
      <c r="W279" s="26"/>
      <c r="X279" s="26"/>
      <c r="Y279" s="26"/>
    </row>
    <row r="280" spans="1:25" s="57" customFormat="1" ht="15" customHeight="1" x14ac:dyDescent="0.2">
      <c r="A280" s="48">
        <v>41614.733784722201</v>
      </c>
      <c r="B280" s="49" t="s">
        <v>16</v>
      </c>
      <c r="C280" s="50" t="s">
        <v>913</v>
      </c>
      <c r="D280" s="67">
        <v>41579</v>
      </c>
      <c r="E280" s="50" t="s">
        <v>3487</v>
      </c>
      <c r="F280" s="50" t="s">
        <v>929</v>
      </c>
      <c r="G280" s="49" t="s">
        <v>26</v>
      </c>
      <c r="H280" s="50"/>
      <c r="I280" s="50" t="s">
        <v>3001</v>
      </c>
      <c r="J280" s="117">
        <v>1</v>
      </c>
      <c r="K280" s="117">
        <v>28</v>
      </c>
      <c r="L280" s="142">
        <v>28</v>
      </c>
      <c r="M280" s="143" t="s">
        <v>22</v>
      </c>
      <c r="N280" s="144"/>
      <c r="O280" s="144"/>
      <c r="P280" s="144"/>
      <c r="Q280" s="144"/>
      <c r="R280" s="144"/>
      <c r="S280" s="144"/>
      <c r="T280" s="144"/>
      <c r="U280" s="144"/>
      <c r="V280" s="50"/>
      <c r="W280" s="26"/>
      <c r="X280" s="26"/>
      <c r="Y280" s="26"/>
    </row>
    <row r="281" spans="1:25" s="57" customFormat="1" ht="15" customHeight="1" x14ac:dyDescent="0.2">
      <c r="A281" s="48">
        <v>41614.734629629602</v>
      </c>
      <c r="B281" s="49" t="s">
        <v>16</v>
      </c>
      <c r="C281" s="50" t="s">
        <v>913</v>
      </c>
      <c r="D281" s="67">
        <v>41579</v>
      </c>
      <c r="E281" s="50" t="s">
        <v>3468</v>
      </c>
      <c r="F281" s="50" t="s">
        <v>3488</v>
      </c>
      <c r="G281" s="49" t="s">
        <v>26</v>
      </c>
      <c r="H281" s="50"/>
      <c r="I281" s="50" t="s">
        <v>3001</v>
      </c>
      <c r="J281" s="117">
        <v>1</v>
      </c>
      <c r="K281" s="117">
        <v>9</v>
      </c>
      <c r="L281" s="142">
        <v>9</v>
      </c>
      <c r="M281" s="143" t="s">
        <v>44</v>
      </c>
      <c r="N281" s="144"/>
      <c r="O281" s="144">
        <v>5</v>
      </c>
      <c r="P281" s="144"/>
      <c r="Q281" s="144"/>
      <c r="R281" s="144"/>
      <c r="S281" s="144"/>
      <c r="T281" s="144"/>
      <c r="U281" s="144"/>
      <c r="V281" s="50"/>
      <c r="W281" s="26"/>
      <c r="X281" s="26"/>
      <c r="Y281" s="26"/>
    </row>
    <row r="282" spans="1:25" s="57" customFormat="1" ht="15" customHeight="1" x14ac:dyDescent="0.2">
      <c r="A282" s="48">
        <v>41614.734629629602</v>
      </c>
      <c r="B282" s="49" t="s">
        <v>16</v>
      </c>
      <c r="C282" s="50" t="s">
        <v>913</v>
      </c>
      <c r="D282" s="67">
        <v>41579</v>
      </c>
      <c r="E282" s="50" t="s">
        <v>3468</v>
      </c>
      <c r="F282" s="50" t="s">
        <v>3488</v>
      </c>
      <c r="G282" s="49" t="s">
        <v>26</v>
      </c>
      <c r="H282" s="50"/>
      <c r="I282" s="50" t="s">
        <v>3001</v>
      </c>
      <c r="J282" s="117">
        <v>1</v>
      </c>
      <c r="K282" s="117">
        <v>9</v>
      </c>
      <c r="L282" s="142">
        <v>9</v>
      </c>
      <c r="M282" s="143" t="s">
        <v>44</v>
      </c>
      <c r="N282" s="144"/>
      <c r="O282" s="144">
        <v>5</v>
      </c>
      <c r="P282" s="144"/>
      <c r="Q282" s="144"/>
      <c r="R282" s="144"/>
      <c r="S282" s="144"/>
      <c r="T282" s="144"/>
      <c r="U282" s="144"/>
      <c r="V282" s="50"/>
      <c r="W282" s="26"/>
      <c r="X282" s="26"/>
      <c r="Y282" s="26"/>
    </row>
    <row r="283" spans="1:25" s="57" customFormat="1" ht="15" customHeight="1" x14ac:dyDescent="0.2">
      <c r="A283" s="48">
        <v>41614.735775462999</v>
      </c>
      <c r="B283" s="49" t="s">
        <v>16</v>
      </c>
      <c r="C283" s="50" t="s">
        <v>913</v>
      </c>
      <c r="D283" s="67">
        <v>41579</v>
      </c>
      <c r="E283" s="50" t="s">
        <v>3489</v>
      </c>
      <c r="F283" s="50" t="s">
        <v>2910</v>
      </c>
      <c r="G283" s="49" t="s">
        <v>26</v>
      </c>
      <c r="H283" s="50"/>
      <c r="I283" s="50" t="s">
        <v>3001</v>
      </c>
      <c r="J283" s="117">
        <v>1</v>
      </c>
      <c r="K283" s="117">
        <v>10</v>
      </c>
      <c r="L283" s="142">
        <v>10</v>
      </c>
      <c r="M283" s="143" t="s">
        <v>44</v>
      </c>
      <c r="N283" s="144"/>
      <c r="O283" s="144">
        <v>10</v>
      </c>
      <c r="P283" s="144"/>
      <c r="Q283" s="144"/>
      <c r="R283" s="144"/>
      <c r="S283" s="144"/>
      <c r="T283" s="144"/>
      <c r="U283" s="144"/>
      <c r="V283" s="50"/>
      <c r="W283" s="26"/>
      <c r="X283" s="26"/>
      <c r="Y283" s="26"/>
    </row>
    <row r="284" spans="1:25" s="57" customFormat="1" ht="15" customHeight="1" x14ac:dyDescent="0.2">
      <c r="A284" s="48">
        <v>41614.736365740697</v>
      </c>
      <c r="B284" s="49" t="s">
        <v>16</v>
      </c>
      <c r="C284" s="50" t="s">
        <v>913</v>
      </c>
      <c r="D284" s="67">
        <v>41579</v>
      </c>
      <c r="E284" s="50" t="s">
        <v>3490</v>
      </c>
      <c r="F284" s="50" t="s">
        <v>3485</v>
      </c>
      <c r="G284" s="49" t="s">
        <v>26</v>
      </c>
      <c r="H284" s="50"/>
      <c r="I284" s="50" t="s">
        <v>3001</v>
      </c>
      <c r="J284" s="117">
        <v>1</v>
      </c>
      <c r="K284" s="117">
        <v>21</v>
      </c>
      <c r="L284" s="142">
        <v>21</v>
      </c>
      <c r="M284" s="143" t="s">
        <v>44</v>
      </c>
      <c r="N284" s="144"/>
      <c r="O284" s="144">
        <v>10</v>
      </c>
      <c r="P284" s="144"/>
      <c r="Q284" s="144"/>
      <c r="R284" s="144"/>
      <c r="S284" s="144"/>
      <c r="T284" s="144"/>
      <c r="U284" s="144"/>
      <c r="V284" s="50"/>
      <c r="W284" s="26"/>
      <c r="X284" s="26"/>
      <c r="Y284" s="26"/>
    </row>
    <row r="285" spans="1:25" s="57" customFormat="1" ht="15" customHeight="1" x14ac:dyDescent="0.2">
      <c r="A285" s="48">
        <v>41614.736956018503</v>
      </c>
      <c r="B285" s="49" t="s">
        <v>16</v>
      </c>
      <c r="C285" s="50" t="s">
        <v>913</v>
      </c>
      <c r="D285" s="67">
        <v>41579</v>
      </c>
      <c r="E285" s="50" t="s">
        <v>3491</v>
      </c>
      <c r="F285" s="50" t="s">
        <v>828</v>
      </c>
      <c r="G285" s="49" t="s">
        <v>26</v>
      </c>
      <c r="H285" s="50"/>
      <c r="I285" s="50" t="s">
        <v>3001</v>
      </c>
      <c r="J285" s="117">
        <v>1</v>
      </c>
      <c r="K285" s="117">
        <v>0</v>
      </c>
      <c r="L285" s="142"/>
      <c r="M285" s="143" t="s">
        <v>22</v>
      </c>
      <c r="N285" s="144"/>
      <c r="O285" s="144"/>
      <c r="P285" s="144"/>
      <c r="Q285" s="144"/>
      <c r="R285" s="144"/>
      <c r="S285" s="144"/>
      <c r="T285" s="144"/>
      <c r="U285" s="144"/>
      <c r="V285" s="50"/>
      <c r="W285" s="26"/>
      <c r="X285" s="26"/>
      <c r="Y285" s="26"/>
    </row>
    <row r="286" spans="1:25" s="57" customFormat="1" ht="15" customHeight="1" x14ac:dyDescent="0.2">
      <c r="A286" s="48">
        <v>41614.737546296303</v>
      </c>
      <c r="B286" s="49" t="s">
        <v>16</v>
      </c>
      <c r="C286" s="50" t="s">
        <v>913</v>
      </c>
      <c r="D286" s="67">
        <v>41579</v>
      </c>
      <c r="E286" s="50" t="s">
        <v>2911</v>
      </c>
      <c r="F286" s="50" t="s">
        <v>927</v>
      </c>
      <c r="G286" s="49" t="s">
        <v>26</v>
      </c>
      <c r="H286" s="50"/>
      <c r="I286" s="50" t="s">
        <v>3001</v>
      </c>
      <c r="J286" s="117">
        <v>1</v>
      </c>
      <c r="K286" s="117">
        <v>19</v>
      </c>
      <c r="L286" s="142">
        <v>19</v>
      </c>
      <c r="M286" s="143" t="s">
        <v>44</v>
      </c>
      <c r="N286" s="144"/>
      <c r="O286" s="144">
        <v>10</v>
      </c>
      <c r="P286" s="144"/>
      <c r="Q286" s="144"/>
      <c r="R286" s="144"/>
      <c r="S286" s="144"/>
      <c r="T286" s="144"/>
      <c r="U286" s="144"/>
      <c r="V286" s="50"/>
      <c r="W286" s="26"/>
      <c r="X286" s="26"/>
      <c r="Y286" s="26"/>
    </row>
    <row r="287" spans="1:25" s="57" customFormat="1" ht="15" customHeight="1" x14ac:dyDescent="0.2">
      <c r="A287" s="48">
        <v>41614.738101851799</v>
      </c>
      <c r="B287" s="49" t="s">
        <v>16</v>
      </c>
      <c r="C287" s="50" t="s">
        <v>913</v>
      </c>
      <c r="D287" s="67">
        <v>41579</v>
      </c>
      <c r="E287" s="50" t="s">
        <v>3492</v>
      </c>
      <c r="F287" s="50" t="s">
        <v>931</v>
      </c>
      <c r="G287" s="49" t="s">
        <v>26</v>
      </c>
      <c r="H287" s="50"/>
      <c r="I287" s="50" t="s">
        <v>2986</v>
      </c>
      <c r="J287" s="117">
        <v>1</v>
      </c>
      <c r="K287" s="117">
        <v>13</v>
      </c>
      <c r="L287" s="142">
        <v>13</v>
      </c>
      <c r="M287" s="143" t="s">
        <v>22</v>
      </c>
      <c r="N287" s="144"/>
      <c r="O287" s="144"/>
      <c r="P287" s="144"/>
      <c r="Q287" s="144"/>
      <c r="R287" s="144"/>
      <c r="S287" s="144"/>
      <c r="T287" s="144"/>
      <c r="U287" s="144"/>
      <c r="V287" s="50"/>
      <c r="W287" s="26"/>
      <c r="X287" s="26"/>
      <c r="Y287" s="26"/>
    </row>
    <row r="288" spans="1:25" s="57" customFormat="1" ht="15" customHeight="1" x14ac:dyDescent="0.2">
      <c r="A288" s="48">
        <v>41614.739386574103</v>
      </c>
      <c r="B288" s="49" t="s">
        <v>16</v>
      </c>
      <c r="C288" s="50" t="s">
        <v>913</v>
      </c>
      <c r="D288" s="67">
        <v>41579</v>
      </c>
      <c r="E288" s="50" t="s">
        <v>3493</v>
      </c>
      <c r="F288" s="50" t="s">
        <v>1630</v>
      </c>
      <c r="G288" s="49" t="s">
        <v>60</v>
      </c>
      <c r="H288" s="50"/>
      <c r="I288" s="50" t="s">
        <v>3494</v>
      </c>
      <c r="J288" s="117">
        <v>1</v>
      </c>
      <c r="K288" s="117">
        <v>210</v>
      </c>
      <c r="L288" s="142"/>
      <c r="M288" s="143" t="s">
        <v>22</v>
      </c>
      <c r="N288" s="144"/>
      <c r="O288" s="144"/>
      <c r="P288" s="144"/>
      <c r="Q288" s="144"/>
      <c r="R288" s="144"/>
      <c r="S288" s="144"/>
      <c r="T288" s="144"/>
      <c r="U288" s="144">
        <v>1045</v>
      </c>
      <c r="V288" s="50"/>
      <c r="W288" s="26"/>
      <c r="X288" s="26"/>
      <c r="Y288" s="26"/>
    </row>
    <row r="289" spans="1:25" s="57" customFormat="1" ht="15" customHeight="1" x14ac:dyDescent="0.2">
      <c r="A289" s="32">
        <v>41645.680879629632</v>
      </c>
      <c r="B289" s="26" t="s">
        <v>16</v>
      </c>
      <c r="C289" s="26" t="s">
        <v>913</v>
      </c>
      <c r="D289" s="68">
        <v>41609</v>
      </c>
      <c r="E289" s="26" t="s">
        <v>3970</v>
      </c>
      <c r="F289" s="26" t="s">
        <v>3971</v>
      </c>
      <c r="G289" s="26" t="s">
        <v>20</v>
      </c>
      <c r="H289" s="26" t="s">
        <v>3972</v>
      </c>
      <c r="I289" s="26" t="s">
        <v>3001</v>
      </c>
      <c r="J289" s="46">
        <v>2</v>
      </c>
      <c r="K289" s="46">
        <v>36</v>
      </c>
      <c r="L289" s="136">
        <v>52</v>
      </c>
      <c r="M289" s="137" t="s">
        <v>22</v>
      </c>
      <c r="N289" s="138"/>
      <c r="O289" s="138"/>
      <c r="P289" s="138"/>
      <c r="Q289" s="138"/>
      <c r="R289" s="138"/>
      <c r="S289" s="138"/>
      <c r="T289" s="138"/>
      <c r="U289" s="138"/>
      <c r="V289" s="26"/>
      <c r="W289" s="26"/>
      <c r="X289" s="26"/>
      <c r="Y289" s="26"/>
    </row>
    <row r="290" spans="1:25" s="57" customFormat="1" ht="15" customHeight="1" x14ac:dyDescent="0.2">
      <c r="A290" s="32">
        <v>41645.681527777779</v>
      </c>
      <c r="B290" s="26" t="s">
        <v>16</v>
      </c>
      <c r="C290" s="26" t="s">
        <v>913</v>
      </c>
      <c r="D290" s="68">
        <v>41609</v>
      </c>
      <c r="E290" s="26" t="s">
        <v>3973</v>
      </c>
      <c r="F290" s="26" t="s">
        <v>2665</v>
      </c>
      <c r="G290" s="26" t="s">
        <v>20</v>
      </c>
      <c r="H290" s="26" t="s">
        <v>575</v>
      </c>
      <c r="I290" s="26" t="s">
        <v>2986</v>
      </c>
      <c r="J290" s="46">
        <v>1</v>
      </c>
      <c r="K290" s="46">
        <v>6</v>
      </c>
      <c r="L290" s="136">
        <v>12</v>
      </c>
      <c r="M290" s="137" t="s">
        <v>22</v>
      </c>
      <c r="N290" s="138"/>
      <c r="O290" s="138"/>
      <c r="P290" s="138"/>
      <c r="Q290" s="138"/>
      <c r="R290" s="138"/>
      <c r="S290" s="138"/>
      <c r="T290" s="138"/>
      <c r="U290" s="138"/>
      <c r="V290" s="26"/>
      <c r="W290" s="26"/>
      <c r="X290" s="26"/>
      <c r="Y290" s="26"/>
    </row>
    <row r="291" spans="1:25" s="57" customFormat="1" ht="15" customHeight="1" x14ac:dyDescent="0.2">
      <c r="A291" s="32">
        <v>41645.682233796295</v>
      </c>
      <c r="B291" s="26" t="s">
        <v>16</v>
      </c>
      <c r="C291" s="26" t="s">
        <v>913</v>
      </c>
      <c r="D291" s="68">
        <v>41609</v>
      </c>
      <c r="E291" s="26" t="s">
        <v>3974</v>
      </c>
      <c r="F291" s="26" t="s">
        <v>373</v>
      </c>
      <c r="G291" s="26" t="s">
        <v>26</v>
      </c>
      <c r="H291" s="26" t="s">
        <v>3975</v>
      </c>
      <c r="I291" s="26" t="s">
        <v>2986</v>
      </c>
      <c r="J291" s="46">
        <v>1</v>
      </c>
      <c r="K291" s="46">
        <v>13</v>
      </c>
      <c r="L291" s="136"/>
      <c r="M291" s="137" t="s">
        <v>22</v>
      </c>
      <c r="N291" s="138"/>
      <c r="O291" s="138"/>
      <c r="P291" s="138"/>
      <c r="Q291" s="138"/>
      <c r="R291" s="138"/>
      <c r="S291" s="138"/>
      <c r="T291" s="138"/>
      <c r="U291" s="138"/>
      <c r="V291" s="26"/>
      <c r="W291" s="26"/>
      <c r="X291" s="26"/>
      <c r="Y291" s="26"/>
    </row>
    <row r="292" spans="1:25" s="57" customFormat="1" ht="15" customHeight="1" x14ac:dyDescent="0.2">
      <c r="A292" s="32">
        <v>41645.684074074074</v>
      </c>
      <c r="B292" s="26" t="s">
        <v>16</v>
      </c>
      <c r="C292" s="26" t="s">
        <v>913</v>
      </c>
      <c r="D292" s="68">
        <v>41609</v>
      </c>
      <c r="E292" s="26" t="s">
        <v>3976</v>
      </c>
      <c r="F292" s="26" t="s">
        <v>924</v>
      </c>
      <c r="G292" s="26" t="s">
        <v>26</v>
      </c>
      <c r="H292" s="26" t="s">
        <v>3977</v>
      </c>
      <c r="I292" s="26" t="s">
        <v>3001</v>
      </c>
      <c r="J292" s="46">
        <v>1</v>
      </c>
      <c r="K292" s="46">
        <v>4</v>
      </c>
      <c r="L292" s="136">
        <v>10</v>
      </c>
      <c r="M292" s="137" t="s">
        <v>44</v>
      </c>
      <c r="N292" s="138"/>
      <c r="O292" s="138">
        <v>5</v>
      </c>
      <c r="P292" s="138"/>
      <c r="Q292" s="138"/>
      <c r="R292" s="138"/>
      <c r="S292" s="138"/>
      <c r="T292" s="138"/>
      <c r="U292" s="138"/>
      <c r="V292" s="26"/>
      <c r="W292" s="26"/>
      <c r="X292" s="26"/>
      <c r="Y292" s="26"/>
    </row>
    <row r="293" spans="1:25" s="57" customFormat="1" ht="15" customHeight="1" x14ac:dyDescent="0.2">
      <c r="A293" s="32">
        <v>41645.685011574074</v>
      </c>
      <c r="B293" s="26" t="s">
        <v>16</v>
      </c>
      <c r="C293" s="26" t="s">
        <v>913</v>
      </c>
      <c r="D293" s="68">
        <v>41609</v>
      </c>
      <c r="E293" s="26" t="s">
        <v>3978</v>
      </c>
      <c r="F293" s="26" t="s">
        <v>915</v>
      </c>
      <c r="G293" s="26" t="s">
        <v>26</v>
      </c>
      <c r="H293" s="26" t="s">
        <v>3979</v>
      </c>
      <c r="I293" s="26" t="s">
        <v>3980</v>
      </c>
      <c r="J293" s="46">
        <v>1</v>
      </c>
      <c r="K293" s="46">
        <v>5</v>
      </c>
      <c r="L293" s="136">
        <v>125</v>
      </c>
      <c r="M293" s="137" t="s">
        <v>22</v>
      </c>
      <c r="N293" s="138"/>
      <c r="O293" s="138"/>
      <c r="P293" s="138"/>
      <c r="Q293" s="138"/>
      <c r="R293" s="138"/>
      <c r="S293" s="138"/>
      <c r="T293" s="138"/>
      <c r="U293" s="138"/>
      <c r="V293" s="26"/>
      <c r="W293" s="26"/>
      <c r="X293" s="26"/>
      <c r="Y293" s="26"/>
    </row>
    <row r="294" spans="1:25" s="57" customFormat="1" ht="15" customHeight="1" x14ac:dyDescent="0.2">
      <c r="A294" s="32">
        <v>41645.685682870368</v>
      </c>
      <c r="B294" s="26" t="s">
        <v>16</v>
      </c>
      <c r="C294" s="26" t="s">
        <v>913</v>
      </c>
      <c r="D294" s="68">
        <v>41609</v>
      </c>
      <c r="E294" s="26" t="s">
        <v>933</v>
      </c>
      <c r="F294" s="26" t="s">
        <v>927</v>
      </c>
      <c r="G294" s="26" t="s">
        <v>26</v>
      </c>
      <c r="H294" s="26"/>
      <c r="I294" s="26" t="s">
        <v>3001</v>
      </c>
      <c r="J294" s="46">
        <v>1</v>
      </c>
      <c r="K294" s="46">
        <v>18</v>
      </c>
      <c r="L294" s="136">
        <v>18</v>
      </c>
      <c r="M294" s="137" t="s">
        <v>44</v>
      </c>
      <c r="N294" s="138"/>
      <c r="O294" s="138">
        <v>10</v>
      </c>
      <c r="P294" s="138"/>
      <c r="Q294" s="138"/>
      <c r="R294" s="138"/>
      <c r="S294" s="138"/>
      <c r="T294" s="138"/>
      <c r="U294" s="138"/>
      <c r="V294" s="26"/>
      <c r="W294" s="26"/>
      <c r="X294" s="26"/>
      <c r="Y294" s="26"/>
    </row>
    <row r="295" spans="1:25" s="26" customFormat="1" ht="15" customHeight="1" x14ac:dyDescent="0.2">
      <c r="A295" s="32">
        <v>41645.686516203707</v>
      </c>
      <c r="B295" s="26" t="s">
        <v>16</v>
      </c>
      <c r="C295" s="26" t="s">
        <v>913</v>
      </c>
      <c r="D295" s="68">
        <v>41609</v>
      </c>
      <c r="E295" s="26" t="s">
        <v>3981</v>
      </c>
      <c r="F295" s="26" t="s">
        <v>3982</v>
      </c>
      <c r="G295" s="26" t="s">
        <v>42</v>
      </c>
      <c r="H295" s="26" t="s">
        <v>927</v>
      </c>
      <c r="I295" s="26" t="s">
        <v>3001</v>
      </c>
      <c r="J295" s="46">
        <v>1</v>
      </c>
      <c r="K295" s="46">
        <v>57</v>
      </c>
      <c r="L295" s="136">
        <v>57</v>
      </c>
      <c r="M295" s="137" t="s">
        <v>44</v>
      </c>
      <c r="N295" s="138"/>
      <c r="O295" s="138">
        <v>25</v>
      </c>
      <c r="P295" s="138"/>
      <c r="Q295" s="138"/>
      <c r="R295" s="138"/>
      <c r="S295" s="138"/>
      <c r="T295" s="138"/>
      <c r="U295" s="138"/>
    </row>
    <row r="296" spans="1:25" s="26" customFormat="1" ht="15" customHeight="1" x14ac:dyDescent="0.2">
      <c r="A296" s="32">
        <v>41645.687037037038</v>
      </c>
      <c r="B296" s="26" t="s">
        <v>16</v>
      </c>
      <c r="C296" s="26" t="s">
        <v>913</v>
      </c>
      <c r="D296" s="68">
        <v>41609</v>
      </c>
      <c r="E296" s="26" t="s">
        <v>934</v>
      </c>
      <c r="F296" s="26" t="s">
        <v>575</v>
      </c>
      <c r="G296" s="26" t="s">
        <v>26</v>
      </c>
      <c r="I296" s="26" t="s">
        <v>2986</v>
      </c>
      <c r="J296" s="46">
        <v>1</v>
      </c>
      <c r="K296" s="46">
        <v>1</v>
      </c>
      <c r="L296" s="136">
        <v>1</v>
      </c>
      <c r="M296" s="137" t="s">
        <v>22</v>
      </c>
      <c r="N296" s="138"/>
      <c r="O296" s="138"/>
      <c r="P296" s="138"/>
      <c r="Q296" s="138"/>
      <c r="R296" s="138"/>
      <c r="S296" s="138"/>
      <c r="T296" s="138"/>
      <c r="U296" s="138"/>
    </row>
    <row r="297" spans="1:25" s="26" customFormat="1" ht="15" customHeight="1" x14ac:dyDescent="0.2">
      <c r="A297" s="32">
        <v>41645.687627314815</v>
      </c>
      <c r="B297" s="26" t="s">
        <v>16</v>
      </c>
      <c r="C297" s="26" t="s">
        <v>913</v>
      </c>
      <c r="D297" s="68">
        <v>41609</v>
      </c>
      <c r="E297" s="26" t="s">
        <v>3983</v>
      </c>
      <c r="F297" s="26" t="s">
        <v>927</v>
      </c>
      <c r="G297" s="26" t="s">
        <v>26</v>
      </c>
      <c r="I297" s="26" t="s">
        <v>3001</v>
      </c>
      <c r="J297" s="46">
        <v>1</v>
      </c>
      <c r="K297" s="46">
        <v>5</v>
      </c>
      <c r="L297" s="136"/>
      <c r="M297" s="137" t="s">
        <v>22</v>
      </c>
      <c r="N297" s="138"/>
      <c r="O297" s="138"/>
      <c r="P297" s="138"/>
      <c r="Q297" s="138"/>
      <c r="R297" s="138"/>
      <c r="S297" s="138"/>
      <c r="T297" s="138"/>
      <c r="U297" s="138"/>
    </row>
    <row r="298" spans="1:25" s="26" customFormat="1" ht="15" customHeight="1" x14ac:dyDescent="0.2">
      <c r="A298" s="32">
        <v>41645.688252314816</v>
      </c>
      <c r="B298" s="26" t="s">
        <v>16</v>
      </c>
      <c r="C298" s="26" t="s">
        <v>913</v>
      </c>
      <c r="D298" s="68">
        <v>41609</v>
      </c>
      <c r="E298" s="26" t="s">
        <v>3984</v>
      </c>
      <c r="F298" s="26" t="s">
        <v>101</v>
      </c>
      <c r="G298" s="26" t="s">
        <v>26</v>
      </c>
      <c r="I298" s="26" t="s">
        <v>3001</v>
      </c>
      <c r="J298" s="46">
        <v>1</v>
      </c>
      <c r="K298" s="46">
        <v>12</v>
      </c>
      <c r="L298" s="136"/>
      <c r="M298" s="137" t="s">
        <v>22</v>
      </c>
      <c r="N298" s="138"/>
      <c r="O298" s="138"/>
      <c r="P298" s="138"/>
      <c r="Q298" s="138"/>
      <c r="R298" s="138"/>
      <c r="S298" s="138"/>
      <c r="T298" s="138"/>
      <c r="U298" s="138"/>
    </row>
    <row r="299" spans="1:25" s="26" customFormat="1" ht="15" customHeight="1" x14ac:dyDescent="0.2">
      <c r="A299" s="32">
        <v>41645.688819444447</v>
      </c>
      <c r="B299" s="26" t="s">
        <v>16</v>
      </c>
      <c r="C299" s="26" t="s">
        <v>913</v>
      </c>
      <c r="D299" s="68">
        <v>41609</v>
      </c>
      <c r="E299" s="26" t="s">
        <v>3985</v>
      </c>
      <c r="F299" s="26" t="s">
        <v>373</v>
      </c>
      <c r="G299" s="26" t="s">
        <v>26</v>
      </c>
      <c r="H299" s="26" t="s">
        <v>3986</v>
      </c>
      <c r="I299" s="26" t="s">
        <v>2986</v>
      </c>
      <c r="J299" s="46">
        <v>1</v>
      </c>
      <c r="K299" s="46">
        <v>13</v>
      </c>
      <c r="L299" s="136"/>
      <c r="M299" s="137" t="s">
        <v>22</v>
      </c>
      <c r="N299" s="138"/>
      <c r="O299" s="138"/>
      <c r="P299" s="138"/>
      <c r="Q299" s="138"/>
      <c r="R299" s="138"/>
      <c r="S299" s="138"/>
      <c r="T299" s="138"/>
      <c r="U299" s="138"/>
    </row>
    <row r="300" spans="1:25" s="26" customFormat="1" ht="15" customHeight="1" x14ac:dyDescent="0.2">
      <c r="A300" s="32">
        <v>41645.689259259256</v>
      </c>
      <c r="B300" s="26" t="s">
        <v>16</v>
      </c>
      <c r="C300" s="26" t="s">
        <v>913</v>
      </c>
      <c r="D300" s="68">
        <v>41609</v>
      </c>
      <c r="E300" s="26" t="s">
        <v>933</v>
      </c>
      <c r="F300" s="26" t="s">
        <v>828</v>
      </c>
      <c r="G300" s="26" t="s">
        <v>26</v>
      </c>
      <c r="I300" s="26" t="s">
        <v>2986</v>
      </c>
      <c r="J300" s="46">
        <v>1</v>
      </c>
      <c r="K300" s="46">
        <v>7</v>
      </c>
      <c r="L300" s="136"/>
      <c r="M300" s="137" t="s">
        <v>22</v>
      </c>
      <c r="N300" s="138"/>
      <c r="O300" s="138"/>
      <c r="P300" s="138"/>
      <c r="Q300" s="138"/>
      <c r="R300" s="138"/>
      <c r="S300" s="138"/>
      <c r="T300" s="138"/>
      <c r="U300" s="138"/>
    </row>
    <row r="301" spans="1:25" s="26" customFormat="1" ht="15" customHeight="1" x14ac:dyDescent="0.2">
      <c r="A301" s="32">
        <v>41645.69023148148</v>
      </c>
      <c r="B301" s="26" t="s">
        <v>16</v>
      </c>
      <c r="C301" s="26" t="s">
        <v>913</v>
      </c>
      <c r="D301" s="68">
        <v>41609</v>
      </c>
      <c r="E301" s="26" t="s">
        <v>3987</v>
      </c>
      <c r="F301" s="26" t="s">
        <v>3988</v>
      </c>
      <c r="G301" s="34" t="s">
        <v>26</v>
      </c>
      <c r="H301" s="26" t="s">
        <v>3989</v>
      </c>
      <c r="I301" s="26" t="s">
        <v>3990</v>
      </c>
      <c r="J301" s="46">
        <v>3</v>
      </c>
      <c r="K301" s="46">
        <v>37</v>
      </c>
      <c r="L301" s="136">
        <v>86.5</v>
      </c>
      <c r="M301" s="137" t="s">
        <v>22</v>
      </c>
      <c r="N301" s="138"/>
      <c r="O301" s="138"/>
      <c r="P301" s="138"/>
      <c r="Q301" s="138"/>
      <c r="R301" s="138"/>
      <c r="S301" s="138"/>
      <c r="T301" s="138"/>
      <c r="U301" s="138"/>
    </row>
    <row r="302" spans="1:25" s="26" customFormat="1" ht="15" customHeight="1" x14ac:dyDescent="0.2">
      <c r="A302" s="32">
        <v>41645.690717592595</v>
      </c>
      <c r="B302" s="26" t="s">
        <v>16</v>
      </c>
      <c r="C302" s="26" t="s">
        <v>913</v>
      </c>
      <c r="D302" s="68">
        <v>41609</v>
      </c>
      <c r="E302" s="26" t="s">
        <v>3985</v>
      </c>
      <c r="F302" s="26" t="s">
        <v>373</v>
      </c>
      <c r="G302" s="26" t="s">
        <v>26</v>
      </c>
      <c r="H302" s="26" t="s">
        <v>3991</v>
      </c>
      <c r="I302" s="26" t="s">
        <v>2986</v>
      </c>
      <c r="J302" s="46">
        <v>1</v>
      </c>
      <c r="K302" s="46">
        <v>12</v>
      </c>
      <c r="L302" s="136"/>
      <c r="M302" s="137" t="s">
        <v>22</v>
      </c>
      <c r="N302" s="138"/>
      <c r="O302" s="138"/>
      <c r="P302" s="138"/>
      <c r="Q302" s="138"/>
      <c r="R302" s="138"/>
      <c r="S302" s="138"/>
      <c r="T302" s="138"/>
      <c r="U302" s="138"/>
    </row>
    <row r="303" spans="1:25" s="26" customFormat="1" ht="15" customHeight="1" x14ac:dyDescent="0.2">
      <c r="A303" s="32">
        <v>41645.691423611112</v>
      </c>
      <c r="B303" s="26" t="s">
        <v>16</v>
      </c>
      <c r="C303" s="26" t="s">
        <v>913</v>
      </c>
      <c r="D303" s="68">
        <v>41609</v>
      </c>
      <c r="E303" s="26" t="s">
        <v>3992</v>
      </c>
      <c r="F303" s="26" t="s">
        <v>927</v>
      </c>
      <c r="G303" s="26" t="s">
        <v>26</v>
      </c>
      <c r="I303" s="26" t="s">
        <v>2986</v>
      </c>
      <c r="J303" s="46">
        <v>1</v>
      </c>
      <c r="K303" s="46">
        <v>11</v>
      </c>
      <c r="L303" s="136"/>
      <c r="M303" s="137" t="s">
        <v>22</v>
      </c>
      <c r="N303" s="138"/>
      <c r="O303" s="138"/>
      <c r="P303" s="138"/>
      <c r="Q303" s="138"/>
      <c r="R303" s="138"/>
      <c r="S303" s="138"/>
      <c r="T303" s="138"/>
      <c r="U303" s="138"/>
    </row>
    <row r="304" spans="1:25" s="26" customFormat="1" ht="15" customHeight="1" x14ac:dyDescent="0.2">
      <c r="A304" s="32">
        <v>41645.691979166666</v>
      </c>
      <c r="B304" s="26" t="s">
        <v>16</v>
      </c>
      <c r="C304" s="26" t="s">
        <v>913</v>
      </c>
      <c r="D304" s="68">
        <v>41609</v>
      </c>
      <c r="E304" s="26" t="s">
        <v>934</v>
      </c>
      <c r="F304" s="26" t="s">
        <v>3993</v>
      </c>
      <c r="G304" s="26" t="s">
        <v>26</v>
      </c>
      <c r="I304" s="26" t="s">
        <v>2986</v>
      </c>
      <c r="J304" s="46">
        <v>1</v>
      </c>
      <c r="K304" s="46">
        <v>13</v>
      </c>
      <c r="L304" s="136">
        <v>13</v>
      </c>
      <c r="M304" s="137" t="s">
        <v>22</v>
      </c>
      <c r="N304" s="138"/>
      <c r="O304" s="138"/>
      <c r="P304" s="138"/>
      <c r="Q304" s="138"/>
      <c r="R304" s="138"/>
      <c r="S304" s="138"/>
      <c r="T304" s="138"/>
      <c r="U304" s="138"/>
    </row>
    <row r="305" spans="1:25" s="26" customFormat="1" ht="15" customHeight="1" x14ac:dyDescent="0.2">
      <c r="A305" s="32">
        <v>41645.692442129628</v>
      </c>
      <c r="B305" s="26" t="s">
        <v>16</v>
      </c>
      <c r="C305" s="26" t="s">
        <v>913</v>
      </c>
      <c r="D305" s="68">
        <v>41609</v>
      </c>
      <c r="E305" s="26" t="s">
        <v>3994</v>
      </c>
      <c r="F305" s="26" t="s">
        <v>828</v>
      </c>
      <c r="G305" s="26" t="s">
        <v>26</v>
      </c>
      <c r="I305" s="26" t="s">
        <v>2986</v>
      </c>
      <c r="J305" s="46">
        <v>1</v>
      </c>
      <c r="K305" s="46">
        <v>4</v>
      </c>
      <c r="L305" s="136"/>
      <c r="M305" s="137" t="s">
        <v>22</v>
      </c>
      <c r="N305" s="138"/>
      <c r="O305" s="138"/>
      <c r="P305" s="138"/>
      <c r="Q305" s="138"/>
      <c r="R305" s="138"/>
      <c r="S305" s="138"/>
      <c r="T305" s="138"/>
      <c r="U305" s="138"/>
    </row>
    <row r="306" spans="1:25" s="26" customFormat="1" ht="15" customHeight="1" x14ac:dyDescent="0.2">
      <c r="A306" s="32">
        <v>41645.692974537036</v>
      </c>
      <c r="B306" s="26" t="s">
        <v>16</v>
      </c>
      <c r="C306" s="26" t="s">
        <v>913</v>
      </c>
      <c r="D306" s="68">
        <v>41609</v>
      </c>
      <c r="E306" s="26" t="s">
        <v>3995</v>
      </c>
      <c r="F306" s="26" t="s">
        <v>373</v>
      </c>
      <c r="G306" s="26" t="s">
        <v>26</v>
      </c>
      <c r="H306" s="26" t="s">
        <v>3996</v>
      </c>
      <c r="I306" s="26" t="s">
        <v>2986</v>
      </c>
      <c r="J306" s="46">
        <v>1</v>
      </c>
      <c r="K306" s="46">
        <v>9</v>
      </c>
      <c r="L306" s="136"/>
      <c r="M306" s="137" t="s">
        <v>22</v>
      </c>
      <c r="N306" s="138"/>
      <c r="O306" s="138"/>
      <c r="P306" s="138"/>
      <c r="Q306" s="138"/>
      <c r="R306" s="138"/>
      <c r="S306" s="138"/>
      <c r="T306" s="138"/>
      <c r="U306" s="138"/>
    </row>
    <row r="307" spans="1:25" s="26" customFormat="1" ht="15" customHeight="1" x14ac:dyDescent="0.2">
      <c r="A307" s="32">
        <v>41645.693599537037</v>
      </c>
      <c r="B307" s="26" t="s">
        <v>16</v>
      </c>
      <c r="C307" s="26" t="s">
        <v>913</v>
      </c>
      <c r="D307" s="68">
        <v>41609</v>
      </c>
      <c r="E307" s="26" t="s">
        <v>3997</v>
      </c>
      <c r="F307" s="26" t="s">
        <v>373</v>
      </c>
      <c r="G307" s="26" t="s">
        <v>26</v>
      </c>
      <c r="H307" s="26" t="s">
        <v>3998</v>
      </c>
      <c r="I307" s="26" t="s">
        <v>2986</v>
      </c>
      <c r="J307" s="46">
        <v>1</v>
      </c>
      <c r="K307" s="46">
        <v>18</v>
      </c>
      <c r="L307" s="136"/>
      <c r="M307" s="137" t="s">
        <v>22</v>
      </c>
      <c r="N307" s="138"/>
      <c r="O307" s="138"/>
      <c r="P307" s="138"/>
      <c r="Q307" s="138"/>
      <c r="R307" s="138"/>
      <c r="S307" s="138"/>
      <c r="T307" s="138"/>
      <c r="U307" s="138"/>
    </row>
    <row r="308" spans="1:25" s="26" customFormat="1" ht="15" customHeight="1" x14ac:dyDescent="0.2">
      <c r="A308" s="32">
        <v>41645.694178240738</v>
      </c>
      <c r="B308" s="26" t="s">
        <v>16</v>
      </c>
      <c r="C308" s="26" t="s">
        <v>913</v>
      </c>
      <c r="D308" s="68">
        <v>41609</v>
      </c>
      <c r="E308" s="26" t="s">
        <v>2307</v>
      </c>
      <c r="F308" s="26" t="s">
        <v>3993</v>
      </c>
      <c r="G308" s="26" t="s">
        <v>26</v>
      </c>
      <c r="I308" s="26" t="s">
        <v>2926</v>
      </c>
      <c r="J308" s="46">
        <v>1</v>
      </c>
      <c r="K308" s="46">
        <v>20</v>
      </c>
      <c r="L308" s="136">
        <v>22</v>
      </c>
      <c r="M308" s="137" t="s">
        <v>22</v>
      </c>
      <c r="N308" s="138"/>
      <c r="O308" s="138"/>
      <c r="P308" s="138"/>
      <c r="Q308" s="138"/>
      <c r="R308" s="138"/>
      <c r="S308" s="138"/>
      <c r="T308" s="138"/>
      <c r="U308" s="138"/>
    </row>
    <row r="309" spans="1:25" s="26" customFormat="1" ht="15" customHeight="1" x14ac:dyDescent="0.2">
      <c r="A309" s="32">
        <v>41645.694872685184</v>
      </c>
      <c r="B309" s="26" t="s">
        <v>16</v>
      </c>
      <c r="C309" s="26" t="s">
        <v>913</v>
      </c>
      <c r="D309" s="68">
        <v>41609</v>
      </c>
      <c r="E309" s="26" t="s">
        <v>933</v>
      </c>
      <c r="F309" s="26" t="s">
        <v>927</v>
      </c>
      <c r="G309" s="26" t="s">
        <v>26</v>
      </c>
      <c r="I309" s="26" t="s">
        <v>2926</v>
      </c>
      <c r="J309" s="46">
        <v>1</v>
      </c>
      <c r="K309" s="46">
        <v>5</v>
      </c>
      <c r="L309" s="136"/>
      <c r="M309" s="137" t="s">
        <v>22</v>
      </c>
      <c r="N309" s="138"/>
      <c r="O309" s="138"/>
      <c r="P309" s="138"/>
      <c r="Q309" s="138"/>
      <c r="R309" s="138"/>
      <c r="S309" s="138"/>
      <c r="T309" s="138"/>
      <c r="U309" s="138"/>
    </row>
    <row r="310" spans="1:25" s="26" customFormat="1" ht="15" customHeight="1" x14ac:dyDescent="0.2">
      <c r="A310" s="32">
        <v>41645.695821759262</v>
      </c>
      <c r="B310" s="26" t="s">
        <v>16</v>
      </c>
      <c r="C310" s="26" t="s">
        <v>913</v>
      </c>
      <c r="D310" s="68">
        <v>41609</v>
      </c>
      <c r="E310" s="26" t="s">
        <v>3999</v>
      </c>
      <c r="F310" s="26" t="s">
        <v>1630</v>
      </c>
      <c r="G310" s="26" t="s">
        <v>60</v>
      </c>
      <c r="J310" s="46">
        <v>1</v>
      </c>
      <c r="K310" s="46">
        <v>127</v>
      </c>
      <c r="L310" s="136"/>
      <c r="M310" s="137" t="s">
        <v>22</v>
      </c>
      <c r="N310" s="138"/>
      <c r="O310" s="138"/>
      <c r="P310" s="138"/>
      <c r="Q310" s="138"/>
      <c r="R310" s="138"/>
      <c r="S310" s="138"/>
      <c r="T310" s="138"/>
      <c r="U310" s="138">
        <v>293</v>
      </c>
    </row>
    <row r="311" spans="1:25" s="26" customFormat="1" ht="15" customHeight="1" x14ac:dyDescent="0.2">
      <c r="A311" s="55">
        <v>41671.592199074097</v>
      </c>
      <c r="B311" s="52" t="s">
        <v>16</v>
      </c>
      <c r="C311" s="52" t="s">
        <v>913</v>
      </c>
      <c r="D311" s="69">
        <v>41640</v>
      </c>
      <c r="E311" s="52" t="s">
        <v>4290</v>
      </c>
      <c r="F311" s="52" t="s">
        <v>4120</v>
      </c>
      <c r="G311" s="52" t="s">
        <v>26</v>
      </c>
      <c r="H311" s="52" t="s">
        <v>4291</v>
      </c>
      <c r="I311" s="52" t="s">
        <v>3001</v>
      </c>
      <c r="J311" s="95">
        <v>1</v>
      </c>
      <c r="K311" s="118">
        <v>11</v>
      </c>
      <c r="L311" s="148">
        <v>22</v>
      </c>
      <c r="M311" s="146" t="s">
        <v>44</v>
      </c>
      <c r="N311" s="147"/>
      <c r="O311" s="147">
        <v>25</v>
      </c>
      <c r="P311" s="147"/>
      <c r="Q311" s="147"/>
      <c r="R311" s="147"/>
      <c r="S311" s="147"/>
      <c r="T311" s="147"/>
      <c r="U311" s="149"/>
      <c r="V311" s="52"/>
      <c r="W311" s="52"/>
      <c r="X311" s="52"/>
      <c r="Y311" s="52"/>
    </row>
    <row r="312" spans="1:25" s="26" customFormat="1" ht="15" customHeight="1" x14ac:dyDescent="0.2">
      <c r="A312" s="55">
        <v>41671.598217592596</v>
      </c>
      <c r="B312" s="52" t="s">
        <v>16</v>
      </c>
      <c r="C312" s="52" t="s">
        <v>913</v>
      </c>
      <c r="D312" s="69">
        <v>41640</v>
      </c>
      <c r="E312" s="52" t="s">
        <v>4292</v>
      </c>
      <c r="F312" s="52" t="s">
        <v>952</v>
      </c>
      <c r="G312" s="52" t="s">
        <v>351</v>
      </c>
      <c r="H312" s="52" t="s">
        <v>4293</v>
      </c>
      <c r="I312" s="52" t="s">
        <v>3001</v>
      </c>
      <c r="J312" s="95">
        <v>1</v>
      </c>
      <c r="K312" s="118">
        <v>20</v>
      </c>
      <c r="L312" s="148">
        <v>30</v>
      </c>
      <c r="M312" s="146" t="s">
        <v>22</v>
      </c>
      <c r="N312" s="147"/>
      <c r="O312" s="147"/>
      <c r="P312" s="147"/>
      <c r="Q312" s="147"/>
      <c r="R312" s="147"/>
      <c r="S312" s="147"/>
      <c r="T312" s="147"/>
      <c r="U312" s="149"/>
      <c r="V312" s="52"/>
      <c r="W312" s="52"/>
      <c r="X312" s="52"/>
      <c r="Y312" s="52"/>
    </row>
    <row r="313" spans="1:25" s="26" customFormat="1" ht="15" customHeight="1" x14ac:dyDescent="0.2">
      <c r="A313" s="55">
        <v>41671.598923611098</v>
      </c>
      <c r="B313" s="52" t="s">
        <v>16</v>
      </c>
      <c r="C313" s="52" t="s">
        <v>913</v>
      </c>
      <c r="D313" s="69">
        <v>41640</v>
      </c>
      <c r="E313" s="52" t="s">
        <v>4294</v>
      </c>
      <c r="F313" s="52" t="s">
        <v>373</v>
      </c>
      <c r="G313" s="52" t="s">
        <v>26</v>
      </c>
      <c r="H313" s="52"/>
      <c r="I313" s="52" t="s">
        <v>3001</v>
      </c>
      <c r="J313" s="95">
        <v>1</v>
      </c>
      <c r="K313" s="118">
        <v>12</v>
      </c>
      <c r="L313" s="148"/>
      <c r="M313" s="146" t="s">
        <v>22</v>
      </c>
      <c r="N313" s="147"/>
      <c r="O313" s="147"/>
      <c r="P313" s="147"/>
      <c r="Q313" s="147"/>
      <c r="R313" s="147"/>
      <c r="S313" s="147"/>
      <c r="T313" s="147"/>
      <c r="U313" s="149"/>
      <c r="V313" s="52"/>
      <c r="W313" s="52"/>
      <c r="X313" s="52"/>
      <c r="Y313" s="52"/>
    </row>
    <row r="314" spans="1:25" s="26" customFormat="1" ht="15" customHeight="1" x14ac:dyDescent="0.2">
      <c r="A314" s="55">
        <v>41671.599421296298</v>
      </c>
      <c r="B314" s="52" t="s">
        <v>16</v>
      </c>
      <c r="C314" s="52" t="s">
        <v>913</v>
      </c>
      <c r="D314" s="69">
        <v>41640</v>
      </c>
      <c r="E314" s="52" t="s">
        <v>4295</v>
      </c>
      <c r="F314" s="52" t="s">
        <v>373</v>
      </c>
      <c r="G314" s="52" t="s">
        <v>26</v>
      </c>
      <c r="H314" s="52"/>
      <c r="I314" s="52" t="s">
        <v>3001</v>
      </c>
      <c r="J314" s="95">
        <v>1</v>
      </c>
      <c r="K314" s="118">
        <v>11</v>
      </c>
      <c r="L314" s="148"/>
      <c r="M314" s="146" t="s">
        <v>22</v>
      </c>
      <c r="N314" s="147"/>
      <c r="O314" s="147"/>
      <c r="P314" s="147"/>
      <c r="Q314" s="147"/>
      <c r="R314" s="147"/>
      <c r="S314" s="147"/>
      <c r="T314" s="147"/>
      <c r="U314" s="149"/>
      <c r="V314" s="52"/>
      <c r="W314" s="52"/>
      <c r="X314" s="52"/>
      <c r="Y314" s="52"/>
    </row>
    <row r="315" spans="1:25" s="26" customFormat="1" ht="15" customHeight="1" x14ac:dyDescent="0.2">
      <c r="A315" s="55">
        <v>41671.599826388898</v>
      </c>
      <c r="B315" s="52" t="s">
        <v>16</v>
      </c>
      <c r="C315" s="52" t="s">
        <v>913</v>
      </c>
      <c r="D315" s="69">
        <v>41640</v>
      </c>
      <c r="E315" s="52" t="s">
        <v>4296</v>
      </c>
      <c r="F315" s="52" t="s">
        <v>575</v>
      </c>
      <c r="G315" s="52" t="s">
        <v>26</v>
      </c>
      <c r="H315" s="52"/>
      <c r="I315" s="52" t="s">
        <v>3001</v>
      </c>
      <c r="J315" s="95">
        <v>1</v>
      </c>
      <c r="K315" s="118">
        <v>17</v>
      </c>
      <c r="L315" s="148">
        <v>17</v>
      </c>
      <c r="M315" s="146" t="s">
        <v>22</v>
      </c>
      <c r="N315" s="147"/>
      <c r="O315" s="147"/>
      <c r="P315" s="147"/>
      <c r="Q315" s="147"/>
      <c r="R315" s="147"/>
      <c r="S315" s="147"/>
      <c r="T315" s="147"/>
      <c r="U315" s="149"/>
      <c r="V315" s="52"/>
      <c r="W315" s="52"/>
      <c r="X315" s="52"/>
      <c r="Y315" s="52"/>
    </row>
    <row r="316" spans="1:25" s="26" customFormat="1" ht="15" customHeight="1" x14ac:dyDescent="0.2">
      <c r="A316" s="55">
        <v>41671.600590277798</v>
      </c>
      <c r="B316" s="52" t="s">
        <v>16</v>
      </c>
      <c r="C316" s="52" t="s">
        <v>913</v>
      </c>
      <c r="D316" s="69">
        <v>41640</v>
      </c>
      <c r="E316" s="52" t="s">
        <v>4297</v>
      </c>
      <c r="F316" s="52" t="s">
        <v>4298</v>
      </c>
      <c r="G316" s="52" t="s">
        <v>26</v>
      </c>
      <c r="H316" s="52"/>
      <c r="I316" s="52" t="s">
        <v>3001</v>
      </c>
      <c r="J316" s="95">
        <v>1</v>
      </c>
      <c r="K316" s="118">
        <v>2</v>
      </c>
      <c r="L316" s="148">
        <v>4</v>
      </c>
      <c r="M316" s="146" t="s">
        <v>44</v>
      </c>
      <c r="N316" s="147"/>
      <c r="O316" s="147">
        <v>5</v>
      </c>
      <c r="P316" s="147"/>
      <c r="Q316" s="147"/>
      <c r="R316" s="147"/>
      <c r="S316" s="147"/>
      <c r="T316" s="147"/>
      <c r="U316" s="149"/>
      <c r="V316" s="52"/>
      <c r="W316" s="52"/>
      <c r="X316" s="52"/>
      <c r="Y316" s="52"/>
    </row>
    <row r="317" spans="1:25" s="26" customFormat="1" ht="15" customHeight="1" x14ac:dyDescent="0.2">
      <c r="A317" s="55">
        <v>41671.6012962963</v>
      </c>
      <c r="B317" s="52" t="s">
        <v>16</v>
      </c>
      <c r="C317" s="52" t="s">
        <v>913</v>
      </c>
      <c r="D317" s="69">
        <v>41640</v>
      </c>
      <c r="E317" s="52" t="s">
        <v>4299</v>
      </c>
      <c r="F317" s="52" t="s">
        <v>927</v>
      </c>
      <c r="G317" s="52" t="s">
        <v>26</v>
      </c>
      <c r="H317" s="52"/>
      <c r="I317" s="52" t="s">
        <v>3001</v>
      </c>
      <c r="J317" s="95">
        <v>1</v>
      </c>
      <c r="K317" s="118">
        <v>9</v>
      </c>
      <c r="L317" s="148">
        <v>9</v>
      </c>
      <c r="M317" s="146" t="s">
        <v>44</v>
      </c>
      <c r="N317" s="147"/>
      <c r="O317" s="147">
        <v>10</v>
      </c>
      <c r="P317" s="147"/>
      <c r="Q317" s="147"/>
      <c r="R317" s="147"/>
      <c r="S317" s="147"/>
      <c r="T317" s="147"/>
      <c r="U317" s="149"/>
      <c r="V317" s="52"/>
      <c r="W317" s="52"/>
      <c r="X317" s="52"/>
      <c r="Y317" s="52"/>
    </row>
    <row r="318" spans="1:25" s="26" customFormat="1" ht="15" customHeight="1" x14ac:dyDescent="0.2">
      <c r="A318" s="55">
        <v>41671.601840277799</v>
      </c>
      <c r="B318" s="52" t="s">
        <v>16</v>
      </c>
      <c r="C318" s="52" t="s">
        <v>913</v>
      </c>
      <c r="D318" s="69">
        <v>41640</v>
      </c>
      <c r="E318" s="52" t="s">
        <v>4300</v>
      </c>
      <c r="F318" s="52" t="s">
        <v>3993</v>
      </c>
      <c r="G318" s="52" t="s">
        <v>26</v>
      </c>
      <c r="H318" s="52"/>
      <c r="I318" s="52" t="s">
        <v>3001</v>
      </c>
      <c r="J318" s="95">
        <v>1</v>
      </c>
      <c r="K318" s="118">
        <v>0</v>
      </c>
      <c r="L318" s="148"/>
      <c r="M318" s="146" t="s">
        <v>22</v>
      </c>
      <c r="N318" s="147"/>
      <c r="O318" s="147"/>
      <c r="P318" s="147"/>
      <c r="Q318" s="147"/>
      <c r="R318" s="147"/>
      <c r="S318" s="147"/>
      <c r="T318" s="147"/>
      <c r="U318" s="149"/>
      <c r="V318" s="52"/>
      <c r="W318" s="52"/>
      <c r="X318" s="52"/>
      <c r="Y318" s="52"/>
    </row>
    <row r="319" spans="1:25" s="26" customFormat="1" ht="15" customHeight="1" x14ac:dyDescent="0.2">
      <c r="A319" s="55">
        <v>41671.6023263889</v>
      </c>
      <c r="B319" s="52" t="s">
        <v>16</v>
      </c>
      <c r="C319" s="52" t="s">
        <v>913</v>
      </c>
      <c r="D319" s="69">
        <v>41640</v>
      </c>
      <c r="E319" s="52" t="s">
        <v>4301</v>
      </c>
      <c r="F319" s="52" t="s">
        <v>927</v>
      </c>
      <c r="G319" s="52" t="s">
        <v>26</v>
      </c>
      <c r="H319" s="52"/>
      <c r="I319" s="52" t="s">
        <v>3001</v>
      </c>
      <c r="J319" s="95">
        <v>1</v>
      </c>
      <c r="K319" s="118">
        <v>12</v>
      </c>
      <c r="L319" s="148"/>
      <c r="M319" s="146" t="s">
        <v>44</v>
      </c>
      <c r="N319" s="147"/>
      <c r="O319" s="147">
        <v>10</v>
      </c>
      <c r="P319" s="147"/>
      <c r="Q319" s="147"/>
      <c r="R319" s="147"/>
      <c r="S319" s="147"/>
      <c r="T319" s="147"/>
      <c r="U319" s="149"/>
      <c r="V319" s="52"/>
      <c r="W319" s="52"/>
      <c r="X319" s="52"/>
      <c r="Y319" s="52"/>
    </row>
    <row r="320" spans="1:25" s="26" customFormat="1" ht="15" customHeight="1" x14ac:dyDescent="0.2">
      <c r="A320" s="55">
        <v>41671.603009259299</v>
      </c>
      <c r="B320" s="52" t="s">
        <v>16</v>
      </c>
      <c r="C320" s="52" t="s">
        <v>913</v>
      </c>
      <c r="D320" s="69">
        <v>41640</v>
      </c>
      <c r="E320" s="52" t="s">
        <v>4302</v>
      </c>
      <c r="F320" s="52" t="s">
        <v>4303</v>
      </c>
      <c r="G320" s="52" t="s">
        <v>26</v>
      </c>
      <c r="H320" s="52"/>
      <c r="I320" s="52" t="s">
        <v>3001</v>
      </c>
      <c r="J320" s="95">
        <v>1</v>
      </c>
      <c r="K320" s="118">
        <v>8</v>
      </c>
      <c r="L320" s="148"/>
      <c r="M320" s="146" t="s">
        <v>44</v>
      </c>
      <c r="N320" s="147"/>
      <c r="O320" s="147">
        <v>10</v>
      </c>
      <c r="P320" s="147"/>
      <c r="Q320" s="147"/>
      <c r="R320" s="147"/>
      <c r="S320" s="147"/>
      <c r="T320" s="147"/>
      <c r="U320" s="149"/>
      <c r="V320" s="52"/>
      <c r="W320" s="52"/>
      <c r="X320" s="52"/>
      <c r="Y320" s="52"/>
    </row>
    <row r="321" spans="1:25" s="26" customFormat="1" ht="15" customHeight="1" x14ac:dyDescent="0.2">
      <c r="A321" s="55">
        <v>41671.603506944397</v>
      </c>
      <c r="B321" s="52" t="s">
        <v>16</v>
      </c>
      <c r="C321" s="52" t="s">
        <v>913</v>
      </c>
      <c r="D321" s="69">
        <v>41640</v>
      </c>
      <c r="E321" s="52" t="s">
        <v>4295</v>
      </c>
      <c r="F321" s="52" t="s">
        <v>373</v>
      </c>
      <c r="G321" s="52" t="s">
        <v>26</v>
      </c>
      <c r="H321" s="52" t="s">
        <v>3998</v>
      </c>
      <c r="I321" s="52" t="s">
        <v>2986</v>
      </c>
      <c r="J321" s="95">
        <v>1</v>
      </c>
      <c r="K321" s="118">
        <v>6</v>
      </c>
      <c r="L321" s="148"/>
      <c r="M321" s="146" t="s">
        <v>22</v>
      </c>
      <c r="N321" s="147"/>
      <c r="O321" s="147"/>
      <c r="P321" s="147"/>
      <c r="Q321" s="147"/>
      <c r="R321" s="147"/>
      <c r="S321" s="147"/>
      <c r="T321" s="147"/>
      <c r="U321" s="149"/>
      <c r="V321" s="52"/>
      <c r="W321" s="52"/>
      <c r="X321" s="52"/>
      <c r="Y321" s="52"/>
    </row>
    <row r="322" spans="1:25" s="26" customFormat="1" ht="15" customHeight="1" x14ac:dyDescent="0.2">
      <c r="A322" s="55">
        <v>41671.604108796302</v>
      </c>
      <c r="B322" s="52" t="s">
        <v>16</v>
      </c>
      <c r="C322" s="52" t="s">
        <v>913</v>
      </c>
      <c r="D322" s="69">
        <v>41640</v>
      </c>
      <c r="E322" s="52" t="s">
        <v>4296</v>
      </c>
      <c r="F322" s="52" t="s">
        <v>3476</v>
      </c>
      <c r="G322" s="52" t="s">
        <v>26</v>
      </c>
      <c r="H322" s="52" t="s">
        <v>959</v>
      </c>
      <c r="I322" s="52" t="s">
        <v>2986</v>
      </c>
      <c r="J322" s="95">
        <v>1</v>
      </c>
      <c r="K322" s="118">
        <v>0</v>
      </c>
      <c r="L322" s="148"/>
      <c r="M322" s="146" t="s">
        <v>22</v>
      </c>
      <c r="N322" s="147"/>
      <c r="O322" s="147"/>
      <c r="P322" s="147"/>
      <c r="Q322" s="147"/>
      <c r="R322" s="147"/>
      <c r="S322" s="147"/>
      <c r="T322" s="147"/>
      <c r="U322" s="149"/>
      <c r="V322" s="52"/>
      <c r="W322" s="52"/>
      <c r="X322" s="52"/>
      <c r="Y322" s="52"/>
    </row>
    <row r="323" spans="1:25" s="26" customFormat="1" ht="15" customHeight="1" x14ac:dyDescent="0.2">
      <c r="A323" s="55">
        <v>41671.604571759301</v>
      </c>
      <c r="B323" s="52" t="s">
        <v>16</v>
      </c>
      <c r="C323" s="52" t="s">
        <v>913</v>
      </c>
      <c r="D323" s="69">
        <v>41640</v>
      </c>
      <c r="E323" s="52" t="s">
        <v>4299</v>
      </c>
      <c r="F323" s="52" t="s">
        <v>2758</v>
      </c>
      <c r="G323" s="52" t="s">
        <v>26</v>
      </c>
      <c r="H323" s="52"/>
      <c r="I323" s="52" t="s">
        <v>2812</v>
      </c>
      <c r="J323" s="95">
        <v>1</v>
      </c>
      <c r="K323" s="118">
        <v>12</v>
      </c>
      <c r="L323" s="148"/>
      <c r="M323" s="146" t="s">
        <v>22</v>
      </c>
      <c r="N323" s="147"/>
      <c r="O323" s="147"/>
      <c r="P323" s="147"/>
      <c r="Q323" s="147"/>
      <c r="R323" s="147"/>
      <c r="S323" s="147"/>
      <c r="T323" s="147"/>
      <c r="U323" s="149"/>
      <c r="V323" s="52"/>
      <c r="W323" s="52"/>
      <c r="X323" s="52"/>
      <c r="Y323" s="52"/>
    </row>
    <row r="324" spans="1:25" s="26" customFormat="1" ht="15" customHeight="1" x14ac:dyDescent="0.2">
      <c r="A324" s="55">
        <v>41671.605011574102</v>
      </c>
      <c r="B324" s="52" t="s">
        <v>16</v>
      </c>
      <c r="C324" s="52" t="s">
        <v>913</v>
      </c>
      <c r="D324" s="69">
        <v>41640</v>
      </c>
      <c r="E324" s="52" t="s">
        <v>4300</v>
      </c>
      <c r="F324" s="52" t="s">
        <v>931</v>
      </c>
      <c r="G324" s="52" t="s">
        <v>26</v>
      </c>
      <c r="H324" s="52"/>
      <c r="I324" s="52" t="s">
        <v>2812</v>
      </c>
      <c r="J324" s="95">
        <v>1</v>
      </c>
      <c r="K324" s="118">
        <v>0</v>
      </c>
      <c r="L324" s="148"/>
      <c r="M324" s="146" t="s">
        <v>22</v>
      </c>
      <c r="N324" s="147"/>
      <c r="O324" s="147"/>
      <c r="P324" s="147"/>
      <c r="Q324" s="147"/>
      <c r="R324" s="147"/>
      <c r="S324" s="147"/>
      <c r="T324" s="147"/>
      <c r="U324" s="149"/>
      <c r="V324" s="52" t="s">
        <v>4304</v>
      </c>
      <c r="W324" s="52"/>
      <c r="X324" s="52"/>
      <c r="Y324" s="52"/>
    </row>
    <row r="325" spans="1:25" s="26" customFormat="1" ht="15" customHeight="1" x14ac:dyDescent="0.2">
      <c r="A325" s="55">
        <v>41671.605856481503</v>
      </c>
      <c r="B325" s="52" t="s">
        <v>16</v>
      </c>
      <c r="C325" s="52" t="s">
        <v>913</v>
      </c>
      <c r="D325" s="69">
        <v>41640</v>
      </c>
      <c r="E325" s="52" t="s">
        <v>4305</v>
      </c>
      <c r="F325" s="52" t="s">
        <v>4306</v>
      </c>
      <c r="G325" s="52" t="s">
        <v>20</v>
      </c>
      <c r="H325" s="52" t="s">
        <v>4307</v>
      </c>
      <c r="I325" s="52" t="s">
        <v>3001</v>
      </c>
      <c r="J325" s="95">
        <v>2</v>
      </c>
      <c r="K325" s="118">
        <v>24</v>
      </c>
      <c r="L325" s="148">
        <v>24</v>
      </c>
      <c r="M325" s="146" t="s">
        <v>44</v>
      </c>
      <c r="N325" s="147"/>
      <c r="O325" s="147">
        <v>25</v>
      </c>
      <c r="P325" s="147"/>
      <c r="Q325" s="147"/>
      <c r="R325" s="147"/>
      <c r="S325" s="147"/>
      <c r="T325" s="147"/>
      <c r="U325" s="149"/>
      <c r="V325" s="52"/>
      <c r="W325" s="52"/>
      <c r="X325" s="52"/>
      <c r="Y325" s="52"/>
    </row>
    <row r="326" spans="1:25" s="26" customFormat="1" ht="15" customHeight="1" x14ac:dyDescent="0.2">
      <c r="A326" s="55">
        <v>41671.607222222199</v>
      </c>
      <c r="B326" s="52" t="s">
        <v>16</v>
      </c>
      <c r="C326" s="52" t="s">
        <v>913</v>
      </c>
      <c r="D326" s="69">
        <v>41640</v>
      </c>
      <c r="E326" s="52" t="s">
        <v>4295</v>
      </c>
      <c r="F326" s="52" t="s">
        <v>373</v>
      </c>
      <c r="G326" s="52" t="s">
        <v>26</v>
      </c>
      <c r="H326" s="52" t="s">
        <v>4308</v>
      </c>
      <c r="I326" s="52" t="s">
        <v>2986</v>
      </c>
      <c r="J326" s="95">
        <v>1</v>
      </c>
      <c r="K326" s="118">
        <v>25</v>
      </c>
      <c r="L326" s="148"/>
      <c r="M326" s="146" t="s">
        <v>22</v>
      </c>
      <c r="N326" s="147"/>
      <c r="O326" s="147"/>
      <c r="P326" s="147"/>
      <c r="Q326" s="147"/>
      <c r="R326" s="147"/>
      <c r="S326" s="147"/>
      <c r="T326" s="147"/>
      <c r="U326" s="149"/>
      <c r="V326" s="52"/>
      <c r="W326" s="52"/>
      <c r="X326" s="52"/>
      <c r="Y326" s="52"/>
    </row>
    <row r="327" spans="1:25" s="26" customFormat="1" ht="15" customHeight="1" x14ac:dyDescent="0.2">
      <c r="A327" s="55">
        <v>41671.607696759304</v>
      </c>
      <c r="B327" s="52" t="s">
        <v>16</v>
      </c>
      <c r="C327" s="52" t="s">
        <v>913</v>
      </c>
      <c r="D327" s="69">
        <v>41640</v>
      </c>
      <c r="E327" s="52" t="s">
        <v>4296</v>
      </c>
      <c r="F327" s="52" t="s">
        <v>931</v>
      </c>
      <c r="G327" s="52" t="s">
        <v>26</v>
      </c>
      <c r="H327" s="52"/>
      <c r="I327" s="52" t="s">
        <v>2986</v>
      </c>
      <c r="J327" s="95">
        <v>1</v>
      </c>
      <c r="K327" s="118">
        <v>13</v>
      </c>
      <c r="L327" s="148"/>
      <c r="M327" s="146" t="s">
        <v>22</v>
      </c>
      <c r="N327" s="147"/>
      <c r="O327" s="147"/>
      <c r="P327" s="147"/>
      <c r="Q327" s="147"/>
      <c r="R327" s="147"/>
      <c r="S327" s="147"/>
      <c r="T327" s="147"/>
      <c r="U327" s="149"/>
      <c r="V327" s="52"/>
      <c r="W327" s="52"/>
      <c r="X327" s="52"/>
      <c r="Y327" s="52"/>
    </row>
    <row r="328" spans="1:25" s="26" customFormat="1" ht="15" customHeight="1" x14ac:dyDescent="0.2">
      <c r="A328" s="55">
        <v>41671.608275462997</v>
      </c>
      <c r="B328" s="52" t="s">
        <v>16</v>
      </c>
      <c r="C328" s="52" t="s">
        <v>913</v>
      </c>
      <c r="D328" s="69">
        <v>41640</v>
      </c>
      <c r="E328" s="52" t="s">
        <v>4297</v>
      </c>
      <c r="F328" s="52" t="s">
        <v>4298</v>
      </c>
      <c r="G328" s="52" t="s">
        <v>26</v>
      </c>
      <c r="H328" s="52" t="s">
        <v>4309</v>
      </c>
      <c r="I328" s="52" t="s">
        <v>3001</v>
      </c>
      <c r="J328" s="95">
        <v>1</v>
      </c>
      <c r="K328" s="118">
        <v>9</v>
      </c>
      <c r="L328" s="148">
        <v>9</v>
      </c>
      <c r="M328" s="146" t="s">
        <v>44</v>
      </c>
      <c r="N328" s="147"/>
      <c r="O328" s="147">
        <v>10</v>
      </c>
      <c r="P328" s="147"/>
      <c r="Q328" s="147"/>
      <c r="R328" s="147"/>
      <c r="S328" s="147"/>
      <c r="T328" s="147"/>
      <c r="U328" s="149"/>
      <c r="V328" s="52"/>
      <c r="W328" s="52"/>
      <c r="X328" s="52"/>
      <c r="Y328" s="52"/>
    </row>
    <row r="329" spans="1:25" s="26" customFormat="1" ht="15" customHeight="1" x14ac:dyDescent="0.2">
      <c r="A329" s="55">
        <v>41671.608865740702</v>
      </c>
      <c r="B329" s="52" t="s">
        <v>16</v>
      </c>
      <c r="C329" s="52" t="s">
        <v>913</v>
      </c>
      <c r="D329" s="69">
        <v>41640</v>
      </c>
      <c r="E329" s="52" t="s">
        <v>4299</v>
      </c>
      <c r="F329" s="52" t="s">
        <v>4310</v>
      </c>
      <c r="G329" s="52" t="s">
        <v>26</v>
      </c>
      <c r="H329" s="52"/>
      <c r="I329" s="52" t="s">
        <v>3001</v>
      </c>
      <c r="J329" s="95">
        <v>1</v>
      </c>
      <c r="K329" s="118">
        <v>18</v>
      </c>
      <c r="L329" s="148">
        <v>50</v>
      </c>
      <c r="M329" s="146" t="s">
        <v>44</v>
      </c>
      <c r="N329" s="147"/>
      <c r="O329" s="147">
        <v>10</v>
      </c>
      <c r="P329" s="147"/>
      <c r="Q329" s="147"/>
      <c r="R329" s="147"/>
      <c r="S329" s="147"/>
      <c r="T329" s="147"/>
      <c r="U329" s="149"/>
      <c r="V329" s="52"/>
      <c r="W329" s="52"/>
      <c r="X329" s="52"/>
      <c r="Y329" s="52"/>
    </row>
    <row r="330" spans="1:25" s="26" customFormat="1" ht="15" customHeight="1" x14ac:dyDescent="0.2">
      <c r="A330" s="55">
        <v>41671.609363425901</v>
      </c>
      <c r="B330" s="52" t="s">
        <v>16</v>
      </c>
      <c r="C330" s="52" t="s">
        <v>913</v>
      </c>
      <c r="D330" s="69">
        <v>41640</v>
      </c>
      <c r="E330" s="52" t="s">
        <v>4300</v>
      </c>
      <c r="F330" s="52" t="s">
        <v>3993</v>
      </c>
      <c r="G330" s="52" t="s">
        <v>26</v>
      </c>
      <c r="H330" s="52"/>
      <c r="I330" s="52" t="s">
        <v>2986</v>
      </c>
      <c r="J330" s="95">
        <v>1</v>
      </c>
      <c r="K330" s="118">
        <v>12</v>
      </c>
      <c r="L330" s="148">
        <v>12</v>
      </c>
      <c r="M330" s="146" t="s">
        <v>22</v>
      </c>
      <c r="N330" s="147"/>
      <c r="O330" s="147"/>
      <c r="P330" s="147"/>
      <c r="Q330" s="147"/>
      <c r="R330" s="147"/>
      <c r="S330" s="147"/>
      <c r="T330" s="147"/>
      <c r="U330" s="149"/>
      <c r="V330" s="52"/>
      <c r="W330" s="52"/>
      <c r="X330" s="52"/>
      <c r="Y330" s="52"/>
    </row>
    <row r="331" spans="1:25" s="26" customFormat="1" ht="15" customHeight="1" x14ac:dyDescent="0.2">
      <c r="A331" s="55">
        <v>41671.609849537002</v>
      </c>
      <c r="B331" s="52" t="s">
        <v>16</v>
      </c>
      <c r="C331" s="52" t="s">
        <v>913</v>
      </c>
      <c r="D331" s="69">
        <v>41640</v>
      </c>
      <c r="E331" s="52" t="s">
        <v>4311</v>
      </c>
      <c r="F331" s="52" t="s">
        <v>927</v>
      </c>
      <c r="G331" s="52" t="s">
        <v>26</v>
      </c>
      <c r="H331" s="52"/>
      <c r="I331" s="52" t="s">
        <v>2986</v>
      </c>
      <c r="J331" s="95">
        <v>1</v>
      </c>
      <c r="K331" s="118">
        <v>1</v>
      </c>
      <c r="L331" s="148">
        <v>1</v>
      </c>
      <c r="M331" s="146" t="s">
        <v>22</v>
      </c>
      <c r="N331" s="147"/>
      <c r="O331" s="147"/>
      <c r="P331" s="147"/>
      <c r="Q331" s="147"/>
      <c r="R331" s="147"/>
      <c r="S331" s="147"/>
      <c r="T331" s="147"/>
      <c r="U331" s="149"/>
      <c r="V331" s="52"/>
      <c r="W331" s="52"/>
      <c r="X331" s="52"/>
      <c r="Y331" s="52"/>
    </row>
    <row r="332" spans="1:25" s="26" customFormat="1" ht="15" customHeight="1" x14ac:dyDescent="0.2">
      <c r="A332" s="55">
        <v>41671.610717592601</v>
      </c>
      <c r="B332" s="52" t="s">
        <v>16</v>
      </c>
      <c r="C332" s="52" t="s">
        <v>913</v>
      </c>
      <c r="D332" s="69">
        <v>41640</v>
      </c>
      <c r="E332" s="52" t="s">
        <v>4312</v>
      </c>
      <c r="F332" s="52" t="s">
        <v>4313</v>
      </c>
      <c r="G332" s="52" t="s">
        <v>42</v>
      </c>
      <c r="H332" s="52" t="s">
        <v>4314</v>
      </c>
      <c r="I332" s="52" t="s">
        <v>3001</v>
      </c>
      <c r="J332" s="95">
        <v>1</v>
      </c>
      <c r="K332" s="118">
        <v>25</v>
      </c>
      <c r="L332" s="148">
        <v>115</v>
      </c>
      <c r="M332" s="146" t="s">
        <v>44</v>
      </c>
      <c r="N332" s="147"/>
      <c r="O332" s="147">
        <v>20</v>
      </c>
      <c r="P332" s="147"/>
      <c r="Q332" s="147"/>
      <c r="R332" s="147"/>
      <c r="S332" s="147"/>
      <c r="T332" s="147"/>
      <c r="U332" s="149"/>
      <c r="V332" s="52"/>
      <c r="W332" s="52"/>
      <c r="X332" s="52"/>
      <c r="Y332" s="52"/>
    </row>
    <row r="333" spans="1:25" s="26" customFormat="1" ht="15" customHeight="1" x14ac:dyDescent="0.2">
      <c r="A333" s="55">
        <v>41671.611226851899</v>
      </c>
      <c r="B333" s="52" t="s">
        <v>16</v>
      </c>
      <c r="C333" s="52" t="s">
        <v>913</v>
      </c>
      <c r="D333" s="69">
        <v>41640</v>
      </c>
      <c r="E333" s="52" t="s">
        <v>4315</v>
      </c>
      <c r="F333" s="52" t="s">
        <v>575</v>
      </c>
      <c r="G333" s="52" t="s">
        <v>26</v>
      </c>
      <c r="H333" s="52"/>
      <c r="I333" s="52" t="s">
        <v>3001</v>
      </c>
      <c r="J333" s="95">
        <v>1</v>
      </c>
      <c r="K333" s="118">
        <v>3</v>
      </c>
      <c r="L333" s="148">
        <v>3</v>
      </c>
      <c r="M333" s="146" t="s">
        <v>44</v>
      </c>
      <c r="N333" s="147"/>
      <c r="O333" s="147">
        <v>5</v>
      </c>
      <c r="P333" s="147"/>
      <c r="Q333" s="147"/>
      <c r="R333" s="147"/>
      <c r="S333" s="147"/>
      <c r="T333" s="147"/>
      <c r="U333" s="149"/>
      <c r="V333" s="52"/>
      <c r="W333" s="52"/>
      <c r="X333" s="52"/>
      <c r="Y333" s="52"/>
    </row>
    <row r="334" spans="1:25" s="26" customFormat="1" ht="15" customHeight="1" x14ac:dyDescent="0.2">
      <c r="A334" s="55">
        <v>41671.611655092602</v>
      </c>
      <c r="B334" s="52" t="s">
        <v>16</v>
      </c>
      <c r="C334" s="52" t="s">
        <v>913</v>
      </c>
      <c r="D334" s="69">
        <v>41640</v>
      </c>
      <c r="E334" s="52" t="s">
        <v>4316</v>
      </c>
      <c r="F334" s="52" t="s">
        <v>3486</v>
      </c>
      <c r="G334" s="52" t="s">
        <v>26</v>
      </c>
      <c r="H334" s="52"/>
      <c r="I334" s="52" t="s">
        <v>2986</v>
      </c>
      <c r="J334" s="95">
        <v>1</v>
      </c>
      <c r="K334" s="118">
        <v>0</v>
      </c>
      <c r="L334" s="148"/>
      <c r="M334" s="146" t="s">
        <v>22</v>
      </c>
      <c r="N334" s="147"/>
      <c r="O334" s="147"/>
      <c r="P334" s="147"/>
      <c r="Q334" s="147"/>
      <c r="R334" s="147"/>
      <c r="S334" s="147"/>
      <c r="T334" s="147"/>
      <c r="U334" s="149"/>
      <c r="V334" s="52"/>
      <c r="W334" s="52"/>
      <c r="X334" s="52"/>
      <c r="Y334" s="52"/>
    </row>
    <row r="335" spans="1:25" s="26" customFormat="1" ht="15" customHeight="1" x14ac:dyDescent="0.2">
      <c r="A335" s="55">
        <v>41671.612280092602</v>
      </c>
      <c r="B335" s="52" t="s">
        <v>16</v>
      </c>
      <c r="C335" s="52" t="s">
        <v>913</v>
      </c>
      <c r="D335" s="69">
        <v>41640</v>
      </c>
      <c r="E335" s="52" t="s">
        <v>4295</v>
      </c>
      <c r="F335" s="52" t="s">
        <v>373</v>
      </c>
      <c r="G335" s="52" t="s">
        <v>26</v>
      </c>
      <c r="H335" s="52" t="s">
        <v>4317</v>
      </c>
      <c r="I335" s="52" t="s">
        <v>2986</v>
      </c>
      <c r="J335" s="95">
        <v>1</v>
      </c>
      <c r="K335" s="118">
        <v>14</v>
      </c>
      <c r="L335" s="148"/>
      <c r="M335" s="146" t="s">
        <v>22</v>
      </c>
      <c r="N335" s="147"/>
      <c r="O335" s="147"/>
      <c r="P335" s="147"/>
      <c r="Q335" s="147"/>
      <c r="R335" s="147"/>
      <c r="S335" s="147"/>
      <c r="T335" s="147"/>
      <c r="U335" s="149"/>
      <c r="V335" s="52"/>
      <c r="W335" s="52"/>
      <c r="X335" s="52"/>
      <c r="Y335" s="52"/>
    </row>
    <row r="336" spans="1:25" s="26" customFormat="1" ht="15" customHeight="1" x14ac:dyDescent="0.2">
      <c r="A336" s="55">
        <v>41671.612673611096</v>
      </c>
      <c r="B336" s="52" t="s">
        <v>16</v>
      </c>
      <c r="C336" s="52" t="s">
        <v>913</v>
      </c>
      <c r="D336" s="69">
        <v>41640</v>
      </c>
      <c r="E336" s="52" t="s">
        <v>4296</v>
      </c>
      <c r="F336" s="52" t="s">
        <v>931</v>
      </c>
      <c r="G336" s="52" t="s">
        <v>26</v>
      </c>
      <c r="H336" s="52"/>
      <c r="I336" s="52" t="s">
        <v>3001</v>
      </c>
      <c r="J336" s="95">
        <v>1</v>
      </c>
      <c r="K336" s="118">
        <v>45</v>
      </c>
      <c r="L336" s="148"/>
      <c r="M336" s="146" t="s">
        <v>44</v>
      </c>
      <c r="N336" s="147"/>
      <c r="O336" s="147">
        <v>20</v>
      </c>
      <c r="P336" s="147"/>
      <c r="Q336" s="147"/>
      <c r="R336" s="147"/>
      <c r="S336" s="147"/>
      <c r="T336" s="147"/>
      <c r="U336" s="149"/>
      <c r="V336" s="52"/>
      <c r="W336" s="52"/>
      <c r="X336" s="52"/>
      <c r="Y336" s="52"/>
    </row>
    <row r="337" spans="1:25" s="26" customFormat="1" ht="15" customHeight="1" x14ac:dyDescent="0.2">
      <c r="A337" s="55">
        <v>41671.613263888903</v>
      </c>
      <c r="B337" s="52" t="s">
        <v>16</v>
      </c>
      <c r="C337" s="52" t="s">
        <v>913</v>
      </c>
      <c r="D337" s="69">
        <v>41640</v>
      </c>
      <c r="E337" s="52" t="s">
        <v>4297</v>
      </c>
      <c r="F337" s="52" t="s">
        <v>828</v>
      </c>
      <c r="G337" s="52" t="s">
        <v>26</v>
      </c>
      <c r="H337" s="52"/>
      <c r="I337" s="52" t="s">
        <v>3001</v>
      </c>
      <c r="J337" s="95">
        <v>1</v>
      </c>
      <c r="K337" s="118">
        <v>6</v>
      </c>
      <c r="L337" s="148"/>
      <c r="M337" s="146" t="s">
        <v>44</v>
      </c>
      <c r="N337" s="147"/>
      <c r="O337" s="147">
        <v>15</v>
      </c>
      <c r="P337" s="147"/>
      <c r="Q337" s="147"/>
      <c r="R337" s="147"/>
      <c r="S337" s="147"/>
      <c r="T337" s="147"/>
      <c r="U337" s="149"/>
      <c r="V337" s="52"/>
      <c r="W337" s="52"/>
      <c r="X337" s="52"/>
      <c r="Y337" s="52"/>
    </row>
    <row r="338" spans="1:25" s="26" customFormat="1" ht="15" customHeight="1" x14ac:dyDescent="0.2">
      <c r="A338" s="55">
        <v>41671.614062499997</v>
      </c>
      <c r="B338" s="52" t="s">
        <v>16</v>
      </c>
      <c r="C338" s="52" t="s">
        <v>913</v>
      </c>
      <c r="D338" s="69">
        <v>41640</v>
      </c>
      <c r="E338" s="52" t="s">
        <v>4318</v>
      </c>
      <c r="F338" s="52" t="s">
        <v>4319</v>
      </c>
      <c r="G338" s="52" t="s">
        <v>26</v>
      </c>
      <c r="H338" s="52"/>
      <c r="I338" s="52" t="s">
        <v>3265</v>
      </c>
      <c r="J338" s="95">
        <v>3</v>
      </c>
      <c r="K338" s="118">
        <v>10</v>
      </c>
      <c r="L338" s="148">
        <v>750</v>
      </c>
      <c r="M338" s="146" t="s">
        <v>44</v>
      </c>
      <c r="N338" s="147"/>
      <c r="O338" s="147">
        <v>25</v>
      </c>
      <c r="P338" s="147"/>
      <c r="Q338" s="147"/>
      <c r="R338" s="147"/>
      <c r="S338" s="147"/>
      <c r="T338" s="147"/>
      <c r="U338" s="149">
        <v>600</v>
      </c>
      <c r="V338" s="52"/>
      <c r="W338" s="52"/>
      <c r="X338" s="52"/>
      <c r="Y338" s="52"/>
    </row>
    <row r="339" spans="1:25" s="26" customFormat="1" ht="15" customHeight="1" x14ac:dyDescent="0.2">
      <c r="A339" s="55">
        <v>41671.614884259303</v>
      </c>
      <c r="B339" s="52" t="s">
        <v>16</v>
      </c>
      <c r="C339" s="52" t="s">
        <v>913</v>
      </c>
      <c r="D339" s="69">
        <v>41640</v>
      </c>
      <c r="E339" s="52" t="s">
        <v>4320</v>
      </c>
      <c r="F339" s="52" t="s">
        <v>4321</v>
      </c>
      <c r="G339" s="52" t="s">
        <v>42</v>
      </c>
      <c r="H339" s="52" t="s">
        <v>1975</v>
      </c>
      <c r="I339" s="52" t="s">
        <v>3001</v>
      </c>
      <c r="J339" s="95">
        <v>1</v>
      </c>
      <c r="K339" s="118">
        <v>25</v>
      </c>
      <c r="L339" s="148">
        <v>115</v>
      </c>
      <c r="M339" s="146" t="s">
        <v>44</v>
      </c>
      <c r="N339" s="147"/>
      <c r="O339" s="147">
        <v>25</v>
      </c>
      <c r="P339" s="147"/>
      <c r="Q339" s="147"/>
      <c r="R339" s="147"/>
      <c r="S339" s="147"/>
      <c r="T339" s="147"/>
      <c r="U339" s="149"/>
      <c r="V339" s="52"/>
      <c r="W339" s="52"/>
      <c r="X339" s="52"/>
      <c r="Y339" s="52"/>
    </row>
    <row r="340" spans="1:25" s="26" customFormat="1" ht="15" customHeight="1" x14ac:dyDescent="0.2">
      <c r="A340" s="55">
        <v>41671.615439814799</v>
      </c>
      <c r="B340" s="52" t="s">
        <v>16</v>
      </c>
      <c r="C340" s="52" t="s">
        <v>913</v>
      </c>
      <c r="D340" s="69">
        <v>41640</v>
      </c>
      <c r="E340" s="52" t="s">
        <v>4322</v>
      </c>
      <c r="F340" s="52" t="s">
        <v>927</v>
      </c>
      <c r="G340" s="52" t="s">
        <v>26</v>
      </c>
      <c r="H340" s="52"/>
      <c r="I340" s="52" t="s">
        <v>2986</v>
      </c>
      <c r="J340" s="95">
        <v>1</v>
      </c>
      <c r="K340" s="118">
        <v>36</v>
      </c>
      <c r="L340" s="148">
        <v>36</v>
      </c>
      <c r="M340" s="146" t="s">
        <v>22</v>
      </c>
      <c r="N340" s="147"/>
      <c r="O340" s="147"/>
      <c r="P340" s="147"/>
      <c r="Q340" s="147"/>
      <c r="R340" s="147"/>
      <c r="S340" s="147"/>
      <c r="T340" s="147"/>
      <c r="U340" s="149"/>
      <c r="V340" s="52"/>
      <c r="W340" s="52"/>
      <c r="X340" s="52"/>
      <c r="Y340" s="52"/>
    </row>
    <row r="341" spans="1:25" s="26" customFormat="1" ht="15" customHeight="1" x14ac:dyDescent="0.2">
      <c r="A341" s="55">
        <v>41674.341388888897</v>
      </c>
      <c r="B341" s="52" t="s">
        <v>16</v>
      </c>
      <c r="C341" s="52" t="s">
        <v>913</v>
      </c>
      <c r="D341" s="69">
        <v>41640</v>
      </c>
      <c r="E341" s="52" t="s">
        <v>4386</v>
      </c>
      <c r="F341" s="52" t="s">
        <v>1630</v>
      </c>
      <c r="G341" s="52" t="s">
        <v>60</v>
      </c>
      <c r="H341" s="52" t="s">
        <v>1630</v>
      </c>
      <c r="I341" s="52"/>
      <c r="J341" s="95">
        <v>1</v>
      </c>
      <c r="K341" s="118">
        <v>249</v>
      </c>
      <c r="L341" s="148"/>
      <c r="M341" s="146" t="s">
        <v>22</v>
      </c>
      <c r="N341" s="147"/>
      <c r="O341" s="147"/>
      <c r="P341" s="147"/>
      <c r="Q341" s="147"/>
      <c r="R341" s="147"/>
      <c r="S341" s="147"/>
      <c r="T341" s="147"/>
      <c r="U341" s="149">
        <v>33</v>
      </c>
      <c r="V341" s="52"/>
      <c r="W341" s="52"/>
      <c r="X341" s="52"/>
      <c r="Y341" s="52"/>
    </row>
    <row r="342" spans="1:25" s="26" customFormat="1" ht="15" customHeight="1" x14ac:dyDescent="0.2">
      <c r="A342" s="32">
        <v>41702.389409722222</v>
      </c>
      <c r="B342" s="26" t="s">
        <v>16</v>
      </c>
      <c r="C342" s="26" t="s">
        <v>913</v>
      </c>
      <c r="D342" s="33">
        <v>41671</v>
      </c>
      <c r="E342" s="26" t="s">
        <v>4822</v>
      </c>
      <c r="F342" s="26" t="s">
        <v>3993</v>
      </c>
      <c r="G342" s="26" t="s">
        <v>26</v>
      </c>
      <c r="I342" s="26" t="s">
        <v>2986</v>
      </c>
      <c r="J342" s="46">
        <v>1</v>
      </c>
      <c r="K342" s="46">
        <v>0</v>
      </c>
      <c r="L342" s="136"/>
      <c r="M342" s="137" t="s">
        <v>22</v>
      </c>
      <c r="N342" s="138"/>
      <c r="O342" s="138"/>
      <c r="P342" s="138"/>
      <c r="Q342" s="138"/>
      <c r="R342" s="138"/>
      <c r="S342" s="138"/>
      <c r="T342" s="138"/>
      <c r="U342" s="138"/>
    </row>
    <row r="343" spans="1:25" s="26" customFormat="1" ht="15" customHeight="1" x14ac:dyDescent="0.2">
      <c r="A343" s="32">
        <v>41702.390069444446</v>
      </c>
      <c r="B343" s="26" t="s">
        <v>16</v>
      </c>
      <c r="C343" s="26" t="s">
        <v>913</v>
      </c>
      <c r="D343" s="33">
        <v>41671</v>
      </c>
      <c r="E343" s="26" t="s">
        <v>4823</v>
      </c>
      <c r="F343" s="26" t="s">
        <v>2665</v>
      </c>
      <c r="G343" s="26" t="s">
        <v>20</v>
      </c>
      <c r="H343" s="26" t="s">
        <v>4824</v>
      </c>
      <c r="I343" s="26" t="s">
        <v>3001</v>
      </c>
      <c r="J343" s="46">
        <v>1</v>
      </c>
      <c r="K343" s="46">
        <v>7</v>
      </c>
      <c r="L343" s="136">
        <v>10</v>
      </c>
      <c r="M343" s="137" t="s">
        <v>22</v>
      </c>
      <c r="N343" s="138"/>
      <c r="O343" s="138"/>
      <c r="P343" s="138"/>
      <c r="Q343" s="138"/>
      <c r="R343" s="138"/>
      <c r="S343" s="138"/>
      <c r="T343" s="138"/>
      <c r="U343" s="138"/>
    </row>
    <row r="344" spans="1:25" s="26" customFormat="1" ht="15" customHeight="1" x14ac:dyDescent="0.2">
      <c r="A344" s="32">
        <v>41702.391261574077</v>
      </c>
      <c r="B344" s="26" t="s">
        <v>16</v>
      </c>
      <c r="C344" s="26" t="s">
        <v>913</v>
      </c>
      <c r="D344" s="33">
        <v>41671</v>
      </c>
      <c r="E344" s="26" t="s">
        <v>4825</v>
      </c>
      <c r="F344" s="26" t="s">
        <v>4826</v>
      </c>
      <c r="G344" s="26" t="s">
        <v>351</v>
      </c>
      <c r="H344" s="26" t="s">
        <v>575</v>
      </c>
      <c r="I344" s="26" t="s">
        <v>3471</v>
      </c>
      <c r="J344" s="46">
        <v>1</v>
      </c>
      <c r="K344" s="46">
        <v>75</v>
      </c>
      <c r="L344" s="136"/>
      <c r="M344" s="137" t="s">
        <v>22</v>
      </c>
      <c r="N344" s="138"/>
      <c r="O344" s="138"/>
      <c r="P344" s="138"/>
      <c r="Q344" s="138"/>
      <c r="R344" s="138"/>
      <c r="S344" s="138"/>
      <c r="T344" s="138"/>
      <c r="U344" s="138"/>
    </row>
    <row r="345" spans="1:25" s="26" customFormat="1" ht="15" customHeight="1" x14ac:dyDescent="0.2">
      <c r="A345" s="32">
        <v>41702.391909722224</v>
      </c>
      <c r="B345" s="26" t="s">
        <v>16</v>
      </c>
      <c r="C345" s="26" t="s">
        <v>913</v>
      </c>
      <c r="D345" s="33">
        <v>41671</v>
      </c>
      <c r="E345" s="26" t="s">
        <v>4299</v>
      </c>
      <c r="F345" s="26" t="s">
        <v>927</v>
      </c>
      <c r="G345" s="26" t="s">
        <v>26</v>
      </c>
      <c r="I345" s="26" t="s">
        <v>2986</v>
      </c>
      <c r="J345" s="46">
        <v>1</v>
      </c>
      <c r="K345" s="46">
        <v>1</v>
      </c>
      <c r="L345" s="136">
        <v>1</v>
      </c>
      <c r="M345" s="137" t="s">
        <v>22</v>
      </c>
      <c r="N345" s="138"/>
      <c r="O345" s="138"/>
      <c r="P345" s="138"/>
      <c r="Q345" s="138"/>
      <c r="R345" s="138"/>
      <c r="S345" s="138"/>
      <c r="T345" s="138"/>
      <c r="U345" s="138"/>
    </row>
    <row r="346" spans="1:25" s="26" customFormat="1" ht="15" customHeight="1" x14ac:dyDescent="0.2">
      <c r="A346" s="32">
        <v>41702.392754629633</v>
      </c>
      <c r="B346" s="26" t="s">
        <v>16</v>
      </c>
      <c r="C346" s="26" t="s">
        <v>913</v>
      </c>
      <c r="D346" s="33">
        <v>41671</v>
      </c>
      <c r="E346" s="26" t="s">
        <v>4311</v>
      </c>
      <c r="F346" s="26" t="s">
        <v>927</v>
      </c>
      <c r="G346" s="26" t="s">
        <v>26</v>
      </c>
      <c r="I346" s="26" t="s">
        <v>2986</v>
      </c>
      <c r="J346" s="46">
        <v>1</v>
      </c>
      <c r="K346" s="46">
        <v>8</v>
      </c>
      <c r="L346" s="136">
        <v>7</v>
      </c>
      <c r="M346" s="137" t="s">
        <v>22</v>
      </c>
      <c r="N346" s="138"/>
      <c r="O346" s="138"/>
      <c r="P346" s="138"/>
      <c r="Q346" s="138"/>
      <c r="R346" s="138"/>
      <c r="S346" s="138"/>
      <c r="T346" s="138"/>
      <c r="U346" s="138"/>
    </row>
    <row r="347" spans="1:25" s="26" customFormat="1" ht="15" customHeight="1" x14ac:dyDescent="0.2">
      <c r="A347" s="32">
        <v>41702.393437500003</v>
      </c>
      <c r="B347" s="26" t="s">
        <v>16</v>
      </c>
      <c r="C347" s="26" t="s">
        <v>913</v>
      </c>
      <c r="D347" s="33">
        <v>41671</v>
      </c>
      <c r="E347" s="26" t="s">
        <v>4315</v>
      </c>
      <c r="F347" s="26" t="s">
        <v>4827</v>
      </c>
      <c r="G347" s="26" t="s">
        <v>26</v>
      </c>
      <c r="I347" s="26" t="s">
        <v>4828</v>
      </c>
      <c r="J347" s="46">
        <v>1</v>
      </c>
      <c r="K347" s="46">
        <v>27</v>
      </c>
      <c r="L347" s="136">
        <v>27</v>
      </c>
      <c r="M347" s="137" t="s">
        <v>22</v>
      </c>
      <c r="N347" s="138"/>
      <c r="O347" s="138"/>
      <c r="P347" s="138"/>
      <c r="Q347" s="138"/>
      <c r="R347" s="138"/>
      <c r="S347" s="138"/>
      <c r="T347" s="138"/>
      <c r="U347" s="138"/>
    </row>
    <row r="348" spans="1:25" s="26" customFormat="1" ht="15" customHeight="1" x14ac:dyDescent="0.2">
      <c r="A348" s="32">
        <v>41702.39403935185</v>
      </c>
      <c r="B348" s="26" t="s">
        <v>16</v>
      </c>
      <c r="C348" s="26" t="s">
        <v>913</v>
      </c>
      <c r="D348" s="33">
        <v>41671</v>
      </c>
      <c r="E348" s="26" t="s">
        <v>4829</v>
      </c>
      <c r="F348" s="26" t="s">
        <v>921</v>
      </c>
      <c r="G348" s="26" t="s">
        <v>26</v>
      </c>
      <c r="H348" s="26" t="s">
        <v>4830</v>
      </c>
      <c r="I348" s="26" t="s">
        <v>2986</v>
      </c>
      <c r="J348" s="46">
        <v>1</v>
      </c>
      <c r="K348" s="46">
        <v>6</v>
      </c>
      <c r="L348" s="136">
        <v>20</v>
      </c>
      <c r="M348" s="137" t="s">
        <v>22</v>
      </c>
      <c r="N348" s="138"/>
      <c r="O348" s="138"/>
      <c r="P348" s="138"/>
      <c r="Q348" s="138"/>
      <c r="R348" s="138"/>
      <c r="S348" s="138"/>
      <c r="T348" s="138"/>
      <c r="U348" s="138"/>
    </row>
    <row r="349" spans="1:25" s="26" customFormat="1" ht="15" customHeight="1" x14ac:dyDescent="0.2">
      <c r="A349" s="32">
        <v>41702.394548611112</v>
      </c>
      <c r="B349" s="26" t="s">
        <v>16</v>
      </c>
      <c r="C349" s="26" t="s">
        <v>913</v>
      </c>
      <c r="D349" s="33">
        <v>41671</v>
      </c>
      <c r="E349" s="26" t="s">
        <v>4831</v>
      </c>
      <c r="F349" s="26" t="s">
        <v>4832</v>
      </c>
      <c r="G349" s="26" t="s">
        <v>26</v>
      </c>
      <c r="H349" s="26" t="s">
        <v>4830</v>
      </c>
      <c r="I349" s="26" t="s">
        <v>2986</v>
      </c>
      <c r="J349" s="46">
        <v>1</v>
      </c>
      <c r="K349" s="46">
        <v>5</v>
      </c>
      <c r="L349" s="136"/>
      <c r="M349" s="137" t="s">
        <v>22</v>
      </c>
      <c r="N349" s="138"/>
      <c r="O349" s="138"/>
      <c r="P349" s="138"/>
      <c r="Q349" s="138"/>
      <c r="R349" s="138"/>
      <c r="S349" s="138"/>
      <c r="T349" s="138"/>
      <c r="U349" s="138"/>
    </row>
    <row r="350" spans="1:25" s="26" customFormat="1" ht="15" customHeight="1" x14ac:dyDescent="0.2">
      <c r="A350" s="32">
        <v>41702.395115740743</v>
      </c>
      <c r="B350" s="26" t="s">
        <v>16</v>
      </c>
      <c r="C350" s="26" t="s">
        <v>913</v>
      </c>
      <c r="D350" s="33">
        <v>41671</v>
      </c>
      <c r="E350" s="26" t="s">
        <v>4299</v>
      </c>
      <c r="F350" s="26" t="s">
        <v>927</v>
      </c>
      <c r="G350" s="26" t="s">
        <v>26</v>
      </c>
      <c r="I350" s="26" t="s">
        <v>2986</v>
      </c>
      <c r="J350" s="46">
        <v>1</v>
      </c>
      <c r="K350" s="46">
        <v>29</v>
      </c>
      <c r="L350" s="136">
        <v>27</v>
      </c>
      <c r="M350" s="137" t="s">
        <v>22</v>
      </c>
      <c r="N350" s="138"/>
      <c r="O350" s="138"/>
      <c r="P350" s="138"/>
      <c r="Q350" s="138"/>
      <c r="R350" s="138"/>
      <c r="S350" s="138"/>
      <c r="T350" s="138"/>
      <c r="U350" s="138"/>
    </row>
    <row r="351" spans="1:25" s="26" customFormat="1" ht="15" customHeight="1" x14ac:dyDescent="0.2">
      <c r="A351" s="32">
        <v>41702.395787037036</v>
      </c>
      <c r="B351" s="26" t="s">
        <v>16</v>
      </c>
      <c r="C351" s="26" t="s">
        <v>913</v>
      </c>
      <c r="D351" s="33">
        <v>41671</v>
      </c>
      <c r="E351" s="26" t="s">
        <v>4322</v>
      </c>
      <c r="F351" s="26" t="s">
        <v>4827</v>
      </c>
      <c r="G351" s="26" t="s">
        <v>26</v>
      </c>
      <c r="I351" s="26" t="s">
        <v>4828</v>
      </c>
      <c r="J351" s="46">
        <v>1</v>
      </c>
      <c r="K351" s="46">
        <v>15</v>
      </c>
      <c r="L351" s="136">
        <v>15</v>
      </c>
      <c r="M351" s="137" t="s">
        <v>44</v>
      </c>
      <c r="N351" s="138"/>
      <c r="O351" s="138">
        <v>5</v>
      </c>
      <c r="P351" s="138"/>
      <c r="Q351" s="138"/>
      <c r="R351" s="138"/>
      <c r="S351" s="138"/>
      <c r="T351" s="138"/>
      <c r="U351" s="138"/>
    </row>
    <row r="352" spans="1:25" s="26" customFormat="1" ht="15" customHeight="1" x14ac:dyDescent="0.2">
      <c r="A352" s="32">
        <v>41702.396793981483</v>
      </c>
      <c r="B352" s="26" t="s">
        <v>16</v>
      </c>
      <c r="C352" s="26" t="s">
        <v>913</v>
      </c>
      <c r="D352" s="33">
        <v>41671</v>
      </c>
      <c r="E352" s="26" t="s">
        <v>4833</v>
      </c>
      <c r="F352" s="26" t="s">
        <v>4834</v>
      </c>
      <c r="G352" s="34" t="s">
        <v>20</v>
      </c>
      <c r="H352" s="26" t="s">
        <v>4835</v>
      </c>
      <c r="I352" s="26" t="s">
        <v>2986</v>
      </c>
      <c r="J352" s="46">
        <v>2</v>
      </c>
      <c r="K352" s="46">
        <v>13</v>
      </c>
      <c r="L352" s="136">
        <v>12</v>
      </c>
      <c r="M352" s="137" t="s">
        <v>22</v>
      </c>
      <c r="N352" s="138"/>
      <c r="O352" s="138"/>
      <c r="P352" s="138"/>
      <c r="Q352" s="138"/>
      <c r="R352" s="138"/>
      <c r="S352" s="138"/>
      <c r="T352" s="138"/>
      <c r="U352" s="138"/>
    </row>
    <row r="353" spans="1:21" s="26" customFormat="1" ht="15" customHeight="1" x14ac:dyDescent="0.2">
      <c r="A353" s="32">
        <v>41702.397372685184</v>
      </c>
      <c r="B353" s="26" t="s">
        <v>16</v>
      </c>
      <c r="C353" s="26" t="s">
        <v>913</v>
      </c>
      <c r="D353" s="33">
        <v>41671</v>
      </c>
      <c r="E353" s="26" t="s">
        <v>4292</v>
      </c>
      <c r="F353" s="26" t="s">
        <v>952</v>
      </c>
      <c r="G353" s="26" t="s">
        <v>351</v>
      </c>
      <c r="H353" s="26" t="s">
        <v>4836</v>
      </c>
      <c r="I353" s="26" t="s">
        <v>3001</v>
      </c>
      <c r="J353" s="46">
        <v>1</v>
      </c>
      <c r="K353" s="46">
        <v>22</v>
      </c>
      <c r="L353" s="136">
        <v>22</v>
      </c>
      <c r="M353" s="137" t="s">
        <v>22</v>
      </c>
      <c r="N353" s="138"/>
      <c r="O353" s="138"/>
      <c r="P353" s="138"/>
      <c r="Q353" s="138"/>
      <c r="R353" s="138"/>
      <c r="S353" s="138"/>
      <c r="T353" s="138"/>
      <c r="U353" s="138"/>
    </row>
    <row r="354" spans="1:21" s="26" customFormat="1" ht="15" customHeight="1" x14ac:dyDescent="0.2">
      <c r="A354" s="32">
        <v>41702.398043981484</v>
      </c>
      <c r="B354" s="26" t="s">
        <v>16</v>
      </c>
      <c r="C354" s="26" t="s">
        <v>913</v>
      </c>
      <c r="D354" s="33">
        <v>41671</v>
      </c>
      <c r="E354" s="26" t="s">
        <v>4837</v>
      </c>
      <c r="F354" s="26" t="s">
        <v>4838</v>
      </c>
      <c r="G354" s="26" t="s">
        <v>351</v>
      </c>
      <c r="H354" s="26" t="s">
        <v>4839</v>
      </c>
      <c r="I354" s="26" t="s">
        <v>4828</v>
      </c>
      <c r="J354" s="46">
        <v>1</v>
      </c>
      <c r="K354" s="46">
        <v>12</v>
      </c>
      <c r="L354" s="136"/>
      <c r="M354" s="137" t="s">
        <v>22</v>
      </c>
      <c r="N354" s="138"/>
      <c r="O354" s="138"/>
      <c r="P354" s="138"/>
      <c r="Q354" s="138"/>
      <c r="R354" s="138"/>
      <c r="S354" s="138"/>
      <c r="T354" s="138"/>
      <c r="U354" s="138"/>
    </row>
    <row r="355" spans="1:21" s="26" customFormat="1" ht="15" customHeight="1" x14ac:dyDescent="0.2">
      <c r="A355" s="32">
        <v>41702.398715277777</v>
      </c>
      <c r="B355" s="26" t="s">
        <v>16</v>
      </c>
      <c r="C355" s="26" t="s">
        <v>913</v>
      </c>
      <c r="D355" s="33">
        <v>41671</v>
      </c>
      <c r="E355" s="26" t="s">
        <v>4840</v>
      </c>
      <c r="F355" s="26" t="s">
        <v>3476</v>
      </c>
      <c r="G355" s="26" t="s">
        <v>26</v>
      </c>
      <c r="H355" s="26" t="s">
        <v>1623</v>
      </c>
      <c r="I355" s="26" t="s">
        <v>2986</v>
      </c>
      <c r="J355" s="46">
        <v>1</v>
      </c>
      <c r="K355" s="46">
        <v>2</v>
      </c>
      <c r="L355" s="136">
        <v>2</v>
      </c>
      <c r="M355" s="137" t="s">
        <v>22</v>
      </c>
      <c r="N355" s="138"/>
      <c r="O355" s="138"/>
      <c r="P355" s="138"/>
      <c r="Q355" s="138"/>
      <c r="R355" s="138"/>
      <c r="S355" s="138"/>
      <c r="T355" s="138"/>
      <c r="U355" s="138"/>
    </row>
    <row r="356" spans="1:21" s="26" customFormat="1" ht="15" customHeight="1" x14ac:dyDescent="0.2">
      <c r="A356" s="32">
        <v>41705.389444444445</v>
      </c>
      <c r="B356" s="26" t="s">
        <v>16</v>
      </c>
      <c r="C356" s="26" t="s">
        <v>913</v>
      </c>
      <c r="D356" s="33">
        <v>41671</v>
      </c>
      <c r="E356" s="26" t="s">
        <v>5011</v>
      </c>
      <c r="F356" s="26" t="s">
        <v>1630</v>
      </c>
      <c r="G356" s="26" t="s">
        <v>60</v>
      </c>
      <c r="H356" s="26" t="s">
        <v>5012</v>
      </c>
      <c r="I356" s="26" t="s">
        <v>5013</v>
      </c>
      <c r="J356" s="46">
        <v>1</v>
      </c>
      <c r="K356" s="46">
        <v>50</v>
      </c>
      <c r="L356" s="136"/>
      <c r="M356" s="137" t="s">
        <v>22</v>
      </c>
      <c r="N356" s="138"/>
      <c r="O356" s="138"/>
      <c r="P356" s="138"/>
      <c r="Q356" s="138"/>
      <c r="R356" s="138"/>
      <c r="S356" s="138"/>
      <c r="T356" s="138"/>
      <c r="U356" s="138">
        <v>140</v>
      </c>
    </row>
    <row r="357" spans="1:21" s="26" customFormat="1" ht="15" customHeight="1" x14ac:dyDescent="0.2">
      <c r="A357" s="32">
        <v>41705.391053240739</v>
      </c>
      <c r="B357" s="26" t="s">
        <v>16</v>
      </c>
      <c r="C357" s="26" t="s">
        <v>913</v>
      </c>
      <c r="D357" s="33">
        <v>41671</v>
      </c>
      <c r="E357" s="26" t="s">
        <v>5014</v>
      </c>
      <c r="F357" s="26" t="s">
        <v>5015</v>
      </c>
      <c r="G357" s="26" t="s">
        <v>26</v>
      </c>
      <c r="H357" s="26" t="s">
        <v>5016</v>
      </c>
      <c r="I357" s="26" t="s">
        <v>3265</v>
      </c>
      <c r="J357" s="46">
        <v>1</v>
      </c>
      <c r="K357" s="46">
        <v>2</v>
      </c>
      <c r="L357" s="136">
        <v>130</v>
      </c>
      <c r="M357" s="137" t="s">
        <v>44</v>
      </c>
      <c r="N357" s="138"/>
      <c r="O357" s="138">
        <v>10</v>
      </c>
      <c r="P357" s="138"/>
      <c r="Q357" s="138"/>
      <c r="R357" s="138"/>
      <c r="S357" s="138"/>
      <c r="T357" s="138"/>
      <c r="U357" s="138">
        <v>120</v>
      </c>
    </row>
    <row r="358" spans="1:21" s="26" customFormat="1" ht="15" customHeight="1" x14ac:dyDescent="0.2">
      <c r="A358" s="32">
        <v>41733.501793981479</v>
      </c>
      <c r="B358" s="26" t="s">
        <v>16</v>
      </c>
      <c r="C358" s="26" t="s">
        <v>913</v>
      </c>
      <c r="D358" s="33">
        <v>41699</v>
      </c>
      <c r="E358" s="26" t="s">
        <v>5584</v>
      </c>
      <c r="F358" s="26" t="s">
        <v>4319</v>
      </c>
      <c r="G358" s="26" t="s">
        <v>26</v>
      </c>
      <c r="I358" s="26" t="s">
        <v>3265</v>
      </c>
      <c r="J358" s="46">
        <v>3</v>
      </c>
      <c r="K358" s="46">
        <v>5</v>
      </c>
      <c r="L358" s="136">
        <v>375</v>
      </c>
      <c r="M358" s="137" t="s">
        <v>44</v>
      </c>
      <c r="N358" s="138"/>
      <c r="O358" s="138">
        <v>25</v>
      </c>
      <c r="P358" s="138"/>
      <c r="Q358" s="138"/>
      <c r="R358" s="138"/>
      <c r="S358" s="138"/>
      <c r="T358" s="138"/>
      <c r="U358" s="138">
        <v>300</v>
      </c>
    </row>
    <row r="359" spans="1:21" s="26" customFormat="1" ht="15" customHeight="1" x14ac:dyDescent="0.2">
      <c r="A359" s="32">
        <v>41733.503078703703</v>
      </c>
      <c r="B359" s="26" t="s">
        <v>16</v>
      </c>
      <c r="C359" s="26" t="s">
        <v>913</v>
      </c>
      <c r="D359" s="33">
        <v>41699</v>
      </c>
      <c r="E359" s="26" t="s">
        <v>5586</v>
      </c>
      <c r="F359" s="26" t="s">
        <v>5587</v>
      </c>
      <c r="G359" s="26" t="s">
        <v>351</v>
      </c>
      <c r="H359" s="26" t="s">
        <v>5588</v>
      </c>
      <c r="I359" s="26" t="s">
        <v>5589</v>
      </c>
      <c r="J359" s="46">
        <v>1</v>
      </c>
      <c r="K359" s="46">
        <v>10000</v>
      </c>
      <c r="L359" s="136"/>
      <c r="M359" s="137" t="s">
        <v>22</v>
      </c>
      <c r="N359" s="138"/>
      <c r="O359" s="138"/>
      <c r="P359" s="138"/>
      <c r="Q359" s="138"/>
      <c r="R359" s="138"/>
      <c r="S359" s="138"/>
      <c r="T359" s="138"/>
      <c r="U359" s="138"/>
    </row>
    <row r="360" spans="1:21" s="26" customFormat="1" ht="15" customHeight="1" x14ac:dyDescent="0.2">
      <c r="A360" s="32">
        <v>41733.503750000003</v>
      </c>
      <c r="B360" s="26" t="s">
        <v>16</v>
      </c>
      <c r="C360" s="26" t="s">
        <v>913</v>
      </c>
      <c r="D360" s="33">
        <v>41699</v>
      </c>
      <c r="E360" s="26" t="s">
        <v>4823</v>
      </c>
      <c r="F360" s="26" t="s">
        <v>2665</v>
      </c>
      <c r="G360" s="26" t="s">
        <v>20</v>
      </c>
      <c r="H360" s="26" t="s">
        <v>5590</v>
      </c>
      <c r="I360" s="26" t="s">
        <v>2986</v>
      </c>
      <c r="J360" s="46">
        <v>1</v>
      </c>
      <c r="K360" s="46">
        <v>2</v>
      </c>
      <c r="L360" s="136">
        <v>4</v>
      </c>
      <c r="M360" s="137" t="s">
        <v>22</v>
      </c>
      <c r="N360" s="138"/>
      <c r="O360" s="138"/>
      <c r="P360" s="138"/>
      <c r="Q360" s="138"/>
      <c r="R360" s="138"/>
      <c r="S360" s="138"/>
      <c r="T360" s="138"/>
      <c r="U360" s="138"/>
    </row>
    <row r="361" spans="1:21" s="26" customFormat="1" ht="15" customHeight="1" x14ac:dyDescent="0.2">
      <c r="A361" s="32">
        <v>41733.504467592589</v>
      </c>
      <c r="B361" s="26" t="s">
        <v>16</v>
      </c>
      <c r="C361" s="26" t="s">
        <v>913</v>
      </c>
      <c r="D361" s="33">
        <v>41699</v>
      </c>
      <c r="E361" s="26" t="s">
        <v>5591</v>
      </c>
      <c r="F361" s="26" t="s">
        <v>5592</v>
      </c>
      <c r="G361" s="26" t="s">
        <v>26</v>
      </c>
      <c r="I361" s="26" t="s">
        <v>2812</v>
      </c>
      <c r="J361" s="46">
        <v>1</v>
      </c>
      <c r="K361" s="46">
        <v>13</v>
      </c>
      <c r="L361" s="136">
        <v>6</v>
      </c>
      <c r="M361" s="137" t="s">
        <v>22</v>
      </c>
      <c r="N361" s="138"/>
      <c r="O361" s="138"/>
      <c r="P361" s="138"/>
      <c r="Q361" s="138"/>
      <c r="R361" s="138"/>
      <c r="S361" s="138"/>
      <c r="T361" s="138"/>
      <c r="U361" s="138"/>
    </row>
    <row r="362" spans="1:21" s="26" customFormat="1" ht="15" customHeight="1" x14ac:dyDescent="0.2">
      <c r="A362" s="32">
        <v>41733.505046296297</v>
      </c>
      <c r="B362" s="26" t="s">
        <v>16</v>
      </c>
      <c r="C362" s="26" t="s">
        <v>913</v>
      </c>
      <c r="D362" s="33">
        <v>41699</v>
      </c>
      <c r="E362" s="26" t="s">
        <v>4299</v>
      </c>
      <c r="F362" s="26" t="s">
        <v>927</v>
      </c>
      <c r="G362" s="26" t="s">
        <v>26</v>
      </c>
      <c r="I362" s="26" t="s">
        <v>3001</v>
      </c>
      <c r="J362" s="46">
        <v>1</v>
      </c>
      <c r="K362" s="46">
        <v>14</v>
      </c>
      <c r="L362" s="136">
        <v>14</v>
      </c>
      <c r="M362" s="137" t="s">
        <v>44</v>
      </c>
      <c r="N362" s="138"/>
      <c r="O362" s="138">
        <v>15</v>
      </c>
      <c r="P362" s="138"/>
      <c r="Q362" s="138"/>
      <c r="R362" s="138"/>
      <c r="S362" s="138"/>
      <c r="T362" s="138"/>
      <c r="U362" s="138"/>
    </row>
    <row r="363" spans="1:21" s="26" customFormat="1" ht="15" customHeight="1" x14ac:dyDescent="0.2">
      <c r="A363" s="32">
        <v>41733.505706018521</v>
      </c>
      <c r="B363" s="26" t="s">
        <v>16</v>
      </c>
      <c r="C363" s="26" t="s">
        <v>913</v>
      </c>
      <c r="D363" s="33">
        <v>41699</v>
      </c>
      <c r="E363" s="26" t="s">
        <v>5593</v>
      </c>
      <c r="F363" s="26" t="s">
        <v>929</v>
      </c>
      <c r="G363" s="26" t="s">
        <v>26</v>
      </c>
      <c r="I363" s="26" t="s">
        <v>3001</v>
      </c>
      <c r="J363" s="46">
        <v>1</v>
      </c>
      <c r="K363" s="46">
        <v>5</v>
      </c>
      <c r="L363" s="136">
        <v>5</v>
      </c>
      <c r="M363" s="137" t="s">
        <v>44</v>
      </c>
      <c r="N363" s="138"/>
      <c r="O363" s="138">
        <v>5</v>
      </c>
      <c r="P363" s="138"/>
      <c r="Q363" s="138"/>
      <c r="R363" s="138"/>
      <c r="S363" s="138"/>
      <c r="T363" s="138"/>
      <c r="U363" s="138"/>
    </row>
    <row r="364" spans="1:21" s="26" customFormat="1" ht="15" customHeight="1" x14ac:dyDescent="0.2">
      <c r="A364" s="32">
        <v>41733.506273148145</v>
      </c>
      <c r="B364" s="26" t="s">
        <v>16</v>
      </c>
      <c r="C364" s="26" t="s">
        <v>913</v>
      </c>
      <c r="D364" s="33">
        <v>41699</v>
      </c>
      <c r="E364" s="26" t="s">
        <v>5594</v>
      </c>
      <c r="F364" s="26" t="s">
        <v>5595</v>
      </c>
      <c r="G364" s="26" t="s">
        <v>26</v>
      </c>
      <c r="I364" s="26" t="s">
        <v>2925</v>
      </c>
      <c r="J364" s="46">
        <v>1</v>
      </c>
      <c r="K364" s="46">
        <v>7</v>
      </c>
      <c r="L364" s="136">
        <v>210</v>
      </c>
      <c r="M364" s="137" t="s">
        <v>22</v>
      </c>
      <c r="N364" s="138"/>
      <c r="O364" s="138"/>
      <c r="P364" s="138"/>
      <c r="Q364" s="138"/>
      <c r="R364" s="138"/>
      <c r="S364" s="138"/>
      <c r="T364" s="138"/>
      <c r="U364" s="138"/>
    </row>
    <row r="365" spans="1:21" s="26" customFormat="1" ht="15" customHeight="1" x14ac:dyDescent="0.2">
      <c r="A365" s="32">
        <v>41733.508912037039</v>
      </c>
      <c r="B365" s="26" t="s">
        <v>16</v>
      </c>
      <c r="C365" s="26" t="s">
        <v>913</v>
      </c>
      <c r="D365" s="33">
        <v>41699</v>
      </c>
      <c r="E365" s="26" t="s">
        <v>5596</v>
      </c>
      <c r="F365" s="26" t="s">
        <v>5597</v>
      </c>
      <c r="G365" s="26" t="s">
        <v>20</v>
      </c>
      <c r="H365" s="26" t="s">
        <v>5598</v>
      </c>
      <c r="I365" s="26" t="s">
        <v>5599</v>
      </c>
      <c r="J365" s="46">
        <v>2</v>
      </c>
      <c r="K365" s="46">
        <v>36</v>
      </c>
      <c r="L365" s="136">
        <v>36</v>
      </c>
      <c r="M365" s="137" t="s">
        <v>22</v>
      </c>
      <c r="N365" s="138"/>
      <c r="O365" s="138"/>
      <c r="P365" s="138"/>
      <c r="Q365" s="138"/>
      <c r="R365" s="138"/>
      <c r="S365" s="138"/>
      <c r="T365" s="138"/>
      <c r="U365" s="138"/>
    </row>
    <row r="366" spans="1:21" s="26" customFormat="1" ht="15" customHeight="1" x14ac:dyDescent="0.2">
      <c r="A366" s="32">
        <v>41733.509930555556</v>
      </c>
      <c r="B366" s="26" t="s">
        <v>16</v>
      </c>
      <c r="C366" s="26" t="s">
        <v>913</v>
      </c>
      <c r="D366" s="33">
        <v>41699</v>
      </c>
      <c r="E366" s="26" t="s">
        <v>5600</v>
      </c>
      <c r="F366" s="26" t="s">
        <v>5601</v>
      </c>
      <c r="G366" s="26" t="s">
        <v>42</v>
      </c>
      <c r="H366" s="26" t="s">
        <v>5602</v>
      </c>
      <c r="I366" s="26" t="s">
        <v>2986</v>
      </c>
      <c r="J366" s="46">
        <v>1</v>
      </c>
      <c r="K366" s="46">
        <v>25</v>
      </c>
      <c r="L366" s="136">
        <v>25</v>
      </c>
      <c r="M366" s="137" t="s">
        <v>22</v>
      </c>
      <c r="N366" s="138"/>
      <c r="O366" s="138"/>
      <c r="P366" s="138"/>
      <c r="Q366" s="138"/>
      <c r="R366" s="138"/>
      <c r="S366" s="138"/>
      <c r="T366" s="138"/>
      <c r="U366" s="138"/>
    </row>
    <row r="367" spans="1:21" s="26" customFormat="1" ht="15" customHeight="1" x14ac:dyDescent="0.2">
      <c r="A367" s="32">
        <v>41733.510763888888</v>
      </c>
      <c r="B367" s="26" t="s">
        <v>16</v>
      </c>
      <c r="C367" s="26" t="s">
        <v>913</v>
      </c>
      <c r="D367" s="33">
        <v>41699</v>
      </c>
      <c r="E367" s="26" t="s">
        <v>5603</v>
      </c>
      <c r="F367" s="26" t="s">
        <v>5604</v>
      </c>
      <c r="G367" s="26" t="s">
        <v>26</v>
      </c>
      <c r="I367" s="26" t="s">
        <v>3980</v>
      </c>
      <c r="J367" s="46">
        <v>1</v>
      </c>
      <c r="K367" s="46">
        <v>10</v>
      </c>
      <c r="L367" s="136">
        <v>255</v>
      </c>
      <c r="M367" s="137" t="s">
        <v>22</v>
      </c>
      <c r="N367" s="138"/>
      <c r="O367" s="138"/>
      <c r="P367" s="138"/>
      <c r="Q367" s="138"/>
      <c r="R367" s="138"/>
      <c r="S367" s="138"/>
      <c r="T367" s="138"/>
      <c r="U367" s="138"/>
    </row>
    <row r="368" spans="1:21" s="26" customFormat="1" ht="15" customHeight="1" x14ac:dyDescent="0.2">
      <c r="A368" s="32">
        <v>41733.511400462965</v>
      </c>
      <c r="B368" s="26" t="s">
        <v>16</v>
      </c>
      <c r="C368" s="26" t="s">
        <v>913</v>
      </c>
      <c r="D368" s="33">
        <v>41699</v>
      </c>
      <c r="E368" s="26" t="s">
        <v>4840</v>
      </c>
      <c r="F368" s="26" t="s">
        <v>5592</v>
      </c>
      <c r="G368" s="26" t="s">
        <v>26</v>
      </c>
      <c r="I368" s="26" t="s">
        <v>2812</v>
      </c>
      <c r="J368" s="46">
        <v>1</v>
      </c>
      <c r="K368" s="46">
        <v>14</v>
      </c>
      <c r="L368" s="136">
        <v>10</v>
      </c>
      <c r="M368" s="137" t="s">
        <v>44</v>
      </c>
      <c r="N368" s="138"/>
      <c r="O368" s="138">
        <v>15</v>
      </c>
      <c r="P368" s="138"/>
      <c r="Q368" s="138"/>
      <c r="R368" s="138"/>
      <c r="S368" s="138"/>
      <c r="T368" s="138"/>
      <c r="U368" s="138"/>
    </row>
    <row r="369" spans="1:21" s="26" customFormat="1" ht="15" customHeight="1" x14ac:dyDescent="0.2">
      <c r="A369" s="32">
        <v>41733.512291666666</v>
      </c>
      <c r="B369" s="26" t="s">
        <v>16</v>
      </c>
      <c r="C369" s="26" t="s">
        <v>913</v>
      </c>
      <c r="D369" s="33">
        <v>41699</v>
      </c>
      <c r="E369" s="26" t="s">
        <v>4297</v>
      </c>
      <c r="F369" s="26" t="s">
        <v>50</v>
      </c>
      <c r="G369" s="26" t="s">
        <v>26</v>
      </c>
      <c r="I369" s="26" t="s">
        <v>5605</v>
      </c>
      <c r="J369" s="46">
        <v>1</v>
      </c>
      <c r="K369" s="46">
        <v>15</v>
      </c>
      <c r="L369" s="136">
        <v>7</v>
      </c>
      <c r="M369" s="137" t="s">
        <v>22</v>
      </c>
      <c r="N369" s="138"/>
      <c r="O369" s="138"/>
      <c r="P369" s="138"/>
      <c r="Q369" s="138"/>
      <c r="R369" s="138"/>
      <c r="S369" s="138"/>
      <c r="T369" s="138"/>
      <c r="U369" s="138"/>
    </row>
    <row r="370" spans="1:21" s="26" customFormat="1" ht="15" customHeight="1" x14ac:dyDescent="0.2">
      <c r="A370" s="32">
        <v>41733.51290509259</v>
      </c>
      <c r="B370" s="26" t="s">
        <v>16</v>
      </c>
      <c r="C370" s="26" t="s">
        <v>913</v>
      </c>
      <c r="D370" s="33">
        <v>41699</v>
      </c>
      <c r="E370" s="26" t="s">
        <v>4297</v>
      </c>
      <c r="F370" s="26" t="s">
        <v>5606</v>
      </c>
      <c r="G370" s="26" t="s">
        <v>26</v>
      </c>
      <c r="I370" s="26" t="s">
        <v>5605</v>
      </c>
      <c r="J370" s="46">
        <v>1</v>
      </c>
      <c r="K370" s="46">
        <v>15</v>
      </c>
      <c r="L370" s="136">
        <v>7</v>
      </c>
      <c r="M370" s="137" t="s">
        <v>44</v>
      </c>
      <c r="N370" s="138"/>
      <c r="O370" s="138">
        <v>20</v>
      </c>
      <c r="P370" s="138"/>
      <c r="Q370" s="138"/>
      <c r="R370" s="138"/>
      <c r="S370" s="138"/>
      <c r="T370" s="138"/>
      <c r="U370" s="138"/>
    </row>
    <row r="371" spans="1:21" s="26" customFormat="1" ht="15" customHeight="1" x14ac:dyDescent="0.2">
      <c r="A371" s="32">
        <v>41733.51357638889</v>
      </c>
      <c r="B371" s="26" t="s">
        <v>16</v>
      </c>
      <c r="C371" s="26" t="s">
        <v>913</v>
      </c>
      <c r="D371" s="33">
        <v>41699</v>
      </c>
      <c r="E371" s="26" t="s">
        <v>4299</v>
      </c>
      <c r="F371" s="26" t="s">
        <v>927</v>
      </c>
      <c r="G371" s="26" t="s">
        <v>26</v>
      </c>
      <c r="I371" s="26" t="s">
        <v>3001</v>
      </c>
      <c r="J371" s="46">
        <v>1</v>
      </c>
      <c r="K371" s="46">
        <v>18</v>
      </c>
      <c r="L371" s="136">
        <v>18</v>
      </c>
      <c r="M371" s="137" t="s">
        <v>44</v>
      </c>
      <c r="N371" s="138"/>
      <c r="O371" s="138">
        <v>20</v>
      </c>
      <c r="P371" s="138"/>
      <c r="Q371" s="138"/>
      <c r="R371" s="138"/>
      <c r="S371" s="138"/>
      <c r="T371" s="138"/>
      <c r="U371" s="138"/>
    </row>
    <row r="372" spans="1:21" s="26" customFormat="1" ht="15" customHeight="1" x14ac:dyDescent="0.2">
      <c r="A372" s="32">
        <v>41733.514421296299</v>
      </c>
      <c r="B372" s="26" t="s">
        <v>16</v>
      </c>
      <c r="C372" s="26" t="s">
        <v>913</v>
      </c>
      <c r="D372" s="33">
        <v>41699</v>
      </c>
      <c r="E372" s="26" t="s">
        <v>5607</v>
      </c>
      <c r="F372" s="26" t="s">
        <v>5608</v>
      </c>
      <c r="G372" s="26" t="s">
        <v>42</v>
      </c>
      <c r="H372" s="26" t="s">
        <v>5609</v>
      </c>
      <c r="I372" s="26" t="s">
        <v>3001</v>
      </c>
      <c r="J372" s="46">
        <v>1</v>
      </c>
      <c r="K372" s="46">
        <v>20</v>
      </c>
      <c r="L372" s="136">
        <v>12</v>
      </c>
      <c r="M372" s="137" t="s">
        <v>44</v>
      </c>
      <c r="N372" s="138"/>
      <c r="O372" s="138">
        <v>25</v>
      </c>
      <c r="P372" s="138"/>
      <c r="Q372" s="138"/>
      <c r="R372" s="138"/>
      <c r="S372" s="138"/>
      <c r="T372" s="138"/>
      <c r="U372" s="138"/>
    </row>
    <row r="373" spans="1:21" s="26" customFormat="1" ht="15" customHeight="1" x14ac:dyDescent="0.2">
      <c r="A373" s="32">
        <v>41733.515185185184</v>
      </c>
      <c r="B373" s="26" t="s">
        <v>16</v>
      </c>
      <c r="C373" s="26" t="s">
        <v>913</v>
      </c>
      <c r="D373" s="33">
        <v>41699</v>
      </c>
      <c r="E373" s="26" t="s">
        <v>5610</v>
      </c>
      <c r="F373" s="26" t="s">
        <v>5611</v>
      </c>
      <c r="G373" s="26" t="s">
        <v>20</v>
      </c>
      <c r="H373" s="26" t="s">
        <v>5612</v>
      </c>
      <c r="I373" s="26" t="s">
        <v>3001</v>
      </c>
      <c r="J373" s="46">
        <v>1</v>
      </c>
      <c r="K373" s="46">
        <v>20</v>
      </c>
      <c r="L373" s="136">
        <v>0</v>
      </c>
      <c r="M373" s="137" t="s">
        <v>44</v>
      </c>
      <c r="N373" s="138"/>
      <c r="O373" s="138">
        <v>40</v>
      </c>
      <c r="P373" s="138"/>
      <c r="Q373" s="138"/>
      <c r="R373" s="138"/>
      <c r="S373" s="138"/>
      <c r="T373" s="138"/>
      <c r="U373" s="138"/>
    </row>
    <row r="374" spans="1:21" s="26" customFormat="1" ht="15" customHeight="1" x14ac:dyDescent="0.2">
      <c r="A374" s="32">
        <v>41733.515949074077</v>
      </c>
      <c r="B374" s="26" t="s">
        <v>16</v>
      </c>
      <c r="C374" s="26" t="s">
        <v>913</v>
      </c>
      <c r="D374" s="33">
        <v>41699</v>
      </c>
      <c r="E374" s="26" t="s">
        <v>5613</v>
      </c>
      <c r="F374" s="26" t="s">
        <v>5595</v>
      </c>
      <c r="G374" s="26" t="s">
        <v>26</v>
      </c>
      <c r="I374" s="26" t="s">
        <v>5614</v>
      </c>
      <c r="J374" s="46">
        <v>1</v>
      </c>
      <c r="K374" s="46">
        <v>8</v>
      </c>
      <c r="L374" s="136">
        <v>240</v>
      </c>
      <c r="M374" s="137" t="s">
        <v>44</v>
      </c>
      <c r="N374" s="138"/>
      <c r="O374" s="138">
        <v>10</v>
      </c>
      <c r="P374" s="138"/>
      <c r="Q374" s="138"/>
      <c r="R374" s="138"/>
      <c r="S374" s="138"/>
      <c r="T374" s="138"/>
      <c r="U374" s="138"/>
    </row>
    <row r="375" spans="1:21" s="26" customFormat="1" ht="15" customHeight="1" x14ac:dyDescent="0.2">
      <c r="A375" s="32">
        <v>41733.516504629632</v>
      </c>
      <c r="B375" s="26" t="s">
        <v>16</v>
      </c>
      <c r="C375" s="26" t="s">
        <v>913</v>
      </c>
      <c r="D375" s="33">
        <v>41699</v>
      </c>
      <c r="E375" s="26" t="s">
        <v>5615</v>
      </c>
      <c r="F375" s="26" t="s">
        <v>5616</v>
      </c>
      <c r="G375" s="26" t="s">
        <v>26</v>
      </c>
      <c r="I375" s="26" t="s">
        <v>2812</v>
      </c>
      <c r="J375" s="46">
        <v>1</v>
      </c>
      <c r="K375" s="46">
        <v>20</v>
      </c>
      <c r="L375" s="136"/>
      <c r="M375" s="137" t="s">
        <v>22</v>
      </c>
      <c r="N375" s="138"/>
      <c r="O375" s="138"/>
      <c r="P375" s="138"/>
      <c r="Q375" s="138"/>
      <c r="R375" s="138"/>
      <c r="S375" s="138"/>
      <c r="T375" s="138"/>
      <c r="U375" s="138"/>
    </row>
    <row r="376" spans="1:21" s="26" customFormat="1" ht="15" customHeight="1" x14ac:dyDescent="0.2">
      <c r="A376" s="32">
        <v>41733.517488425925</v>
      </c>
      <c r="B376" s="26" t="s">
        <v>16</v>
      </c>
      <c r="C376" s="26" t="s">
        <v>913</v>
      </c>
      <c r="D376" s="33">
        <v>41699</v>
      </c>
      <c r="E376" s="26" t="s">
        <v>4297</v>
      </c>
      <c r="F376" s="26" t="s">
        <v>299</v>
      </c>
      <c r="G376" s="26" t="s">
        <v>26</v>
      </c>
      <c r="H376" s="26" t="s">
        <v>5617</v>
      </c>
      <c r="I376" s="26" t="s">
        <v>2986</v>
      </c>
      <c r="J376" s="46">
        <v>1</v>
      </c>
      <c r="K376" s="46">
        <v>20</v>
      </c>
      <c r="L376" s="136">
        <v>14</v>
      </c>
      <c r="M376" s="137" t="s">
        <v>22</v>
      </c>
      <c r="N376" s="138"/>
      <c r="O376" s="138"/>
      <c r="P376" s="138"/>
      <c r="Q376" s="138"/>
      <c r="R376" s="138"/>
      <c r="S376" s="138"/>
      <c r="T376" s="138"/>
      <c r="U376" s="138"/>
    </row>
    <row r="377" spans="1:21" s="26" customFormat="1" ht="15" customHeight="1" x14ac:dyDescent="0.2">
      <c r="A377" s="32">
        <v>41733.519270833334</v>
      </c>
      <c r="B377" s="26" t="s">
        <v>16</v>
      </c>
      <c r="C377" s="26" t="s">
        <v>913</v>
      </c>
      <c r="D377" s="33">
        <v>41699</v>
      </c>
      <c r="E377" s="26" t="s">
        <v>4299</v>
      </c>
      <c r="F377" s="26" t="s">
        <v>927</v>
      </c>
      <c r="G377" s="26" t="s">
        <v>26</v>
      </c>
      <c r="I377" s="26" t="s">
        <v>3001</v>
      </c>
      <c r="J377" s="46">
        <v>1</v>
      </c>
      <c r="K377" s="46">
        <v>45</v>
      </c>
      <c r="L377" s="136">
        <v>45</v>
      </c>
      <c r="M377" s="137" t="s">
        <v>44</v>
      </c>
      <c r="N377" s="138"/>
      <c r="O377" s="138">
        <v>15</v>
      </c>
      <c r="P377" s="138"/>
      <c r="Q377" s="138"/>
      <c r="R377" s="138"/>
      <c r="S377" s="138"/>
      <c r="T377" s="138"/>
      <c r="U377" s="138"/>
    </row>
    <row r="378" spans="1:21" s="26" customFormat="1" ht="15" customHeight="1" x14ac:dyDescent="0.2">
      <c r="A378" s="32">
        <v>41733.519861111112</v>
      </c>
      <c r="B378" s="26" t="s">
        <v>16</v>
      </c>
      <c r="C378" s="26" t="s">
        <v>913</v>
      </c>
      <c r="D378" s="33">
        <v>41699</v>
      </c>
      <c r="E378" s="26" t="s">
        <v>5622</v>
      </c>
      <c r="F378" s="26" t="s">
        <v>929</v>
      </c>
      <c r="G378" s="26" t="s">
        <v>26</v>
      </c>
      <c r="I378" s="26" t="s">
        <v>3001</v>
      </c>
      <c r="J378" s="46">
        <v>1</v>
      </c>
      <c r="K378" s="46">
        <v>23</v>
      </c>
      <c r="L378" s="136">
        <v>23</v>
      </c>
      <c r="M378" s="137" t="s">
        <v>44</v>
      </c>
      <c r="N378" s="138"/>
      <c r="O378" s="138">
        <v>15</v>
      </c>
      <c r="P378" s="138"/>
      <c r="Q378" s="138"/>
      <c r="R378" s="138"/>
      <c r="S378" s="138"/>
      <c r="T378" s="138"/>
      <c r="U378" s="138"/>
    </row>
    <row r="379" spans="1:21" s="26" customFormat="1" ht="15" customHeight="1" x14ac:dyDescent="0.2">
      <c r="A379" s="32">
        <v>41733.520439814813</v>
      </c>
      <c r="B379" s="26" t="s">
        <v>16</v>
      </c>
      <c r="C379" s="26" t="s">
        <v>913</v>
      </c>
      <c r="D379" s="33">
        <v>41699</v>
      </c>
      <c r="E379" s="26" t="s">
        <v>5623</v>
      </c>
      <c r="F379" s="26" t="s">
        <v>927</v>
      </c>
      <c r="G379" s="26" t="s">
        <v>26</v>
      </c>
      <c r="I379" s="26" t="s">
        <v>3001</v>
      </c>
      <c r="J379" s="46">
        <v>1</v>
      </c>
      <c r="K379" s="46">
        <v>10</v>
      </c>
      <c r="L379" s="136"/>
      <c r="M379" s="137" t="s">
        <v>44</v>
      </c>
      <c r="N379" s="138"/>
      <c r="O379" s="138">
        <v>10</v>
      </c>
      <c r="P379" s="138"/>
      <c r="Q379" s="138"/>
      <c r="R379" s="138"/>
      <c r="S379" s="138"/>
      <c r="T379" s="138"/>
      <c r="U379" s="138"/>
    </row>
    <row r="380" spans="1:21" s="26" customFormat="1" ht="15" customHeight="1" x14ac:dyDescent="0.2">
      <c r="A380" s="32">
        <v>41733.520937499998</v>
      </c>
      <c r="B380" s="26" t="s">
        <v>16</v>
      </c>
      <c r="C380" s="26" t="s">
        <v>913</v>
      </c>
      <c r="D380" s="33">
        <v>41699</v>
      </c>
      <c r="E380" s="26" t="s">
        <v>2345</v>
      </c>
      <c r="F380" s="26" t="s">
        <v>420</v>
      </c>
      <c r="G380" s="26" t="s">
        <v>26</v>
      </c>
      <c r="I380" s="26" t="s">
        <v>2812</v>
      </c>
      <c r="J380" s="46">
        <v>1</v>
      </c>
      <c r="K380" s="46">
        <v>8</v>
      </c>
      <c r="L380" s="136"/>
      <c r="M380" s="137" t="s">
        <v>22</v>
      </c>
      <c r="N380" s="138"/>
      <c r="O380" s="138"/>
      <c r="P380" s="138"/>
      <c r="Q380" s="138"/>
      <c r="R380" s="138"/>
      <c r="S380" s="138"/>
      <c r="T380" s="138"/>
      <c r="U380" s="138"/>
    </row>
    <row r="381" spans="1:21" s="26" customFormat="1" ht="15" customHeight="1" x14ac:dyDescent="0.2">
      <c r="A381" s="32">
        <v>41733.521423611113</v>
      </c>
      <c r="B381" s="26" t="s">
        <v>16</v>
      </c>
      <c r="C381" s="26" t="s">
        <v>913</v>
      </c>
      <c r="D381" s="33">
        <v>41699</v>
      </c>
      <c r="E381" s="26" t="s">
        <v>4840</v>
      </c>
      <c r="F381" s="26" t="s">
        <v>5592</v>
      </c>
      <c r="G381" s="26" t="s">
        <v>26</v>
      </c>
      <c r="I381" s="26" t="s">
        <v>2812</v>
      </c>
      <c r="J381" s="46">
        <v>1</v>
      </c>
      <c r="K381" s="46">
        <v>50</v>
      </c>
      <c r="L381" s="136">
        <v>50</v>
      </c>
      <c r="M381" s="137" t="s">
        <v>22</v>
      </c>
      <c r="N381" s="138"/>
      <c r="O381" s="138"/>
      <c r="P381" s="138"/>
      <c r="Q381" s="138"/>
      <c r="R381" s="138"/>
      <c r="S381" s="138"/>
      <c r="T381" s="138"/>
      <c r="U381" s="138"/>
    </row>
    <row r="382" spans="1:21" s="26" customFormat="1" ht="15" customHeight="1" x14ac:dyDescent="0.2">
      <c r="A382" s="32">
        <v>41733.522222222222</v>
      </c>
      <c r="B382" s="26" t="s">
        <v>16</v>
      </c>
      <c r="C382" s="26" t="s">
        <v>913</v>
      </c>
      <c r="D382" s="33">
        <v>41699</v>
      </c>
      <c r="E382" s="26" t="s">
        <v>5624</v>
      </c>
      <c r="F382" s="26" t="s">
        <v>5625</v>
      </c>
      <c r="G382" s="26" t="s">
        <v>20</v>
      </c>
      <c r="H382" s="26" t="s">
        <v>5626</v>
      </c>
      <c r="I382" s="26" t="s">
        <v>5627</v>
      </c>
      <c r="J382" s="46">
        <v>2</v>
      </c>
      <c r="K382" s="46">
        <v>27</v>
      </c>
      <c r="L382" s="136">
        <v>54</v>
      </c>
      <c r="M382" s="137" t="s">
        <v>22</v>
      </c>
      <c r="N382" s="138"/>
      <c r="O382" s="138"/>
      <c r="P382" s="138"/>
      <c r="Q382" s="138"/>
      <c r="R382" s="138"/>
      <c r="S382" s="138"/>
      <c r="T382" s="138"/>
      <c r="U382" s="138"/>
    </row>
    <row r="383" spans="1:21" s="26" customFormat="1" ht="15" customHeight="1" x14ac:dyDescent="0.2">
      <c r="A383" s="32">
        <v>41733.523136574076</v>
      </c>
      <c r="B383" s="26" t="s">
        <v>16</v>
      </c>
      <c r="C383" s="26" t="s">
        <v>913</v>
      </c>
      <c r="D383" s="33">
        <v>41699</v>
      </c>
      <c r="E383" s="26" t="s">
        <v>5628</v>
      </c>
      <c r="F383" s="26" t="s">
        <v>5629</v>
      </c>
      <c r="G383" s="26" t="s">
        <v>20</v>
      </c>
      <c r="H383" s="26" t="s">
        <v>5630</v>
      </c>
      <c r="I383" s="26" t="s">
        <v>5631</v>
      </c>
      <c r="J383" s="46">
        <v>3</v>
      </c>
      <c r="K383" s="46">
        <v>59</v>
      </c>
      <c r="L383" s="136">
        <v>177</v>
      </c>
      <c r="M383" s="137" t="s">
        <v>22</v>
      </c>
      <c r="N383" s="138"/>
      <c r="O383" s="138"/>
      <c r="P383" s="138"/>
      <c r="Q383" s="138"/>
      <c r="R383" s="138"/>
      <c r="S383" s="138"/>
      <c r="T383" s="138"/>
      <c r="U383" s="138"/>
    </row>
    <row r="384" spans="1:21" s="26" customFormat="1" ht="15" customHeight="1" x14ac:dyDescent="0.2">
      <c r="A384" s="32">
        <v>41733.523842592593</v>
      </c>
      <c r="B384" s="26" t="s">
        <v>16</v>
      </c>
      <c r="C384" s="26" t="s">
        <v>913</v>
      </c>
      <c r="D384" s="33">
        <v>41699</v>
      </c>
      <c r="E384" s="26" t="s">
        <v>4297</v>
      </c>
      <c r="F384" s="26" t="s">
        <v>299</v>
      </c>
      <c r="G384" s="26" t="s">
        <v>26</v>
      </c>
      <c r="H384" s="26" t="s">
        <v>5617</v>
      </c>
      <c r="I384" s="26" t="s">
        <v>2986</v>
      </c>
      <c r="J384" s="46">
        <v>1</v>
      </c>
      <c r="K384" s="46">
        <v>36</v>
      </c>
      <c r="L384" s="136">
        <v>22</v>
      </c>
      <c r="M384" s="137" t="s">
        <v>22</v>
      </c>
      <c r="N384" s="138"/>
      <c r="O384" s="138"/>
      <c r="P384" s="138"/>
      <c r="Q384" s="138"/>
      <c r="R384" s="138"/>
      <c r="S384" s="138"/>
      <c r="T384" s="138"/>
      <c r="U384" s="138"/>
    </row>
    <row r="385" spans="1:25" s="26" customFormat="1" ht="15" customHeight="1" x14ac:dyDescent="0.2">
      <c r="A385" s="32">
        <v>41733.524618055555</v>
      </c>
      <c r="B385" s="26" t="s">
        <v>16</v>
      </c>
      <c r="C385" s="26" t="s">
        <v>913</v>
      </c>
      <c r="D385" s="33">
        <v>41699</v>
      </c>
      <c r="E385" s="26" t="s">
        <v>5633</v>
      </c>
      <c r="F385" s="26" t="s">
        <v>5634</v>
      </c>
      <c r="G385" s="26" t="s">
        <v>26</v>
      </c>
      <c r="I385" s="26" t="s">
        <v>3265</v>
      </c>
      <c r="J385" s="46">
        <v>1</v>
      </c>
      <c r="K385" s="46">
        <v>7</v>
      </c>
      <c r="L385" s="136">
        <v>210</v>
      </c>
      <c r="M385" s="137" t="s">
        <v>44</v>
      </c>
      <c r="N385" s="138"/>
      <c r="O385" s="138">
        <v>20</v>
      </c>
      <c r="P385" s="138"/>
      <c r="Q385" s="138"/>
      <c r="R385" s="138"/>
      <c r="S385" s="138"/>
      <c r="T385" s="138"/>
      <c r="U385" s="138">
        <v>175</v>
      </c>
    </row>
    <row r="386" spans="1:25" s="26" customFormat="1" ht="15" customHeight="1" x14ac:dyDescent="0.2">
      <c r="A386" s="32">
        <v>41733.525462962964</v>
      </c>
      <c r="B386" s="26" t="s">
        <v>16</v>
      </c>
      <c r="C386" s="26" t="s">
        <v>913</v>
      </c>
      <c r="D386" s="33">
        <v>41699</v>
      </c>
      <c r="E386" s="26" t="s">
        <v>5635</v>
      </c>
      <c r="F386" s="26" t="s">
        <v>5636</v>
      </c>
      <c r="G386" s="26" t="s">
        <v>42</v>
      </c>
      <c r="H386" s="26" t="s">
        <v>5637</v>
      </c>
      <c r="I386" s="26" t="s">
        <v>5627</v>
      </c>
      <c r="J386" s="46">
        <v>1</v>
      </c>
      <c r="K386" s="46">
        <v>14</v>
      </c>
      <c r="L386" s="136">
        <v>100</v>
      </c>
      <c r="M386" s="137" t="s">
        <v>22</v>
      </c>
      <c r="N386" s="138"/>
      <c r="O386" s="138"/>
      <c r="P386" s="138"/>
      <c r="Q386" s="138"/>
      <c r="R386" s="138"/>
      <c r="S386" s="138"/>
      <c r="T386" s="138"/>
      <c r="U386" s="138"/>
    </row>
    <row r="387" spans="1:25" s="26" customFormat="1" ht="15" customHeight="1" x14ac:dyDescent="0.2">
      <c r="A387" s="32">
        <v>41733.525995370372</v>
      </c>
      <c r="B387" s="26" t="s">
        <v>16</v>
      </c>
      <c r="C387" s="26" t="s">
        <v>913</v>
      </c>
      <c r="D387" s="33">
        <v>41699</v>
      </c>
      <c r="E387" s="26" t="s">
        <v>5638</v>
      </c>
      <c r="F387" s="26" t="s">
        <v>5639</v>
      </c>
      <c r="G387" s="26" t="s">
        <v>26</v>
      </c>
      <c r="I387" s="26" t="s">
        <v>2812</v>
      </c>
      <c r="J387" s="46">
        <v>1</v>
      </c>
      <c r="K387" s="46">
        <v>25</v>
      </c>
      <c r="L387" s="136"/>
      <c r="M387" s="137" t="s">
        <v>22</v>
      </c>
      <c r="N387" s="138"/>
      <c r="O387" s="138"/>
      <c r="P387" s="138"/>
      <c r="Q387" s="138"/>
      <c r="R387" s="138"/>
      <c r="S387" s="138"/>
      <c r="T387" s="138"/>
      <c r="U387" s="138"/>
    </row>
    <row r="388" spans="1:25" s="26" customFormat="1" ht="15" customHeight="1" x14ac:dyDescent="0.2">
      <c r="A388" s="32">
        <v>41733.529606481483</v>
      </c>
      <c r="B388" s="26" t="s">
        <v>16</v>
      </c>
      <c r="C388" s="26" t="s">
        <v>913</v>
      </c>
      <c r="D388" s="33">
        <v>41699</v>
      </c>
      <c r="E388" s="26" t="s">
        <v>5640</v>
      </c>
      <c r="F388" s="26" t="s">
        <v>5641</v>
      </c>
      <c r="G388" s="26" t="s">
        <v>26</v>
      </c>
      <c r="I388" s="26" t="s">
        <v>5614</v>
      </c>
      <c r="J388" s="46">
        <v>1</v>
      </c>
      <c r="K388" s="46">
        <v>6</v>
      </c>
      <c r="L388" s="136">
        <v>180</v>
      </c>
      <c r="M388" s="137" t="s">
        <v>22</v>
      </c>
      <c r="N388" s="138"/>
      <c r="O388" s="138"/>
      <c r="P388" s="138"/>
      <c r="Q388" s="138"/>
      <c r="R388" s="138"/>
      <c r="S388" s="138"/>
      <c r="T388" s="138"/>
      <c r="U388" s="138"/>
    </row>
    <row r="389" spans="1:25" s="26" customFormat="1" ht="15" customHeight="1" x14ac:dyDescent="0.2">
      <c r="A389" s="32">
        <v>41733.530810185184</v>
      </c>
      <c r="B389" s="26" t="s">
        <v>16</v>
      </c>
      <c r="C389" s="26" t="s">
        <v>913</v>
      </c>
      <c r="D389" s="33">
        <v>41699</v>
      </c>
      <c r="E389" s="26" t="s">
        <v>5642</v>
      </c>
      <c r="F389" s="26" t="s">
        <v>1630</v>
      </c>
      <c r="G389" s="26" t="s">
        <v>60</v>
      </c>
      <c r="I389" s="26" t="s">
        <v>5643</v>
      </c>
      <c r="J389" s="46">
        <v>1</v>
      </c>
      <c r="K389" s="46">
        <v>119</v>
      </c>
      <c r="L389" s="136"/>
      <c r="M389" s="137" t="s">
        <v>22</v>
      </c>
      <c r="N389" s="138"/>
      <c r="O389" s="138"/>
      <c r="P389" s="138"/>
      <c r="Q389" s="138"/>
      <c r="R389" s="138"/>
      <c r="S389" s="138"/>
      <c r="T389" s="138"/>
      <c r="U389" s="138">
        <v>727</v>
      </c>
    </row>
    <row r="390" spans="1:25" s="26" customFormat="1" ht="15" customHeight="1" x14ac:dyDescent="0.2">
      <c r="A390" s="55">
        <v>41768.6887152778</v>
      </c>
      <c r="B390" s="52" t="s">
        <v>16</v>
      </c>
      <c r="C390" s="52" t="s">
        <v>913</v>
      </c>
      <c r="D390" s="88" t="s">
        <v>6076</v>
      </c>
      <c r="E390" s="89" t="s">
        <v>6639</v>
      </c>
      <c r="F390" s="89" t="s">
        <v>6640</v>
      </c>
      <c r="G390" s="52" t="s">
        <v>351</v>
      </c>
      <c r="H390" s="89" t="s">
        <v>6641</v>
      </c>
      <c r="I390" s="52" t="s">
        <v>2986</v>
      </c>
      <c r="J390" s="95">
        <v>1</v>
      </c>
      <c r="K390" s="95">
        <v>22</v>
      </c>
      <c r="L390" s="149">
        <v>23</v>
      </c>
      <c r="M390" s="146" t="s">
        <v>22</v>
      </c>
      <c r="N390" s="149"/>
      <c r="O390" s="149"/>
      <c r="P390" s="149"/>
      <c r="Q390" s="149"/>
      <c r="R390" s="149"/>
      <c r="S390" s="149"/>
      <c r="T390" s="149"/>
      <c r="U390" s="149"/>
      <c r="V390" s="52"/>
    </row>
    <row r="391" spans="1:25" s="26" customFormat="1" ht="15" customHeight="1" x14ac:dyDescent="0.2">
      <c r="A391" s="55">
        <v>41768.689849536997</v>
      </c>
      <c r="B391" s="52" t="s">
        <v>16</v>
      </c>
      <c r="C391" s="52" t="s">
        <v>913</v>
      </c>
      <c r="D391" s="88" t="s">
        <v>6076</v>
      </c>
      <c r="E391" s="52" t="s">
        <v>4823</v>
      </c>
      <c r="F391" s="52" t="s">
        <v>2665</v>
      </c>
      <c r="G391" s="52" t="s">
        <v>20</v>
      </c>
      <c r="H391" s="52" t="s">
        <v>6642</v>
      </c>
      <c r="I391" s="52" t="s">
        <v>2986</v>
      </c>
      <c r="J391" s="95">
        <v>1</v>
      </c>
      <c r="K391" s="95">
        <v>14</v>
      </c>
      <c r="L391" s="149">
        <v>28</v>
      </c>
      <c r="M391" s="146" t="s">
        <v>22</v>
      </c>
      <c r="N391" s="149"/>
      <c r="O391" s="149"/>
      <c r="P391" s="149"/>
      <c r="Q391" s="149"/>
      <c r="R391" s="149"/>
      <c r="S391" s="149"/>
      <c r="T391" s="149"/>
      <c r="U391" s="149"/>
      <c r="V391" s="52"/>
    </row>
    <row r="392" spans="1:25" s="26" customFormat="1" ht="15" customHeight="1" x14ac:dyDescent="0.2">
      <c r="A392" s="93">
        <v>41768.691157407397</v>
      </c>
      <c r="B392" s="89" t="s">
        <v>16</v>
      </c>
      <c r="C392" s="52" t="s">
        <v>913</v>
      </c>
      <c r="D392" s="87" t="s">
        <v>6076</v>
      </c>
      <c r="E392" s="89" t="s">
        <v>6643</v>
      </c>
      <c r="F392" s="89" t="s">
        <v>6644</v>
      </c>
      <c r="G392" s="89" t="s">
        <v>26</v>
      </c>
      <c r="H392" s="89" t="s">
        <v>6645</v>
      </c>
      <c r="I392" s="89" t="s">
        <v>6646</v>
      </c>
      <c r="J392" s="95">
        <v>1</v>
      </c>
      <c r="K392" s="95">
        <v>10</v>
      </c>
      <c r="L392" s="149">
        <v>100</v>
      </c>
      <c r="M392" s="146" t="s">
        <v>22</v>
      </c>
      <c r="N392" s="149"/>
      <c r="O392" s="149"/>
      <c r="P392" s="149"/>
      <c r="Q392" s="149"/>
      <c r="R392" s="149"/>
      <c r="S392" s="149"/>
      <c r="T392" s="149"/>
      <c r="U392" s="149"/>
      <c r="V392" s="89"/>
      <c r="W392" s="91"/>
      <c r="X392" s="91"/>
      <c r="Y392" s="91"/>
    </row>
    <row r="393" spans="1:25" s="26" customFormat="1" ht="15" customHeight="1" x14ac:dyDescent="0.2">
      <c r="A393" s="93">
        <v>41768.692708333299</v>
      </c>
      <c r="B393" s="89" t="s">
        <v>16</v>
      </c>
      <c r="C393" s="52" t="s">
        <v>913</v>
      </c>
      <c r="D393" s="87" t="s">
        <v>6076</v>
      </c>
      <c r="E393" s="89" t="s">
        <v>4840</v>
      </c>
      <c r="F393" s="89" t="s">
        <v>5592</v>
      </c>
      <c r="G393" s="89" t="s">
        <v>26</v>
      </c>
      <c r="H393" s="89"/>
      <c r="I393" s="89" t="s">
        <v>2812</v>
      </c>
      <c r="J393" s="95">
        <v>1</v>
      </c>
      <c r="K393" s="95">
        <v>18</v>
      </c>
      <c r="L393" s="149">
        <v>18</v>
      </c>
      <c r="M393" s="146" t="s">
        <v>22</v>
      </c>
      <c r="N393" s="149"/>
      <c r="O393" s="149"/>
      <c r="P393" s="149"/>
      <c r="Q393" s="149"/>
      <c r="R393" s="149"/>
      <c r="S393" s="149"/>
      <c r="T393" s="149"/>
      <c r="U393" s="149"/>
      <c r="V393" s="89"/>
      <c r="W393" s="91"/>
      <c r="X393" s="91"/>
      <c r="Y393" s="91"/>
    </row>
    <row r="394" spans="1:25" s="26" customFormat="1" ht="15" customHeight="1" x14ac:dyDescent="0.2">
      <c r="A394" s="93">
        <v>41768.694039351802</v>
      </c>
      <c r="B394" s="89" t="s">
        <v>16</v>
      </c>
      <c r="C394" s="52" t="s">
        <v>913</v>
      </c>
      <c r="D394" s="87" t="s">
        <v>6076</v>
      </c>
      <c r="E394" s="89" t="s">
        <v>6647</v>
      </c>
      <c r="F394" s="89" t="s">
        <v>420</v>
      </c>
      <c r="G394" s="89" t="s">
        <v>26</v>
      </c>
      <c r="H394" s="89"/>
      <c r="I394" s="89" t="s">
        <v>2812</v>
      </c>
      <c r="J394" s="95">
        <v>1</v>
      </c>
      <c r="K394" s="95">
        <v>2</v>
      </c>
      <c r="L394" s="149"/>
      <c r="M394" s="146" t="s">
        <v>22</v>
      </c>
      <c r="N394" s="149"/>
      <c r="O394" s="149"/>
      <c r="P394" s="149"/>
      <c r="Q394" s="149"/>
      <c r="R394" s="149"/>
      <c r="S394" s="149"/>
      <c r="T394" s="149"/>
      <c r="U394" s="149"/>
      <c r="V394" s="89"/>
      <c r="W394" s="91"/>
      <c r="X394" s="91"/>
      <c r="Y394" s="91"/>
    </row>
    <row r="395" spans="1:25" s="26" customFormat="1" ht="15" customHeight="1" x14ac:dyDescent="0.2">
      <c r="A395" s="93">
        <v>41768.6953125</v>
      </c>
      <c r="B395" s="89" t="s">
        <v>16</v>
      </c>
      <c r="C395" s="52" t="s">
        <v>913</v>
      </c>
      <c r="D395" s="87" t="s">
        <v>6076</v>
      </c>
      <c r="E395" s="89" t="s">
        <v>4299</v>
      </c>
      <c r="F395" s="89" t="s">
        <v>927</v>
      </c>
      <c r="G395" s="89" t="s">
        <v>26</v>
      </c>
      <c r="H395" s="89" t="s">
        <v>953</v>
      </c>
      <c r="I395" s="89" t="s">
        <v>2986</v>
      </c>
      <c r="J395" s="95">
        <v>1</v>
      </c>
      <c r="K395" s="95">
        <v>13</v>
      </c>
      <c r="L395" s="149">
        <v>13</v>
      </c>
      <c r="M395" s="146" t="s">
        <v>22</v>
      </c>
      <c r="N395" s="149"/>
      <c r="O395" s="149"/>
      <c r="P395" s="149"/>
      <c r="Q395" s="149"/>
      <c r="R395" s="149"/>
      <c r="S395" s="149"/>
      <c r="T395" s="149"/>
      <c r="U395" s="149"/>
      <c r="V395" s="89"/>
      <c r="W395" s="91"/>
      <c r="X395" s="91"/>
      <c r="Y395" s="91"/>
    </row>
    <row r="396" spans="1:25" s="26" customFormat="1" ht="15" customHeight="1" x14ac:dyDescent="0.2">
      <c r="A396" s="93">
        <v>41768.6966203704</v>
      </c>
      <c r="B396" s="89" t="s">
        <v>16</v>
      </c>
      <c r="C396" s="52" t="s">
        <v>913</v>
      </c>
      <c r="D396" s="87" t="s">
        <v>6076</v>
      </c>
      <c r="E396" s="89" t="s">
        <v>6648</v>
      </c>
      <c r="F396" s="89" t="s">
        <v>21</v>
      </c>
      <c r="G396" s="89" t="s">
        <v>26</v>
      </c>
      <c r="H396" s="89" t="s">
        <v>828</v>
      </c>
      <c r="I396" s="89" t="s">
        <v>2986</v>
      </c>
      <c r="J396" s="95">
        <v>1</v>
      </c>
      <c r="K396" s="95">
        <v>0</v>
      </c>
      <c r="L396" s="149">
        <v>0</v>
      </c>
      <c r="M396" s="146" t="s">
        <v>22</v>
      </c>
      <c r="N396" s="149"/>
      <c r="O396" s="149"/>
      <c r="P396" s="149"/>
      <c r="Q396" s="149"/>
      <c r="R396" s="149"/>
      <c r="S396" s="149"/>
      <c r="T396" s="149"/>
      <c r="U396" s="149"/>
      <c r="V396" s="89"/>
      <c r="W396" s="91"/>
      <c r="X396" s="91"/>
      <c r="Y396" s="91"/>
    </row>
    <row r="397" spans="1:25" s="26" customFormat="1" ht="15" customHeight="1" x14ac:dyDescent="0.2">
      <c r="A397" s="55">
        <v>41768.698356481502</v>
      </c>
      <c r="B397" s="52" t="s">
        <v>16</v>
      </c>
      <c r="C397" s="52" t="s">
        <v>913</v>
      </c>
      <c r="D397" s="88" t="s">
        <v>6076</v>
      </c>
      <c r="E397" s="52" t="s">
        <v>6649</v>
      </c>
      <c r="F397" s="52" t="s">
        <v>6650</v>
      </c>
      <c r="G397" s="52" t="s">
        <v>42</v>
      </c>
      <c r="H397" s="52" t="s">
        <v>953</v>
      </c>
      <c r="I397" s="52" t="s">
        <v>2926</v>
      </c>
      <c r="J397" s="95">
        <v>1</v>
      </c>
      <c r="K397" s="95">
        <v>17</v>
      </c>
      <c r="L397" s="149">
        <v>12</v>
      </c>
      <c r="M397" s="146" t="s">
        <v>22</v>
      </c>
      <c r="N397" s="149"/>
      <c r="O397" s="149"/>
      <c r="P397" s="149"/>
      <c r="Q397" s="149"/>
      <c r="R397" s="149"/>
      <c r="S397" s="149"/>
      <c r="T397" s="149"/>
      <c r="U397" s="149"/>
      <c r="V397" s="52"/>
    </row>
    <row r="398" spans="1:25" s="26" customFormat="1" ht="15" customHeight="1" x14ac:dyDescent="0.2">
      <c r="A398" s="55">
        <v>41768.699479166702</v>
      </c>
      <c r="B398" s="52" t="s">
        <v>16</v>
      </c>
      <c r="C398" s="52" t="s">
        <v>913</v>
      </c>
      <c r="D398" s="88" t="s">
        <v>6076</v>
      </c>
      <c r="E398" s="89" t="s">
        <v>5600</v>
      </c>
      <c r="F398" s="89" t="s">
        <v>5601</v>
      </c>
      <c r="G398" s="52" t="s">
        <v>351</v>
      </c>
      <c r="H398" s="89" t="s">
        <v>6651</v>
      </c>
      <c r="I398" s="52" t="s">
        <v>2986</v>
      </c>
      <c r="J398" s="95">
        <v>1</v>
      </c>
      <c r="K398" s="95">
        <v>21</v>
      </c>
      <c r="L398" s="149">
        <v>21</v>
      </c>
      <c r="M398" s="146" t="s">
        <v>22</v>
      </c>
      <c r="N398" s="149"/>
      <c r="O398" s="149"/>
      <c r="P398" s="149"/>
      <c r="Q398" s="149"/>
      <c r="R398" s="149"/>
      <c r="S398" s="149"/>
      <c r="T398" s="149"/>
      <c r="U398" s="149"/>
      <c r="V398" s="52"/>
    </row>
    <row r="399" spans="1:25" s="26" customFormat="1" ht="15" customHeight="1" x14ac:dyDescent="0.2">
      <c r="A399" s="55">
        <v>41768.702557870398</v>
      </c>
      <c r="B399" s="52" t="s">
        <v>16</v>
      </c>
      <c r="C399" s="52" t="s">
        <v>913</v>
      </c>
      <c r="D399" s="88" t="s">
        <v>6076</v>
      </c>
      <c r="E399" s="52" t="s">
        <v>6652</v>
      </c>
      <c r="F399" s="52" t="s">
        <v>6653</v>
      </c>
      <c r="G399" s="52" t="s">
        <v>20</v>
      </c>
      <c r="H399" s="52" t="s">
        <v>6654</v>
      </c>
      <c r="I399" s="52" t="s">
        <v>6655</v>
      </c>
      <c r="J399" s="95">
        <v>4</v>
      </c>
      <c r="K399" s="95">
        <v>117</v>
      </c>
      <c r="L399" s="149">
        <v>351</v>
      </c>
      <c r="M399" s="146" t="s">
        <v>22</v>
      </c>
      <c r="N399" s="149"/>
      <c r="O399" s="149"/>
      <c r="P399" s="149"/>
      <c r="Q399" s="149"/>
      <c r="R399" s="149"/>
      <c r="S399" s="149"/>
      <c r="T399" s="149"/>
      <c r="U399" s="149"/>
      <c r="V399" s="52"/>
    </row>
    <row r="400" spans="1:25" s="26" customFormat="1" ht="15" customHeight="1" x14ac:dyDescent="0.2">
      <c r="A400" s="55">
        <v>41768.704756944397</v>
      </c>
      <c r="B400" s="52" t="s">
        <v>16</v>
      </c>
      <c r="C400" s="52" t="s">
        <v>913</v>
      </c>
      <c r="D400" s="88" t="s">
        <v>6076</v>
      </c>
      <c r="E400" s="52" t="s">
        <v>6656</v>
      </c>
      <c r="F400" s="52" t="s">
        <v>6657</v>
      </c>
      <c r="G400" s="52" t="s">
        <v>20</v>
      </c>
      <c r="H400" s="52" t="s">
        <v>6658</v>
      </c>
      <c r="I400" s="52" t="s">
        <v>5627</v>
      </c>
      <c r="J400" s="95">
        <v>4</v>
      </c>
      <c r="K400" s="95">
        <v>34</v>
      </c>
      <c r="L400" s="149">
        <v>68</v>
      </c>
      <c r="M400" s="146" t="s">
        <v>22</v>
      </c>
      <c r="N400" s="149"/>
      <c r="O400" s="149"/>
      <c r="P400" s="149"/>
      <c r="Q400" s="149"/>
      <c r="R400" s="149"/>
      <c r="S400" s="149"/>
      <c r="T400" s="149"/>
      <c r="U400" s="149"/>
      <c r="V400" s="52"/>
    </row>
    <row r="401" spans="1:25" s="26" customFormat="1" ht="15" customHeight="1" x14ac:dyDescent="0.2">
      <c r="A401" s="55">
        <v>41768.706388888902</v>
      </c>
      <c r="B401" s="52" t="s">
        <v>16</v>
      </c>
      <c r="C401" s="52" t="s">
        <v>913</v>
      </c>
      <c r="D401" s="88" t="s">
        <v>6076</v>
      </c>
      <c r="E401" s="52" t="s">
        <v>6659</v>
      </c>
      <c r="F401" s="52" t="s">
        <v>6660</v>
      </c>
      <c r="G401" s="52" t="s">
        <v>20</v>
      </c>
      <c r="H401" s="52" t="s">
        <v>6661</v>
      </c>
      <c r="I401" s="52" t="s">
        <v>5631</v>
      </c>
      <c r="J401" s="95">
        <v>4</v>
      </c>
      <c r="K401" s="95">
        <v>80</v>
      </c>
      <c r="L401" s="149">
        <v>240</v>
      </c>
      <c r="M401" s="146" t="s">
        <v>22</v>
      </c>
      <c r="N401" s="149"/>
      <c r="O401" s="149"/>
      <c r="P401" s="149"/>
      <c r="Q401" s="149"/>
      <c r="R401" s="149"/>
      <c r="S401" s="149"/>
      <c r="T401" s="149"/>
      <c r="U401" s="149"/>
      <c r="V401" s="52"/>
    </row>
    <row r="402" spans="1:25" s="26" customFormat="1" ht="15" customHeight="1" x14ac:dyDescent="0.2">
      <c r="A402" s="93">
        <v>41768.707291666702</v>
      </c>
      <c r="B402" s="89" t="s">
        <v>16</v>
      </c>
      <c r="C402" s="52" t="s">
        <v>913</v>
      </c>
      <c r="D402" s="87" t="s">
        <v>6076</v>
      </c>
      <c r="E402" s="89" t="s">
        <v>4840</v>
      </c>
      <c r="F402" s="89" t="s">
        <v>5592</v>
      </c>
      <c r="G402" s="89" t="s">
        <v>26</v>
      </c>
      <c r="H402" s="89"/>
      <c r="I402" s="89" t="s">
        <v>2812</v>
      </c>
      <c r="J402" s="95">
        <v>1</v>
      </c>
      <c r="K402" s="95">
        <v>39</v>
      </c>
      <c r="L402" s="149">
        <v>32</v>
      </c>
      <c r="M402" s="146" t="s">
        <v>22</v>
      </c>
      <c r="N402" s="149"/>
      <c r="O402" s="149"/>
      <c r="P402" s="149"/>
      <c r="Q402" s="149"/>
      <c r="R402" s="149"/>
      <c r="S402" s="149"/>
      <c r="T402" s="149"/>
      <c r="U402" s="149"/>
      <c r="V402" s="89"/>
      <c r="W402" s="91"/>
      <c r="X402" s="91"/>
      <c r="Y402" s="91"/>
    </row>
    <row r="403" spans="1:25" s="26" customFormat="1" ht="15" customHeight="1" x14ac:dyDescent="0.2">
      <c r="A403" s="55">
        <v>41768.708495370403</v>
      </c>
      <c r="B403" s="52" t="s">
        <v>16</v>
      </c>
      <c r="C403" s="52" t="s">
        <v>913</v>
      </c>
      <c r="D403" s="88" t="s">
        <v>6076</v>
      </c>
      <c r="E403" s="89" t="s">
        <v>6662</v>
      </c>
      <c r="F403" s="89" t="s">
        <v>6663</v>
      </c>
      <c r="G403" s="52" t="s">
        <v>351</v>
      </c>
      <c r="H403" s="89" t="s">
        <v>6664</v>
      </c>
      <c r="I403" s="52" t="s">
        <v>2812</v>
      </c>
      <c r="J403" s="95">
        <v>1</v>
      </c>
      <c r="K403" s="95">
        <v>300</v>
      </c>
      <c r="L403" s="149">
        <v>0</v>
      </c>
      <c r="M403" s="146" t="s">
        <v>22</v>
      </c>
      <c r="N403" s="149"/>
      <c r="O403" s="149"/>
      <c r="P403" s="149"/>
      <c r="Q403" s="149"/>
      <c r="R403" s="149"/>
      <c r="S403" s="149"/>
      <c r="T403" s="149"/>
      <c r="U403" s="149"/>
      <c r="V403" s="52"/>
    </row>
    <row r="404" spans="1:25" s="26" customFormat="1" ht="15" customHeight="1" x14ac:dyDescent="0.2">
      <c r="A404" s="55">
        <v>41768.724259259303</v>
      </c>
      <c r="B404" s="52" t="s">
        <v>16</v>
      </c>
      <c r="C404" s="52" t="s">
        <v>913</v>
      </c>
      <c r="D404" s="88" t="s">
        <v>6076</v>
      </c>
      <c r="E404" s="89" t="s">
        <v>4299</v>
      </c>
      <c r="F404" s="89" t="s">
        <v>5629</v>
      </c>
      <c r="G404" s="52" t="s">
        <v>351</v>
      </c>
      <c r="H404" s="89" t="s">
        <v>953</v>
      </c>
      <c r="I404" s="52" t="s">
        <v>2986</v>
      </c>
      <c r="J404" s="95">
        <v>1</v>
      </c>
      <c r="K404" s="95">
        <v>31</v>
      </c>
      <c r="L404" s="149">
        <v>31</v>
      </c>
      <c r="M404" s="146" t="s">
        <v>22</v>
      </c>
      <c r="N404" s="149"/>
      <c r="O404" s="149"/>
      <c r="P404" s="149"/>
      <c r="Q404" s="149"/>
      <c r="R404" s="149"/>
      <c r="S404" s="149"/>
      <c r="T404" s="149"/>
      <c r="U404" s="149"/>
      <c r="V404" s="52"/>
    </row>
    <row r="405" spans="1:25" s="26" customFormat="1" ht="15" customHeight="1" x14ac:dyDescent="0.2">
      <c r="A405" s="93">
        <v>41768.7249421296</v>
      </c>
      <c r="B405" s="89" t="s">
        <v>16</v>
      </c>
      <c r="C405" s="52" t="s">
        <v>913</v>
      </c>
      <c r="D405" s="87" t="s">
        <v>6076</v>
      </c>
      <c r="E405" s="89" t="s">
        <v>4322</v>
      </c>
      <c r="F405" s="89" t="s">
        <v>927</v>
      </c>
      <c r="G405" s="89" t="s">
        <v>26</v>
      </c>
      <c r="H405" s="89" t="s">
        <v>953</v>
      </c>
      <c r="I405" s="89" t="s">
        <v>2986</v>
      </c>
      <c r="J405" s="95">
        <v>1</v>
      </c>
      <c r="K405" s="95">
        <v>24</v>
      </c>
      <c r="L405" s="149">
        <v>24</v>
      </c>
      <c r="M405" s="146" t="s">
        <v>22</v>
      </c>
      <c r="N405" s="149"/>
      <c r="O405" s="149"/>
      <c r="P405" s="149"/>
      <c r="Q405" s="149"/>
      <c r="R405" s="149"/>
      <c r="S405" s="149"/>
      <c r="T405" s="149"/>
      <c r="U405" s="149"/>
      <c r="V405" s="89"/>
      <c r="W405" s="91"/>
      <c r="X405" s="91"/>
      <c r="Y405" s="91"/>
    </row>
    <row r="406" spans="1:25" s="26" customFormat="1" ht="15" customHeight="1" x14ac:dyDescent="0.2">
      <c r="A406" s="55">
        <v>41768.727650462999</v>
      </c>
      <c r="B406" s="52" t="s">
        <v>16</v>
      </c>
      <c r="C406" s="52" t="s">
        <v>913</v>
      </c>
      <c r="D406" s="88" t="s">
        <v>6076</v>
      </c>
      <c r="E406" s="52" t="s">
        <v>6665</v>
      </c>
      <c r="F406" s="52" t="s">
        <v>5597</v>
      </c>
      <c r="G406" s="52" t="s">
        <v>20</v>
      </c>
      <c r="H406" s="52" t="s">
        <v>6666</v>
      </c>
      <c r="I406" s="52" t="s">
        <v>3980</v>
      </c>
      <c r="J406" s="95">
        <v>3</v>
      </c>
      <c r="K406" s="95">
        <v>20</v>
      </c>
      <c r="L406" s="149">
        <v>60</v>
      </c>
      <c r="M406" s="146" t="s">
        <v>22</v>
      </c>
      <c r="N406" s="149"/>
      <c r="O406" s="149"/>
      <c r="P406" s="149"/>
      <c r="Q406" s="149"/>
      <c r="R406" s="149"/>
      <c r="S406" s="149"/>
      <c r="T406" s="149"/>
      <c r="U406" s="149"/>
      <c r="V406" s="52"/>
    </row>
    <row r="407" spans="1:25" s="26" customFormat="1" ht="15" customHeight="1" x14ac:dyDescent="0.2">
      <c r="A407" s="93">
        <v>41768.7282291667</v>
      </c>
      <c r="B407" s="89" t="s">
        <v>16</v>
      </c>
      <c r="C407" s="52" t="s">
        <v>913</v>
      </c>
      <c r="D407" s="87" t="s">
        <v>6076</v>
      </c>
      <c r="E407" s="89" t="s">
        <v>4299</v>
      </c>
      <c r="F407" s="89" t="s">
        <v>2758</v>
      </c>
      <c r="G407" s="89" t="s">
        <v>26</v>
      </c>
      <c r="H407" s="89" t="s">
        <v>953</v>
      </c>
      <c r="I407" s="89" t="s">
        <v>2986</v>
      </c>
      <c r="J407" s="95">
        <v>1</v>
      </c>
      <c r="K407" s="95">
        <v>24</v>
      </c>
      <c r="L407" s="149">
        <v>24</v>
      </c>
      <c r="M407" s="146" t="s">
        <v>22</v>
      </c>
      <c r="N407" s="149"/>
      <c r="O407" s="149"/>
      <c r="P407" s="149"/>
      <c r="Q407" s="149"/>
      <c r="R407" s="149"/>
      <c r="S407" s="149"/>
      <c r="T407" s="149"/>
      <c r="U407" s="149"/>
      <c r="V407" s="89"/>
      <c r="W407" s="91"/>
      <c r="X407" s="91"/>
      <c r="Y407" s="91"/>
    </row>
    <row r="408" spans="1:25" s="26" customFormat="1" ht="15" customHeight="1" x14ac:dyDescent="0.2">
      <c r="A408" s="93">
        <v>41768.729479166701</v>
      </c>
      <c r="B408" s="89" t="s">
        <v>16</v>
      </c>
      <c r="C408" s="52" t="s">
        <v>913</v>
      </c>
      <c r="D408" s="87" t="s">
        <v>6076</v>
      </c>
      <c r="E408" s="89" t="s">
        <v>6667</v>
      </c>
      <c r="F408" s="89" t="s">
        <v>6668</v>
      </c>
      <c r="G408" s="89" t="s">
        <v>156</v>
      </c>
      <c r="H408" s="89" t="s">
        <v>6669</v>
      </c>
      <c r="I408" s="89" t="s">
        <v>6670</v>
      </c>
      <c r="J408" s="95">
        <v>1</v>
      </c>
      <c r="K408" s="95">
        <v>132</v>
      </c>
      <c r="L408" s="149">
        <v>405</v>
      </c>
      <c r="M408" s="146" t="s">
        <v>22</v>
      </c>
      <c r="N408" s="149"/>
      <c r="O408" s="149"/>
      <c r="P408" s="149"/>
      <c r="Q408" s="149"/>
      <c r="R408" s="149"/>
      <c r="S408" s="149"/>
      <c r="T408" s="149"/>
      <c r="U408" s="149"/>
      <c r="V408" s="89" t="s">
        <v>6671</v>
      </c>
      <c r="W408" s="91"/>
      <c r="X408" s="91"/>
      <c r="Y408" s="91"/>
    </row>
    <row r="409" spans="1:25" s="26" customFormat="1" ht="15" customHeight="1" x14ac:dyDescent="0.2">
      <c r="A409" s="93">
        <v>41768.730312500003</v>
      </c>
      <c r="B409" s="89" t="s">
        <v>16</v>
      </c>
      <c r="C409" s="52" t="s">
        <v>913</v>
      </c>
      <c r="D409" s="87" t="s">
        <v>6076</v>
      </c>
      <c r="E409" s="89" t="s">
        <v>6672</v>
      </c>
      <c r="F409" s="89" t="s">
        <v>915</v>
      </c>
      <c r="G409" s="89" t="s">
        <v>26</v>
      </c>
      <c r="H409" s="89" t="s">
        <v>6673</v>
      </c>
      <c r="I409" s="89" t="s">
        <v>6674</v>
      </c>
      <c r="J409" s="95">
        <v>1</v>
      </c>
      <c r="K409" s="95">
        <v>8</v>
      </c>
      <c r="L409" s="149">
        <v>255</v>
      </c>
      <c r="M409" s="146" t="s">
        <v>22</v>
      </c>
      <c r="N409" s="149"/>
      <c r="O409" s="149"/>
      <c r="P409" s="149"/>
      <c r="Q409" s="149"/>
      <c r="R409" s="149"/>
      <c r="S409" s="149"/>
      <c r="T409" s="149"/>
      <c r="U409" s="149"/>
      <c r="V409" s="89"/>
      <c r="W409" s="91"/>
      <c r="X409" s="91"/>
      <c r="Y409" s="91"/>
    </row>
    <row r="410" spans="1:25" s="26" customFormat="1" ht="15" customHeight="1" x14ac:dyDescent="0.2">
      <c r="A410" s="55">
        <v>41768.731053240699</v>
      </c>
      <c r="B410" s="52" t="s">
        <v>16</v>
      </c>
      <c r="C410" s="52" t="s">
        <v>913</v>
      </c>
      <c r="D410" s="105" t="s">
        <v>6076</v>
      </c>
      <c r="E410" s="52" t="s">
        <v>6675</v>
      </c>
      <c r="F410" s="52" t="s">
        <v>6676</v>
      </c>
      <c r="G410" s="52" t="s">
        <v>42</v>
      </c>
      <c r="H410" s="52" t="s">
        <v>6677</v>
      </c>
      <c r="I410" s="52" t="s">
        <v>2926</v>
      </c>
      <c r="J410" s="95">
        <v>1</v>
      </c>
      <c r="K410" s="95">
        <v>16</v>
      </c>
      <c r="L410" s="149">
        <v>225</v>
      </c>
      <c r="M410" s="146" t="s">
        <v>22</v>
      </c>
      <c r="N410" s="149"/>
      <c r="O410" s="149"/>
      <c r="P410" s="149"/>
      <c r="Q410" s="149"/>
      <c r="R410" s="149"/>
      <c r="S410" s="149"/>
      <c r="T410" s="149"/>
      <c r="U410" s="149"/>
      <c r="V410" s="52"/>
    </row>
    <row r="411" spans="1:25" s="26" customFormat="1" ht="15" customHeight="1" x14ac:dyDescent="0.2">
      <c r="A411" s="93">
        <v>41768.731759259303</v>
      </c>
      <c r="B411" s="89" t="s">
        <v>16</v>
      </c>
      <c r="C411" s="52" t="s">
        <v>913</v>
      </c>
      <c r="D411" s="87" t="s">
        <v>6076</v>
      </c>
      <c r="E411" s="89" t="s">
        <v>6678</v>
      </c>
      <c r="F411" s="89" t="s">
        <v>6679</v>
      </c>
      <c r="G411" s="89" t="s">
        <v>26</v>
      </c>
      <c r="H411" s="89" t="s">
        <v>6680</v>
      </c>
      <c r="I411" s="89" t="s">
        <v>2986</v>
      </c>
      <c r="J411" s="95">
        <v>1</v>
      </c>
      <c r="K411" s="95">
        <v>2</v>
      </c>
      <c r="L411" s="149">
        <v>70</v>
      </c>
      <c r="M411" s="146" t="s">
        <v>44</v>
      </c>
      <c r="N411" s="149"/>
      <c r="O411" s="149">
        <v>5</v>
      </c>
      <c r="P411" s="149"/>
      <c r="Q411" s="149"/>
      <c r="R411" s="149"/>
      <c r="S411" s="149"/>
      <c r="T411" s="149"/>
      <c r="U411" s="149"/>
      <c r="V411" s="89"/>
      <c r="W411" s="91"/>
      <c r="X411" s="91"/>
      <c r="Y411" s="91"/>
    </row>
    <row r="412" spans="1:25" s="26" customFormat="1" ht="15" customHeight="1" x14ac:dyDescent="0.2">
      <c r="A412" s="55">
        <v>41768.732511574097</v>
      </c>
      <c r="B412" s="52" t="s">
        <v>16</v>
      </c>
      <c r="C412" s="52" t="s">
        <v>913</v>
      </c>
      <c r="D412" s="88" t="s">
        <v>6076</v>
      </c>
      <c r="E412" s="89" t="s">
        <v>6681</v>
      </c>
      <c r="F412" s="89" t="s">
        <v>4838</v>
      </c>
      <c r="G412" s="52" t="s">
        <v>351</v>
      </c>
      <c r="H412" s="89" t="s">
        <v>6682</v>
      </c>
      <c r="I412" s="52" t="s">
        <v>5599</v>
      </c>
      <c r="J412" s="95">
        <v>1</v>
      </c>
      <c r="K412" s="95">
        <v>15</v>
      </c>
      <c r="L412" s="149"/>
      <c r="M412" s="146" t="s">
        <v>22</v>
      </c>
      <c r="N412" s="149"/>
      <c r="O412" s="149"/>
      <c r="P412" s="149"/>
      <c r="Q412" s="149"/>
      <c r="R412" s="149"/>
      <c r="S412" s="149"/>
      <c r="T412" s="149"/>
      <c r="U412" s="149"/>
      <c r="V412" s="52"/>
    </row>
    <row r="413" spans="1:25" s="26" customFormat="1" ht="15" customHeight="1" x14ac:dyDescent="0.2">
      <c r="A413" s="93">
        <v>41768.733182870397</v>
      </c>
      <c r="B413" s="89" t="s">
        <v>16</v>
      </c>
      <c r="C413" s="52" t="s">
        <v>913</v>
      </c>
      <c r="D413" s="87" t="s">
        <v>6076</v>
      </c>
      <c r="E413" s="89" t="s">
        <v>4840</v>
      </c>
      <c r="F413" s="89" t="s">
        <v>5592</v>
      </c>
      <c r="G413" s="89" t="s">
        <v>26</v>
      </c>
      <c r="H413" s="89"/>
      <c r="I413" s="89" t="s">
        <v>3001</v>
      </c>
      <c r="J413" s="95">
        <v>1</v>
      </c>
      <c r="K413" s="95">
        <v>36</v>
      </c>
      <c r="L413" s="149">
        <v>36</v>
      </c>
      <c r="M413" s="146" t="s">
        <v>22</v>
      </c>
      <c r="N413" s="149"/>
      <c r="O413" s="149"/>
      <c r="P413" s="149"/>
      <c r="Q413" s="149"/>
      <c r="R413" s="149"/>
      <c r="S413" s="149"/>
      <c r="T413" s="149"/>
      <c r="U413" s="149"/>
      <c r="V413" s="89"/>
      <c r="W413" s="91"/>
      <c r="X413" s="91"/>
      <c r="Y413" s="91"/>
    </row>
    <row r="414" spans="1:25" s="26" customFormat="1" ht="15" customHeight="1" x14ac:dyDescent="0.2">
      <c r="A414" s="93">
        <v>41768.7340625</v>
      </c>
      <c r="B414" s="89" t="s">
        <v>16</v>
      </c>
      <c r="C414" s="52" t="s">
        <v>913</v>
      </c>
      <c r="D414" s="87" t="s">
        <v>6076</v>
      </c>
      <c r="E414" s="89" t="s">
        <v>6683</v>
      </c>
      <c r="F414" s="89" t="s">
        <v>915</v>
      </c>
      <c r="G414" s="89" t="s">
        <v>26</v>
      </c>
      <c r="H414" s="89" t="s">
        <v>6673</v>
      </c>
      <c r="I414" s="89" t="s">
        <v>2926</v>
      </c>
      <c r="J414" s="95">
        <v>1</v>
      </c>
      <c r="K414" s="95">
        <v>9</v>
      </c>
      <c r="L414" s="149">
        <v>265</v>
      </c>
      <c r="M414" s="146" t="s">
        <v>22</v>
      </c>
      <c r="N414" s="149"/>
      <c r="O414" s="149"/>
      <c r="P414" s="149"/>
      <c r="Q414" s="149"/>
      <c r="R414" s="149"/>
      <c r="S414" s="149"/>
      <c r="T414" s="149"/>
      <c r="U414" s="149"/>
      <c r="V414" s="89"/>
      <c r="W414" s="91"/>
      <c r="X414" s="91"/>
      <c r="Y414" s="91"/>
    </row>
    <row r="415" spans="1:25" s="26" customFormat="1" ht="15" customHeight="1" x14ac:dyDescent="0.2">
      <c r="A415" s="55">
        <v>41768.7351388889</v>
      </c>
      <c r="B415" s="52" t="s">
        <v>16</v>
      </c>
      <c r="C415" s="52" t="s">
        <v>913</v>
      </c>
      <c r="D415" s="88" t="s">
        <v>6076</v>
      </c>
      <c r="E415" s="52" t="s">
        <v>6684</v>
      </c>
      <c r="F415" s="52" t="s">
        <v>6685</v>
      </c>
      <c r="G415" s="52" t="s">
        <v>20</v>
      </c>
      <c r="H415" s="52" t="s">
        <v>6686</v>
      </c>
      <c r="I415" s="52" t="s">
        <v>5589</v>
      </c>
      <c r="J415" s="95">
        <v>1</v>
      </c>
      <c r="K415" s="95">
        <v>91</v>
      </c>
      <c r="L415" s="149">
        <v>274</v>
      </c>
      <c r="M415" s="146" t="s">
        <v>22</v>
      </c>
      <c r="N415" s="149"/>
      <c r="O415" s="149"/>
      <c r="P415" s="149"/>
      <c r="Q415" s="149"/>
      <c r="R415" s="149"/>
      <c r="S415" s="149"/>
      <c r="T415" s="149"/>
      <c r="U415" s="149"/>
      <c r="V415" s="52"/>
    </row>
    <row r="416" spans="1:25" s="26" customFormat="1" ht="15" customHeight="1" x14ac:dyDescent="0.2">
      <c r="A416" s="55">
        <v>41768.735798611102</v>
      </c>
      <c r="B416" s="52" t="s">
        <v>16</v>
      </c>
      <c r="C416" s="52" t="s">
        <v>913</v>
      </c>
      <c r="D416" s="88" t="s">
        <v>6076</v>
      </c>
      <c r="E416" s="52" t="s">
        <v>6687</v>
      </c>
      <c r="F416" s="52" t="s">
        <v>1630</v>
      </c>
      <c r="G416" s="52" t="s">
        <v>60</v>
      </c>
      <c r="H416" s="52"/>
      <c r="I416" s="52" t="s">
        <v>5643</v>
      </c>
      <c r="J416" s="95">
        <v>1</v>
      </c>
      <c r="K416" s="95">
        <v>108</v>
      </c>
      <c r="L416" s="149"/>
      <c r="M416" s="146" t="s">
        <v>22</v>
      </c>
      <c r="N416" s="149"/>
      <c r="O416" s="149"/>
      <c r="P416" s="149"/>
      <c r="Q416" s="149"/>
      <c r="R416" s="149"/>
      <c r="S416" s="149"/>
      <c r="T416" s="149"/>
      <c r="U416" s="149">
        <v>128</v>
      </c>
      <c r="V416" s="52"/>
    </row>
    <row r="417" spans="1:25" s="26" customFormat="1" ht="15" customHeight="1" x14ac:dyDescent="0.2">
      <c r="A417" s="93">
        <v>41767.439293981501</v>
      </c>
      <c r="B417" s="89" t="s">
        <v>152</v>
      </c>
      <c r="C417" s="52" t="s">
        <v>213</v>
      </c>
      <c r="D417" s="87" t="s">
        <v>6224</v>
      </c>
      <c r="E417" s="89" t="s">
        <v>6465</v>
      </c>
      <c r="F417" s="89" t="s">
        <v>2074</v>
      </c>
      <c r="G417" s="89" t="s">
        <v>60</v>
      </c>
      <c r="H417" s="89" t="s">
        <v>6466</v>
      </c>
      <c r="I417" s="89" t="s">
        <v>6467</v>
      </c>
      <c r="J417" s="95">
        <v>5</v>
      </c>
      <c r="K417" s="95">
        <v>18</v>
      </c>
      <c r="L417" s="150"/>
      <c r="M417" s="146" t="s">
        <v>22</v>
      </c>
      <c r="N417" s="149"/>
      <c r="O417" s="149"/>
      <c r="P417" s="149"/>
      <c r="Q417" s="149"/>
      <c r="R417" s="149"/>
      <c r="S417" s="149"/>
      <c r="T417" s="149"/>
      <c r="U417" s="149"/>
      <c r="V417" s="89"/>
      <c r="W417" s="91"/>
      <c r="X417" s="91"/>
      <c r="Y417" s="91"/>
    </row>
    <row r="418" spans="1:25" s="26" customFormat="1" ht="15" customHeight="1" x14ac:dyDescent="0.2">
      <c r="A418" s="93">
        <v>41767.440995370402</v>
      </c>
      <c r="B418" s="89" t="s">
        <v>152</v>
      </c>
      <c r="C418" s="52" t="s">
        <v>213</v>
      </c>
      <c r="D418" s="87" t="s">
        <v>6224</v>
      </c>
      <c r="E418" s="89" t="s">
        <v>6468</v>
      </c>
      <c r="F418" s="89" t="s">
        <v>4239</v>
      </c>
      <c r="G418" s="89" t="s">
        <v>26</v>
      </c>
      <c r="H418" s="89" t="s">
        <v>3807</v>
      </c>
      <c r="I418" s="89" t="s">
        <v>6467</v>
      </c>
      <c r="J418" s="95">
        <v>4</v>
      </c>
      <c r="K418" s="95">
        <v>10</v>
      </c>
      <c r="L418" s="150"/>
      <c r="M418" s="146" t="s">
        <v>22</v>
      </c>
      <c r="N418" s="149"/>
      <c r="O418" s="149"/>
      <c r="P418" s="149"/>
      <c r="Q418" s="149"/>
      <c r="R418" s="149"/>
      <c r="S418" s="149"/>
      <c r="T418" s="149"/>
      <c r="U418" s="149"/>
      <c r="V418" s="89"/>
      <c r="W418" s="91"/>
      <c r="X418" s="91"/>
      <c r="Y418" s="91"/>
    </row>
    <row r="419" spans="1:25" s="26" customFormat="1" ht="15" customHeight="1" x14ac:dyDescent="0.2">
      <c r="A419" s="93">
        <v>41767.442662037</v>
      </c>
      <c r="B419" s="89" t="s">
        <v>152</v>
      </c>
      <c r="C419" s="52" t="s">
        <v>213</v>
      </c>
      <c r="D419" s="87" t="s">
        <v>6224</v>
      </c>
      <c r="E419" s="89" t="s">
        <v>6469</v>
      </c>
      <c r="F419" s="89" t="s">
        <v>2074</v>
      </c>
      <c r="G419" s="89" t="s">
        <v>60</v>
      </c>
      <c r="H419" s="89" t="s">
        <v>6470</v>
      </c>
      <c r="I419" s="89" t="s">
        <v>3140</v>
      </c>
      <c r="J419" s="95">
        <v>1</v>
      </c>
      <c r="K419" s="95">
        <v>4</v>
      </c>
      <c r="L419" s="150"/>
      <c r="M419" s="146" t="s">
        <v>22</v>
      </c>
      <c r="N419" s="149"/>
      <c r="O419" s="149"/>
      <c r="P419" s="149"/>
      <c r="Q419" s="149"/>
      <c r="R419" s="149"/>
      <c r="S419" s="149"/>
      <c r="T419" s="149"/>
      <c r="U419" s="149"/>
      <c r="V419" s="89"/>
      <c r="W419" s="91"/>
      <c r="X419" s="91"/>
      <c r="Y419" s="91"/>
    </row>
    <row r="420" spans="1:25" s="26" customFormat="1" ht="15" customHeight="1" x14ac:dyDescent="0.2">
      <c r="A420" s="93">
        <v>41767.4453125</v>
      </c>
      <c r="B420" s="89" t="s">
        <v>152</v>
      </c>
      <c r="C420" s="52" t="s">
        <v>213</v>
      </c>
      <c r="D420" s="87" t="s">
        <v>6224</v>
      </c>
      <c r="E420" s="89" t="s">
        <v>6469</v>
      </c>
      <c r="F420" s="89" t="s">
        <v>6471</v>
      </c>
      <c r="G420" s="89" t="s">
        <v>26</v>
      </c>
      <c r="H420" s="89" t="s">
        <v>6472</v>
      </c>
      <c r="I420" s="89" t="s">
        <v>2986</v>
      </c>
      <c r="J420" s="95">
        <v>1</v>
      </c>
      <c r="K420" s="95">
        <v>4</v>
      </c>
      <c r="L420" s="150"/>
      <c r="M420" s="146" t="s">
        <v>22</v>
      </c>
      <c r="N420" s="149"/>
      <c r="O420" s="149"/>
      <c r="P420" s="149"/>
      <c r="Q420" s="149"/>
      <c r="R420" s="149"/>
      <c r="S420" s="149"/>
      <c r="T420" s="149"/>
      <c r="U420" s="149"/>
      <c r="V420" s="89" t="s">
        <v>6473</v>
      </c>
      <c r="W420" s="91"/>
      <c r="X420" s="91"/>
      <c r="Y420" s="91"/>
    </row>
    <row r="421" spans="1:25" s="26" customFormat="1" ht="15" customHeight="1" x14ac:dyDescent="0.2">
      <c r="A421" s="93">
        <v>41767.446701388901</v>
      </c>
      <c r="B421" s="89" t="s">
        <v>152</v>
      </c>
      <c r="C421" s="52" t="s">
        <v>213</v>
      </c>
      <c r="D421" s="87" t="s">
        <v>6224</v>
      </c>
      <c r="E421" s="89" t="s">
        <v>6474</v>
      </c>
      <c r="F421" s="89" t="s">
        <v>2074</v>
      </c>
      <c r="G421" s="89" t="s">
        <v>60</v>
      </c>
      <c r="H421" s="89" t="s">
        <v>6475</v>
      </c>
      <c r="I421" s="89" t="s">
        <v>3778</v>
      </c>
      <c r="J421" s="95">
        <v>1</v>
      </c>
      <c r="K421" s="95">
        <v>6</v>
      </c>
      <c r="L421" s="150"/>
      <c r="M421" s="146" t="s">
        <v>22</v>
      </c>
      <c r="N421" s="149"/>
      <c r="O421" s="149"/>
      <c r="P421" s="149"/>
      <c r="Q421" s="149"/>
      <c r="R421" s="149"/>
      <c r="S421" s="149"/>
      <c r="T421" s="149"/>
      <c r="U421" s="149"/>
      <c r="V421" s="89"/>
      <c r="W421" s="91"/>
      <c r="X421" s="91"/>
      <c r="Y421" s="91"/>
    </row>
    <row r="422" spans="1:25" s="26" customFormat="1" ht="15" customHeight="1" x14ac:dyDescent="0.2">
      <c r="A422" s="93">
        <v>41767.451388888898</v>
      </c>
      <c r="B422" s="89" t="s">
        <v>16</v>
      </c>
      <c r="C422" s="52" t="s">
        <v>799</v>
      </c>
      <c r="D422" s="87" t="s">
        <v>6224</v>
      </c>
      <c r="E422" s="89" t="s">
        <v>5344</v>
      </c>
      <c r="F422" s="89" t="s">
        <v>6476</v>
      </c>
      <c r="G422" s="89" t="s">
        <v>42</v>
      </c>
      <c r="H422" s="89"/>
      <c r="I422" s="89" t="s">
        <v>3001</v>
      </c>
      <c r="J422" s="95">
        <v>1</v>
      </c>
      <c r="K422" s="95">
        <v>9</v>
      </c>
      <c r="L422" s="150">
        <v>45</v>
      </c>
      <c r="M422" s="146" t="s">
        <v>22</v>
      </c>
      <c r="N422" s="149"/>
      <c r="O422" s="149"/>
      <c r="P422" s="149"/>
      <c r="Q422" s="149"/>
      <c r="R422" s="149"/>
      <c r="S422" s="149"/>
      <c r="T422" s="149"/>
      <c r="U422" s="149"/>
      <c r="V422" s="89"/>
      <c r="W422" s="91"/>
      <c r="X422" s="91"/>
      <c r="Y422" s="91"/>
    </row>
    <row r="423" spans="1:25" s="26" customFormat="1" ht="15" customHeight="1" x14ac:dyDescent="0.2">
      <c r="A423" s="93">
        <v>41767.515601851897</v>
      </c>
      <c r="B423" s="89" t="s">
        <v>152</v>
      </c>
      <c r="C423" s="52" t="s">
        <v>247</v>
      </c>
      <c r="D423" s="87" t="s">
        <v>6224</v>
      </c>
      <c r="E423" s="89" t="s">
        <v>6477</v>
      </c>
      <c r="F423" s="89" t="s">
        <v>6478</v>
      </c>
      <c r="G423" s="89" t="s">
        <v>20</v>
      </c>
      <c r="H423" s="89"/>
      <c r="I423" s="89" t="s">
        <v>2986</v>
      </c>
      <c r="J423" s="95">
        <v>4</v>
      </c>
      <c r="K423" s="95">
        <v>78</v>
      </c>
      <c r="L423" s="150"/>
      <c r="M423" s="146" t="s">
        <v>44</v>
      </c>
      <c r="N423" s="149">
        <v>273</v>
      </c>
      <c r="O423" s="149"/>
      <c r="P423" s="149"/>
      <c r="Q423" s="149"/>
      <c r="R423" s="149"/>
      <c r="S423" s="149"/>
      <c r="T423" s="149"/>
      <c r="U423" s="149"/>
      <c r="V423" s="89"/>
      <c r="W423" s="91"/>
      <c r="X423" s="91"/>
      <c r="Y423" s="91"/>
    </row>
    <row r="424" spans="1:25" s="26" customFormat="1" ht="15" customHeight="1" x14ac:dyDescent="0.2">
      <c r="A424" s="93">
        <v>41767.627025463</v>
      </c>
      <c r="B424" s="89" t="s">
        <v>16</v>
      </c>
      <c r="C424" s="52" t="s">
        <v>23</v>
      </c>
      <c r="D424" s="87" t="s">
        <v>6224</v>
      </c>
      <c r="E424" s="89" t="s">
        <v>6479</v>
      </c>
      <c r="F424" s="89" t="s">
        <v>6480</v>
      </c>
      <c r="G424" s="89" t="s">
        <v>20</v>
      </c>
      <c r="H424" s="89" t="s">
        <v>6481</v>
      </c>
      <c r="I424" s="89" t="s">
        <v>6482</v>
      </c>
      <c r="J424" s="95">
        <v>1</v>
      </c>
      <c r="K424" s="95">
        <v>29</v>
      </c>
      <c r="L424" s="150">
        <v>240</v>
      </c>
      <c r="M424" s="146" t="s">
        <v>44</v>
      </c>
      <c r="N424" s="149"/>
      <c r="O424" s="149"/>
      <c r="P424" s="149">
        <v>107</v>
      </c>
      <c r="Q424" s="149"/>
      <c r="R424" s="149"/>
      <c r="S424" s="149"/>
      <c r="T424" s="149"/>
      <c r="U424" s="149">
        <v>25</v>
      </c>
      <c r="V424" s="89"/>
      <c r="W424" s="91"/>
      <c r="X424" s="91"/>
      <c r="Y424" s="91"/>
    </row>
    <row r="425" spans="1:25" s="26" customFormat="1" ht="15" customHeight="1" x14ac:dyDescent="0.2">
      <c r="A425" s="93">
        <v>41768.457453703697</v>
      </c>
      <c r="B425" s="89" t="s">
        <v>38</v>
      </c>
      <c r="C425" s="52" t="s">
        <v>39</v>
      </c>
      <c r="D425" s="87" t="s">
        <v>6224</v>
      </c>
      <c r="E425" s="89" t="s">
        <v>6024</v>
      </c>
      <c r="F425" s="89" t="s">
        <v>6562</v>
      </c>
      <c r="G425" s="89" t="s">
        <v>20</v>
      </c>
      <c r="H425" s="89" t="s">
        <v>43</v>
      </c>
      <c r="I425" s="89" t="s">
        <v>6294</v>
      </c>
      <c r="J425" s="95">
        <v>1</v>
      </c>
      <c r="K425" s="95">
        <v>254</v>
      </c>
      <c r="L425" s="150"/>
      <c r="M425" s="146" t="s">
        <v>44</v>
      </c>
      <c r="N425" s="149">
        <v>1518</v>
      </c>
      <c r="O425" s="149"/>
      <c r="P425" s="149"/>
      <c r="Q425" s="149"/>
      <c r="R425" s="149"/>
      <c r="S425" s="149"/>
      <c r="T425" s="149"/>
      <c r="U425" s="149"/>
      <c r="V425" s="89"/>
      <c r="W425" s="91"/>
      <c r="X425" s="91"/>
      <c r="Y425" s="91"/>
    </row>
    <row r="426" spans="1:25" s="26" customFormat="1" ht="15" customHeight="1" x14ac:dyDescent="0.2">
      <c r="A426" s="93">
        <v>41768.459247685198</v>
      </c>
      <c r="B426" s="89" t="s">
        <v>38</v>
      </c>
      <c r="C426" s="52" t="s">
        <v>39</v>
      </c>
      <c r="D426" s="87" t="s">
        <v>6224</v>
      </c>
      <c r="E426" s="89" t="s">
        <v>6563</v>
      </c>
      <c r="F426" s="89" t="s">
        <v>6564</v>
      </c>
      <c r="G426" s="89" t="s">
        <v>20</v>
      </c>
      <c r="H426" s="89" t="s">
        <v>43</v>
      </c>
      <c r="I426" s="89" t="s">
        <v>6294</v>
      </c>
      <c r="J426" s="95">
        <v>1</v>
      </c>
      <c r="K426" s="95">
        <v>156</v>
      </c>
      <c r="L426" s="150"/>
      <c r="M426" s="146" t="s">
        <v>44</v>
      </c>
      <c r="N426" s="149">
        <v>742</v>
      </c>
      <c r="O426" s="149"/>
      <c r="P426" s="149"/>
      <c r="Q426" s="149"/>
      <c r="R426" s="149"/>
      <c r="S426" s="149"/>
      <c r="T426" s="149"/>
      <c r="U426" s="149"/>
      <c r="V426" s="89"/>
      <c r="W426" s="91"/>
      <c r="X426" s="91"/>
      <c r="Y426" s="91"/>
    </row>
    <row r="427" spans="1:25" s="26" customFormat="1" ht="15" customHeight="1" x14ac:dyDescent="0.2">
      <c r="A427" s="93">
        <v>41768.479282407403</v>
      </c>
      <c r="B427" s="89" t="s">
        <v>38</v>
      </c>
      <c r="C427" s="52" t="s">
        <v>39</v>
      </c>
      <c r="D427" s="87" t="s">
        <v>6224</v>
      </c>
      <c r="E427" s="89" t="s">
        <v>2096</v>
      </c>
      <c r="F427" s="89" t="s">
        <v>6565</v>
      </c>
      <c r="G427" s="89" t="s">
        <v>20</v>
      </c>
      <c r="H427" s="89" t="s">
        <v>43</v>
      </c>
      <c r="I427" s="89" t="s">
        <v>6294</v>
      </c>
      <c r="J427" s="95">
        <v>1</v>
      </c>
      <c r="K427" s="95">
        <v>121</v>
      </c>
      <c r="L427" s="150"/>
      <c r="M427" s="146" t="s">
        <v>44</v>
      </c>
      <c r="N427" s="149">
        <v>535.5</v>
      </c>
      <c r="O427" s="149"/>
      <c r="P427" s="149"/>
      <c r="Q427" s="149"/>
      <c r="R427" s="149"/>
      <c r="S427" s="149"/>
      <c r="T427" s="149"/>
      <c r="U427" s="149"/>
      <c r="V427" s="89"/>
      <c r="W427" s="91"/>
      <c r="X427" s="91"/>
      <c r="Y427" s="91"/>
    </row>
    <row r="428" spans="1:25" s="26" customFormat="1" ht="15" customHeight="1" x14ac:dyDescent="0.2">
      <c r="A428" s="93">
        <v>41768.480138888903</v>
      </c>
      <c r="B428" s="89" t="s">
        <v>38</v>
      </c>
      <c r="C428" s="52" t="s">
        <v>39</v>
      </c>
      <c r="D428" s="87" t="s">
        <v>6224</v>
      </c>
      <c r="E428" s="89" t="s">
        <v>6566</v>
      </c>
      <c r="F428" s="89" t="s">
        <v>6567</v>
      </c>
      <c r="G428" s="89" t="s">
        <v>20</v>
      </c>
      <c r="H428" s="89" t="s">
        <v>43</v>
      </c>
      <c r="I428" s="89" t="s">
        <v>6294</v>
      </c>
      <c r="J428" s="95">
        <v>1</v>
      </c>
      <c r="K428" s="95">
        <v>82</v>
      </c>
      <c r="L428" s="150"/>
      <c r="M428" s="146" t="s">
        <v>44</v>
      </c>
      <c r="N428" s="149">
        <v>480</v>
      </c>
      <c r="O428" s="149"/>
      <c r="P428" s="149"/>
      <c r="Q428" s="149"/>
      <c r="R428" s="149"/>
      <c r="S428" s="149"/>
      <c r="T428" s="149"/>
      <c r="U428" s="149"/>
      <c r="V428" s="89"/>
      <c r="W428" s="91"/>
      <c r="X428" s="91"/>
      <c r="Y428" s="91"/>
    </row>
    <row r="429" spans="1:25" s="26" customFormat="1" ht="15" customHeight="1" x14ac:dyDescent="0.2">
      <c r="A429" s="93">
        <v>41768.481122685203</v>
      </c>
      <c r="B429" s="89" t="s">
        <v>38</v>
      </c>
      <c r="C429" s="52" t="s">
        <v>39</v>
      </c>
      <c r="D429" s="87" t="s">
        <v>6224</v>
      </c>
      <c r="E429" s="89" t="s">
        <v>6568</v>
      </c>
      <c r="F429" s="89" t="s">
        <v>6569</v>
      </c>
      <c r="G429" s="89" t="s">
        <v>20</v>
      </c>
      <c r="H429" s="89" t="s">
        <v>43</v>
      </c>
      <c r="I429" s="89" t="s">
        <v>6282</v>
      </c>
      <c r="J429" s="95">
        <v>1</v>
      </c>
      <c r="K429" s="95">
        <v>53</v>
      </c>
      <c r="L429" s="150"/>
      <c r="M429" s="146" t="s">
        <v>44</v>
      </c>
      <c r="N429" s="149">
        <v>312</v>
      </c>
      <c r="O429" s="149"/>
      <c r="P429" s="149"/>
      <c r="Q429" s="149"/>
      <c r="R429" s="149"/>
      <c r="S429" s="149"/>
      <c r="T429" s="149"/>
      <c r="U429" s="149"/>
      <c r="V429" s="89"/>
      <c r="W429" s="91"/>
      <c r="X429" s="91"/>
      <c r="Y429" s="91"/>
    </row>
    <row r="430" spans="1:25" s="26" customFormat="1" ht="15" customHeight="1" x14ac:dyDescent="0.2">
      <c r="A430" s="93">
        <v>41768.483888888899</v>
      </c>
      <c r="B430" s="89" t="s">
        <v>38</v>
      </c>
      <c r="C430" s="52" t="s">
        <v>39</v>
      </c>
      <c r="D430" s="87" t="s">
        <v>6224</v>
      </c>
      <c r="E430" s="89" t="s">
        <v>6570</v>
      </c>
      <c r="F430" s="89" t="s">
        <v>6571</v>
      </c>
      <c r="G430" s="89" t="s">
        <v>20</v>
      </c>
      <c r="H430" s="89" t="s">
        <v>43</v>
      </c>
      <c r="I430" s="89" t="s">
        <v>6294</v>
      </c>
      <c r="J430" s="95">
        <v>1</v>
      </c>
      <c r="K430" s="95">
        <v>139</v>
      </c>
      <c r="L430" s="150"/>
      <c r="M430" s="146" t="s">
        <v>44</v>
      </c>
      <c r="N430" s="149">
        <v>876.6</v>
      </c>
      <c r="O430" s="149"/>
      <c r="P430" s="149"/>
      <c r="Q430" s="149"/>
      <c r="R430" s="149"/>
      <c r="S430" s="149"/>
      <c r="T430" s="149"/>
      <c r="U430" s="149"/>
      <c r="V430" s="89"/>
      <c r="W430" s="91"/>
      <c r="X430" s="91"/>
      <c r="Y430" s="91"/>
    </row>
    <row r="431" spans="1:25" s="26" customFormat="1" ht="15" customHeight="1" x14ac:dyDescent="0.2">
      <c r="A431" s="93">
        <v>41768.5496180556</v>
      </c>
      <c r="B431" s="89" t="s">
        <v>38</v>
      </c>
      <c r="C431" s="52" t="s">
        <v>39</v>
      </c>
      <c r="D431" s="87" t="s">
        <v>6224</v>
      </c>
      <c r="E431" s="89" t="s">
        <v>6572</v>
      </c>
      <c r="F431" s="89" t="s">
        <v>6573</v>
      </c>
      <c r="G431" s="89" t="s">
        <v>20</v>
      </c>
      <c r="H431" s="89" t="s">
        <v>43</v>
      </c>
      <c r="I431" s="89" t="s">
        <v>6294</v>
      </c>
      <c r="J431" s="95">
        <v>1</v>
      </c>
      <c r="K431" s="95">
        <v>50</v>
      </c>
      <c r="L431" s="150"/>
      <c r="M431" s="146" t="s">
        <v>44</v>
      </c>
      <c r="N431" s="149">
        <v>288</v>
      </c>
      <c r="O431" s="149"/>
      <c r="P431" s="149"/>
      <c r="Q431" s="149"/>
      <c r="R431" s="149"/>
      <c r="S431" s="149"/>
      <c r="T431" s="149"/>
      <c r="U431" s="149"/>
      <c r="V431" s="89"/>
      <c r="W431" s="91"/>
      <c r="X431" s="91"/>
      <c r="Y431" s="91"/>
    </row>
    <row r="432" spans="1:25" s="26" customFormat="1" ht="15" customHeight="1" x14ac:dyDescent="0.2">
      <c r="A432" s="93">
        <v>41768.551087963002</v>
      </c>
      <c r="B432" s="89" t="s">
        <v>38</v>
      </c>
      <c r="C432" s="52" t="s">
        <v>39</v>
      </c>
      <c r="D432" s="87" t="s">
        <v>6224</v>
      </c>
      <c r="E432" s="89" t="s">
        <v>3829</v>
      </c>
      <c r="F432" s="89" t="s">
        <v>6574</v>
      </c>
      <c r="G432" s="89" t="s">
        <v>20</v>
      </c>
      <c r="H432" s="89" t="s">
        <v>43</v>
      </c>
      <c r="I432" s="89" t="s">
        <v>6294</v>
      </c>
      <c r="J432" s="95">
        <v>1</v>
      </c>
      <c r="K432" s="95">
        <v>71</v>
      </c>
      <c r="L432" s="150"/>
      <c r="M432" s="146" t="s">
        <v>44</v>
      </c>
      <c r="N432" s="149">
        <v>455.82</v>
      </c>
      <c r="O432" s="149"/>
      <c r="P432" s="149"/>
      <c r="Q432" s="149"/>
      <c r="R432" s="149"/>
      <c r="S432" s="149"/>
      <c r="T432" s="149"/>
      <c r="U432" s="149"/>
      <c r="V432" s="89"/>
      <c r="W432" s="91"/>
      <c r="X432" s="91"/>
      <c r="Y432" s="91"/>
    </row>
    <row r="433" spans="1:25" s="26" customFormat="1" ht="15" customHeight="1" x14ac:dyDescent="0.2">
      <c r="A433" s="93">
        <v>41768.5521643518</v>
      </c>
      <c r="B433" s="89" t="s">
        <v>38</v>
      </c>
      <c r="C433" s="52" t="s">
        <v>39</v>
      </c>
      <c r="D433" s="87" t="s">
        <v>6224</v>
      </c>
      <c r="E433" s="89" t="s">
        <v>6024</v>
      </c>
      <c r="F433" s="89" t="s">
        <v>6575</v>
      </c>
      <c r="G433" s="89" t="s">
        <v>20</v>
      </c>
      <c r="H433" s="89" t="s">
        <v>43</v>
      </c>
      <c r="I433" s="89" t="s">
        <v>6294</v>
      </c>
      <c r="J433" s="95">
        <v>1</v>
      </c>
      <c r="K433" s="95">
        <v>254</v>
      </c>
      <c r="L433" s="150"/>
      <c r="M433" s="146" t="s">
        <v>44</v>
      </c>
      <c r="N433" s="149">
        <v>1518</v>
      </c>
      <c r="O433" s="149"/>
      <c r="P433" s="149"/>
      <c r="Q433" s="149"/>
      <c r="R433" s="149"/>
      <c r="S433" s="149"/>
      <c r="T433" s="149"/>
      <c r="U433" s="149"/>
      <c r="V433" s="89"/>
      <c r="W433" s="91"/>
      <c r="X433" s="91"/>
      <c r="Y433" s="91"/>
    </row>
    <row r="434" spans="1:25" s="26" customFormat="1" ht="15" customHeight="1" x14ac:dyDescent="0.2">
      <c r="A434" s="93">
        <v>41768.5608796296</v>
      </c>
      <c r="B434" s="89" t="s">
        <v>38</v>
      </c>
      <c r="C434" s="52" t="s">
        <v>39</v>
      </c>
      <c r="D434" s="87" t="s">
        <v>6224</v>
      </c>
      <c r="E434" s="89" t="s">
        <v>6579</v>
      </c>
      <c r="F434" s="89" t="s">
        <v>6580</v>
      </c>
      <c r="G434" s="89" t="s">
        <v>20</v>
      </c>
      <c r="H434" s="89" t="s">
        <v>43</v>
      </c>
      <c r="I434" s="89" t="s">
        <v>6294</v>
      </c>
      <c r="J434" s="95">
        <v>1</v>
      </c>
      <c r="K434" s="95">
        <v>153</v>
      </c>
      <c r="L434" s="150"/>
      <c r="M434" s="146" t="s">
        <v>44</v>
      </c>
      <c r="N434" s="149">
        <v>813.77</v>
      </c>
      <c r="O434" s="149"/>
      <c r="P434" s="149"/>
      <c r="Q434" s="149"/>
      <c r="R434" s="149"/>
      <c r="S434" s="149"/>
      <c r="T434" s="149"/>
      <c r="U434" s="149"/>
      <c r="V434" s="89"/>
      <c r="W434" s="91"/>
      <c r="X434" s="91"/>
      <c r="Y434" s="91"/>
    </row>
    <row r="435" spans="1:25" s="26" customFormat="1" ht="15" customHeight="1" x14ac:dyDescent="0.2">
      <c r="A435" s="93">
        <v>41768.561678240701</v>
      </c>
      <c r="B435" s="89" t="s">
        <v>38</v>
      </c>
      <c r="C435" s="52" t="s">
        <v>39</v>
      </c>
      <c r="D435" s="87" t="s">
        <v>6224</v>
      </c>
      <c r="E435" s="89" t="s">
        <v>3836</v>
      </c>
      <c r="F435" s="89" t="s">
        <v>6581</v>
      </c>
      <c r="G435" s="89" t="s">
        <v>20</v>
      </c>
      <c r="H435" s="89" t="s">
        <v>43</v>
      </c>
      <c r="I435" s="89" t="s">
        <v>6294</v>
      </c>
      <c r="J435" s="95">
        <v>1</v>
      </c>
      <c r="K435" s="95">
        <v>168</v>
      </c>
      <c r="L435" s="150"/>
      <c r="M435" s="146" t="s">
        <v>44</v>
      </c>
      <c r="N435" s="149">
        <v>832.18</v>
      </c>
      <c r="O435" s="149"/>
      <c r="P435" s="149"/>
      <c r="Q435" s="149"/>
      <c r="R435" s="149"/>
      <c r="S435" s="149"/>
      <c r="T435" s="149"/>
      <c r="U435" s="149"/>
      <c r="V435" s="89"/>
      <c r="W435" s="91"/>
      <c r="X435" s="91"/>
      <c r="Y435" s="91"/>
    </row>
    <row r="436" spans="1:25" s="26" customFormat="1" ht="15" customHeight="1" x14ac:dyDescent="0.2">
      <c r="A436" s="93">
        <v>41768.563275462999</v>
      </c>
      <c r="B436" s="89" t="s">
        <v>38</v>
      </c>
      <c r="C436" s="52" t="s">
        <v>39</v>
      </c>
      <c r="D436" s="87" t="s">
        <v>6224</v>
      </c>
      <c r="E436" s="89" t="s">
        <v>5004</v>
      </c>
      <c r="F436" s="89" t="s">
        <v>6582</v>
      </c>
      <c r="G436" s="89" t="s">
        <v>20</v>
      </c>
      <c r="H436" s="89" t="s">
        <v>43</v>
      </c>
      <c r="I436" s="89" t="s">
        <v>6294</v>
      </c>
      <c r="J436" s="95">
        <v>1</v>
      </c>
      <c r="K436" s="95">
        <v>158</v>
      </c>
      <c r="L436" s="150"/>
      <c r="M436" s="146" t="s">
        <v>44</v>
      </c>
      <c r="N436" s="149">
        <v>742</v>
      </c>
      <c r="O436" s="149"/>
      <c r="P436" s="149">
        <v>615</v>
      </c>
      <c r="Q436" s="149"/>
      <c r="R436" s="149"/>
      <c r="S436" s="149"/>
      <c r="T436" s="149"/>
      <c r="U436" s="149"/>
      <c r="V436" s="89"/>
      <c r="W436" s="91"/>
      <c r="X436" s="91"/>
      <c r="Y436" s="91"/>
    </row>
    <row r="437" spans="1:25" s="26" customFormat="1" ht="15" customHeight="1" x14ac:dyDescent="0.2">
      <c r="A437" s="93">
        <v>41768.564062500001</v>
      </c>
      <c r="B437" s="89" t="s">
        <v>38</v>
      </c>
      <c r="C437" s="52" t="s">
        <v>39</v>
      </c>
      <c r="D437" s="87" t="s">
        <v>6224</v>
      </c>
      <c r="E437" s="89" t="s">
        <v>6583</v>
      </c>
      <c r="F437" s="89" t="s">
        <v>6584</v>
      </c>
      <c r="G437" s="89" t="s">
        <v>20</v>
      </c>
      <c r="H437" s="89" t="s">
        <v>43</v>
      </c>
      <c r="I437" s="89" t="s">
        <v>6294</v>
      </c>
      <c r="J437" s="95">
        <v>1</v>
      </c>
      <c r="K437" s="95">
        <v>88</v>
      </c>
      <c r="L437" s="150"/>
      <c r="M437" s="146" t="s">
        <v>44</v>
      </c>
      <c r="N437" s="149">
        <v>516</v>
      </c>
      <c r="O437" s="149"/>
      <c r="P437" s="149"/>
      <c r="Q437" s="149"/>
      <c r="R437" s="149"/>
      <c r="S437" s="149"/>
      <c r="T437" s="149"/>
      <c r="U437" s="149"/>
      <c r="V437" s="89"/>
      <c r="W437" s="91"/>
      <c r="X437" s="91"/>
      <c r="Y437" s="91"/>
    </row>
    <row r="438" spans="1:25" s="26" customFormat="1" ht="15" customHeight="1" x14ac:dyDescent="0.2">
      <c r="A438" s="93">
        <v>41768.648680555598</v>
      </c>
      <c r="B438" s="89" t="s">
        <v>38</v>
      </c>
      <c r="C438" s="52" t="s">
        <v>47</v>
      </c>
      <c r="D438" s="87" t="s">
        <v>6224</v>
      </c>
      <c r="E438" s="89" t="s">
        <v>6611</v>
      </c>
      <c r="F438" s="89" t="s">
        <v>6612</v>
      </c>
      <c r="G438" s="89" t="s">
        <v>351</v>
      </c>
      <c r="H438" s="89" t="s">
        <v>6613</v>
      </c>
      <c r="I438" s="89" t="s">
        <v>2926</v>
      </c>
      <c r="J438" s="95">
        <v>1</v>
      </c>
      <c r="K438" s="95">
        <v>225</v>
      </c>
      <c r="L438" s="150"/>
      <c r="M438" s="146" t="s">
        <v>22</v>
      </c>
      <c r="N438" s="149"/>
      <c r="O438" s="149"/>
      <c r="P438" s="149"/>
      <c r="Q438" s="149"/>
      <c r="R438" s="149"/>
      <c r="S438" s="149"/>
      <c r="T438" s="149"/>
      <c r="U438" s="149"/>
      <c r="V438" s="89" t="s">
        <v>6614</v>
      </c>
      <c r="W438" s="91"/>
      <c r="X438" s="91"/>
      <c r="Y438" s="91"/>
    </row>
    <row r="439" spans="1:25" s="26" customFormat="1" ht="15" customHeight="1" x14ac:dyDescent="0.2">
      <c r="A439" s="93">
        <v>41768.649768518502</v>
      </c>
      <c r="B439" s="89" t="s">
        <v>38</v>
      </c>
      <c r="C439" s="52" t="s">
        <v>47</v>
      </c>
      <c r="D439" s="87" t="s">
        <v>6224</v>
      </c>
      <c r="E439" s="89" t="s">
        <v>6615</v>
      </c>
      <c r="F439" s="89" t="s">
        <v>6616</v>
      </c>
      <c r="G439" s="89" t="s">
        <v>20</v>
      </c>
      <c r="H439" s="89" t="s">
        <v>6617</v>
      </c>
      <c r="I439" s="89" t="s">
        <v>2926</v>
      </c>
      <c r="J439" s="95">
        <v>1</v>
      </c>
      <c r="K439" s="95">
        <v>100</v>
      </c>
      <c r="L439" s="150">
        <v>125</v>
      </c>
      <c r="M439" s="146" t="s">
        <v>44</v>
      </c>
      <c r="N439" s="149"/>
      <c r="O439" s="149"/>
      <c r="P439" s="149"/>
      <c r="Q439" s="149"/>
      <c r="R439" s="149"/>
      <c r="S439" s="149"/>
      <c r="T439" s="149">
        <v>10</v>
      </c>
      <c r="U439" s="149">
        <v>10</v>
      </c>
      <c r="V439" s="89" t="s">
        <v>6618</v>
      </c>
      <c r="W439" s="91"/>
      <c r="X439" s="91"/>
      <c r="Y439" s="91"/>
    </row>
    <row r="440" spans="1:25" s="26" customFormat="1" ht="15" customHeight="1" x14ac:dyDescent="0.2">
      <c r="A440" s="93">
        <v>41768.662199074097</v>
      </c>
      <c r="B440" s="89" t="s">
        <v>38</v>
      </c>
      <c r="C440" s="52" t="s">
        <v>47</v>
      </c>
      <c r="D440" s="87" t="s">
        <v>6224</v>
      </c>
      <c r="E440" s="89" t="s">
        <v>5515</v>
      </c>
      <c r="F440" s="89" t="s">
        <v>6047</v>
      </c>
      <c r="G440" s="89" t="s">
        <v>20</v>
      </c>
      <c r="H440" s="89" t="s">
        <v>6619</v>
      </c>
      <c r="I440" s="89" t="s">
        <v>3001</v>
      </c>
      <c r="J440" s="95">
        <v>1</v>
      </c>
      <c r="K440" s="95">
        <v>60</v>
      </c>
      <c r="L440" s="150">
        <v>247</v>
      </c>
      <c r="M440" s="146" t="s">
        <v>44</v>
      </c>
      <c r="N440" s="149"/>
      <c r="O440" s="149">
        <v>25</v>
      </c>
      <c r="P440" s="149"/>
      <c r="Q440" s="149"/>
      <c r="R440" s="149"/>
      <c r="S440" s="149"/>
      <c r="T440" s="149"/>
      <c r="U440" s="149"/>
      <c r="V440" s="89"/>
      <c r="W440" s="91"/>
      <c r="X440" s="91"/>
      <c r="Y440" s="91"/>
    </row>
    <row r="441" spans="1:25" s="26" customFormat="1" ht="15" customHeight="1" x14ac:dyDescent="0.2">
      <c r="A441" s="93">
        <v>41768.662881944401</v>
      </c>
      <c r="B441" s="89" t="s">
        <v>38</v>
      </c>
      <c r="C441" s="52" t="s">
        <v>47</v>
      </c>
      <c r="D441" s="87" t="s">
        <v>6224</v>
      </c>
      <c r="E441" s="89" t="s">
        <v>3815</v>
      </c>
      <c r="F441" s="89" t="s">
        <v>6620</v>
      </c>
      <c r="G441" s="89" t="s">
        <v>26</v>
      </c>
      <c r="H441" s="89" t="s">
        <v>6621</v>
      </c>
      <c r="I441" s="89" t="s">
        <v>3001</v>
      </c>
      <c r="J441" s="95">
        <v>1</v>
      </c>
      <c r="K441" s="95">
        <v>13</v>
      </c>
      <c r="L441" s="150">
        <v>39</v>
      </c>
      <c r="M441" s="146" t="s">
        <v>44</v>
      </c>
      <c r="N441" s="149"/>
      <c r="O441" s="149">
        <v>15</v>
      </c>
      <c r="P441" s="149"/>
      <c r="Q441" s="149"/>
      <c r="R441" s="149"/>
      <c r="S441" s="149"/>
      <c r="T441" s="149"/>
      <c r="U441" s="149"/>
      <c r="V441" s="89"/>
      <c r="W441" s="91"/>
      <c r="X441" s="91"/>
      <c r="Y441" s="91"/>
    </row>
    <row r="442" spans="1:25" s="26" customFormat="1" ht="15" customHeight="1" x14ac:dyDescent="0.2">
      <c r="A442" s="93">
        <v>41768.676099536999</v>
      </c>
      <c r="B442" s="89" t="s">
        <v>152</v>
      </c>
      <c r="C442" s="52" t="s">
        <v>213</v>
      </c>
      <c r="D442" s="87" t="s">
        <v>6224</v>
      </c>
      <c r="E442" s="89" t="s">
        <v>6465</v>
      </c>
      <c r="F442" s="89" t="s">
        <v>6622</v>
      </c>
      <c r="G442" s="89" t="s">
        <v>20</v>
      </c>
      <c r="H442" s="89" t="s">
        <v>6623</v>
      </c>
      <c r="I442" s="89" t="s">
        <v>2986</v>
      </c>
      <c r="J442" s="95">
        <v>1</v>
      </c>
      <c r="K442" s="95">
        <v>150</v>
      </c>
      <c r="L442" s="150"/>
      <c r="M442" s="146" t="s">
        <v>44</v>
      </c>
      <c r="N442" s="149">
        <v>525</v>
      </c>
      <c r="O442" s="149"/>
      <c r="P442" s="149"/>
      <c r="Q442" s="149"/>
      <c r="R442" s="149"/>
      <c r="S442" s="149"/>
      <c r="T442" s="149"/>
      <c r="U442" s="149"/>
      <c r="V442" s="89"/>
      <c r="W442" s="91"/>
      <c r="X442" s="91"/>
      <c r="Y442" s="91"/>
    </row>
    <row r="443" spans="1:25" s="26" customFormat="1" ht="15" customHeight="1" x14ac:dyDescent="0.2">
      <c r="A443" s="93">
        <v>41768.678530092599</v>
      </c>
      <c r="B443" s="89" t="s">
        <v>152</v>
      </c>
      <c r="C443" s="52" t="s">
        <v>213</v>
      </c>
      <c r="D443" s="87" t="s">
        <v>6224</v>
      </c>
      <c r="E443" s="89" t="s">
        <v>6624</v>
      </c>
      <c r="F443" s="89" t="s">
        <v>6625</v>
      </c>
      <c r="G443" s="89" t="s">
        <v>20</v>
      </c>
      <c r="H443" s="89" t="s">
        <v>6626</v>
      </c>
      <c r="I443" s="89" t="s">
        <v>6627</v>
      </c>
      <c r="J443" s="95">
        <v>1</v>
      </c>
      <c r="K443" s="95">
        <v>66</v>
      </c>
      <c r="L443" s="150"/>
      <c r="M443" s="146" t="s">
        <v>44</v>
      </c>
      <c r="N443" s="149">
        <v>231</v>
      </c>
      <c r="O443" s="149"/>
      <c r="P443" s="149"/>
      <c r="Q443" s="149"/>
      <c r="R443" s="149"/>
      <c r="S443" s="149"/>
      <c r="T443" s="149"/>
      <c r="U443" s="149"/>
      <c r="V443" s="89"/>
      <c r="W443" s="91"/>
      <c r="X443" s="91"/>
      <c r="Y443" s="91"/>
    </row>
    <row r="444" spans="1:25" s="26" customFormat="1" ht="15" customHeight="1" x14ac:dyDescent="0.2">
      <c r="A444" s="93">
        <v>41768.681377314802</v>
      </c>
      <c r="B444" s="89" t="s">
        <v>152</v>
      </c>
      <c r="C444" s="52" t="s">
        <v>213</v>
      </c>
      <c r="D444" s="87" t="s">
        <v>6224</v>
      </c>
      <c r="E444" s="89" t="s">
        <v>6628</v>
      </c>
      <c r="F444" s="89" t="s">
        <v>6629</v>
      </c>
      <c r="G444" s="89" t="s">
        <v>20</v>
      </c>
      <c r="H444" s="89" t="s">
        <v>6630</v>
      </c>
      <c r="I444" s="89" t="s">
        <v>2986</v>
      </c>
      <c r="J444" s="95">
        <v>1</v>
      </c>
      <c r="K444" s="95">
        <v>75</v>
      </c>
      <c r="L444" s="150"/>
      <c r="M444" s="146" t="s">
        <v>44</v>
      </c>
      <c r="N444" s="149">
        <v>241.5</v>
      </c>
      <c r="O444" s="149"/>
      <c r="P444" s="149"/>
      <c r="Q444" s="149"/>
      <c r="R444" s="149"/>
      <c r="S444" s="149"/>
      <c r="T444" s="149"/>
      <c r="U444" s="149"/>
      <c r="V444" s="89" t="s">
        <v>6631</v>
      </c>
      <c r="W444" s="91"/>
      <c r="X444" s="91"/>
      <c r="Y444" s="91"/>
    </row>
    <row r="445" spans="1:25" s="26" customFormat="1" ht="15" customHeight="1" x14ac:dyDescent="0.2">
      <c r="A445" s="93">
        <v>41768.684930555602</v>
      </c>
      <c r="B445" s="89" t="s">
        <v>152</v>
      </c>
      <c r="C445" s="52" t="s">
        <v>213</v>
      </c>
      <c r="D445" s="87" t="s">
        <v>6224</v>
      </c>
      <c r="E445" s="89" t="s">
        <v>6628</v>
      </c>
      <c r="F445" s="89" t="s">
        <v>6632</v>
      </c>
      <c r="G445" s="89" t="s">
        <v>20</v>
      </c>
      <c r="H445" s="89" t="s">
        <v>6633</v>
      </c>
      <c r="I445" s="89" t="s">
        <v>2986</v>
      </c>
      <c r="J445" s="95">
        <v>1</v>
      </c>
      <c r="K445" s="95">
        <v>53</v>
      </c>
      <c r="L445" s="150"/>
      <c r="M445" s="146" t="s">
        <v>44</v>
      </c>
      <c r="N445" s="149">
        <v>171.5</v>
      </c>
      <c r="O445" s="149"/>
      <c r="P445" s="149">
        <v>37.5</v>
      </c>
      <c r="Q445" s="149"/>
      <c r="R445" s="149"/>
      <c r="S445" s="149"/>
      <c r="T445" s="149"/>
      <c r="U445" s="149"/>
      <c r="V445" s="89" t="s">
        <v>6634</v>
      </c>
      <c r="W445" s="91"/>
      <c r="X445" s="91"/>
      <c r="Y445" s="91"/>
    </row>
    <row r="446" spans="1:25" s="26" customFormat="1" ht="15" customHeight="1" x14ac:dyDescent="0.2">
      <c r="A446" s="93">
        <v>41768.686574074098</v>
      </c>
      <c r="B446" s="89" t="s">
        <v>152</v>
      </c>
      <c r="C446" s="52" t="s">
        <v>213</v>
      </c>
      <c r="D446" s="87" t="s">
        <v>6224</v>
      </c>
      <c r="E446" s="89" t="s">
        <v>6635</v>
      </c>
      <c r="F446" s="89" t="s">
        <v>6636</v>
      </c>
      <c r="G446" s="89" t="s">
        <v>20</v>
      </c>
      <c r="H446" s="89" t="s">
        <v>6637</v>
      </c>
      <c r="I446" s="89" t="s">
        <v>2986</v>
      </c>
      <c r="J446" s="95">
        <v>1</v>
      </c>
      <c r="K446" s="95">
        <v>66</v>
      </c>
      <c r="L446" s="150"/>
      <c r="M446" s="146" t="s">
        <v>44</v>
      </c>
      <c r="N446" s="149">
        <v>231</v>
      </c>
      <c r="O446" s="149"/>
      <c r="P446" s="149"/>
      <c r="Q446" s="149"/>
      <c r="R446" s="149"/>
      <c r="S446" s="149"/>
      <c r="T446" s="149"/>
      <c r="U446" s="149"/>
      <c r="V446" s="89" t="s">
        <v>6638</v>
      </c>
      <c r="W446" s="91"/>
      <c r="X446" s="91"/>
      <c r="Y446" s="91"/>
    </row>
    <row r="447" spans="1:25" s="26" customFormat="1" ht="15" customHeight="1" x14ac:dyDescent="0.2">
      <c r="A447" s="93">
        <v>41769.386921296304</v>
      </c>
      <c r="B447" s="89" t="s">
        <v>152</v>
      </c>
      <c r="C447" s="52" t="s">
        <v>247</v>
      </c>
      <c r="D447" s="87" t="s">
        <v>6224</v>
      </c>
      <c r="E447" s="89" t="s">
        <v>6720</v>
      </c>
      <c r="F447" s="89" t="s">
        <v>6721</v>
      </c>
      <c r="G447" s="89" t="s">
        <v>20</v>
      </c>
      <c r="H447" s="89"/>
      <c r="I447" s="89" t="s">
        <v>2986</v>
      </c>
      <c r="J447" s="95">
        <v>2</v>
      </c>
      <c r="K447" s="95">
        <v>58</v>
      </c>
      <c r="L447" s="150"/>
      <c r="M447" s="146" t="s">
        <v>44</v>
      </c>
      <c r="N447" s="149">
        <v>116</v>
      </c>
      <c r="O447" s="149"/>
      <c r="P447" s="149">
        <v>185.14</v>
      </c>
      <c r="Q447" s="149"/>
      <c r="R447" s="149"/>
      <c r="S447" s="149"/>
      <c r="T447" s="149"/>
      <c r="U447" s="149"/>
      <c r="V447" s="89"/>
      <c r="W447" s="91"/>
      <c r="X447" s="91"/>
      <c r="Y447" s="91"/>
    </row>
    <row r="448" spans="1:25" s="26" customFormat="1" ht="15" customHeight="1" x14ac:dyDescent="0.2">
      <c r="A448" s="93">
        <v>41770.3984837963</v>
      </c>
      <c r="B448" s="89" t="s">
        <v>152</v>
      </c>
      <c r="C448" s="52" t="s">
        <v>2060</v>
      </c>
      <c r="D448" s="87" t="s">
        <v>6224</v>
      </c>
      <c r="E448" s="89" t="s">
        <v>4334</v>
      </c>
      <c r="F448" s="89" t="s">
        <v>6828</v>
      </c>
      <c r="G448" s="89" t="s">
        <v>20</v>
      </c>
      <c r="H448" s="89" t="s">
        <v>2063</v>
      </c>
      <c r="I448" s="89" t="s">
        <v>2986</v>
      </c>
      <c r="J448" s="95">
        <v>1</v>
      </c>
      <c r="K448" s="95">
        <v>10</v>
      </c>
      <c r="L448" s="150"/>
      <c r="M448" s="146" t="s">
        <v>44</v>
      </c>
      <c r="N448" s="149">
        <v>60</v>
      </c>
      <c r="O448" s="149"/>
      <c r="P448" s="149"/>
      <c r="Q448" s="149"/>
      <c r="R448" s="149"/>
      <c r="S448" s="149"/>
      <c r="T448" s="149"/>
      <c r="U448" s="149"/>
      <c r="V448" s="89"/>
      <c r="W448" s="91"/>
      <c r="X448" s="91"/>
      <c r="Y448" s="91"/>
    </row>
    <row r="449" spans="1:25" s="26" customFormat="1" ht="15" customHeight="1" x14ac:dyDescent="0.2">
      <c r="A449" s="93">
        <v>41770.3996527778</v>
      </c>
      <c r="B449" s="89" t="s">
        <v>152</v>
      </c>
      <c r="C449" s="52" t="s">
        <v>2060</v>
      </c>
      <c r="D449" s="87" t="s">
        <v>6224</v>
      </c>
      <c r="E449" s="89" t="s">
        <v>6829</v>
      </c>
      <c r="F449" s="89" t="s">
        <v>6830</v>
      </c>
      <c r="G449" s="89" t="s">
        <v>20</v>
      </c>
      <c r="H449" s="89" t="s">
        <v>6084</v>
      </c>
      <c r="I449" s="89" t="s">
        <v>2986</v>
      </c>
      <c r="J449" s="95">
        <v>1</v>
      </c>
      <c r="K449" s="95">
        <v>45</v>
      </c>
      <c r="L449" s="150"/>
      <c r="M449" s="146" t="s">
        <v>44</v>
      </c>
      <c r="N449" s="149">
        <v>126</v>
      </c>
      <c r="O449" s="149"/>
      <c r="P449" s="149"/>
      <c r="Q449" s="149"/>
      <c r="R449" s="149"/>
      <c r="S449" s="149"/>
      <c r="T449" s="149"/>
      <c r="U449" s="149"/>
      <c r="V449" s="89"/>
      <c r="W449" s="91"/>
      <c r="X449" s="91"/>
      <c r="Y449" s="91"/>
    </row>
    <row r="450" spans="1:25" s="26" customFormat="1" ht="15" customHeight="1" x14ac:dyDescent="0.2">
      <c r="A450" s="32">
        <v>41528.487662037034</v>
      </c>
      <c r="B450" s="26" t="s">
        <v>152</v>
      </c>
      <c r="C450" s="26" t="s">
        <v>2060</v>
      </c>
      <c r="D450" s="30">
        <v>41518</v>
      </c>
      <c r="E450" s="26" t="s">
        <v>2061</v>
      </c>
      <c r="F450" s="26" t="s">
        <v>2062</v>
      </c>
      <c r="G450" s="26" t="s">
        <v>42</v>
      </c>
      <c r="H450" s="26" t="s">
        <v>2063</v>
      </c>
      <c r="J450" s="46">
        <v>1</v>
      </c>
      <c r="K450" s="46">
        <v>17</v>
      </c>
      <c r="L450" s="136"/>
      <c r="M450" s="137" t="s">
        <v>44</v>
      </c>
      <c r="N450" s="138">
        <v>75</v>
      </c>
      <c r="O450" s="138"/>
      <c r="P450" s="138">
        <v>45</v>
      </c>
      <c r="Q450" s="138"/>
      <c r="R450" s="138"/>
      <c r="S450" s="138"/>
      <c r="T450" s="138"/>
      <c r="U450" s="138"/>
    </row>
    <row r="451" spans="1:25" s="26" customFormat="1" ht="15" customHeight="1" x14ac:dyDescent="0.2">
      <c r="A451" s="32">
        <v>41710.672881944447</v>
      </c>
      <c r="B451" s="26" t="s">
        <v>152</v>
      </c>
      <c r="C451" s="26" t="s">
        <v>2060</v>
      </c>
      <c r="D451" s="33">
        <v>41699</v>
      </c>
      <c r="E451" s="26" t="s">
        <v>3240</v>
      </c>
      <c r="F451" s="26" t="s">
        <v>4376</v>
      </c>
      <c r="G451" s="26" t="s">
        <v>20</v>
      </c>
      <c r="H451" s="26" t="s">
        <v>5160</v>
      </c>
      <c r="I451" s="26" t="s">
        <v>2986</v>
      </c>
      <c r="J451" s="115">
        <v>1</v>
      </c>
      <c r="K451" s="115">
        <v>38</v>
      </c>
      <c r="L451" s="136"/>
      <c r="M451" s="137" t="s">
        <v>44</v>
      </c>
      <c r="N451" s="138">
        <v>108</v>
      </c>
      <c r="O451" s="138"/>
      <c r="P451" s="138"/>
      <c r="Q451" s="138"/>
      <c r="R451" s="138"/>
      <c r="S451" s="138"/>
      <c r="T451" s="138"/>
      <c r="U451" s="138"/>
    </row>
    <row r="452" spans="1:25" s="26" customFormat="1" ht="15" customHeight="1" x14ac:dyDescent="0.2">
      <c r="A452" s="32">
        <v>41718.484618055554</v>
      </c>
      <c r="B452" s="26" t="s">
        <v>152</v>
      </c>
      <c r="C452" s="26" t="s">
        <v>2060</v>
      </c>
      <c r="D452" s="33">
        <v>41699</v>
      </c>
      <c r="E452" s="26" t="s">
        <v>5208</v>
      </c>
      <c r="F452" s="26" t="s">
        <v>5209</v>
      </c>
      <c r="G452" s="26" t="s">
        <v>20</v>
      </c>
      <c r="H452" s="26" t="s">
        <v>2369</v>
      </c>
      <c r="I452" s="26" t="s">
        <v>2986</v>
      </c>
      <c r="J452" s="46">
        <v>2</v>
      </c>
      <c r="K452" s="46">
        <v>94</v>
      </c>
      <c r="L452" s="136"/>
      <c r="M452" s="137" t="s">
        <v>44</v>
      </c>
      <c r="N452" s="138">
        <v>337.5</v>
      </c>
      <c r="O452" s="138"/>
      <c r="P452" s="138">
        <v>236</v>
      </c>
      <c r="Q452" s="138"/>
      <c r="R452" s="138"/>
      <c r="S452" s="138"/>
      <c r="T452" s="138"/>
      <c r="U452" s="138"/>
    </row>
    <row r="453" spans="1:25" s="26" customFormat="1" ht="15" customHeight="1" x14ac:dyDescent="0.2">
      <c r="A453" s="32">
        <v>41718.486145833333</v>
      </c>
      <c r="B453" s="26" t="s">
        <v>152</v>
      </c>
      <c r="C453" s="26" t="s">
        <v>2060</v>
      </c>
      <c r="D453" s="33">
        <v>41699</v>
      </c>
      <c r="E453" s="26" t="s">
        <v>5210</v>
      </c>
      <c r="F453" s="26" t="s">
        <v>5211</v>
      </c>
      <c r="G453" s="26" t="s">
        <v>20</v>
      </c>
      <c r="H453" s="26" t="s">
        <v>2085</v>
      </c>
      <c r="I453" s="26" t="s">
        <v>2986</v>
      </c>
      <c r="J453" s="46">
        <v>1</v>
      </c>
      <c r="K453" s="46">
        <v>36</v>
      </c>
      <c r="L453" s="136"/>
      <c r="M453" s="137" t="s">
        <v>44</v>
      </c>
      <c r="N453" s="138">
        <v>110</v>
      </c>
      <c r="O453" s="138"/>
      <c r="P453" s="138">
        <v>42</v>
      </c>
      <c r="Q453" s="138"/>
      <c r="R453" s="138"/>
      <c r="S453" s="138"/>
      <c r="T453" s="138"/>
      <c r="U453" s="138"/>
    </row>
    <row r="454" spans="1:25" s="26" customFormat="1" ht="15" customHeight="1" x14ac:dyDescent="0.2">
      <c r="A454" s="32">
        <v>41719.603668981479</v>
      </c>
      <c r="B454" s="26" t="s">
        <v>152</v>
      </c>
      <c r="C454" s="26" t="s">
        <v>2060</v>
      </c>
      <c r="D454" s="33">
        <v>41699</v>
      </c>
      <c r="E454" s="26" t="s">
        <v>5223</v>
      </c>
      <c r="F454" s="26" t="s">
        <v>5224</v>
      </c>
      <c r="G454" s="26" t="s">
        <v>20</v>
      </c>
      <c r="H454" s="26" t="s">
        <v>2085</v>
      </c>
      <c r="I454" s="26" t="s">
        <v>2986</v>
      </c>
      <c r="J454" s="46">
        <v>2</v>
      </c>
      <c r="K454" s="46">
        <v>87</v>
      </c>
      <c r="L454" s="136"/>
      <c r="M454" s="137" t="s">
        <v>44</v>
      </c>
      <c r="N454" s="138">
        <v>290.5</v>
      </c>
      <c r="O454" s="138"/>
      <c r="P454" s="138">
        <v>56</v>
      </c>
      <c r="Q454" s="138"/>
      <c r="R454" s="138"/>
      <c r="S454" s="138"/>
      <c r="T454" s="138"/>
      <c r="U454" s="138"/>
    </row>
    <row r="455" spans="1:25" s="26" customFormat="1" ht="15" customHeight="1" x14ac:dyDescent="0.2">
      <c r="A455" s="32">
        <v>41725.371516203704</v>
      </c>
      <c r="B455" s="26" t="s">
        <v>152</v>
      </c>
      <c r="C455" s="26" t="s">
        <v>2060</v>
      </c>
      <c r="D455" s="33">
        <v>41699</v>
      </c>
      <c r="E455" s="26" t="s">
        <v>5280</v>
      </c>
      <c r="F455" s="26" t="s">
        <v>5281</v>
      </c>
      <c r="G455" s="26" t="s">
        <v>20</v>
      </c>
      <c r="H455" s="26" t="s">
        <v>2085</v>
      </c>
      <c r="I455" s="26" t="s">
        <v>2986</v>
      </c>
      <c r="J455" s="46">
        <v>3</v>
      </c>
      <c r="K455" s="46">
        <v>147</v>
      </c>
      <c r="L455" s="136"/>
      <c r="M455" s="137" t="s">
        <v>44</v>
      </c>
      <c r="N455" s="138">
        <v>414</v>
      </c>
      <c r="O455" s="138"/>
      <c r="P455" s="138">
        <v>53.25</v>
      </c>
      <c r="Q455" s="138"/>
      <c r="R455" s="138"/>
      <c r="S455" s="138"/>
      <c r="T455" s="138"/>
      <c r="U455" s="138"/>
    </row>
    <row r="456" spans="1:25" s="26" customFormat="1" ht="15" customHeight="1" x14ac:dyDescent="0.2">
      <c r="A456" s="32">
        <v>41732.564722222225</v>
      </c>
      <c r="B456" s="26" t="s">
        <v>152</v>
      </c>
      <c r="C456" s="26" t="s">
        <v>2060</v>
      </c>
      <c r="D456" s="33">
        <v>41699</v>
      </c>
      <c r="E456" s="26" t="s">
        <v>5538</v>
      </c>
      <c r="F456" s="26" t="s">
        <v>5539</v>
      </c>
      <c r="G456" s="26" t="s">
        <v>20</v>
      </c>
      <c r="H456" s="26" t="s">
        <v>2085</v>
      </c>
      <c r="I456" s="26" t="s">
        <v>2986</v>
      </c>
      <c r="J456" s="46">
        <v>3</v>
      </c>
      <c r="K456" s="46">
        <v>132</v>
      </c>
      <c r="L456" s="136"/>
      <c r="M456" s="137" t="s">
        <v>44</v>
      </c>
      <c r="N456" s="138">
        <v>398</v>
      </c>
      <c r="O456" s="138"/>
      <c r="P456" s="138">
        <v>85.36</v>
      </c>
      <c r="Q456" s="138"/>
      <c r="R456" s="138"/>
      <c r="S456" s="138"/>
      <c r="T456" s="138"/>
      <c r="U456" s="138"/>
    </row>
    <row r="457" spans="1:25" s="26" customFormat="1" ht="15" customHeight="1" x14ac:dyDescent="0.2">
      <c r="A457" s="32">
        <v>41732.565798611111</v>
      </c>
      <c r="B457" s="26" t="s">
        <v>152</v>
      </c>
      <c r="C457" s="26" t="s">
        <v>2060</v>
      </c>
      <c r="D457" s="33">
        <v>41730</v>
      </c>
      <c r="E457" s="26" t="s">
        <v>5540</v>
      </c>
      <c r="F457" s="26" t="s">
        <v>5539</v>
      </c>
      <c r="G457" s="26" t="s">
        <v>20</v>
      </c>
      <c r="H457" s="26" t="s">
        <v>2085</v>
      </c>
      <c r="I457" s="26" t="s">
        <v>2986</v>
      </c>
      <c r="J457" s="46">
        <v>3</v>
      </c>
      <c r="K457" s="46">
        <v>143</v>
      </c>
      <c r="L457" s="138"/>
      <c r="M457" s="137" t="s">
        <v>44</v>
      </c>
      <c r="N457" s="138">
        <v>431</v>
      </c>
      <c r="O457" s="138"/>
      <c r="P457" s="138">
        <v>78.5</v>
      </c>
      <c r="Q457" s="138"/>
      <c r="R457" s="138"/>
      <c r="S457" s="138"/>
      <c r="T457" s="138"/>
      <c r="U457" s="138"/>
    </row>
    <row r="458" spans="1:25" s="26" customFormat="1" ht="15" customHeight="1" x14ac:dyDescent="0.2">
      <c r="A458" s="32">
        <v>41732.566550925927</v>
      </c>
      <c r="B458" s="26" t="s">
        <v>152</v>
      </c>
      <c r="C458" s="26" t="s">
        <v>2060</v>
      </c>
      <c r="D458" s="33">
        <v>41730</v>
      </c>
      <c r="E458" s="26" t="s">
        <v>3835</v>
      </c>
      <c r="F458" s="26" t="s">
        <v>5541</v>
      </c>
      <c r="G458" s="26" t="s">
        <v>20</v>
      </c>
      <c r="H458" s="26" t="s">
        <v>2085</v>
      </c>
      <c r="I458" s="26" t="s">
        <v>2986</v>
      </c>
      <c r="J458" s="46">
        <v>2</v>
      </c>
      <c r="K458" s="46">
        <v>84</v>
      </c>
      <c r="L458" s="138"/>
      <c r="M458" s="137" t="s">
        <v>44</v>
      </c>
      <c r="N458" s="138">
        <v>237</v>
      </c>
      <c r="O458" s="138"/>
      <c r="P458" s="138"/>
      <c r="Q458" s="138"/>
      <c r="R458" s="138"/>
      <c r="S458" s="138"/>
      <c r="T458" s="138"/>
      <c r="U458" s="138"/>
    </row>
    <row r="459" spans="1:25" s="26" customFormat="1" ht="15" customHeight="1" x14ac:dyDescent="0.2">
      <c r="A459" s="32">
        <v>41747.37599537037</v>
      </c>
      <c r="B459" s="26" t="s">
        <v>152</v>
      </c>
      <c r="C459" s="26" t="s">
        <v>2060</v>
      </c>
      <c r="D459" s="33">
        <v>41730</v>
      </c>
      <c r="E459" s="26" t="s">
        <v>5992</v>
      </c>
      <c r="F459" s="26" t="s">
        <v>5993</v>
      </c>
      <c r="G459" s="26" t="s">
        <v>20</v>
      </c>
      <c r="H459" s="26" t="s">
        <v>2063</v>
      </c>
      <c r="I459" s="26" t="s">
        <v>2986</v>
      </c>
      <c r="J459" s="46">
        <v>2</v>
      </c>
      <c r="K459" s="46">
        <v>93</v>
      </c>
      <c r="L459" s="138"/>
      <c r="M459" s="137" t="s">
        <v>44</v>
      </c>
      <c r="N459" s="138">
        <v>325.5</v>
      </c>
      <c r="O459" s="138"/>
      <c r="P459" s="138"/>
      <c r="Q459" s="138"/>
      <c r="R459" s="138"/>
      <c r="S459" s="138"/>
      <c r="T459" s="138"/>
      <c r="U459" s="138"/>
    </row>
    <row r="460" spans="1:25" s="26" customFormat="1" ht="15" customHeight="1" x14ac:dyDescent="0.2">
      <c r="A460" s="55">
        <v>41754.640613425901</v>
      </c>
      <c r="B460" s="52" t="s">
        <v>152</v>
      </c>
      <c r="C460" s="52" t="s">
        <v>2060</v>
      </c>
      <c r="D460" s="88" t="s">
        <v>6076</v>
      </c>
      <c r="E460" s="52" t="s">
        <v>6082</v>
      </c>
      <c r="F460" s="52" t="s">
        <v>6083</v>
      </c>
      <c r="G460" s="52" t="s">
        <v>20</v>
      </c>
      <c r="H460" s="52" t="s">
        <v>6084</v>
      </c>
      <c r="I460" s="52" t="s">
        <v>2986</v>
      </c>
      <c r="J460" s="95">
        <v>1</v>
      </c>
      <c r="K460" s="95">
        <v>53</v>
      </c>
      <c r="L460" s="149"/>
      <c r="M460" s="146" t="s">
        <v>44</v>
      </c>
      <c r="N460" s="149">
        <v>186</v>
      </c>
      <c r="O460" s="149"/>
      <c r="P460" s="149"/>
      <c r="Q460" s="149"/>
      <c r="R460" s="149"/>
      <c r="S460" s="149"/>
      <c r="T460" s="149"/>
      <c r="U460" s="149"/>
      <c r="V460" s="52"/>
    </row>
    <row r="461" spans="1:25" s="26" customFormat="1" ht="15" customHeight="1" x14ac:dyDescent="0.2">
      <c r="A461" s="93">
        <v>41770.401122685202</v>
      </c>
      <c r="B461" s="89" t="s">
        <v>152</v>
      </c>
      <c r="C461" s="52" t="s">
        <v>2060</v>
      </c>
      <c r="D461" s="87" t="s">
        <v>6224</v>
      </c>
      <c r="E461" s="89" t="s">
        <v>6831</v>
      </c>
      <c r="F461" s="89" t="s">
        <v>6830</v>
      </c>
      <c r="G461" s="89" t="s">
        <v>20</v>
      </c>
      <c r="H461" s="89" t="s">
        <v>6084</v>
      </c>
      <c r="I461" s="89" t="s">
        <v>2986</v>
      </c>
      <c r="J461" s="95">
        <v>1</v>
      </c>
      <c r="K461" s="95">
        <v>55</v>
      </c>
      <c r="L461" s="150"/>
      <c r="M461" s="146" t="s">
        <v>44</v>
      </c>
      <c r="N461" s="149">
        <v>156</v>
      </c>
      <c r="O461" s="149"/>
      <c r="P461" s="149">
        <v>130</v>
      </c>
      <c r="Q461" s="149"/>
      <c r="R461" s="149"/>
      <c r="S461" s="149"/>
      <c r="T461" s="149"/>
      <c r="U461" s="149"/>
      <c r="V461" s="89"/>
      <c r="W461" s="91"/>
      <c r="X461" s="91"/>
      <c r="Y461" s="91"/>
    </row>
    <row r="462" spans="1:25" s="26" customFormat="1" ht="15" customHeight="1" x14ac:dyDescent="0.2">
      <c r="A462" s="93">
        <v>41770.401956018497</v>
      </c>
      <c r="B462" s="89" t="s">
        <v>152</v>
      </c>
      <c r="C462" s="52" t="s">
        <v>2060</v>
      </c>
      <c r="D462" s="87" t="s">
        <v>6224</v>
      </c>
      <c r="E462" s="89" t="s">
        <v>6832</v>
      </c>
      <c r="F462" s="89" t="s">
        <v>6833</v>
      </c>
      <c r="G462" s="89" t="s">
        <v>20</v>
      </c>
      <c r="H462" s="89" t="s">
        <v>6084</v>
      </c>
      <c r="I462" s="89" t="s">
        <v>2986</v>
      </c>
      <c r="J462" s="95">
        <v>1</v>
      </c>
      <c r="K462" s="95">
        <v>38</v>
      </c>
      <c r="L462" s="150"/>
      <c r="M462" s="146" t="s">
        <v>44</v>
      </c>
      <c r="N462" s="149">
        <v>108</v>
      </c>
      <c r="O462" s="149"/>
      <c r="P462" s="149">
        <v>125.95</v>
      </c>
      <c r="Q462" s="149"/>
      <c r="R462" s="149"/>
      <c r="S462" s="149"/>
      <c r="T462" s="149"/>
      <c r="U462" s="149"/>
      <c r="V462" s="89"/>
      <c r="W462" s="91"/>
      <c r="X462" s="91"/>
      <c r="Y462" s="91"/>
    </row>
    <row r="463" spans="1:25" s="26" customFormat="1" ht="15" customHeight="1" x14ac:dyDescent="0.2">
      <c r="A463" s="93">
        <v>41770.404247685197</v>
      </c>
      <c r="B463" s="89" t="s">
        <v>152</v>
      </c>
      <c r="C463" s="52" t="s">
        <v>2060</v>
      </c>
      <c r="D463" s="87" t="s">
        <v>6224</v>
      </c>
      <c r="E463" s="89" t="s">
        <v>6834</v>
      </c>
      <c r="F463" s="89" t="s">
        <v>6835</v>
      </c>
      <c r="G463" s="89" t="s">
        <v>351</v>
      </c>
      <c r="H463" s="89" t="s">
        <v>6836</v>
      </c>
      <c r="I463" s="89" t="s">
        <v>2986</v>
      </c>
      <c r="J463" s="95">
        <v>18</v>
      </c>
      <c r="K463" s="95">
        <v>856</v>
      </c>
      <c r="L463" s="150"/>
      <c r="M463" s="146" t="s">
        <v>22</v>
      </c>
      <c r="N463" s="149"/>
      <c r="O463" s="149"/>
      <c r="P463" s="149"/>
      <c r="Q463" s="149"/>
      <c r="R463" s="149"/>
      <c r="S463" s="149"/>
      <c r="T463" s="149"/>
      <c r="U463" s="149"/>
      <c r="V463" s="89" t="s">
        <v>6837</v>
      </c>
      <c r="W463" s="91"/>
      <c r="X463" s="91"/>
      <c r="Y463" s="91"/>
    </row>
    <row r="464" spans="1:25" s="26" customFormat="1" ht="15" customHeight="1" x14ac:dyDescent="0.2">
      <c r="A464" s="93">
        <v>41771.410451388903</v>
      </c>
      <c r="B464" s="89" t="s">
        <v>16</v>
      </c>
      <c r="C464" s="52" t="s">
        <v>23</v>
      </c>
      <c r="D464" s="87" t="s">
        <v>6224</v>
      </c>
      <c r="E464" s="89" t="s">
        <v>6838</v>
      </c>
      <c r="F464" s="89" t="s">
        <v>6839</v>
      </c>
      <c r="G464" s="89" t="s">
        <v>26</v>
      </c>
      <c r="H464" s="89" t="s">
        <v>6840</v>
      </c>
      <c r="I464" s="89" t="s">
        <v>3001</v>
      </c>
      <c r="J464" s="95">
        <v>1</v>
      </c>
      <c r="K464" s="95">
        <v>25</v>
      </c>
      <c r="L464" s="150">
        <v>50</v>
      </c>
      <c r="M464" s="146" t="s">
        <v>44</v>
      </c>
      <c r="N464" s="149"/>
      <c r="O464" s="149">
        <v>15</v>
      </c>
      <c r="P464" s="149"/>
      <c r="Q464" s="149"/>
      <c r="R464" s="149"/>
      <c r="S464" s="149"/>
      <c r="T464" s="149"/>
      <c r="U464" s="149">
        <v>20</v>
      </c>
      <c r="V464" s="89"/>
      <c r="W464" s="91"/>
      <c r="X464" s="91"/>
      <c r="Y464" s="91"/>
    </row>
    <row r="465" spans="1:25" s="26" customFormat="1" ht="15" customHeight="1" x14ac:dyDescent="0.2">
      <c r="A465" s="93">
        <v>41771.540625000001</v>
      </c>
      <c r="B465" s="89" t="s">
        <v>38</v>
      </c>
      <c r="C465" s="52" t="s">
        <v>47</v>
      </c>
      <c r="D465" s="87" t="s">
        <v>6224</v>
      </c>
      <c r="E465" s="89" t="s">
        <v>5777</v>
      </c>
      <c r="F465" s="89" t="s">
        <v>6841</v>
      </c>
      <c r="G465" s="89" t="s">
        <v>20</v>
      </c>
      <c r="H465" s="89" t="s">
        <v>5991</v>
      </c>
      <c r="I465" s="89" t="s">
        <v>2926</v>
      </c>
      <c r="J465" s="95">
        <v>1</v>
      </c>
      <c r="K465" s="95">
        <v>47</v>
      </c>
      <c r="L465" s="150">
        <v>255</v>
      </c>
      <c r="M465" s="146" t="s">
        <v>44</v>
      </c>
      <c r="N465" s="149"/>
      <c r="O465" s="149">
        <v>40</v>
      </c>
      <c r="P465" s="149"/>
      <c r="Q465" s="149"/>
      <c r="R465" s="149"/>
      <c r="S465" s="149"/>
      <c r="T465" s="149">
        <v>25</v>
      </c>
      <c r="U465" s="149"/>
      <c r="V465" s="89" t="s">
        <v>6842</v>
      </c>
      <c r="W465" s="91"/>
      <c r="X465" s="91"/>
      <c r="Y465" s="91"/>
    </row>
    <row r="466" spans="1:25" s="26" customFormat="1" ht="15" customHeight="1" x14ac:dyDescent="0.2">
      <c r="A466" s="93">
        <v>41771.561168981498</v>
      </c>
      <c r="B466" s="89" t="s">
        <v>16</v>
      </c>
      <c r="C466" s="52" t="s">
        <v>23</v>
      </c>
      <c r="D466" s="87" t="s">
        <v>6224</v>
      </c>
      <c r="E466" s="89" t="s">
        <v>1508</v>
      </c>
      <c r="F466" s="89" t="s">
        <v>6843</v>
      </c>
      <c r="G466" s="89" t="s">
        <v>42</v>
      </c>
      <c r="H466" s="89">
        <v>1</v>
      </c>
      <c r="I466" s="89" t="s">
        <v>3001</v>
      </c>
      <c r="J466" s="95">
        <v>1</v>
      </c>
      <c r="K466" s="95">
        <v>65</v>
      </c>
      <c r="L466" s="150">
        <v>150</v>
      </c>
      <c r="M466" s="146" t="s">
        <v>22</v>
      </c>
      <c r="N466" s="149"/>
      <c r="O466" s="149"/>
      <c r="P466" s="149"/>
      <c r="Q466" s="149"/>
      <c r="R466" s="149"/>
      <c r="S466" s="149"/>
      <c r="T466" s="149"/>
      <c r="U466" s="149">
        <v>5</v>
      </c>
      <c r="V466" s="89"/>
      <c r="W466" s="91"/>
      <c r="X466" s="91"/>
      <c r="Y466" s="91"/>
    </row>
    <row r="467" spans="1:25" s="26" customFormat="1" ht="15" customHeight="1" x14ac:dyDescent="0.2">
      <c r="A467" s="53">
        <v>41641.608136574097</v>
      </c>
      <c r="B467" s="54" t="s">
        <v>152</v>
      </c>
      <c r="C467" s="52" t="s">
        <v>4143</v>
      </c>
      <c r="D467" s="69">
        <v>41640</v>
      </c>
      <c r="E467" s="54" t="s">
        <v>4144</v>
      </c>
      <c r="F467" s="54" t="s">
        <v>4120</v>
      </c>
      <c r="G467" s="54" t="s">
        <v>26</v>
      </c>
      <c r="H467" s="54" t="s">
        <v>2275</v>
      </c>
      <c r="I467" s="54" t="s">
        <v>2926</v>
      </c>
      <c r="J467" s="95">
        <v>1</v>
      </c>
      <c r="K467" s="118">
        <v>15</v>
      </c>
      <c r="L467" s="145">
        <v>75</v>
      </c>
      <c r="M467" s="146" t="s">
        <v>44</v>
      </c>
      <c r="N467" s="147"/>
      <c r="O467" s="147">
        <v>50</v>
      </c>
      <c r="P467" s="147">
        <v>50</v>
      </c>
      <c r="Q467" s="147"/>
      <c r="R467" s="147"/>
      <c r="S467" s="147">
        <v>100</v>
      </c>
      <c r="T467" s="147"/>
      <c r="U467" s="147"/>
      <c r="V467" s="54"/>
      <c r="W467" s="52"/>
      <c r="X467" s="52"/>
      <c r="Y467" s="52"/>
    </row>
    <row r="468" spans="1:25" s="26" customFormat="1" ht="15" customHeight="1" x14ac:dyDescent="0.2">
      <c r="A468" s="93">
        <v>41758.388344907398</v>
      </c>
      <c r="B468" s="89" t="s">
        <v>152</v>
      </c>
      <c r="C468" s="52" t="s">
        <v>4143</v>
      </c>
      <c r="D468" s="87" t="s">
        <v>6076</v>
      </c>
      <c r="E468" s="89" t="s">
        <v>6131</v>
      </c>
      <c r="F468" s="89" t="s">
        <v>2275</v>
      </c>
      <c r="G468" s="89" t="s">
        <v>26</v>
      </c>
      <c r="H468" s="89" t="s">
        <v>2275</v>
      </c>
      <c r="I468" s="89" t="s">
        <v>3001</v>
      </c>
      <c r="J468" s="95">
        <v>1</v>
      </c>
      <c r="K468" s="95">
        <v>4</v>
      </c>
      <c r="L468" s="149">
        <v>8</v>
      </c>
      <c r="M468" s="146" t="s">
        <v>44</v>
      </c>
      <c r="N468" s="149"/>
      <c r="O468" s="149">
        <v>5</v>
      </c>
      <c r="P468" s="149"/>
      <c r="Q468" s="149">
        <v>60</v>
      </c>
      <c r="R468" s="149"/>
      <c r="S468" s="149"/>
      <c r="T468" s="149"/>
      <c r="U468" s="149">
        <v>0</v>
      </c>
      <c r="V468" s="89"/>
      <c r="W468" s="91"/>
      <c r="X468" s="91"/>
      <c r="Y468" s="91"/>
    </row>
    <row r="469" spans="1:25" s="26" customFormat="1" ht="15" customHeight="1" x14ac:dyDescent="0.2">
      <c r="A469" s="93">
        <v>41758.401886574102</v>
      </c>
      <c r="B469" s="89" t="s">
        <v>152</v>
      </c>
      <c r="C469" s="52" t="s">
        <v>4143</v>
      </c>
      <c r="D469" s="87" t="s">
        <v>6076</v>
      </c>
      <c r="E469" s="89" t="s">
        <v>6132</v>
      </c>
      <c r="F469" s="89" t="s">
        <v>6133</v>
      </c>
      <c r="G469" s="89" t="s">
        <v>26</v>
      </c>
      <c r="H469" s="89" t="s">
        <v>6134</v>
      </c>
      <c r="I469" s="89" t="s">
        <v>3001</v>
      </c>
      <c r="J469" s="95">
        <v>1</v>
      </c>
      <c r="K469" s="95">
        <v>45</v>
      </c>
      <c r="L469" s="149"/>
      <c r="M469" s="146" t="s">
        <v>22</v>
      </c>
      <c r="N469" s="149"/>
      <c r="O469" s="149"/>
      <c r="P469" s="149"/>
      <c r="Q469" s="149"/>
      <c r="R469" s="149"/>
      <c r="S469" s="149"/>
      <c r="T469" s="149"/>
      <c r="U469" s="149"/>
      <c r="V469" s="89"/>
      <c r="W469" s="91"/>
      <c r="X469" s="91"/>
      <c r="Y469" s="91"/>
    </row>
    <row r="470" spans="1:25" s="26" customFormat="1" ht="15" customHeight="1" x14ac:dyDescent="0.2">
      <c r="A470" s="93">
        <v>41758.406689814801</v>
      </c>
      <c r="B470" s="89" t="s">
        <v>152</v>
      </c>
      <c r="C470" s="52" t="s">
        <v>4143</v>
      </c>
      <c r="D470" s="87" t="s">
        <v>6076</v>
      </c>
      <c r="E470" s="89" t="s">
        <v>6135</v>
      </c>
      <c r="F470" s="89" t="s">
        <v>6136</v>
      </c>
      <c r="G470" s="89" t="s">
        <v>26</v>
      </c>
      <c r="H470" s="89" t="s">
        <v>6137</v>
      </c>
      <c r="I470" s="89" t="s">
        <v>3001</v>
      </c>
      <c r="J470" s="95">
        <v>1</v>
      </c>
      <c r="K470" s="95">
        <v>0</v>
      </c>
      <c r="L470" s="149"/>
      <c r="M470" s="146" t="s">
        <v>22</v>
      </c>
      <c r="N470" s="149"/>
      <c r="O470" s="149"/>
      <c r="P470" s="149"/>
      <c r="Q470" s="149"/>
      <c r="R470" s="149"/>
      <c r="S470" s="149"/>
      <c r="T470" s="149"/>
      <c r="U470" s="149"/>
      <c r="V470" s="89" t="s">
        <v>6138</v>
      </c>
      <c r="W470" s="91"/>
      <c r="X470" s="91"/>
      <c r="Y470" s="91"/>
    </row>
    <row r="471" spans="1:25" s="26" customFormat="1" ht="15" customHeight="1" x14ac:dyDescent="0.2">
      <c r="A471" s="93">
        <v>41758.407754629603</v>
      </c>
      <c r="B471" s="89" t="s">
        <v>152</v>
      </c>
      <c r="C471" s="52" t="s">
        <v>4143</v>
      </c>
      <c r="D471" s="87" t="s">
        <v>6076</v>
      </c>
      <c r="E471" s="89" t="s">
        <v>6139</v>
      </c>
      <c r="F471" s="89" t="s">
        <v>6133</v>
      </c>
      <c r="G471" s="89" t="s">
        <v>26</v>
      </c>
      <c r="H471" s="89" t="s">
        <v>6134</v>
      </c>
      <c r="I471" s="89" t="s">
        <v>3001</v>
      </c>
      <c r="J471" s="95">
        <v>1</v>
      </c>
      <c r="K471" s="95">
        <v>25</v>
      </c>
      <c r="L471" s="149"/>
      <c r="M471" s="146" t="s">
        <v>22</v>
      </c>
      <c r="N471" s="149"/>
      <c r="O471" s="149"/>
      <c r="P471" s="149"/>
      <c r="Q471" s="149"/>
      <c r="R471" s="149"/>
      <c r="S471" s="149"/>
      <c r="T471" s="149"/>
      <c r="U471" s="149"/>
      <c r="V471" s="89"/>
      <c r="W471" s="91"/>
      <c r="X471" s="91"/>
      <c r="Y471" s="91"/>
    </row>
    <row r="472" spans="1:25" s="26" customFormat="1" ht="15" customHeight="1" x14ac:dyDescent="0.2">
      <c r="A472" s="93">
        <v>41758.409074074101</v>
      </c>
      <c r="B472" s="89" t="s">
        <v>152</v>
      </c>
      <c r="C472" s="52" t="s">
        <v>4143</v>
      </c>
      <c r="D472" s="87" t="s">
        <v>6076</v>
      </c>
      <c r="E472" s="89" t="s">
        <v>6140</v>
      </c>
      <c r="F472" s="89" t="s">
        <v>6141</v>
      </c>
      <c r="G472" s="89" t="s">
        <v>26</v>
      </c>
      <c r="H472" s="89" t="s">
        <v>2480</v>
      </c>
      <c r="I472" s="89" t="s">
        <v>3001</v>
      </c>
      <c r="J472" s="95">
        <v>1</v>
      </c>
      <c r="K472" s="95">
        <v>5</v>
      </c>
      <c r="L472" s="149">
        <v>9</v>
      </c>
      <c r="M472" s="146" t="s">
        <v>44</v>
      </c>
      <c r="N472" s="149"/>
      <c r="O472" s="149">
        <v>5</v>
      </c>
      <c r="P472" s="149"/>
      <c r="Q472" s="149"/>
      <c r="R472" s="149"/>
      <c r="S472" s="149"/>
      <c r="T472" s="149"/>
      <c r="U472" s="149"/>
      <c r="V472" s="89"/>
      <c r="W472" s="91"/>
      <c r="X472" s="91"/>
      <c r="Y472" s="91"/>
    </row>
    <row r="473" spans="1:25" s="26" customFormat="1" ht="15" customHeight="1" x14ac:dyDescent="0.2">
      <c r="A473" s="93">
        <v>41771.5752893518</v>
      </c>
      <c r="B473" s="89" t="s">
        <v>16</v>
      </c>
      <c r="C473" s="52" t="s">
        <v>23</v>
      </c>
      <c r="D473" s="87" t="s">
        <v>6224</v>
      </c>
      <c r="E473" s="89" t="s">
        <v>1389</v>
      </c>
      <c r="F473" s="89" t="s">
        <v>6844</v>
      </c>
      <c r="G473" s="89" t="s">
        <v>20</v>
      </c>
      <c r="H473" s="89" t="s">
        <v>6845</v>
      </c>
      <c r="I473" s="89" t="s">
        <v>6846</v>
      </c>
      <c r="J473" s="95">
        <v>2</v>
      </c>
      <c r="K473" s="95">
        <v>65</v>
      </c>
      <c r="L473" s="150">
        <v>150</v>
      </c>
      <c r="M473" s="146" t="s">
        <v>22</v>
      </c>
      <c r="N473" s="149"/>
      <c r="O473" s="149"/>
      <c r="P473" s="149"/>
      <c r="Q473" s="149"/>
      <c r="R473" s="149"/>
      <c r="S473" s="149"/>
      <c r="T473" s="149"/>
      <c r="U473" s="149"/>
      <c r="V473" s="89"/>
      <c r="W473" s="91"/>
      <c r="X473" s="91"/>
      <c r="Y473" s="91"/>
    </row>
    <row r="474" spans="1:25" s="26" customFormat="1" ht="15" customHeight="1" x14ac:dyDescent="0.2">
      <c r="A474" s="93">
        <v>41772.422025462998</v>
      </c>
      <c r="B474" s="89" t="s">
        <v>152</v>
      </c>
      <c r="C474" s="52" t="s">
        <v>4143</v>
      </c>
      <c r="D474" s="87" t="s">
        <v>6224</v>
      </c>
      <c r="E474" s="89" t="s">
        <v>6847</v>
      </c>
      <c r="F474" s="89" t="s">
        <v>6848</v>
      </c>
      <c r="G474" s="89" t="s">
        <v>26</v>
      </c>
      <c r="H474" s="89" t="s">
        <v>6849</v>
      </c>
      <c r="I474" s="89" t="s">
        <v>3001</v>
      </c>
      <c r="J474" s="95">
        <v>1</v>
      </c>
      <c r="K474" s="95">
        <v>3</v>
      </c>
      <c r="L474" s="150">
        <v>15</v>
      </c>
      <c r="M474" s="146" t="s">
        <v>22</v>
      </c>
      <c r="N474" s="149"/>
      <c r="O474" s="149"/>
      <c r="P474" s="149"/>
      <c r="Q474" s="149"/>
      <c r="R474" s="149"/>
      <c r="S474" s="149"/>
      <c r="T474" s="149"/>
      <c r="U474" s="149"/>
      <c r="V474" s="89" t="s">
        <v>6850</v>
      </c>
      <c r="W474" s="91"/>
      <c r="X474" s="91"/>
      <c r="Y474" s="91"/>
    </row>
    <row r="475" spans="1:25" s="26" customFormat="1" ht="15" customHeight="1" x14ac:dyDescent="0.2">
      <c r="A475" s="93">
        <v>41772.425567129598</v>
      </c>
      <c r="B475" s="89" t="s">
        <v>152</v>
      </c>
      <c r="C475" s="52" t="s">
        <v>4143</v>
      </c>
      <c r="D475" s="87" t="s">
        <v>6224</v>
      </c>
      <c r="E475" s="89" t="s">
        <v>6851</v>
      </c>
      <c r="F475" s="89" t="s">
        <v>6358</v>
      </c>
      <c r="G475" s="89" t="s">
        <v>26</v>
      </c>
      <c r="H475" s="89" t="s">
        <v>6852</v>
      </c>
      <c r="I475" s="89" t="s">
        <v>3001</v>
      </c>
      <c r="J475" s="95">
        <v>1</v>
      </c>
      <c r="K475" s="95">
        <v>6</v>
      </c>
      <c r="L475" s="150">
        <v>25</v>
      </c>
      <c r="M475" s="146" t="s">
        <v>44</v>
      </c>
      <c r="N475" s="149"/>
      <c r="O475" s="149">
        <v>10</v>
      </c>
      <c r="P475" s="149">
        <v>15</v>
      </c>
      <c r="Q475" s="149"/>
      <c r="R475" s="149"/>
      <c r="S475" s="149"/>
      <c r="T475" s="149"/>
      <c r="U475" s="149"/>
      <c r="V475" s="89" t="s">
        <v>6853</v>
      </c>
      <c r="W475" s="91"/>
      <c r="X475" s="91"/>
      <c r="Y475" s="91"/>
    </row>
    <row r="476" spans="1:25" s="26" customFormat="1" ht="15" customHeight="1" x14ac:dyDescent="0.2">
      <c r="A476" s="93">
        <v>41772.429351851897</v>
      </c>
      <c r="B476" s="89" t="s">
        <v>152</v>
      </c>
      <c r="C476" s="52" t="s">
        <v>4143</v>
      </c>
      <c r="D476" s="87" t="s">
        <v>6224</v>
      </c>
      <c r="E476" s="89" t="s">
        <v>6854</v>
      </c>
      <c r="F476" s="89" t="s">
        <v>6855</v>
      </c>
      <c r="G476" s="89" t="s">
        <v>26</v>
      </c>
      <c r="H476" s="89" t="s">
        <v>6856</v>
      </c>
      <c r="I476" s="89" t="s">
        <v>3001</v>
      </c>
      <c r="J476" s="95">
        <v>1</v>
      </c>
      <c r="K476" s="95">
        <v>0</v>
      </c>
      <c r="L476" s="150"/>
      <c r="M476" s="146" t="s">
        <v>22</v>
      </c>
      <c r="N476" s="149"/>
      <c r="O476" s="149"/>
      <c r="P476" s="149"/>
      <c r="Q476" s="149"/>
      <c r="R476" s="149"/>
      <c r="S476" s="149"/>
      <c r="T476" s="149"/>
      <c r="U476" s="149"/>
      <c r="V476" s="89" t="s">
        <v>6857</v>
      </c>
      <c r="W476" s="91"/>
      <c r="X476" s="91"/>
      <c r="Y476" s="91"/>
    </row>
    <row r="477" spans="1:25" s="26" customFormat="1" ht="15" customHeight="1" x14ac:dyDescent="0.2">
      <c r="A477" s="93">
        <v>41772.432164351798</v>
      </c>
      <c r="B477" s="89" t="s">
        <v>152</v>
      </c>
      <c r="C477" s="52" t="s">
        <v>4143</v>
      </c>
      <c r="D477" s="87" t="s">
        <v>6224</v>
      </c>
      <c r="E477" s="89" t="s">
        <v>6858</v>
      </c>
      <c r="F477" s="89" t="s">
        <v>6358</v>
      </c>
      <c r="G477" s="89" t="s">
        <v>26</v>
      </c>
      <c r="H477" s="89" t="s">
        <v>6859</v>
      </c>
      <c r="I477" s="89" t="s">
        <v>3001</v>
      </c>
      <c r="J477" s="95">
        <v>1</v>
      </c>
      <c r="K477" s="95">
        <v>6</v>
      </c>
      <c r="L477" s="150">
        <v>30</v>
      </c>
      <c r="M477" s="146" t="s">
        <v>22</v>
      </c>
      <c r="N477" s="149"/>
      <c r="O477" s="149"/>
      <c r="P477" s="149"/>
      <c r="Q477" s="149"/>
      <c r="R477" s="149"/>
      <c r="S477" s="149"/>
      <c r="T477" s="149"/>
      <c r="U477" s="149"/>
      <c r="V477" s="89" t="s">
        <v>6860</v>
      </c>
      <c r="W477" s="91"/>
      <c r="X477" s="91"/>
      <c r="Y477" s="91"/>
    </row>
    <row r="478" spans="1:25" s="26" customFormat="1" ht="15" customHeight="1" x14ac:dyDescent="0.2">
      <c r="A478" s="93">
        <v>41772.435196759303</v>
      </c>
      <c r="B478" s="89" t="s">
        <v>152</v>
      </c>
      <c r="C478" s="52" t="s">
        <v>4143</v>
      </c>
      <c r="D478" s="87" t="s">
        <v>6224</v>
      </c>
      <c r="E478" s="89" t="s">
        <v>6861</v>
      </c>
      <c r="F478" s="89" t="s">
        <v>6862</v>
      </c>
      <c r="G478" s="89" t="s">
        <v>26</v>
      </c>
      <c r="H478" s="89" t="s">
        <v>6863</v>
      </c>
      <c r="I478" s="89" t="s">
        <v>3001</v>
      </c>
      <c r="J478" s="95">
        <v>1</v>
      </c>
      <c r="K478" s="95">
        <v>6</v>
      </c>
      <c r="L478" s="150">
        <v>90</v>
      </c>
      <c r="M478" s="146" t="s">
        <v>44</v>
      </c>
      <c r="N478" s="149"/>
      <c r="O478" s="149">
        <v>5</v>
      </c>
      <c r="P478" s="149">
        <v>10</v>
      </c>
      <c r="Q478" s="149"/>
      <c r="R478" s="149"/>
      <c r="S478" s="149"/>
      <c r="T478" s="149"/>
      <c r="U478" s="149"/>
      <c r="V478" s="89" t="s">
        <v>6864</v>
      </c>
      <c r="W478" s="91"/>
      <c r="X478" s="91"/>
      <c r="Y478" s="91"/>
    </row>
    <row r="479" spans="1:25" s="26" customFormat="1" ht="15" customHeight="1" x14ac:dyDescent="0.2">
      <c r="A479" s="93">
        <v>41772.455717592602</v>
      </c>
      <c r="B479" s="89" t="s">
        <v>152</v>
      </c>
      <c r="C479" s="52" t="s">
        <v>4143</v>
      </c>
      <c r="D479" s="87" t="s">
        <v>6224</v>
      </c>
      <c r="E479" s="89" t="s">
        <v>6865</v>
      </c>
      <c r="F479" s="89" t="s">
        <v>6364</v>
      </c>
      <c r="G479" s="89" t="s">
        <v>26</v>
      </c>
      <c r="H479" s="89" t="s">
        <v>1627</v>
      </c>
      <c r="I479" s="89" t="s">
        <v>3001</v>
      </c>
      <c r="J479" s="95">
        <v>1</v>
      </c>
      <c r="K479" s="95">
        <v>0</v>
      </c>
      <c r="L479" s="150"/>
      <c r="M479" s="146" t="s">
        <v>22</v>
      </c>
      <c r="N479" s="149"/>
      <c r="O479" s="149"/>
      <c r="P479" s="149"/>
      <c r="Q479" s="149"/>
      <c r="R479" s="149"/>
      <c r="S479" s="149"/>
      <c r="T479" s="149"/>
      <c r="U479" s="149"/>
      <c r="V479" s="89"/>
      <c r="W479" s="91"/>
      <c r="X479" s="91"/>
      <c r="Y479" s="91"/>
    </row>
    <row r="480" spans="1:25" s="26" customFormat="1" ht="15" customHeight="1" x14ac:dyDescent="0.2">
      <c r="A480" s="93">
        <v>41772.458287037</v>
      </c>
      <c r="B480" s="89" t="s">
        <v>152</v>
      </c>
      <c r="C480" s="52" t="s">
        <v>4143</v>
      </c>
      <c r="D480" s="87" t="s">
        <v>6224</v>
      </c>
      <c r="E480" s="89" t="s">
        <v>6866</v>
      </c>
      <c r="F480" s="89" t="s">
        <v>6358</v>
      </c>
      <c r="G480" s="89" t="s">
        <v>26</v>
      </c>
      <c r="H480" s="89" t="s">
        <v>6859</v>
      </c>
      <c r="I480" s="89" t="s">
        <v>3001</v>
      </c>
      <c r="J480" s="95">
        <v>1</v>
      </c>
      <c r="K480" s="95">
        <v>40</v>
      </c>
      <c r="L480" s="150">
        <v>20</v>
      </c>
      <c r="M480" s="146" t="s">
        <v>22</v>
      </c>
      <c r="N480" s="149"/>
      <c r="O480" s="149"/>
      <c r="P480" s="149"/>
      <c r="Q480" s="149"/>
      <c r="R480" s="149"/>
      <c r="S480" s="149"/>
      <c r="T480" s="149"/>
      <c r="U480" s="149"/>
      <c r="V480" s="89" t="s">
        <v>6867</v>
      </c>
      <c r="W480" s="91"/>
      <c r="X480" s="91"/>
      <c r="Y480" s="91"/>
    </row>
    <row r="481" spans="1:25" s="26" customFormat="1" ht="15" customHeight="1" x14ac:dyDescent="0.2">
      <c r="A481" s="93">
        <v>41772.5624074074</v>
      </c>
      <c r="B481" s="89" t="s">
        <v>38</v>
      </c>
      <c r="C481" s="52" t="s">
        <v>47</v>
      </c>
      <c r="D481" s="87" t="s">
        <v>6224</v>
      </c>
      <c r="E481" s="89" t="s">
        <v>6868</v>
      </c>
      <c r="F481" s="89" t="s">
        <v>6869</v>
      </c>
      <c r="G481" s="89" t="s">
        <v>20</v>
      </c>
      <c r="H481" s="89" t="s">
        <v>5343</v>
      </c>
      <c r="I481" s="89" t="s">
        <v>3001</v>
      </c>
      <c r="J481" s="95">
        <v>1</v>
      </c>
      <c r="K481" s="95">
        <v>102</v>
      </c>
      <c r="L481" s="150">
        <v>408</v>
      </c>
      <c r="M481" s="146" t="s">
        <v>44</v>
      </c>
      <c r="N481" s="149"/>
      <c r="O481" s="149">
        <v>30</v>
      </c>
      <c r="P481" s="149"/>
      <c r="Q481" s="149"/>
      <c r="R481" s="149"/>
      <c r="S481" s="149"/>
      <c r="T481" s="149"/>
      <c r="U481" s="149"/>
      <c r="V481" s="89"/>
      <c r="W481" s="91"/>
      <c r="X481" s="91"/>
      <c r="Y481" s="91"/>
    </row>
    <row r="482" spans="1:25" s="26" customFormat="1" ht="15" customHeight="1" x14ac:dyDescent="0.2">
      <c r="A482" s="93">
        <v>41772.575914351801</v>
      </c>
      <c r="B482" s="89" t="s">
        <v>38</v>
      </c>
      <c r="C482" s="52" t="s">
        <v>62</v>
      </c>
      <c r="D482" s="87" t="s">
        <v>6224</v>
      </c>
      <c r="E482" s="89" t="s">
        <v>6870</v>
      </c>
      <c r="F482" s="89" t="s">
        <v>6871</v>
      </c>
      <c r="G482" s="89" t="s">
        <v>26</v>
      </c>
      <c r="H482" s="89"/>
      <c r="I482" s="89" t="s">
        <v>5974</v>
      </c>
      <c r="J482" s="95">
        <v>2</v>
      </c>
      <c r="K482" s="95">
        <v>5</v>
      </c>
      <c r="L482" s="150">
        <v>15</v>
      </c>
      <c r="M482" s="146" t="s">
        <v>44</v>
      </c>
      <c r="N482" s="149"/>
      <c r="O482" s="149">
        <v>5</v>
      </c>
      <c r="P482" s="149"/>
      <c r="Q482" s="149"/>
      <c r="R482" s="149"/>
      <c r="S482" s="149"/>
      <c r="T482" s="149"/>
      <c r="U482" s="149"/>
      <c r="V482" s="89"/>
      <c r="W482" s="91"/>
      <c r="X482" s="91"/>
      <c r="Y482" s="91"/>
    </row>
    <row r="483" spans="1:25" s="26" customFormat="1" ht="15" customHeight="1" x14ac:dyDescent="0.2">
      <c r="A483" s="93">
        <v>41772.578194444402</v>
      </c>
      <c r="B483" s="89" t="s">
        <v>38</v>
      </c>
      <c r="C483" s="52" t="s">
        <v>62</v>
      </c>
      <c r="D483" s="87" t="s">
        <v>6224</v>
      </c>
      <c r="E483" s="89" t="s">
        <v>6872</v>
      </c>
      <c r="F483" s="89" t="s">
        <v>6873</v>
      </c>
      <c r="G483" s="89" t="s">
        <v>26</v>
      </c>
      <c r="H483" s="89"/>
      <c r="I483" s="89" t="s">
        <v>5974</v>
      </c>
      <c r="J483" s="95">
        <v>1</v>
      </c>
      <c r="K483" s="95">
        <v>7</v>
      </c>
      <c r="L483" s="150">
        <v>105</v>
      </c>
      <c r="M483" s="146"/>
      <c r="N483" s="149"/>
      <c r="O483" s="149"/>
      <c r="P483" s="149"/>
      <c r="Q483" s="149"/>
      <c r="R483" s="149"/>
      <c r="S483" s="149"/>
      <c r="T483" s="149"/>
      <c r="U483" s="149"/>
      <c r="V483" s="89"/>
      <c r="W483" s="91"/>
      <c r="X483" s="91"/>
      <c r="Y483" s="91"/>
    </row>
    <row r="484" spans="1:25" s="26" customFormat="1" ht="15" customHeight="1" x14ac:dyDescent="0.2">
      <c r="A484" s="93">
        <v>41772.579525462999</v>
      </c>
      <c r="B484" s="89" t="s">
        <v>38</v>
      </c>
      <c r="C484" s="52" t="s">
        <v>62</v>
      </c>
      <c r="D484" s="87" t="s">
        <v>6224</v>
      </c>
      <c r="E484" s="89" t="s">
        <v>6874</v>
      </c>
      <c r="F484" s="89" t="s">
        <v>5703</v>
      </c>
      <c r="G484" s="89" t="s">
        <v>26</v>
      </c>
      <c r="H484" s="89"/>
      <c r="I484" s="89" t="s">
        <v>3001</v>
      </c>
      <c r="J484" s="95">
        <v>1</v>
      </c>
      <c r="K484" s="95">
        <v>2</v>
      </c>
      <c r="L484" s="150">
        <v>10</v>
      </c>
      <c r="M484" s="146" t="s">
        <v>44</v>
      </c>
      <c r="N484" s="149"/>
      <c r="O484" s="149">
        <v>5</v>
      </c>
      <c r="P484" s="149"/>
      <c r="Q484" s="149"/>
      <c r="R484" s="149"/>
      <c r="S484" s="149"/>
      <c r="T484" s="149"/>
      <c r="U484" s="149"/>
      <c r="V484" s="89"/>
      <c r="W484" s="91"/>
      <c r="X484" s="91"/>
      <c r="Y484" s="91"/>
    </row>
    <row r="485" spans="1:25" s="26" customFormat="1" ht="15" customHeight="1" x14ac:dyDescent="0.2">
      <c r="A485" s="93">
        <v>41772.581377314797</v>
      </c>
      <c r="B485" s="89" t="s">
        <v>38</v>
      </c>
      <c r="C485" s="52" t="s">
        <v>62</v>
      </c>
      <c r="D485" s="87" t="s">
        <v>6224</v>
      </c>
      <c r="E485" s="89" t="s">
        <v>6875</v>
      </c>
      <c r="F485" s="89" t="s">
        <v>6876</v>
      </c>
      <c r="G485" s="89" t="s">
        <v>26</v>
      </c>
      <c r="H485" s="89" t="s">
        <v>6877</v>
      </c>
      <c r="I485" s="89" t="s">
        <v>3038</v>
      </c>
      <c r="J485" s="95">
        <v>1</v>
      </c>
      <c r="K485" s="95">
        <v>1</v>
      </c>
      <c r="L485" s="150">
        <v>5</v>
      </c>
      <c r="M485" s="146"/>
      <c r="N485" s="149"/>
      <c r="O485" s="149"/>
      <c r="P485" s="149"/>
      <c r="Q485" s="149"/>
      <c r="R485" s="149"/>
      <c r="S485" s="149"/>
      <c r="T485" s="149"/>
      <c r="U485" s="149"/>
      <c r="V485" s="89"/>
      <c r="W485" s="91"/>
      <c r="X485" s="91"/>
      <c r="Y485" s="91"/>
    </row>
    <row r="486" spans="1:25" s="26" customFormat="1" ht="15" customHeight="1" x14ac:dyDescent="0.2">
      <c r="A486" s="93">
        <v>41772.588981481502</v>
      </c>
      <c r="B486" s="89" t="s">
        <v>38</v>
      </c>
      <c r="C486" s="52" t="s">
        <v>62</v>
      </c>
      <c r="D486" s="87" t="s">
        <v>6224</v>
      </c>
      <c r="E486" s="89" t="s">
        <v>5973</v>
      </c>
      <c r="F486" s="89" t="s">
        <v>6878</v>
      </c>
      <c r="G486" s="89" t="s">
        <v>26</v>
      </c>
      <c r="H486" s="89" t="s">
        <v>5972</v>
      </c>
      <c r="I486" s="89" t="s">
        <v>3678</v>
      </c>
      <c r="J486" s="95">
        <v>1</v>
      </c>
      <c r="K486" s="95">
        <v>8</v>
      </c>
      <c r="L486" s="150">
        <v>120</v>
      </c>
      <c r="M486" s="146" t="s">
        <v>44</v>
      </c>
      <c r="N486" s="149"/>
      <c r="O486" s="149">
        <v>10</v>
      </c>
      <c r="P486" s="149"/>
      <c r="Q486" s="149">
        <v>58</v>
      </c>
      <c r="R486" s="149"/>
      <c r="S486" s="149"/>
      <c r="T486" s="149"/>
      <c r="U486" s="149"/>
      <c r="V486" s="89" t="s">
        <v>6879</v>
      </c>
      <c r="W486" s="91"/>
      <c r="X486" s="91"/>
      <c r="Y486" s="91"/>
    </row>
    <row r="487" spans="1:25" s="26" customFormat="1" ht="15" customHeight="1" x14ac:dyDescent="0.2">
      <c r="A487" s="93">
        <v>41772.591273148202</v>
      </c>
      <c r="B487" s="89" t="s">
        <v>38</v>
      </c>
      <c r="C487" s="52" t="s">
        <v>62</v>
      </c>
      <c r="D487" s="87" t="s">
        <v>6224</v>
      </c>
      <c r="E487" s="89" t="s">
        <v>6875</v>
      </c>
      <c r="F487" s="89" t="s">
        <v>263</v>
      </c>
      <c r="G487" s="89" t="s">
        <v>26</v>
      </c>
      <c r="H487" s="89" t="s">
        <v>6880</v>
      </c>
      <c r="I487" s="89" t="s">
        <v>3678</v>
      </c>
      <c r="J487" s="95">
        <v>1</v>
      </c>
      <c r="K487" s="95">
        <v>15</v>
      </c>
      <c r="L487" s="150">
        <v>150</v>
      </c>
      <c r="M487" s="146"/>
      <c r="N487" s="149"/>
      <c r="O487" s="149">
        <v>15</v>
      </c>
      <c r="P487" s="149"/>
      <c r="Q487" s="149"/>
      <c r="R487" s="149"/>
      <c r="S487" s="149"/>
      <c r="T487" s="149"/>
      <c r="U487" s="149"/>
      <c r="V487" s="89" t="s">
        <v>6881</v>
      </c>
      <c r="W487" s="91"/>
      <c r="X487" s="91"/>
      <c r="Y487" s="91"/>
    </row>
    <row r="488" spans="1:25" s="26" customFormat="1" ht="15" customHeight="1" x14ac:dyDescent="0.2">
      <c r="A488" s="93">
        <v>41773.348113425898</v>
      </c>
      <c r="B488" s="89" t="s">
        <v>16</v>
      </c>
      <c r="C488" s="52" t="s">
        <v>23</v>
      </c>
      <c r="D488" s="87" t="s">
        <v>6224</v>
      </c>
      <c r="E488" s="89" t="s">
        <v>6882</v>
      </c>
      <c r="F488" s="89" t="s">
        <v>6844</v>
      </c>
      <c r="G488" s="89" t="s">
        <v>20</v>
      </c>
      <c r="H488" s="89" t="s">
        <v>6883</v>
      </c>
      <c r="I488" s="89" t="s">
        <v>6884</v>
      </c>
      <c r="J488" s="95">
        <v>1</v>
      </c>
      <c r="K488" s="95">
        <v>85</v>
      </c>
      <c r="L488" s="150">
        <v>262</v>
      </c>
      <c r="M488" s="146" t="s">
        <v>22</v>
      </c>
      <c r="N488" s="149"/>
      <c r="O488" s="149"/>
      <c r="P488" s="149"/>
      <c r="Q488" s="149"/>
      <c r="R488" s="149"/>
      <c r="S488" s="149"/>
      <c r="T488" s="149"/>
      <c r="U488" s="149"/>
      <c r="V488" s="89"/>
      <c r="W488" s="91"/>
      <c r="X488" s="91"/>
      <c r="Y488" s="91"/>
    </row>
    <row r="489" spans="1:25" s="26" customFormat="1" ht="15" customHeight="1" x14ac:dyDescent="0.2">
      <c r="A489" s="93">
        <v>41773.546435185199</v>
      </c>
      <c r="B489" s="89" t="s">
        <v>38</v>
      </c>
      <c r="C489" s="52" t="s">
        <v>39</v>
      </c>
      <c r="D489" s="87" t="s">
        <v>6224</v>
      </c>
      <c r="E489" s="89" t="s">
        <v>2830</v>
      </c>
      <c r="F489" s="89" t="s">
        <v>6885</v>
      </c>
      <c r="G489" s="89" t="s">
        <v>20</v>
      </c>
      <c r="H489" s="89" t="s">
        <v>43</v>
      </c>
      <c r="I489" s="89" t="s">
        <v>6294</v>
      </c>
      <c r="J489" s="95">
        <v>1</v>
      </c>
      <c r="K489" s="95">
        <v>67</v>
      </c>
      <c r="L489" s="150"/>
      <c r="M489" s="146" t="s">
        <v>44</v>
      </c>
      <c r="N489" s="149">
        <v>390</v>
      </c>
      <c r="O489" s="149"/>
      <c r="P489" s="149"/>
      <c r="Q489" s="149"/>
      <c r="R489" s="149"/>
      <c r="S489" s="149"/>
      <c r="T489" s="149"/>
      <c r="U489" s="149"/>
      <c r="V489" s="89"/>
      <c r="W489" s="91"/>
      <c r="X489" s="91"/>
      <c r="Y489" s="91"/>
    </row>
    <row r="490" spans="1:25" s="26" customFormat="1" ht="15" customHeight="1" x14ac:dyDescent="0.2">
      <c r="A490" s="37">
        <v>41488.699178240699</v>
      </c>
      <c r="B490" s="26" t="s">
        <v>16</v>
      </c>
      <c r="C490" s="26" t="s">
        <v>670</v>
      </c>
      <c r="D490" s="33">
        <v>41456</v>
      </c>
      <c r="E490" s="26" t="s">
        <v>671</v>
      </c>
      <c r="F490" s="26" t="s">
        <v>672</v>
      </c>
      <c r="G490" s="26" t="s">
        <v>351</v>
      </c>
      <c r="H490" s="26" t="s">
        <v>673</v>
      </c>
      <c r="J490" s="115">
        <v>3</v>
      </c>
      <c r="K490" s="115">
        <v>50</v>
      </c>
      <c r="L490" s="136">
        <v>20</v>
      </c>
      <c r="M490" s="137" t="s">
        <v>22</v>
      </c>
      <c r="N490" s="138"/>
      <c r="O490" s="138"/>
      <c r="P490" s="138"/>
      <c r="Q490" s="138"/>
      <c r="R490" s="138"/>
      <c r="S490" s="138"/>
      <c r="T490" s="138"/>
      <c r="U490" s="138"/>
      <c r="V490" s="26" t="s">
        <v>674</v>
      </c>
    </row>
    <row r="491" spans="1:25" s="26" customFormat="1" ht="15" customHeight="1" x14ac:dyDescent="0.2">
      <c r="A491" s="38">
        <v>41518.661111111112</v>
      </c>
      <c r="B491" s="29" t="s">
        <v>16</v>
      </c>
      <c r="C491" s="29" t="s">
        <v>670</v>
      </c>
      <c r="D491" s="30">
        <v>41487</v>
      </c>
      <c r="E491" s="31" t="s">
        <v>1504</v>
      </c>
      <c r="F491" s="29" t="s">
        <v>1505</v>
      </c>
      <c r="G491" s="29" t="s">
        <v>351</v>
      </c>
      <c r="H491" s="29" t="s">
        <v>1505</v>
      </c>
      <c r="I491" s="29"/>
      <c r="J491" s="116">
        <v>1</v>
      </c>
      <c r="K491" s="116">
        <v>50</v>
      </c>
      <c r="L491" s="139">
        <v>20</v>
      </c>
      <c r="M491" s="140" t="s">
        <v>22</v>
      </c>
      <c r="N491" s="141"/>
      <c r="O491" s="141"/>
      <c r="P491" s="141"/>
      <c r="Q491" s="141"/>
      <c r="R491" s="141"/>
      <c r="S491" s="141"/>
      <c r="T491" s="141"/>
      <c r="U491" s="141">
        <v>30</v>
      </c>
      <c r="V491" s="29"/>
    </row>
    <row r="492" spans="1:25" s="26" customFormat="1" ht="15" customHeight="1" x14ac:dyDescent="0.2">
      <c r="A492" s="38">
        <v>41518.662766203706</v>
      </c>
      <c r="B492" s="29" t="s">
        <v>16</v>
      </c>
      <c r="C492" s="29" t="s">
        <v>670</v>
      </c>
      <c r="D492" s="30">
        <v>41487</v>
      </c>
      <c r="E492" s="31" t="s">
        <v>1506</v>
      </c>
      <c r="F492" s="29" t="s">
        <v>1507</v>
      </c>
      <c r="G492" s="29" t="s">
        <v>42</v>
      </c>
      <c r="H492" s="29" t="s">
        <v>1507</v>
      </c>
      <c r="I492" s="29"/>
      <c r="J492" s="116">
        <v>2</v>
      </c>
      <c r="K492" s="116">
        <v>20</v>
      </c>
      <c r="L492" s="139">
        <v>60</v>
      </c>
      <c r="M492" s="140" t="s">
        <v>22</v>
      </c>
      <c r="N492" s="141"/>
      <c r="O492" s="141"/>
      <c r="P492" s="141"/>
      <c r="Q492" s="141"/>
      <c r="R492" s="141"/>
      <c r="S492" s="141"/>
      <c r="T492" s="141"/>
      <c r="U492" s="141">
        <v>50</v>
      </c>
      <c r="V492" s="29"/>
    </row>
    <row r="493" spans="1:25" s="26" customFormat="1" ht="15" customHeight="1" x14ac:dyDescent="0.2">
      <c r="A493" s="32">
        <v>41549.644270833334</v>
      </c>
      <c r="B493" s="26" t="s">
        <v>16</v>
      </c>
      <c r="C493" s="26" t="s">
        <v>670</v>
      </c>
      <c r="D493" s="30">
        <v>41518</v>
      </c>
      <c r="E493" s="26" t="s">
        <v>2347</v>
      </c>
      <c r="F493" s="26" t="s">
        <v>2348</v>
      </c>
      <c r="G493" s="26" t="s">
        <v>156</v>
      </c>
      <c r="H493" s="26" t="s">
        <v>2349</v>
      </c>
      <c r="J493" s="46">
        <v>1</v>
      </c>
      <c r="K493" s="46">
        <v>300</v>
      </c>
      <c r="L493" s="136"/>
      <c r="M493" s="137" t="s">
        <v>22</v>
      </c>
      <c r="N493" s="138"/>
      <c r="O493" s="138"/>
      <c r="P493" s="138"/>
      <c r="Q493" s="138"/>
      <c r="R493" s="138"/>
      <c r="S493" s="138"/>
      <c r="T493" s="138"/>
      <c r="U493" s="138">
        <v>100</v>
      </c>
    </row>
    <row r="494" spans="1:25" s="26" customFormat="1" ht="15" customHeight="1" x14ac:dyDescent="0.2">
      <c r="A494" s="32">
        <v>41549.648831018516</v>
      </c>
      <c r="B494" s="26" t="s">
        <v>16</v>
      </c>
      <c r="C494" s="26" t="s">
        <v>670</v>
      </c>
      <c r="D494" s="30">
        <v>41518</v>
      </c>
      <c r="E494" s="26" t="s">
        <v>2350</v>
      </c>
      <c r="F494" s="26" t="s">
        <v>2351</v>
      </c>
      <c r="G494" s="26" t="s">
        <v>26</v>
      </c>
      <c r="H494" s="26" t="s">
        <v>2351</v>
      </c>
      <c r="J494" s="46">
        <v>10</v>
      </c>
      <c r="K494" s="46">
        <v>440</v>
      </c>
      <c r="L494" s="136"/>
      <c r="M494" s="137" t="s">
        <v>44</v>
      </c>
      <c r="N494" s="138"/>
      <c r="O494" s="138">
        <v>60</v>
      </c>
      <c r="P494" s="138"/>
      <c r="Q494" s="138"/>
      <c r="R494" s="138"/>
      <c r="S494" s="138"/>
      <c r="T494" s="138"/>
      <c r="U494" s="138"/>
    </row>
    <row r="495" spans="1:25" s="26" customFormat="1" ht="15" customHeight="1" x14ac:dyDescent="0.2">
      <c r="A495" s="32">
        <v>41549.663402777776</v>
      </c>
      <c r="B495" s="26" t="s">
        <v>16</v>
      </c>
      <c r="C495" s="26" t="s">
        <v>670</v>
      </c>
      <c r="D495" s="30">
        <v>41518</v>
      </c>
      <c r="E495" s="26" t="s">
        <v>2352</v>
      </c>
      <c r="F495" s="26" t="s">
        <v>2353</v>
      </c>
      <c r="G495" s="26" t="s">
        <v>26</v>
      </c>
      <c r="H495" s="26" t="s">
        <v>2354</v>
      </c>
      <c r="J495" s="46">
        <v>3</v>
      </c>
      <c r="K495" s="46">
        <v>131</v>
      </c>
      <c r="L495" s="136"/>
      <c r="M495" s="137" t="s">
        <v>22</v>
      </c>
      <c r="N495" s="138"/>
      <c r="O495" s="138"/>
      <c r="P495" s="138"/>
      <c r="Q495" s="138"/>
      <c r="R495" s="138"/>
      <c r="S495" s="138"/>
      <c r="T495" s="138"/>
      <c r="U495" s="138"/>
    </row>
    <row r="496" spans="1:25" s="26" customFormat="1" ht="15" customHeight="1" x14ac:dyDescent="0.2">
      <c r="A496" s="32">
        <v>41549.66710648148</v>
      </c>
      <c r="B496" s="26" t="s">
        <v>16</v>
      </c>
      <c r="C496" s="26" t="s">
        <v>670</v>
      </c>
      <c r="D496" s="30">
        <v>41518</v>
      </c>
      <c r="E496" s="26" t="s">
        <v>2355</v>
      </c>
      <c r="F496" s="26" t="s">
        <v>2353</v>
      </c>
      <c r="G496" s="26" t="s">
        <v>156</v>
      </c>
      <c r="H496" s="26" t="s">
        <v>2356</v>
      </c>
      <c r="J496" s="46">
        <v>1</v>
      </c>
      <c r="K496" s="46">
        <v>300</v>
      </c>
      <c r="L496" s="136"/>
      <c r="M496" s="137" t="s">
        <v>44</v>
      </c>
      <c r="N496" s="138"/>
      <c r="O496" s="138">
        <v>500</v>
      </c>
      <c r="P496" s="138"/>
      <c r="Q496" s="138">
        <v>2000</v>
      </c>
      <c r="R496" s="138">
        <v>1200</v>
      </c>
      <c r="S496" s="138">
        <v>300</v>
      </c>
      <c r="T496" s="138"/>
      <c r="U496" s="138">
        <v>200</v>
      </c>
    </row>
    <row r="497" spans="1:25" s="26" customFormat="1" ht="15" customHeight="1" x14ac:dyDescent="0.2">
      <c r="A497" s="32">
        <v>41549.67083333333</v>
      </c>
      <c r="B497" s="26" t="s">
        <v>16</v>
      </c>
      <c r="C497" s="26" t="s">
        <v>670</v>
      </c>
      <c r="D497" s="30">
        <v>41518</v>
      </c>
      <c r="E497" s="26" t="s">
        <v>2357</v>
      </c>
      <c r="F497" s="26" t="s">
        <v>2358</v>
      </c>
      <c r="G497" s="26" t="s">
        <v>156</v>
      </c>
      <c r="H497" s="26" t="s">
        <v>2358</v>
      </c>
      <c r="J497" s="46">
        <v>1</v>
      </c>
      <c r="K497" s="46">
        <v>50</v>
      </c>
      <c r="L497" s="136"/>
      <c r="M497" s="137" t="s">
        <v>44</v>
      </c>
      <c r="N497" s="138"/>
      <c r="O497" s="138">
        <v>100</v>
      </c>
      <c r="P497" s="138"/>
      <c r="Q497" s="138">
        <v>400</v>
      </c>
      <c r="R497" s="138"/>
      <c r="S497" s="138"/>
      <c r="T497" s="138"/>
      <c r="U497" s="138">
        <v>50</v>
      </c>
    </row>
    <row r="498" spans="1:25" s="26" customFormat="1" ht="15" customHeight="1" x14ac:dyDescent="0.2">
      <c r="A498" s="32">
        <v>41549.698541666665</v>
      </c>
      <c r="B498" s="26" t="s">
        <v>16</v>
      </c>
      <c r="C498" s="26" t="s">
        <v>670</v>
      </c>
      <c r="D498" s="30">
        <v>41518</v>
      </c>
      <c r="E498" s="26" t="s">
        <v>2359</v>
      </c>
      <c r="F498" s="26" t="s">
        <v>2360</v>
      </c>
      <c r="G498" s="26" t="s">
        <v>42</v>
      </c>
      <c r="H498" s="26" t="s">
        <v>2360</v>
      </c>
      <c r="J498" s="46">
        <v>1</v>
      </c>
      <c r="K498" s="46">
        <v>20</v>
      </c>
      <c r="L498" s="136">
        <v>40</v>
      </c>
      <c r="M498" s="137" t="s">
        <v>22</v>
      </c>
      <c r="N498" s="138"/>
      <c r="O498" s="138"/>
      <c r="P498" s="138"/>
      <c r="Q498" s="138"/>
      <c r="R498" s="138"/>
      <c r="S498" s="138"/>
      <c r="T498" s="138"/>
      <c r="U498" s="138"/>
    </row>
    <row r="499" spans="1:25" s="26" customFormat="1" ht="15" customHeight="1" x14ac:dyDescent="0.2">
      <c r="A499" s="32">
        <v>41549.705694444441</v>
      </c>
      <c r="B499" s="26" t="s">
        <v>16</v>
      </c>
      <c r="C499" s="26" t="s">
        <v>670</v>
      </c>
      <c r="D499" s="30">
        <v>41518</v>
      </c>
      <c r="E499" s="26" t="s">
        <v>2361</v>
      </c>
      <c r="F499" s="26" t="s">
        <v>1507</v>
      </c>
      <c r="G499" s="26" t="s">
        <v>42</v>
      </c>
      <c r="H499" s="26" t="s">
        <v>1507</v>
      </c>
      <c r="J499" s="46">
        <v>2</v>
      </c>
      <c r="K499" s="46">
        <v>34</v>
      </c>
      <c r="L499" s="136">
        <v>102</v>
      </c>
      <c r="M499" s="137" t="s">
        <v>22</v>
      </c>
      <c r="N499" s="138"/>
      <c r="O499" s="138"/>
      <c r="P499" s="138"/>
      <c r="Q499" s="138"/>
      <c r="R499" s="138"/>
      <c r="S499" s="138"/>
      <c r="T499" s="138"/>
      <c r="U499" s="138"/>
    </row>
    <row r="500" spans="1:25" s="26" customFormat="1" ht="15" customHeight="1" x14ac:dyDescent="0.2">
      <c r="A500" s="32">
        <v>41549.70884259259</v>
      </c>
      <c r="B500" s="26" t="s">
        <v>16</v>
      </c>
      <c r="C500" s="26" t="s">
        <v>670</v>
      </c>
      <c r="D500" s="30">
        <v>41518</v>
      </c>
      <c r="E500" s="26" t="s">
        <v>2362</v>
      </c>
      <c r="F500" s="26" t="s">
        <v>2363</v>
      </c>
      <c r="G500" s="26" t="s">
        <v>42</v>
      </c>
      <c r="H500" s="26" t="s">
        <v>2364</v>
      </c>
      <c r="J500" s="46">
        <v>1</v>
      </c>
      <c r="K500" s="46">
        <v>20</v>
      </c>
      <c r="L500" s="136">
        <v>80</v>
      </c>
      <c r="M500" s="137" t="s">
        <v>22</v>
      </c>
      <c r="N500" s="138"/>
      <c r="O500" s="138"/>
      <c r="P500" s="138"/>
      <c r="Q500" s="138"/>
      <c r="R500" s="138"/>
      <c r="S500" s="138"/>
      <c r="T500" s="138"/>
      <c r="U500" s="138"/>
    </row>
    <row r="501" spans="1:25" s="26" customFormat="1" ht="15" customHeight="1" x14ac:dyDescent="0.2">
      <c r="A501" s="32">
        <v>41549.710428240738</v>
      </c>
      <c r="B501" s="26" t="s">
        <v>16</v>
      </c>
      <c r="C501" s="26" t="s">
        <v>670</v>
      </c>
      <c r="D501" s="30">
        <v>41518</v>
      </c>
      <c r="E501" s="26" t="s">
        <v>2365</v>
      </c>
      <c r="F501" s="26" t="s">
        <v>120</v>
      </c>
      <c r="G501" s="26" t="s">
        <v>42</v>
      </c>
      <c r="H501" s="26" t="s">
        <v>120</v>
      </c>
      <c r="J501" s="46">
        <v>1</v>
      </c>
      <c r="K501" s="46">
        <v>20</v>
      </c>
      <c r="L501" s="136">
        <v>40</v>
      </c>
      <c r="M501" s="137" t="s">
        <v>22</v>
      </c>
      <c r="N501" s="138"/>
      <c r="O501" s="138"/>
      <c r="P501" s="138"/>
      <c r="Q501" s="138"/>
      <c r="R501" s="138"/>
      <c r="S501" s="138"/>
      <c r="T501" s="138"/>
      <c r="U501" s="138"/>
    </row>
    <row r="502" spans="1:25" s="26" customFormat="1" ht="15" customHeight="1" x14ac:dyDescent="0.2">
      <c r="A502" s="48">
        <v>41610.6620833333</v>
      </c>
      <c r="B502" s="49" t="s">
        <v>16</v>
      </c>
      <c r="C502" s="50" t="s">
        <v>670</v>
      </c>
      <c r="D502" s="67">
        <v>41579</v>
      </c>
      <c r="E502" s="50" t="s">
        <v>3164</v>
      </c>
      <c r="F502" s="50" t="s">
        <v>3165</v>
      </c>
      <c r="G502" s="49" t="s">
        <v>42</v>
      </c>
      <c r="H502" s="50" t="s">
        <v>1505</v>
      </c>
      <c r="I502" s="50" t="s">
        <v>2925</v>
      </c>
      <c r="J502" s="117">
        <v>1</v>
      </c>
      <c r="K502" s="117">
        <v>15</v>
      </c>
      <c r="L502" s="142">
        <v>30</v>
      </c>
      <c r="M502" s="143" t="s">
        <v>22</v>
      </c>
      <c r="N502" s="144"/>
      <c r="O502" s="144"/>
      <c r="P502" s="144"/>
      <c r="Q502" s="144"/>
      <c r="R502" s="144"/>
      <c r="S502" s="144"/>
      <c r="T502" s="144"/>
      <c r="U502" s="144"/>
      <c r="V502" s="50"/>
    </row>
    <row r="503" spans="1:25" s="26" customFormat="1" ht="15" customHeight="1" x14ac:dyDescent="0.2">
      <c r="A503" s="48">
        <v>41610.669432870403</v>
      </c>
      <c r="B503" s="49" t="s">
        <v>16</v>
      </c>
      <c r="C503" s="50" t="s">
        <v>670</v>
      </c>
      <c r="D503" s="67">
        <v>41579</v>
      </c>
      <c r="E503" s="50" t="s">
        <v>3166</v>
      </c>
      <c r="F503" s="50" t="s">
        <v>3167</v>
      </c>
      <c r="G503" s="49" t="s">
        <v>20</v>
      </c>
      <c r="H503" s="50" t="s">
        <v>1505</v>
      </c>
      <c r="I503" s="50" t="s">
        <v>2925</v>
      </c>
      <c r="J503" s="117">
        <v>1</v>
      </c>
      <c r="K503" s="117">
        <v>140</v>
      </c>
      <c r="L503" s="142">
        <v>700</v>
      </c>
      <c r="M503" s="143" t="s">
        <v>22</v>
      </c>
      <c r="N503" s="144"/>
      <c r="O503" s="144"/>
      <c r="P503" s="144"/>
      <c r="Q503" s="144"/>
      <c r="R503" s="144"/>
      <c r="S503" s="144"/>
      <c r="T503" s="144"/>
      <c r="U503" s="144"/>
      <c r="V503" s="50"/>
    </row>
    <row r="504" spans="1:25" s="26" customFormat="1" ht="15" customHeight="1" x14ac:dyDescent="0.2">
      <c r="A504" s="48">
        <v>41610.667800925898</v>
      </c>
      <c r="B504" s="49" t="s">
        <v>16</v>
      </c>
      <c r="C504" s="50" t="s">
        <v>670</v>
      </c>
      <c r="D504" s="67">
        <v>41579</v>
      </c>
      <c r="E504" s="50" t="s">
        <v>3166</v>
      </c>
      <c r="F504" s="50" t="s">
        <v>3168</v>
      </c>
      <c r="G504" s="49" t="s">
        <v>20</v>
      </c>
      <c r="H504" s="50" t="s">
        <v>3169</v>
      </c>
      <c r="I504" s="50" t="s">
        <v>3001</v>
      </c>
      <c r="J504" s="117">
        <v>1</v>
      </c>
      <c r="K504" s="117">
        <v>140</v>
      </c>
      <c r="L504" s="142">
        <v>700</v>
      </c>
      <c r="M504" s="143" t="s">
        <v>44</v>
      </c>
      <c r="N504" s="144"/>
      <c r="O504" s="144"/>
      <c r="P504" s="144">
        <v>25</v>
      </c>
      <c r="Q504" s="144"/>
      <c r="R504" s="144"/>
      <c r="S504" s="144"/>
      <c r="T504" s="144"/>
      <c r="U504" s="144"/>
      <c r="V504" s="50"/>
    </row>
    <row r="505" spans="1:25" s="26" customFormat="1" ht="15" customHeight="1" x14ac:dyDescent="0.2">
      <c r="A505" s="48">
        <v>41610.670428240701</v>
      </c>
      <c r="B505" s="49" t="s">
        <v>16</v>
      </c>
      <c r="C505" s="50" t="s">
        <v>670</v>
      </c>
      <c r="D505" s="67">
        <v>41579</v>
      </c>
      <c r="E505" s="50" t="s">
        <v>3166</v>
      </c>
      <c r="F505" s="50" t="s">
        <v>3170</v>
      </c>
      <c r="G505" s="49" t="s">
        <v>20</v>
      </c>
      <c r="H505" s="50"/>
      <c r="I505" s="34" t="s">
        <v>3171</v>
      </c>
      <c r="J505" s="117">
        <v>1</v>
      </c>
      <c r="K505" s="117">
        <v>140</v>
      </c>
      <c r="L505" s="142">
        <v>700</v>
      </c>
      <c r="M505" s="143" t="s">
        <v>22</v>
      </c>
      <c r="N505" s="144"/>
      <c r="O505" s="144"/>
      <c r="P505" s="144"/>
      <c r="Q505" s="144"/>
      <c r="R505" s="144"/>
      <c r="S505" s="144"/>
      <c r="T505" s="144"/>
      <c r="U505" s="144"/>
      <c r="V505" s="50"/>
    </row>
    <row r="506" spans="1:25" s="26" customFormat="1" ht="15" customHeight="1" x14ac:dyDescent="0.2">
      <c r="A506" s="32">
        <v>41627.585659722223</v>
      </c>
      <c r="B506" s="26" t="s">
        <v>16</v>
      </c>
      <c r="C506" s="26" t="s">
        <v>670</v>
      </c>
      <c r="D506" s="68">
        <v>41609</v>
      </c>
      <c r="E506" s="26" t="s">
        <v>3792</v>
      </c>
      <c r="F506" s="26" t="s">
        <v>3793</v>
      </c>
      <c r="G506" s="26" t="s">
        <v>156</v>
      </c>
      <c r="H506" s="26" t="s">
        <v>3794</v>
      </c>
      <c r="I506" s="26" t="s">
        <v>2925</v>
      </c>
      <c r="J506" s="46">
        <v>1</v>
      </c>
      <c r="K506" s="46">
        <v>70</v>
      </c>
      <c r="L506" s="136">
        <v>100</v>
      </c>
      <c r="M506" s="137" t="s">
        <v>44</v>
      </c>
      <c r="N506" s="138"/>
      <c r="O506" s="138">
        <v>10</v>
      </c>
      <c r="P506" s="138"/>
      <c r="Q506" s="138">
        <v>112</v>
      </c>
      <c r="R506" s="138"/>
      <c r="S506" s="138"/>
      <c r="T506" s="138"/>
      <c r="U506" s="138">
        <v>150</v>
      </c>
      <c r="V506" s="26" t="s">
        <v>3795</v>
      </c>
    </row>
    <row r="507" spans="1:25" s="26" customFormat="1" ht="15" customHeight="1" x14ac:dyDescent="0.2">
      <c r="A507" s="26" t="s">
        <v>4147</v>
      </c>
      <c r="B507" s="26" t="s">
        <v>16</v>
      </c>
      <c r="C507" s="26" t="s">
        <v>670</v>
      </c>
      <c r="D507" s="69">
        <v>41640</v>
      </c>
      <c r="E507" s="26" t="s">
        <v>4145</v>
      </c>
      <c r="F507" s="26" t="s">
        <v>4120</v>
      </c>
      <c r="G507" s="34" t="s">
        <v>26</v>
      </c>
      <c r="H507" s="26" t="s">
        <v>4146</v>
      </c>
      <c r="I507" s="26" t="s">
        <v>2926</v>
      </c>
      <c r="J507" s="46">
        <v>1</v>
      </c>
      <c r="K507" s="46">
        <v>4</v>
      </c>
      <c r="L507" s="136"/>
      <c r="M507" s="137"/>
      <c r="N507" s="138"/>
      <c r="O507" s="138">
        <v>10</v>
      </c>
      <c r="P507" s="138"/>
      <c r="Q507" s="138"/>
      <c r="R507" s="138"/>
      <c r="S507" s="138"/>
      <c r="T507" s="138"/>
      <c r="U507" s="138"/>
      <c r="W507" s="52"/>
      <c r="X507" s="52"/>
      <c r="Y507" s="52"/>
    </row>
    <row r="508" spans="1:25" s="26" customFormat="1" ht="15" customHeight="1" x14ac:dyDescent="0.2">
      <c r="A508" s="32">
        <v>41705.537546296298</v>
      </c>
      <c r="B508" s="26" t="s">
        <v>16</v>
      </c>
      <c r="C508" s="26" t="s">
        <v>670</v>
      </c>
      <c r="D508" s="33">
        <v>41671</v>
      </c>
      <c r="E508" s="26" t="s">
        <v>5017</v>
      </c>
      <c r="F508" s="26" t="s">
        <v>5018</v>
      </c>
      <c r="G508" s="26" t="s">
        <v>156</v>
      </c>
      <c r="I508" s="26" t="s">
        <v>2925</v>
      </c>
      <c r="J508" s="46">
        <v>1</v>
      </c>
      <c r="K508" s="46">
        <v>50</v>
      </c>
      <c r="L508" s="136"/>
      <c r="M508" s="137" t="s">
        <v>44</v>
      </c>
      <c r="N508" s="138"/>
      <c r="O508" s="138">
        <v>20</v>
      </c>
      <c r="P508" s="138">
        <v>20</v>
      </c>
      <c r="Q508" s="138"/>
      <c r="R508" s="138"/>
      <c r="S508" s="138"/>
      <c r="T508" s="138"/>
      <c r="U508" s="138"/>
    </row>
    <row r="509" spans="1:25" s="26" customFormat="1" ht="15" customHeight="1" x14ac:dyDescent="0.2">
      <c r="A509" s="32">
        <v>41733.706712962965</v>
      </c>
      <c r="B509" s="26" t="s">
        <v>16</v>
      </c>
      <c r="C509" s="26" t="s">
        <v>670</v>
      </c>
      <c r="D509" s="33">
        <v>41699</v>
      </c>
      <c r="E509" s="26" t="s">
        <v>5657</v>
      </c>
      <c r="F509" s="26" t="s">
        <v>5658</v>
      </c>
      <c r="G509" s="26" t="s">
        <v>20</v>
      </c>
      <c r="H509" s="26" t="s">
        <v>5659</v>
      </c>
      <c r="I509" s="26" t="s">
        <v>2925</v>
      </c>
      <c r="J509" s="46">
        <v>1</v>
      </c>
      <c r="K509" s="46">
        <v>10</v>
      </c>
      <c r="L509" s="136">
        <v>70</v>
      </c>
      <c r="M509" s="137" t="s">
        <v>44</v>
      </c>
      <c r="N509" s="138"/>
      <c r="O509" s="138">
        <v>20</v>
      </c>
      <c r="P509" s="138"/>
      <c r="Q509" s="138"/>
      <c r="R509" s="138"/>
      <c r="S509" s="138"/>
      <c r="T509" s="138"/>
      <c r="U509" s="138"/>
    </row>
    <row r="510" spans="1:25" s="26" customFormat="1" ht="15" customHeight="1" x14ac:dyDescent="0.2">
      <c r="A510" s="55">
        <v>41758.778969907398</v>
      </c>
      <c r="B510" s="52" t="s">
        <v>16</v>
      </c>
      <c r="C510" s="52" t="s">
        <v>670</v>
      </c>
      <c r="D510" s="88" t="s">
        <v>6076</v>
      </c>
      <c r="E510" s="52" t="s">
        <v>6167</v>
      </c>
      <c r="F510" s="52" t="s">
        <v>6168</v>
      </c>
      <c r="G510" s="52" t="s">
        <v>42</v>
      </c>
      <c r="H510" s="52" t="s">
        <v>1507</v>
      </c>
      <c r="I510" s="52" t="s">
        <v>3171</v>
      </c>
      <c r="J510" s="95">
        <v>1</v>
      </c>
      <c r="K510" s="95">
        <v>10</v>
      </c>
      <c r="L510" s="149">
        <v>30</v>
      </c>
      <c r="M510" s="146" t="s">
        <v>44</v>
      </c>
      <c r="N510" s="149"/>
      <c r="O510" s="149">
        <v>25</v>
      </c>
      <c r="P510" s="149"/>
      <c r="Q510" s="149">
        <v>112</v>
      </c>
      <c r="R510" s="149"/>
      <c r="S510" s="149"/>
      <c r="T510" s="149"/>
      <c r="U510" s="149">
        <v>30</v>
      </c>
      <c r="V510" s="52"/>
    </row>
    <row r="511" spans="1:25" s="26" customFormat="1" ht="15" customHeight="1" x14ac:dyDescent="0.2">
      <c r="A511" s="55">
        <v>41758.780497685198</v>
      </c>
      <c r="B511" s="52" t="s">
        <v>16</v>
      </c>
      <c r="C511" s="52" t="s">
        <v>670</v>
      </c>
      <c r="D511" s="88" t="s">
        <v>6076</v>
      </c>
      <c r="E511" s="52" t="s">
        <v>6167</v>
      </c>
      <c r="F511" s="52" t="s">
        <v>6168</v>
      </c>
      <c r="G511" s="52" t="s">
        <v>42</v>
      </c>
      <c r="H511" s="52" t="s">
        <v>6169</v>
      </c>
      <c r="I511" s="52" t="s">
        <v>3171</v>
      </c>
      <c r="J511" s="95">
        <v>1</v>
      </c>
      <c r="K511" s="95">
        <v>10</v>
      </c>
      <c r="L511" s="149">
        <v>30</v>
      </c>
      <c r="M511" s="146" t="s">
        <v>44</v>
      </c>
      <c r="N511" s="149"/>
      <c r="O511" s="149">
        <v>10</v>
      </c>
      <c r="P511" s="149"/>
      <c r="Q511" s="149"/>
      <c r="R511" s="149"/>
      <c r="S511" s="149"/>
      <c r="T511" s="149"/>
      <c r="U511" s="149">
        <v>30</v>
      </c>
      <c r="V511" s="52"/>
    </row>
    <row r="512" spans="1:25" s="26" customFormat="1" ht="15" customHeight="1" x14ac:dyDescent="0.2">
      <c r="A512" s="55">
        <v>41758.7875810185</v>
      </c>
      <c r="B512" s="52" t="s">
        <v>16</v>
      </c>
      <c r="C512" s="52" t="s">
        <v>670</v>
      </c>
      <c r="D512" s="88" t="s">
        <v>6076</v>
      </c>
      <c r="E512" s="52" t="s">
        <v>6170</v>
      </c>
      <c r="F512" s="52" t="s">
        <v>6171</v>
      </c>
      <c r="G512" s="52" t="s">
        <v>20</v>
      </c>
      <c r="H512" s="52" t="s">
        <v>6172</v>
      </c>
      <c r="I512" s="52" t="s">
        <v>2926</v>
      </c>
      <c r="J512" s="95">
        <v>1</v>
      </c>
      <c r="K512" s="95">
        <v>85</v>
      </c>
      <c r="L512" s="149">
        <v>200</v>
      </c>
      <c r="M512" s="146" t="s">
        <v>44</v>
      </c>
      <c r="N512" s="149"/>
      <c r="O512" s="149">
        <v>50</v>
      </c>
      <c r="P512" s="149"/>
      <c r="Q512" s="149"/>
      <c r="R512" s="149"/>
      <c r="S512" s="149"/>
      <c r="T512" s="149"/>
      <c r="U512" s="149">
        <v>30</v>
      </c>
      <c r="V512" s="52"/>
    </row>
    <row r="513" spans="1:25" s="26" customFormat="1" ht="15" customHeight="1" x14ac:dyDescent="0.2">
      <c r="A513" s="55">
        <v>41758.7901851852</v>
      </c>
      <c r="B513" s="52" t="s">
        <v>16</v>
      </c>
      <c r="C513" s="52" t="s">
        <v>670</v>
      </c>
      <c r="D513" s="88" t="s">
        <v>6076</v>
      </c>
      <c r="E513" s="52" t="s">
        <v>6170</v>
      </c>
      <c r="F513" s="52" t="s">
        <v>6171</v>
      </c>
      <c r="G513" s="52" t="s">
        <v>20</v>
      </c>
      <c r="H513" s="52" t="s">
        <v>6173</v>
      </c>
      <c r="I513" s="52" t="s">
        <v>6174</v>
      </c>
      <c r="J513" s="95">
        <v>1</v>
      </c>
      <c r="K513" s="95">
        <v>100</v>
      </c>
      <c r="L513" s="149">
        <v>200</v>
      </c>
      <c r="M513" s="146" t="s">
        <v>44</v>
      </c>
      <c r="N513" s="149"/>
      <c r="O513" s="149">
        <v>10</v>
      </c>
      <c r="P513" s="149"/>
      <c r="Q513" s="149"/>
      <c r="R513" s="149"/>
      <c r="S513" s="149"/>
      <c r="T513" s="149"/>
      <c r="U513" s="149">
        <v>30</v>
      </c>
      <c r="V513" s="52"/>
    </row>
    <row r="514" spans="1:25" s="26" customFormat="1" ht="15" customHeight="1" x14ac:dyDescent="0.2">
      <c r="A514" s="55">
        <v>41758.791631944398</v>
      </c>
      <c r="B514" s="52" t="s">
        <v>16</v>
      </c>
      <c r="C514" s="52" t="s">
        <v>670</v>
      </c>
      <c r="D514" s="88" t="s">
        <v>6076</v>
      </c>
      <c r="E514" s="52" t="s">
        <v>6170</v>
      </c>
      <c r="F514" s="52" t="s">
        <v>6171</v>
      </c>
      <c r="G514" s="52" t="s">
        <v>20</v>
      </c>
      <c r="H514" s="52" t="s">
        <v>6175</v>
      </c>
      <c r="I514" s="52" t="s">
        <v>3001</v>
      </c>
      <c r="J514" s="95">
        <v>1</v>
      </c>
      <c r="K514" s="95">
        <v>100</v>
      </c>
      <c r="L514" s="149">
        <v>100</v>
      </c>
      <c r="M514" s="146" t="s">
        <v>22</v>
      </c>
      <c r="N514" s="149"/>
      <c r="O514" s="149"/>
      <c r="P514" s="149"/>
      <c r="Q514" s="149"/>
      <c r="R514" s="149"/>
      <c r="S514" s="149"/>
      <c r="T514" s="149"/>
      <c r="U514" s="149">
        <v>30</v>
      </c>
      <c r="V514" s="52"/>
    </row>
    <row r="515" spans="1:25" s="26" customFormat="1" ht="15" customHeight="1" x14ac:dyDescent="0.2">
      <c r="A515" s="55">
        <v>41758.7976851852</v>
      </c>
      <c r="B515" s="52" t="s">
        <v>16</v>
      </c>
      <c r="C515" s="52" t="s">
        <v>670</v>
      </c>
      <c r="D515" s="88" t="s">
        <v>6076</v>
      </c>
      <c r="E515" s="52" t="s">
        <v>6176</v>
      </c>
      <c r="F515" s="52" t="s">
        <v>6177</v>
      </c>
      <c r="G515" s="52" t="s">
        <v>20</v>
      </c>
      <c r="H515" s="52" t="s">
        <v>1507</v>
      </c>
      <c r="I515" s="52" t="s">
        <v>3038</v>
      </c>
      <c r="J515" s="95">
        <v>1</v>
      </c>
      <c r="K515" s="95">
        <v>44</v>
      </c>
      <c r="L515" s="149">
        <v>88</v>
      </c>
      <c r="M515" s="146" t="s">
        <v>44</v>
      </c>
      <c r="N515" s="149"/>
      <c r="O515" s="149">
        <v>50</v>
      </c>
      <c r="P515" s="149"/>
      <c r="Q515" s="149"/>
      <c r="R515" s="149">
        <v>280</v>
      </c>
      <c r="S515" s="149"/>
      <c r="T515" s="149"/>
      <c r="U515" s="149">
        <v>30</v>
      </c>
      <c r="V515" s="52"/>
    </row>
    <row r="516" spans="1:25" s="26" customFormat="1" ht="15" customHeight="1" x14ac:dyDescent="0.2">
      <c r="A516" s="55">
        <v>41758.7991666667</v>
      </c>
      <c r="B516" s="52" t="s">
        <v>16</v>
      </c>
      <c r="C516" s="52" t="s">
        <v>670</v>
      </c>
      <c r="D516" s="88" t="s">
        <v>6076</v>
      </c>
      <c r="E516" s="52"/>
      <c r="F516" s="52" t="s">
        <v>6177</v>
      </c>
      <c r="G516" s="52" t="s">
        <v>20</v>
      </c>
      <c r="H516" s="52" t="s">
        <v>6169</v>
      </c>
      <c r="I516" s="52" t="s">
        <v>3171</v>
      </c>
      <c r="J516" s="95">
        <v>1</v>
      </c>
      <c r="K516" s="95">
        <v>44</v>
      </c>
      <c r="L516" s="149">
        <v>88</v>
      </c>
      <c r="M516" s="146" t="s">
        <v>44</v>
      </c>
      <c r="N516" s="149"/>
      <c r="O516" s="149">
        <v>50</v>
      </c>
      <c r="P516" s="149"/>
      <c r="Q516" s="149"/>
      <c r="R516" s="149"/>
      <c r="S516" s="149"/>
      <c r="T516" s="149"/>
      <c r="U516" s="149">
        <v>30</v>
      </c>
      <c r="V516" s="52"/>
    </row>
    <row r="517" spans="1:25" s="26" customFormat="1" ht="15" customHeight="1" x14ac:dyDescent="0.2">
      <c r="A517" s="55">
        <v>41758.806631944397</v>
      </c>
      <c r="B517" s="52" t="s">
        <v>16</v>
      </c>
      <c r="C517" s="52" t="s">
        <v>670</v>
      </c>
      <c r="D517" s="88" t="s">
        <v>6076</v>
      </c>
      <c r="E517" s="52" t="s">
        <v>6176</v>
      </c>
      <c r="F517" s="52" t="s">
        <v>6177</v>
      </c>
      <c r="G517" s="52" t="s">
        <v>20</v>
      </c>
      <c r="H517" s="52" t="s">
        <v>6172</v>
      </c>
      <c r="I517" s="52" t="s">
        <v>6174</v>
      </c>
      <c r="J517" s="95">
        <v>1</v>
      </c>
      <c r="K517" s="95">
        <v>44</v>
      </c>
      <c r="L517" s="149">
        <v>44</v>
      </c>
      <c r="M517" s="146" t="s">
        <v>44</v>
      </c>
      <c r="N517" s="149"/>
      <c r="O517" s="149">
        <v>10</v>
      </c>
      <c r="P517" s="149"/>
      <c r="Q517" s="149"/>
      <c r="R517" s="149"/>
      <c r="S517" s="149"/>
      <c r="T517" s="149"/>
      <c r="U517" s="149">
        <v>30</v>
      </c>
      <c r="V517" s="52"/>
    </row>
    <row r="518" spans="1:25" s="26" customFormat="1" ht="15" customHeight="1" x14ac:dyDescent="0.2">
      <c r="A518" s="55">
        <v>41758.808125000003</v>
      </c>
      <c r="B518" s="52" t="s">
        <v>16</v>
      </c>
      <c r="C518" s="52" t="s">
        <v>670</v>
      </c>
      <c r="D518" s="88" t="s">
        <v>6076</v>
      </c>
      <c r="E518" s="52" t="s">
        <v>6178</v>
      </c>
      <c r="F518" s="52" t="s">
        <v>6177</v>
      </c>
      <c r="G518" s="52" t="s">
        <v>20</v>
      </c>
      <c r="H518" s="52" t="s">
        <v>5696</v>
      </c>
      <c r="I518" s="52" t="s">
        <v>6174</v>
      </c>
      <c r="J518" s="95">
        <v>1</v>
      </c>
      <c r="K518" s="95">
        <v>44</v>
      </c>
      <c r="L518" s="149"/>
      <c r="M518" s="146" t="s">
        <v>22</v>
      </c>
      <c r="N518" s="149"/>
      <c r="O518" s="149"/>
      <c r="P518" s="149"/>
      <c r="Q518" s="149"/>
      <c r="R518" s="149"/>
      <c r="S518" s="149"/>
      <c r="T518" s="149"/>
      <c r="U518" s="149">
        <v>30</v>
      </c>
      <c r="V518" s="52"/>
    </row>
    <row r="519" spans="1:25" s="26" customFormat="1" ht="15" customHeight="1" x14ac:dyDescent="0.2">
      <c r="A519" s="55">
        <v>41758.814803240697</v>
      </c>
      <c r="B519" s="52" t="s">
        <v>16</v>
      </c>
      <c r="C519" s="52" t="s">
        <v>670</v>
      </c>
      <c r="D519" s="88" t="s">
        <v>6076</v>
      </c>
      <c r="E519" s="52" t="s">
        <v>6179</v>
      </c>
      <c r="F519" s="52" t="s">
        <v>6180</v>
      </c>
      <c r="G519" s="52" t="s">
        <v>20</v>
      </c>
      <c r="H519" s="52" t="s">
        <v>1507</v>
      </c>
      <c r="I519" s="52" t="s">
        <v>6181</v>
      </c>
      <c r="J519" s="95">
        <v>1</v>
      </c>
      <c r="K519" s="95">
        <v>80</v>
      </c>
      <c r="L519" s="149">
        <v>240</v>
      </c>
      <c r="M519" s="146" t="s">
        <v>44</v>
      </c>
      <c r="N519" s="149"/>
      <c r="O519" s="149">
        <v>40</v>
      </c>
      <c r="P519" s="149"/>
      <c r="Q519" s="149"/>
      <c r="R519" s="149"/>
      <c r="S519" s="149"/>
      <c r="T519" s="149"/>
      <c r="U519" s="149">
        <v>30</v>
      </c>
      <c r="V519" s="52"/>
    </row>
    <row r="520" spans="1:25" s="26" customFormat="1" ht="15" customHeight="1" x14ac:dyDescent="0.2">
      <c r="A520" s="55">
        <v>41758.815868055601</v>
      </c>
      <c r="B520" s="52" t="s">
        <v>16</v>
      </c>
      <c r="C520" s="52" t="s">
        <v>670</v>
      </c>
      <c r="D520" s="88" t="s">
        <v>6076</v>
      </c>
      <c r="E520" s="52"/>
      <c r="F520" s="52"/>
      <c r="G520" s="52" t="s">
        <v>20</v>
      </c>
      <c r="H520" s="52" t="s">
        <v>6173</v>
      </c>
      <c r="I520" s="52" t="s">
        <v>6174</v>
      </c>
      <c r="J520" s="95">
        <v>1</v>
      </c>
      <c r="K520" s="95">
        <v>80</v>
      </c>
      <c r="L520" s="149">
        <v>160</v>
      </c>
      <c r="M520" s="146" t="s">
        <v>44</v>
      </c>
      <c r="N520" s="149"/>
      <c r="O520" s="149">
        <v>20</v>
      </c>
      <c r="P520" s="149"/>
      <c r="Q520" s="149"/>
      <c r="R520" s="149"/>
      <c r="S520" s="149"/>
      <c r="T520" s="149"/>
      <c r="U520" s="149">
        <v>30</v>
      </c>
      <c r="V520" s="52"/>
    </row>
    <row r="521" spans="1:25" s="26" customFormat="1" ht="15" customHeight="1" x14ac:dyDescent="0.2">
      <c r="A521" s="55">
        <v>41758.817858796298</v>
      </c>
      <c r="B521" s="52" t="s">
        <v>16</v>
      </c>
      <c r="C521" s="52" t="s">
        <v>670</v>
      </c>
      <c r="D521" s="88" t="s">
        <v>6076</v>
      </c>
      <c r="E521" s="52" t="s">
        <v>6179</v>
      </c>
      <c r="F521" s="52" t="s">
        <v>6180</v>
      </c>
      <c r="G521" s="52" t="s">
        <v>20</v>
      </c>
      <c r="H521" s="52" t="s">
        <v>6173</v>
      </c>
      <c r="I521" s="52" t="s">
        <v>6174</v>
      </c>
      <c r="J521" s="95">
        <v>1</v>
      </c>
      <c r="K521" s="95">
        <v>80</v>
      </c>
      <c r="L521" s="149">
        <v>160</v>
      </c>
      <c r="M521" s="146" t="s">
        <v>44</v>
      </c>
      <c r="N521" s="149"/>
      <c r="O521" s="149">
        <v>20</v>
      </c>
      <c r="P521" s="149"/>
      <c r="Q521" s="149"/>
      <c r="R521" s="149"/>
      <c r="S521" s="149"/>
      <c r="T521" s="149"/>
      <c r="U521" s="149">
        <v>30</v>
      </c>
      <c r="V521" s="52"/>
    </row>
    <row r="522" spans="1:25" s="26" customFormat="1" ht="15" customHeight="1" x14ac:dyDescent="0.2">
      <c r="A522" s="55">
        <v>41758.819212962997</v>
      </c>
      <c r="B522" s="52" t="s">
        <v>16</v>
      </c>
      <c r="C522" s="52" t="s">
        <v>670</v>
      </c>
      <c r="D522" s="88" t="s">
        <v>6076</v>
      </c>
      <c r="E522" s="52" t="s">
        <v>6182</v>
      </c>
      <c r="F522" s="52" t="s">
        <v>6180</v>
      </c>
      <c r="G522" s="52" t="s">
        <v>20</v>
      </c>
      <c r="H522" s="52" t="s">
        <v>6183</v>
      </c>
      <c r="I522" s="52" t="s">
        <v>3001</v>
      </c>
      <c r="J522" s="95">
        <v>1</v>
      </c>
      <c r="K522" s="95">
        <v>80</v>
      </c>
      <c r="L522" s="149">
        <v>160</v>
      </c>
      <c r="M522" s="146" t="s">
        <v>22</v>
      </c>
      <c r="N522" s="149"/>
      <c r="O522" s="149"/>
      <c r="P522" s="149"/>
      <c r="Q522" s="149"/>
      <c r="R522" s="149"/>
      <c r="S522" s="149"/>
      <c r="T522" s="149"/>
      <c r="U522" s="149">
        <v>30</v>
      </c>
      <c r="V522" s="52"/>
    </row>
    <row r="523" spans="1:25" s="26" customFormat="1" ht="15" customHeight="1" x14ac:dyDescent="0.2">
      <c r="A523" s="93">
        <v>41773.548773148199</v>
      </c>
      <c r="B523" s="89" t="s">
        <v>38</v>
      </c>
      <c r="C523" s="52" t="s">
        <v>39</v>
      </c>
      <c r="D523" s="87" t="s">
        <v>6224</v>
      </c>
      <c r="E523" s="89" t="s">
        <v>6886</v>
      </c>
      <c r="F523" s="89" t="s">
        <v>6887</v>
      </c>
      <c r="G523" s="89" t="s">
        <v>20</v>
      </c>
      <c r="H523" s="89" t="s">
        <v>43</v>
      </c>
      <c r="I523" s="89" t="s">
        <v>6294</v>
      </c>
      <c r="J523" s="95">
        <v>1</v>
      </c>
      <c r="K523" s="95">
        <v>86</v>
      </c>
      <c r="L523" s="150"/>
      <c r="M523" s="146" t="s">
        <v>44</v>
      </c>
      <c r="N523" s="149">
        <v>486</v>
      </c>
      <c r="O523" s="149"/>
      <c r="P523" s="149"/>
      <c r="Q523" s="149"/>
      <c r="R523" s="149"/>
      <c r="S523" s="149"/>
      <c r="T523" s="149"/>
      <c r="U523" s="149"/>
      <c r="V523" s="89"/>
      <c r="W523" s="91"/>
      <c r="X523" s="91"/>
      <c r="Y523" s="91"/>
    </row>
    <row r="524" spans="1:25" s="26" customFormat="1" ht="15" customHeight="1" x14ac:dyDescent="0.2">
      <c r="A524" s="93">
        <v>41773.563703703701</v>
      </c>
      <c r="B524" s="89" t="s">
        <v>38</v>
      </c>
      <c r="C524" s="52" t="s">
        <v>39</v>
      </c>
      <c r="D524" s="87" t="s">
        <v>6224</v>
      </c>
      <c r="E524" s="89" t="s">
        <v>6886</v>
      </c>
      <c r="F524" s="89" t="s">
        <v>6887</v>
      </c>
      <c r="G524" s="89" t="s">
        <v>20</v>
      </c>
      <c r="H524" s="89" t="s">
        <v>43</v>
      </c>
      <c r="I524" s="89" t="s">
        <v>6294</v>
      </c>
      <c r="J524" s="95">
        <v>1</v>
      </c>
      <c r="K524" s="95">
        <v>86</v>
      </c>
      <c r="L524" s="150"/>
      <c r="M524" s="146" t="s">
        <v>44</v>
      </c>
      <c r="N524" s="149">
        <v>486</v>
      </c>
      <c r="O524" s="149"/>
      <c r="P524" s="149"/>
      <c r="Q524" s="149"/>
      <c r="R524" s="149"/>
      <c r="S524" s="149"/>
      <c r="T524" s="149"/>
      <c r="U524" s="149"/>
      <c r="V524" s="89"/>
      <c r="W524" s="91"/>
      <c r="X524" s="91"/>
      <c r="Y524" s="91"/>
    </row>
    <row r="525" spans="1:25" s="26" customFormat="1" ht="15" customHeight="1" x14ac:dyDescent="0.2">
      <c r="A525" s="93">
        <v>41774.570590277799</v>
      </c>
      <c r="B525" s="89" t="s">
        <v>38</v>
      </c>
      <c r="C525" s="52" t="s">
        <v>39</v>
      </c>
      <c r="D525" s="87" t="s">
        <v>6224</v>
      </c>
      <c r="E525" s="89" t="s">
        <v>3815</v>
      </c>
      <c r="F525" s="89" t="s">
        <v>6908</v>
      </c>
      <c r="G525" s="89" t="s">
        <v>20</v>
      </c>
      <c r="H525" s="89" t="s">
        <v>43</v>
      </c>
      <c r="I525" s="89" t="s">
        <v>6294</v>
      </c>
      <c r="J525" s="95">
        <v>1</v>
      </c>
      <c r="K525" s="95">
        <v>92</v>
      </c>
      <c r="L525" s="150"/>
      <c r="M525" s="146" t="s">
        <v>44</v>
      </c>
      <c r="N525" s="149">
        <v>405</v>
      </c>
      <c r="O525" s="149"/>
      <c r="P525" s="149"/>
      <c r="Q525" s="149"/>
      <c r="R525" s="149"/>
      <c r="S525" s="149"/>
      <c r="T525" s="149"/>
      <c r="U525" s="149"/>
      <c r="V525" s="89"/>
      <c r="W525" s="91"/>
      <c r="X525" s="91"/>
      <c r="Y525" s="91"/>
    </row>
    <row r="526" spans="1:25" s="26" customFormat="1" ht="15" customHeight="1" x14ac:dyDescent="0.2">
      <c r="A526" s="93">
        <v>41774.576215277797</v>
      </c>
      <c r="B526" s="89" t="s">
        <v>38</v>
      </c>
      <c r="C526" s="52" t="s">
        <v>39</v>
      </c>
      <c r="D526" s="87" t="s">
        <v>6224</v>
      </c>
      <c r="E526" s="89" t="s">
        <v>5287</v>
      </c>
      <c r="F526" s="89" t="s">
        <v>6909</v>
      </c>
      <c r="G526" s="89" t="s">
        <v>20</v>
      </c>
      <c r="H526" s="89" t="s">
        <v>43</v>
      </c>
      <c r="I526" s="89" t="s">
        <v>6294</v>
      </c>
      <c r="J526" s="95">
        <v>1</v>
      </c>
      <c r="K526" s="95">
        <v>131</v>
      </c>
      <c r="L526" s="150"/>
      <c r="M526" s="146" t="s">
        <v>44</v>
      </c>
      <c r="N526" s="149">
        <v>719.26</v>
      </c>
      <c r="O526" s="149"/>
      <c r="P526" s="149"/>
      <c r="Q526" s="149"/>
      <c r="R526" s="149"/>
      <c r="S526" s="149"/>
      <c r="T526" s="149"/>
      <c r="U526" s="149"/>
      <c r="V526" s="89"/>
      <c r="W526" s="91"/>
      <c r="X526" s="91"/>
      <c r="Y526" s="91"/>
    </row>
    <row r="527" spans="1:25" s="26" customFormat="1" ht="15" customHeight="1" x14ac:dyDescent="0.2">
      <c r="A527" s="93">
        <v>41774.578402777799</v>
      </c>
      <c r="B527" s="89" t="s">
        <v>38</v>
      </c>
      <c r="C527" s="52" t="s">
        <v>39</v>
      </c>
      <c r="D527" s="87" t="s">
        <v>6224</v>
      </c>
      <c r="E527" s="89" t="s">
        <v>6910</v>
      </c>
      <c r="F527" s="89" t="s">
        <v>6911</v>
      </c>
      <c r="G527" s="89" t="s">
        <v>20</v>
      </c>
      <c r="H527" s="89" t="s">
        <v>43</v>
      </c>
      <c r="I527" s="89" t="s">
        <v>6294</v>
      </c>
      <c r="J527" s="95">
        <v>1</v>
      </c>
      <c r="K527" s="95">
        <v>64</v>
      </c>
      <c r="L527" s="150"/>
      <c r="M527" s="146" t="s">
        <v>44</v>
      </c>
      <c r="N527" s="149">
        <v>384</v>
      </c>
      <c r="O527" s="149"/>
      <c r="P527" s="149"/>
      <c r="Q527" s="149"/>
      <c r="R527" s="149"/>
      <c r="S527" s="149"/>
      <c r="T527" s="149"/>
      <c r="U527" s="149"/>
      <c r="V527" s="89"/>
      <c r="W527" s="91"/>
      <c r="X527" s="91"/>
      <c r="Y527" s="91"/>
    </row>
    <row r="528" spans="1:25" s="26" customFormat="1" ht="15" customHeight="1" x14ac:dyDescent="0.2">
      <c r="A528" s="93">
        <v>41774.585277777798</v>
      </c>
      <c r="B528" s="89" t="s">
        <v>38</v>
      </c>
      <c r="C528" s="52" t="s">
        <v>39</v>
      </c>
      <c r="D528" s="87" t="s">
        <v>6224</v>
      </c>
      <c r="E528" s="89" t="s">
        <v>6418</v>
      </c>
      <c r="F528" s="89" t="s">
        <v>6912</v>
      </c>
      <c r="G528" s="89" t="s">
        <v>20</v>
      </c>
      <c r="H528" s="89" t="s">
        <v>43</v>
      </c>
      <c r="I528" s="89" t="s">
        <v>6294</v>
      </c>
      <c r="J528" s="95">
        <v>1</v>
      </c>
      <c r="K528" s="95">
        <v>167</v>
      </c>
      <c r="L528" s="150"/>
      <c r="M528" s="146" t="s">
        <v>44</v>
      </c>
      <c r="N528" s="149">
        <v>1141.08</v>
      </c>
      <c r="O528" s="149"/>
      <c r="P528" s="149"/>
      <c r="Q528" s="149"/>
      <c r="R528" s="149"/>
      <c r="S528" s="149"/>
      <c r="T528" s="149"/>
      <c r="U528" s="149"/>
      <c r="V528" s="89"/>
      <c r="W528" s="91"/>
      <c r="X528" s="91"/>
      <c r="Y528" s="91"/>
    </row>
    <row r="529" spans="1:25" s="26" customFormat="1" ht="15" customHeight="1" x14ac:dyDescent="0.2">
      <c r="A529" s="93">
        <v>41774.586724537003</v>
      </c>
      <c r="B529" s="89" t="s">
        <v>38</v>
      </c>
      <c r="C529" s="52" t="s">
        <v>39</v>
      </c>
      <c r="D529" s="87" t="s">
        <v>6224</v>
      </c>
      <c r="E529" s="89" t="s">
        <v>3833</v>
      </c>
      <c r="F529" s="89" t="s">
        <v>6913</v>
      </c>
      <c r="G529" s="89" t="s">
        <v>20</v>
      </c>
      <c r="H529" s="89" t="s">
        <v>43</v>
      </c>
      <c r="I529" s="89" t="s">
        <v>6294</v>
      </c>
      <c r="J529" s="95">
        <v>1</v>
      </c>
      <c r="K529" s="95">
        <v>71</v>
      </c>
      <c r="L529" s="150"/>
      <c r="M529" s="146" t="s">
        <v>44</v>
      </c>
      <c r="N529" s="149">
        <v>423</v>
      </c>
      <c r="O529" s="149"/>
      <c r="P529" s="149"/>
      <c r="Q529" s="149"/>
      <c r="R529" s="149"/>
      <c r="S529" s="149"/>
      <c r="T529" s="149"/>
      <c r="U529" s="149"/>
      <c r="V529" s="89"/>
      <c r="W529" s="91"/>
      <c r="X529" s="91"/>
      <c r="Y529" s="91"/>
    </row>
    <row r="530" spans="1:25" s="26" customFormat="1" ht="15" customHeight="1" x14ac:dyDescent="0.2">
      <c r="A530" s="93">
        <v>41774.634641203702</v>
      </c>
      <c r="B530" s="89" t="s">
        <v>38</v>
      </c>
      <c r="C530" s="52" t="s">
        <v>39</v>
      </c>
      <c r="D530" s="87" t="s">
        <v>6224</v>
      </c>
      <c r="E530" s="89" t="s">
        <v>6389</v>
      </c>
      <c r="F530" s="89" t="s">
        <v>6914</v>
      </c>
      <c r="G530" s="89" t="s">
        <v>20</v>
      </c>
      <c r="H530" s="89" t="s">
        <v>43</v>
      </c>
      <c r="I530" s="89" t="s">
        <v>6294</v>
      </c>
      <c r="J530" s="95">
        <v>1</v>
      </c>
      <c r="K530" s="95">
        <v>20</v>
      </c>
      <c r="L530" s="150"/>
      <c r="M530" s="146" t="s">
        <v>44</v>
      </c>
      <c r="N530" s="149">
        <v>111</v>
      </c>
      <c r="O530" s="149"/>
      <c r="P530" s="149">
        <v>200</v>
      </c>
      <c r="Q530" s="149"/>
      <c r="R530" s="149"/>
      <c r="S530" s="149"/>
      <c r="T530" s="149"/>
      <c r="U530" s="149"/>
      <c r="V530" s="89"/>
      <c r="W530" s="91"/>
      <c r="X530" s="91"/>
      <c r="Y530" s="91"/>
    </row>
    <row r="531" spans="1:25" s="26" customFormat="1" ht="15" customHeight="1" x14ac:dyDescent="0.2">
      <c r="A531" s="53">
        <v>41795.442743055602</v>
      </c>
      <c r="B531" s="54" t="s">
        <v>16</v>
      </c>
      <c r="C531" s="52" t="s">
        <v>670</v>
      </c>
      <c r="D531" s="87">
        <v>41712</v>
      </c>
      <c r="E531" s="54" t="s">
        <v>7277</v>
      </c>
      <c r="F531" s="54" t="s">
        <v>1160</v>
      </c>
      <c r="G531" s="54" t="s">
        <v>26</v>
      </c>
      <c r="H531" s="54" t="s">
        <v>7278</v>
      </c>
      <c r="I531" s="54" t="s">
        <v>7268</v>
      </c>
      <c r="J531" s="95">
        <v>1</v>
      </c>
      <c r="K531" s="95">
        <v>18</v>
      </c>
      <c r="L531" s="145">
        <v>0</v>
      </c>
      <c r="M531" s="146" t="s">
        <v>22</v>
      </c>
      <c r="N531" s="147"/>
      <c r="O531" s="147"/>
      <c r="P531" s="147"/>
      <c r="Q531" s="147"/>
      <c r="R531" s="147"/>
      <c r="S531" s="147"/>
      <c r="T531" s="147"/>
      <c r="U531" s="147"/>
      <c r="V531" s="54"/>
    </row>
    <row r="532" spans="1:25" s="26" customFormat="1" ht="15" customHeight="1" x14ac:dyDescent="0.2">
      <c r="A532" s="37">
        <v>41472.629143518498</v>
      </c>
      <c r="B532" s="26" t="s">
        <v>152</v>
      </c>
      <c r="C532" s="26" t="s">
        <v>213</v>
      </c>
      <c r="D532" s="33">
        <v>41456</v>
      </c>
      <c r="E532" s="26" t="s">
        <v>214</v>
      </c>
      <c r="F532" s="26" t="s">
        <v>215</v>
      </c>
      <c r="G532" s="26" t="s">
        <v>42</v>
      </c>
      <c r="H532" s="26" t="s">
        <v>216</v>
      </c>
      <c r="J532" s="115">
        <v>1</v>
      </c>
      <c r="K532" s="115">
        <v>18</v>
      </c>
      <c r="L532" s="136">
        <v>72</v>
      </c>
      <c r="M532" s="137" t="s">
        <v>44</v>
      </c>
      <c r="N532" s="138">
        <v>72</v>
      </c>
      <c r="O532" s="138"/>
      <c r="P532" s="138">
        <v>40</v>
      </c>
      <c r="Q532" s="138"/>
      <c r="R532" s="138"/>
      <c r="S532" s="138"/>
      <c r="T532" s="138"/>
      <c r="U532" s="138"/>
    </row>
    <row r="533" spans="1:25" s="26" customFormat="1" ht="15" customHeight="1" x14ac:dyDescent="0.2">
      <c r="A533" s="37">
        <v>41472.6327662037</v>
      </c>
      <c r="B533" s="26" t="s">
        <v>152</v>
      </c>
      <c r="C533" s="26" t="s">
        <v>213</v>
      </c>
      <c r="D533" s="33">
        <v>41456</v>
      </c>
      <c r="E533" s="26" t="s">
        <v>217</v>
      </c>
      <c r="F533" s="26" t="s">
        <v>218</v>
      </c>
      <c r="G533" s="26" t="s">
        <v>20</v>
      </c>
      <c r="H533" s="26" t="s">
        <v>219</v>
      </c>
      <c r="J533" s="115">
        <v>1</v>
      </c>
      <c r="K533" s="115">
        <v>25</v>
      </c>
      <c r="L533" s="136">
        <v>84</v>
      </c>
      <c r="M533" s="137" t="s">
        <v>44</v>
      </c>
      <c r="N533" s="138">
        <v>84</v>
      </c>
      <c r="O533" s="138"/>
      <c r="P533" s="138">
        <v>15</v>
      </c>
      <c r="Q533" s="138"/>
      <c r="R533" s="138"/>
      <c r="S533" s="138"/>
      <c r="T533" s="138"/>
      <c r="U533" s="138"/>
    </row>
    <row r="534" spans="1:25" s="26" customFormat="1" ht="15" customHeight="1" x14ac:dyDescent="0.2">
      <c r="A534" s="37">
        <v>41472.649803240703</v>
      </c>
      <c r="B534" s="26" t="s">
        <v>152</v>
      </c>
      <c r="C534" s="26" t="s">
        <v>213</v>
      </c>
      <c r="D534" s="33">
        <v>41456</v>
      </c>
      <c r="E534" s="26" t="s">
        <v>220</v>
      </c>
      <c r="F534" s="26" t="s">
        <v>221</v>
      </c>
      <c r="G534" s="26" t="s">
        <v>60</v>
      </c>
      <c r="H534" s="26" t="s">
        <v>222</v>
      </c>
      <c r="J534" s="115">
        <v>1</v>
      </c>
      <c r="K534" s="115">
        <v>3</v>
      </c>
      <c r="L534" s="136"/>
      <c r="M534" s="137" t="s">
        <v>22</v>
      </c>
      <c r="N534" s="138"/>
      <c r="O534" s="138"/>
      <c r="P534" s="138"/>
      <c r="Q534" s="138"/>
      <c r="R534" s="138"/>
      <c r="S534" s="138"/>
      <c r="T534" s="138"/>
      <c r="U534" s="138"/>
    </row>
    <row r="535" spans="1:25" s="26" customFormat="1" ht="15" customHeight="1" x14ac:dyDescent="0.2">
      <c r="A535" s="37">
        <v>41472.6509606482</v>
      </c>
      <c r="B535" s="26" t="s">
        <v>152</v>
      </c>
      <c r="C535" s="26" t="s">
        <v>213</v>
      </c>
      <c r="D535" s="33">
        <v>41456</v>
      </c>
      <c r="E535" s="26" t="s">
        <v>223</v>
      </c>
      <c r="F535" s="26" t="s">
        <v>221</v>
      </c>
      <c r="G535" s="26" t="s">
        <v>60</v>
      </c>
      <c r="H535" s="26" t="s">
        <v>222</v>
      </c>
      <c r="J535" s="115">
        <v>1</v>
      </c>
      <c r="K535" s="115">
        <v>4</v>
      </c>
      <c r="L535" s="136"/>
      <c r="M535" s="137" t="s">
        <v>22</v>
      </c>
      <c r="N535" s="138"/>
      <c r="O535" s="138"/>
      <c r="P535" s="138"/>
      <c r="Q535" s="138"/>
      <c r="R535" s="138"/>
      <c r="S535" s="138"/>
      <c r="T535" s="138"/>
      <c r="U535" s="138"/>
    </row>
    <row r="536" spans="1:25" s="26" customFormat="1" ht="15" customHeight="1" x14ac:dyDescent="0.2">
      <c r="A536" s="37">
        <v>41472.6569212963</v>
      </c>
      <c r="B536" s="26" t="s">
        <v>152</v>
      </c>
      <c r="C536" s="26" t="s">
        <v>213</v>
      </c>
      <c r="D536" s="33">
        <v>41456</v>
      </c>
      <c r="E536" s="26" t="s">
        <v>224</v>
      </c>
      <c r="F536" s="26" t="s">
        <v>221</v>
      </c>
      <c r="G536" s="26" t="s">
        <v>60</v>
      </c>
      <c r="H536" s="26" t="s">
        <v>222</v>
      </c>
      <c r="J536" s="115">
        <v>1</v>
      </c>
      <c r="K536" s="115">
        <v>5</v>
      </c>
      <c r="L536" s="136"/>
      <c r="M536" s="137" t="s">
        <v>22</v>
      </c>
      <c r="N536" s="138"/>
      <c r="O536" s="138"/>
      <c r="P536" s="138"/>
      <c r="Q536" s="138"/>
      <c r="R536" s="138"/>
      <c r="S536" s="138"/>
      <c r="T536" s="138"/>
      <c r="U536" s="138"/>
    </row>
    <row r="537" spans="1:25" s="26" customFormat="1" ht="15" customHeight="1" x14ac:dyDescent="0.2">
      <c r="A537" s="37">
        <v>41472.659583333298</v>
      </c>
      <c r="B537" s="26" t="s">
        <v>152</v>
      </c>
      <c r="C537" s="26" t="s">
        <v>213</v>
      </c>
      <c r="D537" s="33">
        <v>41456</v>
      </c>
      <c r="E537" s="26" t="s">
        <v>225</v>
      </c>
      <c r="F537" s="26">
        <v>3</v>
      </c>
      <c r="G537" s="26" t="s">
        <v>26</v>
      </c>
      <c r="H537" s="26" t="s">
        <v>226</v>
      </c>
      <c r="J537" s="115">
        <v>1</v>
      </c>
      <c r="K537" s="115">
        <v>5</v>
      </c>
      <c r="L537" s="136"/>
      <c r="M537" s="137" t="s">
        <v>44</v>
      </c>
      <c r="N537" s="138"/>
      <c r="O537" s="138"/>
      <c r="P537" s="138">
        <v>8</v>
      </c>
      <c r="Q537" s="138"/>
      <c r="R537" s="138"/>
      <c r="S537" s="138"/>
      <c r="T537" s="138"/>
      <c r="U537" s="138"/>
    </row>
    <row r="538" spans="1:25" s="26" customFormat="1" ht="15" customHeight="1" x14ac:dyDescent="0.2">
      <c r="A538" s="37">
        <v>41472.662430555603</v>
      </c>
      <c r="B538" s="26" t="s">
        <v>152</v>
      </c>
      <c r="C538" s="26" t="s">
        <v>213</v>
      </c>
      <c r="D538" s="33">
        <v>41456</v>
      </c>
      <c r="E538" s="26" t="s">
        <v>227</v>
      </c>
      <c r="F538" s="26" t="s">
        <v>221</v>
      </c>
      <c r="G538" s="26" t="s">
        <v>60</v>
      </c>
      <c r="H538" s="26" t="s">
        <v>222</v>
      </c>
      <c r="J538" s="115">
        <v>2</v>
      </c>
      <c r="K538" s="115">
        <v>10</v>
      </c>
      <c r="L538" s="136"/>
      <c r="M538" s="137" t="s">
        <v>44</v>
      </c>
      <c r="N538" s="138"/>
      <c r="O538" s="138"/>
      <c r="P538" s="138">
        <v>8</v>
      </c>
      <c r="Q538" s="138"/>
      <c r="R538" s="138"/>
      <c r="S538" s="138"/>
      <c r="T538" s="138"/>
      <c r="U538" s="138"/>
    </row>
    <row r="539" spans="1:25" s="26" customFormat="1" ht="15" customHeight="1" x14ac:dyDescent="0.2">
      <c r="A539" s="37">
        <v>41473.558634259301</v>
      </c>
      <c r="B539" s="26" t="s">
        <v>152</v>
      </c>
      <c r="C539" s="26" t="s">
        <v>213</v>
      </c>
      <c r="D539" s="33">
        <v>41456</v>
      </c>
      <c r="E539" s="26" t="s">
        <v>237</v>
      </c>
      <c r="F539" s="26" t="s">
        <v>238</v>
      </c>
      <c r="G539" s="26" t="s">
        <v>42</v>
      </c>
      <c r="H539" s="26" t="s">
        <v>239</v>
      </c>
      <c r="J539" s="115">
        <v>1</v>
      </c>
      <c r="K539" s="115">
        <v>8</v>
      </c>
      <c r="L539" s="136">
        <v>28</v>
      </c>
      <c r="M539" s="137" t="s">
        <v>44</v>
      </c>
      <c r="N539" s="138">
        <v>28</v>
      </c>
      <c r="O539" s="138"/>
      <c r="P539" s="138">
        <v>10</v>
      </c>
      <c r="Q539" s="138"/>
      <c r="R539" s="138"/>
      <c r="S539" s="138"/>
      <c r="T539" s="138"/>
      <c r="U539" s="138"/>
      <c r="V539" s="26" t="s">
        <v>240</v>
      </c>
    </row>
    <row r="540" spans="1:25" s="26" customFormat="1" ht="15" customHeight="1" x14ac:dyDescent="0.2">
      <c r="A540" s="37">
        <v>41473.560509259303</v>
      </c>
      <c r="B540" s="26" t="s">
        <v>152</v>
      </c>
      <c r="C540" s="26" t="s">
        <v>213</v>
      </c>
      <c r="D540" s="33">
        <v>41456</v>
      </c>
      <c r="E540" s="26" t="s">
        <v>241</v>
      </c>
      <c r="F540" s="26" t="s">
        <v>242</v>
      </c>
      <c r="G540" s="26" t="s">
        <v>20</v>
      </c>
      <c r="H540" s="26" t="s">
        <v>219</v>
      </c>
      <c r="J540" s="115">
        <v>1</v>
      </c>
      <c r="K540" s="115">
        <v>22</v>
      </c>
      <c r="L540" s="136">
        <v>66</v>
      </c>
      <c r="M540" s="137" t="s">
        <v>44</v>
      </c>
      <c r="N540" s="138">
        <v>66</v>
      </c>
      <c r="O540" s="138"/>
      <c r="P540" s="138">
        <v>15</v>
      </c>
      <c r="Q540" s="138"/>
      <c r="R540" s="138"/>
      <c r="S540" s="138"/>
      <c r="T540" s="138"/>
      <c r="U540" s="138"/>
    </row>
    <row r="541" spans="1:25" s="26" customFormat="1" ht="15" customHeight="1" x14ac:dyDescent="0.2">
      <c r="A541" s="37">
        <v>41473.676620370403</v>
      </c>
      <c r="B541" s="26" t="s">
        <v>152</v>
      </c>
      <c r="C541" s="26" t="s">
        <v>213</v>
      </c>
      <c r="D541" s="33">
        <v>41456</v>
      </c>
      <c r="E541" s="26" t="s">
        <v>243</v>
      </c>
      <c r="F541" s="26" t="s">
        <v>221</v>
      </c>
      <c r="G541" s="26" t="s">
        <v>26</v>
      </c>
      <c r="H541" s="26" t="s">
        <v>222</v>
      </c>
      <c r="J541" s="115">
        <v>3</v>
      </c>
      <c r="K541" s="115">
        <v>18</v>
      </c>
      <c r="L541" s="136"/>
      <c r="M541" s="137" t="s">
        <v>22</v>
      </c>
      <c r="N541" s="138"/>
      <c r="O541" s="138"/>
      <c r="P541" s="138"/>
      <c r="Q541" s="138"/>
      <c r="R541" s="138"/>
      <c r="S541" s="138"/>
      <c r="T541" s="138"/>
      <c r="U541" s="138"/>
    </row>
    <row r="542" spans="1:25" s="26" customFormat="1" ht="15" customHeight="1" x14ac:dyDescent="0.2">
      <c r="A542" s="37">
        <v>41473.681597222203</v>
      </c>
      <c r="B542" s="26" t="s">
        <v>152</v>
      </c>
      <c r="C542" s="26" t="s">
        <v>213</v>
      </c>
      <c r="D542" s="33">
        <v>41456</v>
      </c>
      <c r="E542" s="26" t="s">
        <v>244</v>
      </c>
      <c r="F542" s="26" t="s">
        <v>245</v>
      </c>
      <c r="G542" s="26" t="s">
        <v>156</v>
      </c>
      <c r="H542" s="26" t="s">
        <v>246</v>
      </c>
      <c r="J542" s="115">
        <v>1</v>
      </c>
      <c r="K542" s="115">
        <v>144</v>
      </c>
      <c r="L542" s="136"/>
      <c r="M542" s="137" t="s">
        <v>44</v>
      </c>
      <c r="N542" s="138">
        <v>700</v>
      </c>
      <c r="O542" s="138"/>
      <c r="P542" s="138">
        <v>300</v>
      </c>
      <c r="Q542" s="138"/>
      <c r="R542" s="138"/>
      <c r="S542" s="138"/>
      <c r="T542" s="138"/>
      <c r="U542" s="138"/>
    </row>
    <row r="543" spans="1:25" s="26" customFormat="1" ht="15" customHeight="1" x14ac:dyDescent="0.2">
      <c r="A543" s="37">
        <v>41480.700312499997</v>
      </c>
      <c r="B543" s="26" t="s">
        <v>152</v>
      </c>
      <c r="C543" s="26" t="s">
        <v>213</v>
      </c>
      <c r="D543" s="33">
        <v>41456</v>
      </c>
      <c r="E543" s="26" t="s">
        <v>317</v>
      </c>
      <c r="F543" s="26" t="s">
        <v>221</v>
      </c>
      <c r="G543" s="26" t="s">
        <v>60</v>
      </c>
      <c r="H543" s="26" t="s">
        <v>222</v>
      </c>
      <c r="J543" s="115">
        <v>2</v>
      </c>
      <c r="K543" s="115">
        <v>12</v>
      </c>
      <c r="L543" s="136"/>
      <c r="M543" s="137" t="s">
        <v>44</v>
      </c>
      <c r="N543" s="138"/>
      <c r="O543" s="138"/>
      <c r="P543" s="138">
        <v>5</v>
      </c>
      <c r="Q543" s="138"/>
      <c r="R543" s="138"/>
      <c r="S543" s="138"/>
      <c r="T543" s="138"/>
      <c r="U543" s="138"/>
    </row>
    <row r="544" spans="1:25" s="26" customFormat="1" ht="15" customHeight="1" x14ac:dyDescent="0.2">
      <c r="A544" s="37">
        <v>41480.703182870398</v>
      </c>
      <c r="B544" s="26" t="s">
        <v>152</v>
      </c>
      <c r="C544" s="26" t="s">
        <v>213</v>
      </c>
      <c r="D544" s="33">
        <v>41456</v>
      </c>
      <c r="E544" s="26" t="s">
        <v>318</v>
      </c>
      <c r="F544" s="26" t="s">
        <v>319</v>
      </c>
      <c r="G544" s="26" t="s">
        <v>42</v>
      </c>
      <c r="H544" s="26" t="s">
        <v>320</v>
      </c>
      <c r="J544" s="115">
        <v>1</v>
      </c>
      <c r="K544" s="115">
        <v>12</v>
      </c>
      <c r="L544" s="136"/>
      <c r="M544" s="137" t="s">
        <v>44</v>
      </c>
      <c r="N544" s="138">
        <v>22</v>
      </c>
      <c r="O544" s="138"/>
      <c r="P544" s="138">
        <v>15</v>
      </c>
      <c r="Q544" s="138"/>
      <c r="R544" s="138"/>
      <c r="S544" s="138"/>
      <c r="T544" s="138"/>
      <c r="U544" s="138"/>
      <c r="V544" s="26" t="s">
        <v>321</v>
      </c>
    </row>
    <row r="545" spans="1:22" s="26" customFormat="1" ht="15" customHeight="1" x14ac:dyDescent="0.2">
      <c r="A545" s="37">
        <v>41480.716261574104</v>
      </c>
      <c r="B545" s="26" t="s">
        <v>152</v>
      </c>
      <c r="C545" s="26" t="s">
        <v>213</v>
      </c>
      <c r="D545" s="33">
        <v>41456</v>
      </c>
      <c r="E545" s="26" t="s">
        <v>322</v>
      </c>
      <c r="F545" s="26" t="s">
        <v>323</v>
      </c>
      <c r="G545" s="26" t="s">
        <v>20</v>
      </c>
      <c r="H545" s="26" t="s">
        <v>324</v>
      </c>
      <c r="J545" s="115">
        <v>1</v>
      </c>
      <c r="K545" s="115">
        <v>23</v>
      </c>
      <c r="L545" s="136">
        <v>73.5</v>
      </c>
      <c r="M545" s="137" t="s">
        <v>44</v>
      </c>
      <c r="N545" s="138">
        <v>73.5</v>
      </c>
      <c r="O545" s="138"/>
      <c r="P545" s="138">
        <v>12</v>
      </c>
      <c r="Q545" s="138"/>
      <c r="R545" s="138"/>
      <c r="S545" s="138"/>
      <c r="T545" s="138"/>
      <c r="U545" s="138"/>
    </row>
    <row r="546" spans="1:22" s="26" customFormat="1" ht="15" customHeight="1" x14ac:dyDescent="0.2">
      <c r="A546" s="38">
        <v>41493.629618055558</v>
      </c>
      <c r="B546" s="29" t="s">
        <v>152</v>
      </c>
      <c r="C546" s="29" t="s">
        <v>213</v>
      </c>
      <c r="D546" s="30">
        <v>41487</v>
      </c>
      <c r="E546" s="29" t="s">
        <v>1303</v>
      </c>
      <c r="F546" s="29" t="s">
        <v>221</v>
      </c>
      <c r="G546" s="29" t="s">
        <v>60</v>
      </c>
      <c r="H546" s="29" t="s">
        <v>222</v>
      </c>
      <c r="I546" s="29"/>
      <c r="J546" s="116">
        <v>1</v>
      </c>
      <c r="K546" s="116">
        <v>8</v>
      </c>
      <c r="L546" s="139"/>
      <c r="M546" s="140" t="s">
        <v>44</v>
      </c>
      <c r="N546" s="141"/>
      <c r="O546" s="141"/>
      <c r="P546" s="141">
        <v>15</v>
      </c>
      <c r="Q546" s="141"/>
      <c r="R546" s="141"/>
      <c r="S546" s="141"/>
      <c r="T546" s="141"/>
      <c r="U546" s="141"/>
      <c r="V546" s="29"/>
    </row>
    <row r="547" spans="1:22" s="26" customFormat="1" ht="15" customHeight="1" x14ac:dyDescent="0.2">
      <c r="A547" s="38">
        <v>41493.631203703706</v>
      </c>
      <c r="B547" s="29" t="s">
        <v>152</v>
      </c>
      <c r="C547" s="29" t="s">
        <v>213</v>
      </c>
      <c r="D547" s="30">
        <v>41487</v>
      </c>
      <c r="E547" s="29" t="s">
        <v>1304</v>
      </c>
      <c r="F547" s="29" t="s">
        <v>221</v>
      </c>
      <c r="G547" s="29" t="s">
        <v>60</v>
      </c>
      <c r="H547" s="29" t="s">
        <v>222</v>
      </c>
      <c r="I547" s="29"/>
      <c r="J547" s="116">
        <v>3</v>
      </c>
      <c r="K547" s="116">
        <v>5</v>
      </c>
      <c r="L547" s="139"/>
      <c r="M547" s="140" t="s">
        <v>22</v>
      </c>
      <c r="N547" s="141"/>
      <c r="O547" s="141"/>
      <c r="P547" s="141"/>
      <c r="Q547" s="141"/>
      <c r="R547" s="141"/>
      <c r="S547" s="141"/>
      <c r="T547" s="141"/>
      <c r="U547" s="141"/>
      <c r="V547" s="29" t="s">
        <v>1305</v>
      </c>
    </row>
    <row r="548" spans="1:22" s="26" customFormat="1" ht="15" customHeight="1" x14ac:dyDescent="0.2">
      <c r="A548" s="38">
        <v>41493.634687500002</v>
      </c>
      <c r="B548" s="29" t="s">
        <v>152</v>
      </c>
      <c r="C548" s="29" t="s">
        <v>213</v>
      </c>
      <c r="D548" s="30">
        <v>41487</v>
      </c>
      <c r="E548" s="29" t="s">
        <v>1306</v>
      </c>
      <c r="F548" s="29" t="s">
        <v>1307</v>
      </c>
      <c r="G548" s="29" t="s">
        <v>42</v>
      </c>
      <c r="H548" s="29" t="s">
        <v>1308</v>
      </c>
      <c r="I548" s="29"/>
      <c r="J548" s="116">
        <v>1</v>
      </c>
      <c r="K548" s="116">
        <v>36</v>
      </c>
      <c r="L548" s="139">
        <v>162</v>
      </c>
      <c r="M548" s="140" t="s">
        <v>44</v>
      </c>
      <c r="N548" s="141">
        <v>162</v>
      </c>
      <c r="O548" s="141"/>
      <c r="P548" s="141">
        <v>30</v>
      </c>
      <c r="Q548" s="141"/>
      <c r="R548" s="141"/>
      <c r="S548" s="141"/>
      <c r="T548" s="141"/>
      <c r="U548" s="141"/>
      <c r="V548" s="29" t="s">
        <v>1309</v>
      </c>
    </row>
    <row r="549" spans="1:22" s="26" customFormat="1" ht="15" customHeight="1" x14ac:dyDescent="0.2">
      <c r="A549" s="38">
        <v>41508.440740740742</v>
      </c>
      <c r="B549" s="29" t="s">
        <v>152</v>
      </c>
      <c r="C549" s="29" t="s">
        <v>213</v>
      </c>
      <c r="D549" s="30">
        <v>41487</v>
      </c>
      <c r="E549" s="31" t="s">
        <v>1397</v>
      </c>
      <c r="F549" s="29" t="s">
        <v>1398</v>
      </c>
      <c r="G549" s="29" t="s">
        <v>20</v>
      </c>
      <c r="H549" s="29" t="s">
        <v>1399</v>
      </c>
      <c r="I549" s="29"/>
      <c r="J549" s="116">
        <v>1</v>
      </c>
      <c r="K549" s="116">
        <v>19</v>
      </c>
      <c r="L549" s="139">
        <v>66.5</v>
      </c>
      <c r="M549" s="140" t="s">
        <v>44</v>
      </c>
      <c r="N549" s="141">
        <v>66.5</v>
      </c>
      <c r="O549" s="141"/>
      <c r="P549" s="141">
        <v>25</v>
      </c>
      <c r="Q549" s="141"/>
      <c r="R549" s="141"/>
      <c r="S549" s="141"/>
      <c r="T549" s="141"/>
      <c r="U549" s="141">
        <v>5</v>
      </c>
      <c r="V549" s="29" t="s">
        <v>1400</v>
      </c>
    </row>
    <row r="550" spans="1:22" s="26" customFormat="1" ht="15" customHeight="1" x14ac:dyDescent="0.2">
      <c r="A550" s="38">
        <v>41508.452777777777</v>
      </c>
      <c r="B550" s="29" t="s">
        <v>152</v>
      </c>
      <c r="C550" s="29" t="s">
        <v>213</v>
      </c>
      <c r="D550" s="30">
        <v>41487</v>
      </c>
      <c r="E550" s="31" t="s">
        <v>1401</v>
      </c>
      <c r="F550" s="29" t="s">
        <v>1402</v>
      </c>
      <c r="G550" s="29" t="s">
        <v>20</v>
      </c>
      <c r="H550" s="29" t="s">
        <v>1403</v>
      </c>
      <c r="I550" s="29"/>
      <c r="J550" s="116">
        <v>1</v>
      </c>
      <c r="K550" s="116">
        <v>15</v>
      </c>
      <c r="L550" s="139">
        <v>52.5</v>
      </c>
      <c r="M550" s="140" t="s">
        <v>44</v>
      </c>
      <c r="N550" s="141">
        <v>52.5</v>
      </c>
      <c r="O550" s="141"/>
      <c r="P550" s="141">
        <v>60</v>
      </c>
      <c r="Q550" s="141"/>
      <c r="R550" s="141"/>
      <c r="S550" s="141"/>
      <c r="T550" s="141"/>
      <c r="U550" s="141"/>
      <c r="V550" s="29"/>
    </row>
    <row r="551" spans="1:22" s="26" customFormat="1" ht="15" customHeight="1" x14ac:dyDescent="0.2">
      <c r="A551" s="38">
        <v>41514.653055555558</v>
      </c>
      <c r="B551" s="29" t="s">
        <v>152</v>
      </c>
      <c r="C551" s="29" t="s">
        <v>213</v>
      </c>
      <c r="D551" s="30">
        <v>41487</v>
      </c>
      <c r="E551" s="31" t="s">
        <v>1420</v>
      </c>
      <c r="F551" s="29" t="s">
        <v>1421</v>
      </c>
      <c r="G551" s="29" t="s">
        <v>20</v>
      </c>
      <c r="H551" s="29" t="s">
        <v>1422</v>
      </c>
      <c r="I551" s="29"/>
      <c r="J551" s="116">
        <v>1</v>
      </c>
      <c r="K551" s="116">
        <v>225</v>
      </c>
      <c r="L551" s="139">
        <v>787.5</v>
      </c>
      <c r="M551" s="140" t="s">
        <v>44</v>
      </c>
      <c r="N551" s="141">
        <v>787.5</v>
      </c>
      <c r="O551" s="141"/>
      <c r="P551" s="141">
        <v>390</v>
      </c>
      <c r="Q551" s="141"/>
      <c r="R551" s="141"/>
      <c r="S551" s="141"/>
      <c r="T551" s="141"/>
      <c r="U551" s="141"/>
      <c r="V551" s="29" t="s">
        <v>1423</v>
      </c>
    </row>
    <row r="552" spans="1:22" s="26" customFormat="1" ht="15" customHeight="1" x14ac:dyDescent="0.2">
      <c r="A552" s="38">
        <v>41516.424085648148</v>
      </c>
      <c r="B552" s="29" t="s">
        <v>152</v>
      </c>
      <c r="C552" s="29" t="s">
        <v>213</v>
      </c>
      <c r="D552" s="30">
        <v>41487</v>
      </c>
      <c r="E552" s="31" t="s">
        <v>1428</v>
      </c>
      <c r="F552" s="29" t="s">
        <v>1429</v>
      </c>
      <c r="G552" s="29" t="s">
        <v>20</v>
      </c>
      <c r="H552" s="29" t="s">
        <v>1430</v>
      </c>
      <c r="I552" s="29"/>
      <c r="J552" s="116">
        <v>1</v>
      </c>
      <c r="K552" s="116">
        <v>64</v>
      </c>
      <c r="L552" s="139">
        <v>206.5</v>
      </c>
      <c r="M552" s="140" t="s">
        <v>44</v>
      </c>
      <c r="N552" s="141">
        <v>206.5</v>
      </c>
      <c r="O552" s="141"/>
      <c r="P552" s="141">
        <v>5</v>
      </c>
      <c r="Q552" s="141"/>
      <c r="R552" s="141"/>
      <c r="S552" s="141"/>
      <c r="T552" s="141"/>
      <c r="U552" s="141"/>
      <c r="V552" s="29"/>
    </row>
    <row r="553" spans="1:22" s="26" customFormat="1" ht="15" customHeight="1" x14ac:dyDescent="0.2">
      <c r="A553" s="38">
        <v>41516.426099537035</v>
      </c>
      <c r="B553" s="29" t="s">
        <v>152</v>
      </c>
      <c r="C553" s="29" t="s">
        <v>213</v>
      </c>
      <c r="D553" s="30">
        <v>41487</v>
      </c>
      <c r="E553" s="31" t="s">
        <v>1431</v>
      </c>
      <c r="F553" s="29" t="s">
        <v>1432</v>
      </c>
      <c r="G553" s="29" t="s">
        <v>20</v>
      </c>
      <c r="H553" s="29" t="s">
        <v>1433</v>
      </c>
      <c r="I553" s="29"/>
      <c r="J553" s="116">
        <v>1</v>
      </c>
      <c r="K553" s="116">
        <v>72</v>
      </c>
      <c r="L553" s="139">
        <v>234.5</v>
      </c>
      <c r="M553" s="140" t="s">
        <v>44</v>
      </c>
      <c r="N553" s="141">
        <v>234.5</v>
      </c>
      <c r="O553" s="141"/>
      <c r="P553" s="141">
        <v>20</v>
      </c>
      <c r="Q553" s="141"/>
      <c r="R553" s="141"/>
      <c r="S553" s="141"/>
      <c r="T553" s="141"/>
      <c r="U553" s="141"/>
      <c r="V553" s="29"/>
    </row>
    <row r="554" spans="1:22" s="26" customFormat="1" ht="15" customHeight="1" x14ac:dyDescent="0.2">
      <c r="A554" s="38">
        <v>41516.429108796299</v>
      </c>
      <c r="B554" s="29" t="s">
        <v>152</v>
      </c>
      <c r="C554" s="29" t="s">
        <v>213</v>
      </c>
      <c r="D554" s="30">
        <v>41487</v>
      </c>
      <c r="E554" s="31" t="s">
        <v>1436</v>
      </c>
      <c r="F554" s="29">
        <v>1</v>
      </c>
      <c r="G554" s="29" t="s">
        <v>26</v>
      </c>
      <c r="H554" s="29" t="s">
        <v>1437</v>
      </c>
      <c r="I554" s="29"/>
      <c r="J554" s="116">
        <v>1</v>
      </c>
      <c r="K554" s="116">
        <v>8</v>
      </c>
      <c r="L554" s="139"/>
      <c r="M554" s="140" t="s">
        <v>44</v>
      </c>
      <c r="N554" s="141"/>
      <c r="O554" s="141"/>
      <c r="P554" s="141">
        <v>5</v>
      </c>
      <c r="Q554" s="141"/>
      <c r="R554" s="141"/>
      <c r="S554" s="141"/>
      <c r="T554" s="141"/>
      <c r="U554" s="141"/>
      <c r="V554" s="29"/>
    </row>
    <row r="555" spans="1:22" s="26" customFormat="1" ht="15" customHeight="1" x14ac:dyDescent="0.2">
      <c r="A555" s="38">
        <v>41516.432337962964</v>
      </c>
      <c r="B555" s="29" t="s">
        <v>152</v>
      </c>
      <c r="C555" s="29" t="s">
        <v>213</v>
      </c>
      <c r="D555" s="30">
        <v>41487</v>
      </c>
      <c r="E555" s="31" t="s">
        <v>1440</v>
      </c>
      <c r="F555" s="29" t="s">
        <v>1441</v>
      </c>
      <c r="G555" s="29" t="s">
        <v>26</v>
      </c>
      <c r="H555" s="29" t="s">
        <v>1442</v>
      </c>
      <c r="I555" s="29"/>
      <c r="J555" s="116">
        <v>3</v>
      </c>
      <c r="K555" s="116">
        <v>12</v>
      </c>
      <c r="L555" s="139"/>
      <c r="M555" s="140" t="s">
        <v>44</v>
      </c>
      <c r="N555" s="141"/>
      <c r="O555" s="141"/>
      <c r="P555" s="141">
        <v>7</v>
      </c>
      <c r="Q555" s="141"/>
      <c r="R555" s="141"/>
      <c r="S555" s="141"/>
      <c r="T555" s="141"/>
      <c r="U555" s="141">
        <v>5</v>
      </c>
      <c r="V555" s="29" t="s">
        <v>1443</v>
      </c>
    </row>
    <row r="556" spans="1:22" s="26" customFormat="1" ht="15" customHeight="1" x14ac:dyDescent="0.2">
      <c r="A556" s="38">
        <v>41516.437615740739</v>
      </c>
      <c r="B556" s="29" t="s">
        <v>152</v>
      </c>
      <c r="C556" s="29" t="s">
        <v>213</v>
      </c>
      <c r="D556" s="30">
        <v>41487</v>
      </c>
      <c r="E556" s="31" t="s">
        <v>1444</v>
      </c>
      <c r="F556" s="29" t="s">
        <v>1445</v>
      </c>
      <c r="G556" s="29" t="s">
        <v>26</v>
      </c>
      <c r="H556" s="29" t="s">
        <v>1446</v>
      </c>
      <c r="I556" s="29"/>
      <c r="J556" s="116">
        <v>1</v>
      </c>
      <c r="K556" s="116">
        <v>5</v>
      </c>
      <c r="L556" s="139"/>
      <c r="M556" s="140" t="s">
        <v>22</v>
      </c>
      <c r="N556" s="141"/>
      <c r="O556" s="141"/>
      <c r="P556" s="141"/>
      <c r="Q556" s="141"/>
      <c r="R556" s="141"/>
      <c r="S556" s="141"/>
      <c r="T556" s="141"/>
      <c r="U556" s="141"/>
      <c r="V556" s="29" t="s">
        <v>1447</v>
      </c>
    </row>
    <row r="557" spans="1:22" s="26" customFormat="1" ht="15" customHeight="1" x14ac:dyDescent="0.2">
      <c r="A557" s="38">
        <v>41517.687314814815</v>
      </c>
      <c r="B557" s="29" t="s">
        <v>152</v>
      </c>
      <c r="C557" s="29" t="s">
        <v>213</v>
      </c>
      <c r="D557" s="30">
        <v>41487</v>
      </c>
      <c r="E557" s="31" t="s">
        <v>1462</v>
      </c>
      <c r="F557" s="29" t="s">
        <v>1463</v>
      </c>
      <c r="G557" s="29" t="s">
        <v>26</v>
      </c>
      <c r="H557" s="29" t="s">
        <v>1464</v>
      </c>
      <c r="I557" s="29"/>
      <c r="J557" s="116">
        <v>3</v>
      </c>
      <c r="K557" s="116">
        <v>67</v>
      </c>
      <c r="L557" s="139"/>
      <c r="M557" s="140" t="s">
        <v>44</v>
      </c>
      <c r="N557" s="141"/>
      <c r="O557" s="141"/>
      <c r="P557" s="141">
        <v>25</v>
      </c>
      <c r="Q557" s="141"/>
      <c r="R557" s="141"/>
      <c r="S557" s="141"/>
      <c r="T557" s="141"/>
      <c r="U557" s="141"/>
      <c r="V557" s="29"/>
    </row>
    <row r="558" spans="1:22" s="26" customFormat="1" ht="15" customHeight="1" x14ac:dyDescent="0.2">
      <c r="A558" s="32">
        <v>41528.556342592594</v>
      </c>
      <c r="B558" s="26" t="s">
        <v>152</v>
      </c>
      <c r="C558" s="26" t="s">
        <v>213</v>
      </c>
      <c r="D558" s="30">
        <v>41518</v>
      </c>
      <c r="E558" s="26" t="s">
        <v>2064</v>
      </c>
      <c r="F558" s="26" t="s">
        <v>2065</v>
      </c>
      <c r="G558" s="26" t="s">
        <v>20</v>
      </c>
      <c r="H558" s="26" t="s">
        <v>2066</v>
      </c>
      <c r="J558" s="46">
        <v>1</v>
      </c>
      <c r="K558" s="46">
        <v>130</v>
      </c>
      <c r="L558" s="136">
        <v>437.5</v>
      </c>
      <c r="M558" s="137" t="s">
        <v>44</v>
      </c>
      <c r="N558" s="138">
        <v>437.5</v>
      </c>
      <c r="O558" s="138"/>
      <c r="P558" s="138">
        <v>35</v>
      </c>
      <c r="Q558" s="138"/>
      <c r="R558" s="138"/>
      <c r="S558" s="138"/>
      <c r="T558" s="138"/>
      <c r="U558" s="138"/>
    </row>
    <row r="559" spans="1:22" s="26" customFormat="1" ht="15" customHeight="1" x14ac:dyDescent="0.2">
      <c r="A559" s="32">
        <v>41528.558969907404</v>
      </c>
      <c r="B559" s="26" t="s">
        <v>152</v>
      </c>
      <c r="C559" s="26" t="s">
        <v>213</v>
      </c>
      <c r="D559" s="30">
        <v>41518</v>
      </c>
      <c r="E559" s="26" t="s">
        <v>2067</v>
      </c>
      <c r="F559" s="26" t="s">
        <v>2068</v>
      </c>
      <c r="G559" s="26" t="s">
        <v>20</v>
      </c>
      <c r="H559" s="26" t="s">
        <v>2069</v>
      </c>
      <c r="J559" s="46">
        <v>1</v>
      </c>
      <c r="K559" s="46">
        <v>75</v>
      </c>
      <c r="L559" s="136">
        <v>262.5</v>
      </c>
      <c r="M559" s="137" t="s">
        <v>44</v>
      </c>
      <c r="N559" s="138">
        <v>262.5</v>
      </c>
      <c r="O559" s="138"/>
      <c r="P559" s="138">
        <v>25</v>
      </c>
      <c r="Q559" s="138"/>
      <c r="R559" s="138"/>
      <c r="S559" s="138"/>
      <c r="T559" s="138"/>
      <c r="U559" s="138"/>
    </row>
    <row r="560" spans="1:22" s="26" customFormat="1" ht="15" customHeight="1" x14ac:dyDescent="0.2">
      <c r="A560" s="32">
        <v>41528.561006944445</v>
      </c>
      <c r="B560" s="26" t="s">
        <v>152</v>
      </c>
      <c r="C560" s="26" t="s">
        <v>213</v>
      </c>
      <c r="D560" s="30">
        <v>41518</v>
      </c>
      <c r="E560" s="26" t="s">
        <v>2070</v>
      </c>
      <c r="F560" s="26" t="s">
        <v>2071</v>
      </c>
      <c r="G560" s="26" t="s">
        <v>20</v>
      </c>
      <c r="H560" s="26" t="s">
        <v>2072</v>
      </c>
      <c r="J560" s="115">
        <v>1</v>
      </c>
      <c r="K560" s="115">
        <v>155</v>
      </c>
      <c r="L560" s="136">
        <v>525</v>
      </c>
      <c r="M560" s="137" t="s">
        <v>44</v>
      </c>
      <c r="N560" s="138">
        <v>525</v>
      </c>
      <c r="O560" s="138"/>
      <c r="P560" s="138">
        <v>50</v>
      </c>
      <c r="Q560" s="138"/>
      <c r="R560" s="138"/>
      <c r="S560" s="138"/>
      <c r="T560" s="138"/>
      <c r="U560" s="138"/>
    </row>
    <row r="561" spans="1:22" s="26" customFormat="1" ht="15" customHeight="1" x14ac:dyDescent="0.2">
      <c r="A561" s="32">
        <v>41528.56322916667</v>
      </c>
      <c r="B561" s="26" t="s">
        <v>152</v>
      </c>
      <c r="C561" s="26" t="s">
        <v>213</v>
      </c>
      <c r="D561" s="30">
        <v>41518</v>
      </c>
      <c r="E561" s="26" t="s">
        <v>2073</v>
      </c>
      <c r="F561" s="26" t="s">
        <v>2074</v>
      </c>
      <c r="G561" s="26" t="s">
        <v>60</v>
      </c>
      <c r="H561" s="26" t="s">
        <v>2075</v>
      </c>
      <c r="J561" s="46">
        <v>2</v>
      </c>
      <c r="K561" s="46">
        <v>11</v>
      </c>
      <c r="L561" s="136"/>
      <c r="M561" s="137" t="s">
        <v>22</v>
      </c>
      <c r="N561" s="138"/>
      <c r="O561" s="138"/>
      <c r="P561" s="138"/>
      <c r="Q561" s="138"/>
      <c r="R561" s="138"/>
      <c r="S561" s="138"/>
      <c r="T561" s="138"/>
      <c r="U561" s="138"/>
    </row>
    <row r="562" spans="1:22" s="26" customFormat="1" ht="15" customHeight="1" x14ac:dyDescent="0.2">
      <c r="A562" s="32">
        <v>41528.564965277779</v>
      </c>
      <c r="B562" s="26" t="s">
        <v>152</v>
      </c>
      <c r="C562" s="26" t="s">
        <v>213</v>
      </c>
      <c r="D562" s="30">
        <v>41518</v>
      </c>
      <c r="E562" s="26" t="s">
        <v>2076</v>
      </c>
      <c r="F562" s="26" t="s">
        <v>2074</v>
      </c>
      <c r="G562" s="26" t="s">
        <v>60</v>
      </c>
      <c r="H562" s="26" t="s">
        <v>2077</v>
      </c>
      <c r="J562" s="46">
        <v>2</v>
      </c>
      <c r="K562" s="46">
        <v>33</v>
      </c>
      <c r="L562" s="136"/>
      <c r="M562" s="137" t="s">
        <v>22</v>
      </c>
      <c r="N562" s="138"/>
      <c r="O562" s="138"/>
      <c r="P562" s="138"/>
      <c r="Q562" s="138"/>
      <c r="R562" s="138"/>
      <c r="S562" s="138"/>
      <c r="T562" s="138"/>
      <c r="U562" s="138"/>
    </row>
    <row r="563" spans="1:22" s="26" customFormat="1" ht="15" customHeight="1" x14ac:dyDescent="0.2">
      <c r="A563" s="32">
        <v>41528.566990740743</v>
      </c>
      <c r="B563" s="26" t="s">
        <v>152</v>
      </c>
      <c r="C563" s="26" t="s">
        <v>213</v>
      </c>
      <c r="D563" s="30">
        <v>41518</v>
      </c>
      <c r="E563" s="26" t="s">
        <v>2078</v>
      </c>
      <c r="F563" s="26" t="s">
        <v>2079</v>
      </c>
      <c r="G563" s="26" t="s">
        <v>26</v>
      </c>
      <c r="H563" s="26" t="s">
        <v>2080</v>
      </c>
      <c r="J563" s="46">
        <v>4</v>
      </c>
      <c r="K563" s="46">
        <v>55</v>
      </c>
      <c r="L563" s="136"/>
      <c r="M563" s="137" t="s">
        <v>44</v>
      </c>
      <c r="N563" s="138"/>
      <c r="O563" s="138"/>
      <c r="P563" s="138">
        <v>30</v>
      </c>
      <c r="Q563" s="138"/>
      <c r="R563" s="138"/>
      <c r="S563" s="138"/>
      <c r="T563" s="138"/>
      <c r="U563" s="138"/>
    </row>
    <row r="564" spans="1:22" s="26" customFormat="1" ht="15" customHeight="1" x14ac:dyDescent="0.2">
      <c r="A564" s="32">
        <v>41528.646990740737</v>
      </c>
      <c r="B564" s="26" t="s">
        <v>152</v>
      </c>
      <c r="C564" s="26" t="s">
        <v>213</v>
      </c>
      <c r="D564" s="30">
        <v>41518</v>
      </c>
      <c r="E564" s="26" t="s">
        <v>2084</v>
      </c>
      <c r="F564" s="26" t="s">
        <v>2085</v>
      </c>
      <c r="G564" s="26" t="s">
        <v>26</v>
      </c>
      <c r="H564" s="26" t="s">
        <v>2086</v>
      </c>
      <c r="J564" s="46">
        <v>2</v>
      </c>
      <c r="K564" s="46">
        <v>26</v>
      </c>
      <c r="L564" s="136"/>
      <c r="M564" s="137" t="s">
        <v>44</v>
      </c>
      <c r="N564" s="138"/>
      <c r="O564" s="138"/>
      <c r="P564" s="138">
        <v>30</v>
      </c>
      <c r="Q564" s="138"/>
      <c r="R564" s="138"/>
      <c r="S564" s="138"/>
      <c r="T564" s="138"/>
      <c r="U564" s="138"/>
    </row>
    <row r="565" spans="1:22" s="26" customFormat="1" ht="15" customHeight="1" x14ac:dyDescent="0.2">
      <c r="A565" s="32">
        <v>41536.368460648147</v>
      </c>
      <c r="B565" s="26" t="s">
        <v>152</v>
      </c>
      <c r="C565" s="26" t="s">
        <v>213</v>
      </c>
      <c r="D565" s="30">
        <v>41518</v>
      </c>
      <c r="E565" s="26" t="s">
        <v>2122</v>
      </c>
      <c r="F565" s="26" t="s">
        <v>2123</v>
      </c>
      <c r="G565" s="26" t="s">
        <v>20</v>
      </c>
      <c r="H565" s="26" t="s">
        <v>2124</v>
      </c>
      <c r="J565" s="46">
        <v>1</v>
      </c>
      <c r="K565" s="46">
        <v>110</v>
      </c>
      <c r="L565" s="136">
        <v>367.5</v>
      </c>
      <c r="M565" s="137" t="s">
        <v>44</v>
      </c>
      <c r="N565" s="138">
        <v>367.5</v>
      </c>
      <c r="O565" s="138"/>
      <c r="P565" s="138">
        <v>20</v>
      </c>
      <c r="Q565" s="138"/>
      <c r="R565" s="138"/>
      <c r="S565" s="138"/>
      <c r="T565" s="138"/>
      <c r="U565" s="138"/>
    </row>
    <row r="566" spans="1:22" s="26" customFormat="1" ht="15" customHeight="1" x14ac:dyDescent="0.2">
      <c r="A566" s="32">
        <v>41536.37060185185</v>
      </c>
      <c r="B566" s="26" t="s">
        <v>152</v>
      </c>
      <c r="C566" s="26" t="s">
        <v>213</v>
      </c>
      <c r="D566" s="30">
        <v>41518</v>
      </c>
      <c r="E566" s="26" t="s">
        <v>2125</v>
      </c>
      <c r="F566" s="26" t="s">
        <v>2126</v>
      </c>
      <c r="G566" s="26" t="s">
        <v>20</v>
      </c>
      <c r="H566" s="26" t="s">
        <v>2127</v>
      </c>
      <c r="J566" s="46">
        <v>1</v>
      </c>
      <c r="K566" s="46">
        <v>22</v>
      </c>
      <c r="L566" s="136">
        <v>70</v>
      </c>
      <c r="M566" s="137" t="s">
        <v>44</v>
      </c>
      <c r="N566" s="138">
        <v>70</v>
      </c>
      <c r="O566" s="138"/>
      <c r="P566" s="138">
        <v>10</v>
      </c>
      <c r="Q566" s="138"/>
      <c r="R566" s="138"/>
      <c r="S566" s="138"/>
      <c r="T566" s="138"/>
      <c r="U566" s="138"/>
    </row>
    <row r="567" spans="1:22" s="26" customFormat="1" ht="15" customHeight="1" x14ac:dyDescent="0.2">
      <c r="A567" s="32">
        <v>41536.373206018521</v>
      </c>
      <c r="B567" s="26" t="s">
        <v>152</v>
      </c>
      <c r="C567" s="26" t="s">
        <v>213</v>
      </c>
      <c r="D567" s="30">
        <v>41518</v>
      </c>
      <c r="E567" s="26" t="s">
        <v>2128</v>
      </c>
      <c r="F567" s="26" t="s">
        <v>2129</v>
      </c>
      <c r="G567" s="26" t="s">
        <v>20</v>
      </c>
      <c r="H567" s="26" t="s">
        <v>2130</v>
      </c>
      <c r="J567" s="46">
        <v>1</v>
      </c>
      <c r="K567" s="46">
        <v>22</v>
      </c>
      <c r="L567" s="136">
        <v>77</v>
      </c>
      <c r="M567" s="137" t="s">
        <v>44</v>
      </c>
      <c r="N567" s="138">
        <v>77</v>
      </c>
      <c r="O567" s="138"/>
      <c r="P567" s="138">
        <v>50</v>
      </c>
      <c r="Q567" s="138"/>
      <c r="R567" s="138"/>
      <c r="S567" s="138"/>
      <c r="T567" s="138"/>
      <c r="U567" s="138"/>
    </row>
    <row r="568" spans="1:22" s="26" customFormat="1" ht="15" customHeight="1" x14ac:dyDescent="0.2">
      <c r="A568" s="32">
        <v>41536.380925925929</v>
      </c>
      <c r="B568" s="26" t="s">
        <v>152</v>
      </c>
      <c r="C568" s="26" t="s">
        <v>213</v>
      </c>
      <c r="D568" s="30">
        <v>41518</v>
      </c>
      <c r="E568" s="26" t="s">
        <v>2131</v>
      </c>
      <c r="F568" s="26" t="s">
        <v>1463</v>
      </c>
      <c r="G568" s="26" t="s">
        <v>26</v>
      </c>
      <c r="H568" s="26" t="s">
        <v>2132</v>
      </c>
      <c r="J568" s="46">
        <v>2</v>
      </c>
      <c r="K568" s="46">
        <v>15</v>
      </c>
      <c r="L568" s="136"/>
      <c r="M568" s="137" t="s">
        <v>44</v>
      </c>
      <c r="N568" s="138">
        <v>52.5</v>
      </c>
      <c r="O568" s="138"/>
      <c r="P568" s="138">
        <v>30</v>
      </c>
      <c r="Q568" s="138"/>
      <c r="R568" s="138"/>
      <c r="S568" s="138"/>
      <c r="T568" s="138"/>
      <c r="U568" s="138"/>
    </row>
    <row r="569" spans="1:22" s="26" customFormat="1" ht="15" customHeight="1" x14ac:dyDescent="0.2">
      <c r="A569" s="32">
        <v>41536.382407407407</v>
      </c>
      <c r="B569" s="26" t="s">
        <v>152</v>
      </c>
      <c r="C569" s="26" t="s">
        <v>213</v>
      </c>
      <c r="D569" s="30">
        <v>41518</v>
      </c>
      <c r="E569" s="26" t="s">
        <v>2131</v>
      </c>
      <c r="F569" s="26" t="s">
        <v>2133</v>
      </c>
      <c r="G569" s="26" t="s">
        <v>26</v>
      </c>
      <c r="H569" s="26" t="s">
        <v>2134</v>
      </c>
      <c r="J569" s="46">
        <v>2</v>
      </c>
      <c r="K569" s="46">
        <v>15</v>
      </c>
      <c r="L569" s="136"/>
      <c r="M569" s="137" t="s">
        <v>44</v>
      </c>
      <c r="N569" s="138"/>
      <c r="O569" s="138"/>
      <c r="P569" s="138">
        <v>30</v>
      </c>
      <c r="Q569" s="138"/>
      <c r="R569" s="138"/>
      <c r="S569" s="138"/>
      <c r="T569" s="138"/>
      <c r="U569" s="138"/>
    </row>
    <row r="570" spans="1:22" s="26" customFormat="1" ht="15" customHeight="1" x14ac:dyDescent="0.2">
      <c r="A570" s="32">
        <v>41536.400949074072</v>
      </c>
      <c r="B570" s="26" t="s">
        <v>152</v>
      </c>
      <c r="C570" s="26" t="s">
        <v>213</v>
      </c>
      <c r="D570" s="30">
        <v>41518</v>
      </c>
      <c r="E570" s="26" t="s">
        <v>2078</v>
      </c>
      <c r="F570" s="26" t="s">
        <v>2135</v>
      </c>
      <c r="G570" s="26" t="s">
        <v>60</v>
      </c>
      <c r="H570" s="26" t="s">
        <v>2136</v>
      </c>
      <c r="J570" s="46">
        <v>1</v>
      </c>
      <c r="K570" s="46">
        <v>15</v>
      </c>
      <c r="L570" s="136">
        <v>60</v>
      </c>
      <c r="M570" s="137" t="s">
        <v>44</v>
      </c>
      <c r="N570" s="138">
        <v>60</v>
      </c>
      <c r="O570" s="138"/>
      <c r="P570" s="138">
        <v>25</v>
      </c>
      <c r="Q570" s="138"/>
      <c r="R570" s="138"/>
      <c r="S570" s="138"/>
      <c r="T570" s="138"/>
      <c r="U570" s="138"/>
    </row>
    <row r="571" spans="1:22" s="26" customFormat="1" ht="15" customHeight="1" x14ac:dyDescent="0.2">
      <c r="A571" s="32">
        <v>41544.391342592593</v>
      </c>
      <c r="B571" s="26" t="s">
        <v>152</v>
      </c>
      <c r="C571" s="26" t="s">
        <v>213</v>
      </c>
      <c r="D571" s="30">
        <v>41518</v>
      </c>
      <c r="E571" s="26" t="s">
        <v>2184</v>
      </c>
      <c r="F571" s="26" t="s">
        <v>2185</v>
      </c>
      <c r="G571" s="26" t="s">
        <v>20</v>
      </c>
      <c r="H571" s="26" t="s">
        <v>2186</v>
      </c>
      <c r="J571" s="46">
        <v>1</v>
      </c>
      <c r="K571" s="46">
        <v>40</v>
      </c>
      <c r="L571" s="136">
        <v>91</v>
      </c>
      <c r="M571" s="137" t="s">
        <v>44</v>
      </c>
      <c r="N571" s="138">
        <v>91</v>
      </c>
      <c r="O571" s="138"/>
      <c r="P571" s="138">
        <v>75</v>
      </c>
      <c r="Q571" s="138"/>
      <c r="R571" s="138"/>
      <c r="S571" s="138"/>
      <c r="T571" s="138"/>
      <c r="U571" s="138"/>
      <c r="V571" s="26" t="s">
        <v>2187</v>
      </c>
    </row>
    <row r="572" spans="1:22" s="26" customFormat="1" ht="15" customHeight="1" x14ac:dyDescent="0.2">
      <c r="A572" s="32">
        <v>41544.393483796295</v>
      </c>
      <c r="B572" s="26" t="s">
        <v>152</v>
      </c>
      <c r="C572" s="26" t="s">
        <v>213</v>
      </c>
      <c r="D572" s="30">
        <v>41518</v>
      </c>
      <c r="E572" s="26" t="s">
        <v>2188</v>
      </c>
      <c r="F572" s="26" t="s">
        <v>2189</v>
      </c>
      <c r="G572" s="26" t="s">
        <v>42</v>
      </c>
      <c r="H572" s="26" t="s">
        <v>2190</v>
      </c>
      <c r="J572" s="46">
        <v>1</v>
      </c>
      <c r="K572" s="46">
        <v>15</v>
      </c>
      <c r="L572" s="136">
        <v>61.5</v>
      </c>
      <c r="M572" s="137" t="s">
        <v>44</v>
      </c>
      <c r="N572" s="138">
        <v>61.5</v>
      </c>
      <c r="O572" s="138"/>
      <c r="P572" s="138">
        <v>20</v>
      </c>
      <c r="Q572" s="138"/>
      <c r="R572" s="138"/>
      <c r="S572" s="138"/>
      <c r="T572" s="138"/>
      <c r="U572" s="138"/>
    </row>
    <row r="573" spans="1:22" s="26" customFormat="1" ht="15" customHeight="1" x14ac:dyDescent="0.2">
      <c r="A573" s="32">
        <v>41544.40048611111</v>
      </c>
      <c r="B573" s="26" t="s">
        <v>152</v>
      </c>
      <c r="C573" s="26" t="s">
        <v>213</v>
      </c>
      <c r="D573" s="30">
        <v>41518</v>
      </c>
      <c r="E573" s="26" t="s">
        <v>2188</v>
      </c>
      <c r="F573" s="26" t="s">
        <v>2191</v>
      </c>
      <c r="G573" s="26" t="s">
        <v>42</v>
      </c>
      <c r="H573" s="26" t="s">
        <v>2192</v>
      </c>
      <c r="J573" s="46">
        <v>1</v>
      </c>
      <c r="K573" s="46">
        <v>39</v>
      </c>
      <c r="L573" s="136">
        <v>136.5</v>
      </c>
      <c r="M573" s="137" t="s">
        <v>44</v>
      </c>
      <c r="N573" s="138">
        <v>136.5</v>
      </c>
      <c r="O573" s="138"/>
      <c r="P573" s="138">
        <v>75</v>
      </c>
      <c r="Q573" s="138"/>
      <c r="R573" s="138"/>
      <c r="S573" s="138"/>
      <c r="T573" s="138"/>
      <c r="U573" s="138"/>
    </row>
    <row r="574" spans="1:22" s="26" customFormat="1" ht="15" customHeight="1" x14ac:dyDescent="0.2">
      <c r="A574" s="32">
        <v>41551.405636574076</v>
      </c>
      <c r="B574" s="26" t="s">
        <v>152</v>
      </c>
      <c r="C574" s="26" t="s">
        <v>213</v>
      </c>
      <c r="D574" s="30">
        <v>41518</v>
      </c>
      <c r="E574" s="35">
        <v>41544</v>
      </c>
      <c r="F574" s="26" t="s">
        <v>2392</v>
      </c>
      <c r="G574" s="26" t="s">
        <v>20</v>
      </c>
      <c r="H574" s="26" t="s">
        <v>2393</v>
      </c>
      <c r="J574" s="46">
        <v>1</v>
      </c>
      <c r="K574" s="46">
        <v>20</v>
      </c>
      <c r="L574" s="136">
        <v>75</v>
      </c>
      <c r="M574" s="137" t="s">
        <v>44</v>
      </c>
      <c r="N574" s="138">
        <v>75</v>
      </c>
      <c r="O574" s="138"/>
      <c r="P574" s="138">
        <v>20</v>
      </c>
      <c r="Q574" s="138"/>
      <c r="R574" s="138"/>
      <c r="S574" s="138"/>
      <c r="T574" s="138"/>
      <c r="U574" s="138"/>
    </row>
    <row r="575" spans="1:22" s="26" customFormat="1" ht="15" customHeight="1" x14ac:dyDescent="0.2">
      <c r="A575" s="32">
        <v>41551.413078703707</v>
      </c>
      <c r="B575" s="26" t="s">
        <v>152</v>
      </c>
      <c r="C575" s="26" t="s">
        <v>213</v>
      </c>
      <c r="D575" s="30">
        <v>41518</v>
      </c>
      <c r="E575" s="35">
        <v>41545</v>
      </c>
      <c r="F575" s="26" t="s">
        <v>2394</v>
      </c>
      <c r="G575" s="26" t="s">
        <v>42</v>
      </c>
      <c r="H575" s="26" t="s">
        <v>2395</v>
      </c>
      <c r="J575" s="115">
        <v>1</v>
      </c>
      <c r="K575" s="115">
        <v>30</v>
      </c>
      <c r="L575" s="136">
        <v>105</v>
      </c>
      <c r="M575" s="137" t="s">
        <v>44</v>
      </c>
      <c r="N575" s="138">
        <v>105</v>
      </c>
      <c r="O575" s="138"/>
      <c r="P575" s="138">
        <v>45</v>
      </c>
      <c r="Q575" s="138"/>
      <c r="R575" s="138"/>
      <c r="S575" s="138"/>
      <c r="T575" s="138"/>
      <c r="U575" s="138"/>
    </row>
    <row r="576" spans="1:22" s="26" customFormat="1" ht="15" customHeight="1" x14ac:dyDescent="0.2">
      <c r="A576" s="48">
        <v>41566.392581018503</v>
      </c>
      <c r="B576" s="42" t="s">
        <v>152</v>
      </c>
      <c r="C576" s="50" t="s">
        <v>213</v>
      </c>
      <c r="D576" s="70">
        <v>41548</v>
      </c>
      <c r="E576" s="49" t="s">
        <v>2928</v>
      </c>
      <c r="F576" s="49" t="s">
        <v>1463</v>
      </c>
      <c r="G576" s="49" t="s">
        <v>26</v>
      </c>
      <c r="H576" s="49" t="s">
        <v>2080</v>
      </c>
      <c r="I576" s="49"/>
      <c r="J576" s="117">
        <v>1</v>
      </c>
      <c r="K576" s="117">
        <v>4</v>
      </c>
      <c r="L576" s="142"/>
      <c r="M576" s="143" t="s">
        <v>44</v>
      </c>
      <c r="N576" s="144">
        <v>18</v>
      </c>
      <c r="O576" s="144"/>
      <c r="P576" s="144">
        <v>12</v>
      </c>
      <c r="Q576" s="144"/>
      <c r="R576" s="144"/>
      <c r="S576" s="144"/>
      <c r="T576" s="144"/>
      <c r="U576" s="144"/>
      <c r="V576" s="49"/>
    </row>
    <row r="577" spans="1:22" s="26" customFormat="1" ht="15" customHeight="1" x14ac:dyDescent="0.2">
      <c r="A577" s="48">
        <v>41585.680775462999</v>
      </c>
      <c r="B577" s="49" t="s">
        <v>152</v>
      </c>
      <c r="C577" s="50" t="s">
        <v>213</v>
      </c>
      <c r="D577" s="67">
        <v>41579</v>
      </c>
      <c r="E577" s="49" t="s">
        <v>2948</v>
      </c>
      <c r="F577" s="49" t="s">
        <v>2949</v>
      </c>
      <c r="G577" s="49" t="s">
        <v>20</v>
      </c>
      <c r="H577" s="49" t="s">
        <v>2124</v>
      </c>
      <c r="I577" s="49"/>
      <c r="J577" s="117">
        <v>1</v>
      </c>
      <c r="K577" s="117">
        <v>110</v>
      </c>
      <c r="L577" s="142">
        <v>385</v>
      </c>
      <c r="M577" s="143" t="s">
        <v>44</v>
      </c>
      <c r="N577" s="144">
        <v>385</v>
      </c>
      <c r="O577" s="144"/>
      <c r="P577" s="144"/>
      <c r="Q577" s="144"/>
      <c r="R577" s="144"/>
      <c r="S577" s="144"/>
      <c r="T577" s="144"/>
      <c r="U577" s="144"/>
      <c r="V577" s="49"/>
    </row>
    <row r="578" spans="1:22" s="26" customFormat="1" ht="15" customHeight="1" x14ac:dyDescent="0.2">
      <c r="A578" s="48">
        <v>41585.684606481504</v>
      </c>
      <c r="B578" s="49" t="s">
        <v>152</v>
      </c>
      <c r="C578" s="50" t="s">
        <v>213</v>
      </c>
      <c r="D578" s="67">
        <v>41579</v>
      </c>
      <c r="E578" s="49" t="s">
        <v>2952</v>
      </c>
      <c r="F578" s="49" t="s">
        <v>2953</v>
      </c>
      <c r="G578" s="49" t="s">
        <v>20</v>
      </c>
      <c r="H578" s="49" t="s">
        <v>2814</v>
      </c>
      <c r="I578" s="49"/>
      <c r="J578" s="117">
        <v>1</v>
      </c>
      <c r="K578" s="117">
        <v>61</v>
      </c>
      <c r="L578" s="142">
        <v>213.5</v>
      </c>
      <c r="M578" s="143" t="s">
        <v>44</v>
      </c>
      <c r="N578" s="144">
        <v>213.5</v>
      </c>
      <c r="O578" s="144"/>
      <c r="P578" s="144"/>
      <c r="Q578" s="144"/>
      <c r="R578" s="144"/>
      <c r="S578" s="144"/>
      <c r="T578" s="144"/>
      <c r="U578" s="144"/>
      <c r="V578" s="49" t="s">
        <v>2954</v>
      </c>
    </row>
    <row r="579" spans="1:22" s="26" customFormat="1" ht="15" customHeight="1" x14ac:dyDescent="0.2">
      <c r="A579" s="48">
        <v>41585.678865740701</v>
      </c>
      <c r="B579" s="49" t="s">
        <v>152</v>
      </c>
      <c r="C579" s="50" t="s">
        <v>213</v>
      </c>
      <c r="D579" s="67">
        <v>41579</v>
      </c>
      <c r="E579" s="50" t="s">
        <v>2946</v>
      </c>
      <c r="F579" s="50" t="s">
        <v>2947</v>
      </c>
      <c r="G579" s="49" t="s">
        <v>20</v>
      </c>
      <c r="H579" s="50" t="s">
        <v>2124</v>
      </c>
      <c r="I579" s="50"/>
      <c r="J579" s="117">
        <v>1</v>
      </c>
      <c r="K579" s="117">
        <v>18</v>
      </c>
      <c r="L579" s="142">
        <v>63</v>
      </c>
      <c r="M579" s="143" t="s">
        <v>44</v>
      </c>
      <c r="N579" s="144">
        <v>63</v>
      </c>
      <c r="O579" s="144"/>
      <c r="P579" s="144"/>
      <c r="Q579" s="144"/>
      <c r="R579" s="144"/>
      <c r="S579" s="144"/>
      <c r="T579" s="144"/>
      <c r="U579" s="144"/>
      <c r="V579" s="50"/>
    </row>
    <row r="580" spans="1:22" s="26" customFormat="1" ht="15" customHeight="1" x14ac:dyDescent="0.2">
      <c r="A580" s="48">
        <v>41585.682337963</v>
      </c>
      <c r="B580" s="49" t="s">
        <v>152</v>
      </c>
      <c r="C580" s="50" t="s">
        <v>213</v>
      </c>
      <c r="D580" s="67">
        <v>41579</v>
      </c>
      <c r="E580" s="50" t="s">
        <v>2950</v>
      </c>
      <c r="F580" s="50" t="s">
        <v>2951</v>
      </c>
      <c r="G580" s="49" t="s">
        <v>20</v>
      </c>
      <c r="H580" s="50" t="s">
        <v>2124</v>
      </c>
      <c r="I580" s="50"/>
      <c r="J580" s="117">
        <v>1</v>
      </c>
      <c r="K580" s="117">
        <v>58</v>
      </c>
      <c r="L580" s="142">
        <v>189</v>
      </c>
      <c r="M580" s="143" t="s">
        <v>44</v>
      </c>
      <c r="N580" s="144">
        <v>189</v>
      </c>
      <c r="O580" s="144"/>
      <c r="P580" s="144">
        <v>30</v>
      </c>
      <c r="Q580" s="144"/>
      <c r="R580" s="144"/>
      <c r="S580" s="144"/>
      <c r="T580" s="144"/>
      <c r="U580" s="144"/>
      <c r="V580" s="50"/>
    </row>
    <row r="581" spans="1:22" s="26" customFormat="1" ht="15" customHeight="1" x14ac:dyDescent="0.2">
      <c r="A581" s="48">
        <v>41585.686793981498</v>
      </c>
      <c r="B581" s="49" t="s">
        <v>152</v>
      </c>
      <c r="C581" s="50" t="s">
        <v>213</v>
      </c>
      <c r="D581" s="67">
        <v>41579</v>
      </c>
      <c r="E581" s="50" t="s">
        <v>2955</v>
      </c>
      <c r="F581" s="50" t="s">
        <v>2956</v>
      </c>
      <c r="G581" s="49" t="s">
        <v>20</v>
      </c>
      <c r="H581" s="50" t="s">
        <v>2814</v>
      </c>
      <c r="I581" s="50"/>
      <c r="J581" s="117">
        <v>1</v>
      </c>
      <c r="K581" s="117">
        <v>15</v>
      </c>
      <c r="L581" s="142">
        <v>28</v>
      </c>
      <c r="M581" s="143" t="s">
        <v>44</v>
      </c>
      <c r="N581" s="144">
        <v>28</v>
      </c>
      <c r="O581" s="144"/>
      <c r="P581" s="144"/>
      <c r="Q581" s="144"/>
      <c r="R581" s="144"/>
      <c r="S581" s="144"/>
      <c r="T581" s="144"/>
      <c r="U581" s="144"/>
      <c r="V581" s="50" t="s">
        <v>2957</v>
      </c>
    </row>
    <row r="582" spans="1:22" s="26" customFormat="1" ht="15" customHeight="1" x14ac:dyDescent="0.2">
      <c r="A582" s="48">
        <v>41591.410648148201</v>
      </c>
      <c r="B582" s="49" t="s">
        <v>152</v>
      </c>
      <c r="C582" s="50" t="s">
        <v>213</v>
      </c>
      <c r="D582" s="67">
        <v>41579</v>
      </c>
      <c r="E582" s="50" t="s">
        <v>2076</v>
      </c>
      <c r="F582" s="50" t="s">
        <v>2985</v>
      </c>
      <c r="G582" s="49" t="s">
        <v>20</v>
      </c>
      <c r="H582" s="50" t="s">
        <v>2124</v>
      </c>
      <c r="I582" s="50" t="s">
        <v>2986</v>
      </c>
      <c r="J582" s="117">
        <v>1</v>
      </c>
      <c r="K582" s="117">
        <v>75</v>
      </c>
      <c r="L582" s="142">
        <v>262.5</v>
      </c>
      <c r="M582" s="143" t="s">
        <v>44</v>
      </c>
      <c r="N582" s="144">
        <v>262.5</v>
      </c>
      <c r="O582" s="144"/>
      <c r="P582" s="144">
        <v>35</v>
      </c>
      <c r="Q582" s="144"/>
      <c r="R582" s="144"/>
      <c r="S582" s="144"/>
      <c r="T582" s="144"/>
      <c r="U582" s="144"/>
      <c r="V582" s="50"/>
    </row>
    <row r="583" spans="1:22" s="26" customFormat="1" ht="15" customHeight="1" x14ac:dyDescent="0.2">
      <c r="A583" s="48">
        <v>41591.412384259304</v>
      </c>
      <c r="B583" s="49" t="s">
        <v>152</v>
      </c>
      <c r="C583" s="50" t="s">
        <v>213</v>
      </c>
      <c r="D583" s="67">
        <v>41579</v>
      </c>
      <c r="E583" s="50" t="s">
        <v>2987</v>
      </c>
      <c r="F583" s="50" t="s">
        <v>2988</v>
      </c>
      <c r="G583" s="49" t="s">
        <v>20</v>
      </c>
      <c r="H583" s="50"/>
      <c r="I583" s="50" t="s">
        <v>2986</v>
      </c>
      <c r="J583" s="117">
        <v>1</v>
      </c>
      <c r="K583" s="117">
        <v>22</v>
      </c>
      <c r="L583" s="142">
        <v>77</v>
      </c>
      <c r="M583" s="143" t="s">
        <v>44</v>
      </c>
      <c r="N583" s="144">
        <v>77</v>
      </c>
      <c r="O583" s="144"/>
      <c r="P583" s="144">
        <v>30</v>
      </c>
      <c r="Q583" s="144"/>
      <c r="R583" s="144"/>
      <c r="S583" s="144"/>
      <c r="T583" s="144"/>
      <c r="U583" s="144"/>
      <c r="V583" s="50"/>
    </row>
    <row r="584" spans="1:22" s="26" customFormat="1" ht="15" customHeight="1" x14ac:dyDescent="0.2">
      <c r="A584" s="48">
        <v>41591.414629629602</v>
      </c>
      <c r="B584" s="49" t="s">
        <v>152</v>
      </c>
      <c r="C584" s="50" t="s">
        <v>213</v>
      </c>
      <c r="D584" s="67">
        <v>41579</v>
      </c>
      <c r="E584" s="50" t="s">
        <v>2989</v>
      </c>
      <c r="F584" s="50" t="s">
        <v>2990</v>
      </c>
      <c r="G584" s="49" t="s">
        <v>20</v>
      </c>
      <c r="H584" s="50" t="s">
        <v>2124</v>
      </c>
      <c r="I584" s="50" t="s">
        <v>2986</v>
      </c>
      <c r="J584" s="117">
        <v>1</v>
      </c>
      <c r="K584" s="117">
        <v>10</v>
      </c>
      <c r="L584" s="142"/>
      <c r="M584" s="143" t="s">
        <v>44</v>
      </c>
      <c r="N584" s="144">
        <v>45</v>
      </c>
      <c r="O584" s="144"/>
      <c r="P584" s="144">
        <v>30</v>
      </c>
      <c r="Q584" s="144"/>
      <c r="R584" s="144"/>
      <c r="S584" s="144"/>
      <c r="T584" s="144"/>
      <c r="U584" s="144"/>
      <c r="V584" s="50"/>
    </row>
    <row r="585" spans="1:22" s="26" customFormat="1" ht="15" customHeight="1" x14ac:dyDescent="0.2">
      <c r="A585" s="48">
        <v>41591.433518518497</v>
      </c>
      <c r="B585" s="49" t="s">
        <v>152</v>
      </c>
      <c r="C585" s="50" t="s">
        <v>213</v>
      </c>
      <c r="D585" s="67">
        <v>41579</v>
      </c>
      <c r="E585" s="50" t="s">
        <v>2950</v>
      </c>
      <c r="F585" s="50" t="s">
        <v>2991</v>
      </c>
      <c r="G585" s="49" t="s">
        <v>20</v>
      </c>
      <c r="H585" s="50" t="s">
        <v>2124</v>
      </c>
      <c r="I585" s="50" t="s">
        <v>2986</v>
      </c>
      <c r="J585" s="117">
        <v>1</v>
      </c>
      <c r="K585" s="117">
        <v>40</v>
      </c>
      <c r="L585" s="142">
        <v>139.5</v>
      </c>
      <c r="M585" s="143" t="s">
        <v>44</v>
      </c>
      <c r="N585" s="144">
        <v>139.5</v>
      </c>
      <c r="O585" s="144"/>
      <c r="P585" s="144">
        <v>40</v>
      </c>
      <c r="Q585" s="144"/>
      <c r="R585" s="144"/>
      <c r="S585" s="144"/>
      <c r="T585" s="144"/>
      <c r="U585" s="144"/>
      <c r="V585" s="50"/>
    </row>
    <row r="586" spans="1:22" s="26" customFormat="1" ht="15" customHeight="1" x14ac:dyDescent="0.2">
      <c r="A586" s="48">
        <v>41591.533564814803</v>
      </c>
      <c r="B586" s="49" t="s">
        <v>152</v>
      </c>
      <c r="C586" s="50" t="s">
        <v>213</v>
      </c>
      <c r="D586" s="67">
        <v>41579</v>
      </c>
      <c r="E586" s="50" t="s">
        <v>2992</v>
      </c>
      <c r="F586" s="50" t="s">
        <v>2993</v>
      </c>
      <c r="G586" s="49" t="s">
        <v>20</v>
      </c>
      <c r="H586" s="50"/>
      <c r="I586" s="50" t="s">
        <v>2986</v>
      </c>
      <c r="J586" s="117">
        <v>1</v>
      </c>
      <c r="K586" s="117">
        <v>22</v>
      </c>
      <c r="L586" s="142"/>
      <c r="M586" s="143" t="s">
        <v>44</v>
      </c>
      <c r="N586" s="144">
        <v>99</v>
      </c>
      <c r="O586" s="144"/>
      <c r="P586" s="144">
        <v>15</v>
      </c>
      <c r="Q586" s="144"/>
      <c r="R586" s="144"/>
      <c r="S586" s="144"/>
      <c r="T586" s="144"/>
      <c r="U586" s="144"/>
      <c r="V586" s="50"/>
    </row>
    <row r="587" spans="1:22" s="26" customFormat="1" ht="15" customHeight="1" x14ac:dyDescent="0.2">
      <c r="A587" s="48">
        <v>41592.552430555603</v>
      </c>
      <c r="B587" s="49" t="s">
        <v>152</v>
      </c>
      <c r="C587" s="50" t="s">
        <v>213</v>
      </c>
      <c r="D587" s="67">
        <v>41579</v>
      </c>
      <c r="E587" s="50" t="s">
        <v>2861</v>
      </c>
      <c r="F587" s="50" t="s">
        <v>3010</v>
      </c>
      <c r="G587" s="49" t="s">
        <v>20</v>
      </c>
      <c r="H587" s="50" t="s">
        <v>3011</v>
      </c>
      <c r="I587" s="50" t="s">
        <v>2986</v>
      </c>
      <c r="J587" s="117">
        <v>1</v>
      </c>
      <c r="K587" s="117">
        <v>10</v>
      </c>
      <c r="L587" s="142">
        <v>17</v>
      </c>
      <c r="M587" s="143" t="s">
        <v>44</v>
      </c>
      <c r="N587" s="144">
        <v>17</v>
      </c>
      <c r="O587" s="144"/>
      <c r="P587" s="144"/>
      <c r="Q587" s="144"/>
      <c r="R587" s="144"/>
      <c r="S587" s="144"/>
      <c r="T587" s="144"/>
      <c r="U587" s="144"/>
      <c r="V587" s="50"/>
    </row>
    <row r="588" spans="1:22" s="26" customFormat="1" ht="15" customHeight="1" x14ac:dyDescent="0.2">
      <c r="A588" s="48">
        <v>41592.554155092599</v>
      </c>
      <c r="B588" s="49" t="s">
        <v>152</v>
      </c>
      <c r="C588" s="50" t="s">
        <v>213</v>
      </c>
      <c r="D588" s="67">
        <v>41579</v>
      </c>
      <c r="E588" s="50" t="s">
        <v>3012</v>
      </c>
      <c r="F588" s="50" t="s">
        <v>3013</v>
      </c>
      <c r="G588" s="49" t="s">
        <v>20</v>
      </c>
      <c r="H588" s="50" t="s">
        <v>3011</v>
      </c>
      <c r="I588" s="50" t="s">
        <v>2986</v>
      </c>
      <c r="J588" s="117">
        <v>1</v>
      </c>
      <c r="K588" s="117">
        <v>102</v>
      </c>
      <c r="L588" s="142">
        <v>339</v>
      </c>
      <c r="M588" s="143" t="s">
        <v>44</v>
      </c>
      <c r="N588" s="144">
        <v>339</v>
      </c>
      <c r="O588" s="144"/>
      <c r="P588" s="144">
        <v>40</v>
      </c>
      <c r="Q588" s="144"/>
      <c r="R588" s="144"/>
      <c r="S588" s="144"/>
      <c r="T588" s="144"/>
      <c r="U588" s="144"/>
      <c r="V588" s="50"/>
    </row>
    <row r="589" spans="1:22" s="26" customFormat="1" ht="15" customHeight="1" x14ac:dyDescent="0.2">
      <c r="A589" s="48">
        <v>41593.541736111103</v>
      </c>
      <c r="B589" s="49" t="s">
        <v>152</v>
      </c>
      <c r="C589" s="50" t="s">
        <v>213</v>
      </c>
      <c r="D589" s="67">
        <v>41579</v>
      </c>
      <c r="E589" s="50" t="s">
        <v>3018</v>
      </c>
      <c r="F589" s="50" t="s">
        <v>3019</v>
      </c>
      <c r="G589" s="49" t="s">
        <v>20</v>
      </c>
      <c r="H589" s="50" t="s">
        <v>3011</v>
      </c>
      <c r="I589" s="50" t="s">
        <v>2986</v>
      </c>
      <c r="J589" s="117">
        <v>1</v>
      </c>
      <c r="K589" s="117">
        <v>56</v>
      </c>
      <c r="L589" s="142"/>
      <c r="M589" s="143" t="s">
        <v>44</v>
      </c>
      <c r="N589" s="144">
        <v>182</v>
      </c>
      <c r="O589" s="144"/>
      <c r="P589" s="144">
        <v>75</v>
      </c>
      <c r="Q589" s="144"/>
      <c r="R589" s="144"/>
      <c r="S589" s="144"/>
      <c r="T589" s="144"/>
      <c r="U589" s="144"/>
      <c r="V589" s="50" t="s">
        <v>3020</v>
      </c>
    </row>
    <row r="590" spans="1:22" s="26" customFormat="1" ht="15" customHeight="1" x14ac:dyDescent="0.2">
      <c r="A590" s="48">
        <v>41598.528379629599</v>
      </c>
      <c r="B590" s="49" t="s">
        <v>152</v>
      </c>
      <c r="C590" s="50" t="s">
        <v>213</v>
      </c>
      <c r="D590" s="67">
        <v>41579</v>
      </c>
      <c r="E590" s="50" t="s">
        <v>3067</v>
      </c>
      <c r="F590" s="50" t="s">
        <v>3068</v>
      </c>
      <c r="G590" s="49" t="s">
        <v>20</v>
      </c>
      <c r="H590" s="50" t="s">
        <v>2124</v>
      </c>
      <c r="I590" s="50" t="s">
        <v>2986</v>
      </c>
      <c r="J590" s="117">
        <v>1</v>
      </c>
      <c r="K590" s="117">
        <v>92</v>
      </c>
      <c r="L590" s="142">
        <v>308</v>
      </c>
      <c r="M590" s="143" t="s">
        <v>44</v>
      </c>
      <c r="N590" s="144">
        <v>308</v>
      </c>
      <c r="O590" s="144"/>
      <c r="P590" s="144">
        <v>172</v>
      </c>
      <c r="Q590" s="144"/>
      <c r="R590" s="144"/>
      <c r="S590" s="144"/>
      <c r="T590" s="144"/>
      <c r="U590" s="144"/>
      <c r="V590" s="50" t="s">
        <v>3069</v>
      </c>
    </row>
    <row r="591" spans="1:22" s="26" customFormat="1" ht="15" customHeight="1" x14ac:dyDescent="0.2">
      <c r="A591" s="48">
        <v>41599.612106481502</v>
      </c>
      <c r="B591" s="49" t="s">
        <v>152</v>
      </c>
      <c r="C591" s="50" t="s">
        <v>213</v>
      </c>
      <c r="D591" s="67">
        <v>41579</v>
      </c>
      <c r="E591" s="50" t="s">
        <v>3074</v>
      </c>
      <c r="F591" s="50" t="s">
        <v>3075</v>
      </c>
      <c r="G591" s="49" t="s">
        <v>20</v>
      </c>
      <c r="H591" s="50" t="s">
        <v>2124</v>
      </c>
      <c r="I591" s="50" t="s">
        <v>3076</v>
      </c>
      <c r="J591" s="117">
        <v>2</v>
      </c>
      <c r="K591" s="117">
        <v>250</v>
      </c>
      <c r="L591" s="142">
        <v>875</v>
      </c>
      <c r="M591" s="143" t="s">
        <v>44</v>
      </c>
      <c r="N591" s="144">
        <v>875</v>
      </c>
      <c r="O591" s="144"/>
      <c r="P591" s="144">
        <v>30</v>
      </c>
      <c r="Q591" s="144"/>
      <c r="R591" s="144"/>
      <c r="S591" s="144"/>
      <c r="T591" s="144"/>
      <c r="U591" s="144"/>
      <c r="V591" s="50"/>
    </row>
    <row r="592" spans="1:22" s="26" customFormat="1" ht="15" customHeight="1" x14ac:dyDescent="0.2">
      <c r="A592" s="48">
        <v>41605.523287037002</v>
      </c>
      <c r="B592" s="49" t="s">
        <v>152</v>
      </c>
      <c r="C592" s="50" t="s">
        <v>213</v>
      </c>
      <c r="D592" s="67">
        <v>41579</v>
      </c>
      <c r="E592" s="50" t="s">
        <v>2950</v>
      </c>
      <c r="F592" s="50" t="s">
        <v>3134</v>
      </c>
      <c r="G592" s="49" t="s">
        <v>42</v>
      </c>
      <c r="H592" s="50" t="s">
        <v>3135</v>
      </c>
      <c r="I592" s="50" t="s">
        <v>2986</v>
      </c>
      <c r="J592" s="117">
        <v>1</v>
      </c>
      <c r="K592" s="117">
        <v>15</v>
      </c>
      <c r="L592" s="142">
        <v>45.5</v>
      </c>
      <c r="M592" s="143" t="s">
        <v>44</v>
      </c>
      <c r="N592" s="144">
        <v>45.5</v>
      </c>
      <c r="O592" s="144"/>
      <c r="P592" s="144"/>
      <c r="Q592" s="144"/>
      <c r="R592" s="144"/>
      <c r="S592" s="144"/>
      <c r="T592" s="144"/>
      <c r="U592" s="144"/>
      <c r="V592" s="50"/>
    </row>
    <row r="593" spans="1:25" s="26" customFormat="1" ht="15" customHeight="1" x14ac:dyDescent="0.2">
      <c r="A593" s="48">
        <v>41607.564664351798</v>
      </c>
      <c r="B593" s="49" t="s">
        <v>152</v>
      </c>
      <c r="C593" s="50" t="s">
        <v>213</v>
      </c>
      <c r="D593" s="67">
        <v>41579</v>
      </c>
      <c r="E593" s="50" t="s">
        <v>3136</v>
      </c>
      <c r="F593" s="50" t="s">
        <v>1463</v>
      </c>
      <c r="G593" s="49" t="s">
        <v>26</v>
      </c>
      <c r="H593" s="50" t="s">
        <v>2080</v>
      </c>
      <c r="I593" s="50" t="s">
        <v>2986</v>
      </c>
      <c r="J593" s="117">
        <v>1</v>
      </c>
      <c r="K593" s="117">
        <v>16</v>
      </c>
      <c r="L593" s="142"/>
      <c r="M593" s="143" t="s">
        <v>44</v>
      </c>
      <c r="N593" s="144">
        <v>64</v>
      </c>
      <c r="O593" s="144"/>
      <c r="P593" s="144">
        <v>15</v>
      </c>
      <c r="Q593" s="144"/>
      <c r="R593" s="144"/>
      <c r="S593" s="144"/>
      <c r="T593" s="144"/>
      <c r="U593" s="144"/>
      <c r="V593" s="50"/>
    </row>
    <row r="594" spans="1:25" s="26" customFormat="1" ht="15" customHeight="1" x14ac:dyDescent="0.2">
      <c r="A594" s="48">
        <v>41605.560810185198</v>
      </c>
      <c r="B594" s="49" t="s">
        <v>152</v>
      </c>
      <c r="C594" s="50" t="s">
        <v>213</v>
      </c>
      <c r="D594" s="67">
        <v>41579</v>
      </c>
      <c r="E594" s="50" t="s">
        <v>3137</v>
      </c>
      <c r="F594" s="50" t="s">
        <v>1463</v>
      </c>
      <c r="G594" s="49" t="s">
        <v>26</v>
      </c>
      <c r="H594" s="50" t="s">
        <v>2080</v>
      </c>
      <c r="I594" s="50" t="s">
        <v>2986</v>
      </c>
      <c r="J594" s="117">
        <v>2</v>
      </c>
      <c r="K594" s="117">
        <v>17</v>
      </c>
      <c r="L594" s="142"/>
      <c r="M594" s="143" t="s">
        <v>44</v>
      </c>
      <c r="N594" s="144">
        <v>68</v>
      </c>
      <c r="O594" s="144"/>
      <c r="P594" s="144">
        <v>30</v>
      </c>
      <c r="Q594" s="144"/>
      <c r="R594" s="144"/>
      <c r="S594" s="144"/>
      <c r="T594" s="144"/>
      <c r="U594" s="144"/>
      <c r="V594" s="50"/>
    </row>
    <row r="595" spans="1:25" s="26" customFormat="1" ht="15" customHeight="1" x14ac:dyDescent="0.2">
      <c r="A595" s="48">
        <v>41605.562337962998</v>
      </c>
      <c r="B595" s="49" t="s">
        <v>152</v>
      </c>
      <c r="C595" s="50" t="s">
        <v>213</v>
      </c>
      <c r="D595" s="67">
        <v>41579</v>
      </c>
      <c r="E595" s="50" t="s">
        <v>2950</v>
      </c>
      <c r="F595" s="50" t="s">
        <v>3138</v>
      </c>
      <c r="G595" s="49" t="s">
        <v>26</v>
      </c>
      <c r="H595" s="50" t="s">
        <v>3139</v>
      </c>
      <c r="I595" s="50" t="s">
        <v>3140</v>
      </c>
      <c r="J595" s="117">
        <v>1</v>
      </c>
      <c r="K595" s="117">
        <v>7</v>
      </c>
      <c r="L595" s="142"/>
      <c r="M595" s="143" t="s">
        <v>44</v>
      </c>
      <c r="N595" s="144">
        <v>35</v>
      </c>
      <c r="O595" s="144"/>
      <c r="P595" s="144">
        <v>6</v>
      </c>
      <c r="Q595" s="144"/>
      <c r="R595" s="144"/>
      <c r="S595" s="144"/>
      <c r="T595" s="144"/>
      <c r="U595" s="144"/>
      <c r="V595" s="50"/>
    </row>
    <row r="596" spans="1:25" s="26" customFormat="1" ht="15" customHeight="1" x14ac:dyDescent="0.2">
      <c r="A596" s="48">
        <v>41605.563865740703</v>
      </c>
      <c r="B596" s="49" t="s">
        <v>152</v>
      </c>
      <c r="C596" s="50" t="s">
        <v>213</v>
      </c>
      <c r="D596" s="67">
        <v>41579</v>
      </c>
      <c r="E596" s="50" t="s">
        <v>3111</v>
      </c>
      <c r="F596" s="50" t="s">
        <v>3141</v>
      </c>
      <c r="G596" s="49" t="s">
        <v>26</v>
      </c>
      <c r="H596" s="50" t="s">
        <v>3139</v>
      </c>
      <c r="I596" s="50" t="s">
        <v>2986</v>
      </c>
      <c r="J596" s="117">
        <v>7</v>
      </c>
      <c r="K596" s="117">
        <v>18</v>
      </c>
      <c r="L596" s="142"/>
      <c r="M596" s="143" t="s">
        <v>44</v>
      </c>
      <c r="N596" s="144">
        <v>72</v>
      </c>
      <c r="O596" s="144"/>
      <c r="P596" s="144">
        <v>20</v>
      </c>
      <c r="Q596" s="144"/>
      <c r="R596" s="144"/>
      <c r="S596" s="144"/>
      <c r="T596" s="144"/>
      <c r="U596" s="144"/>
      <c r="V596" s="50"/>
    </row>
    <row r="597" spans="1:25" s="26" customFormat="1" ht="15" customHeight="1" x14ac:dyDescent="0.2">
      <c r="A597" s="48">
        <v>41612.428854166697</v>
      </c>
      <c r="B597" s="49" t="s">
        <v>152</v>
      </c>
      <c r="C597" s="50" t="s">
        <v>213</v>
      </c>
      <c r="D597" s="67">
        <v>41579</v>
      </c>
      <c r="E597" s="49" t="s">
        <v>3111</v>
      </c>
      <c r="F597" s="49" t="s">
        <v>3141</v>
      </c>
      <c r="G597" s="49" t="s">
        <v>26</v>
      </c>
      <c r="H597" s="49" t="s">
        <v>3139</v>
      </c>
      <c r="I597" s="49" t="s">
        <v>2986</v>
      </c>
      <c r="J597" s="117">
        <v>5</v>
      </c>
      <c r="K597" s="117">
        <v>22</v>
      </c>
      <c r="L597" s="142"/>
      <c r="M597" s="143" t="s">
        <v>44</v>
      </c>
      <c r="N597" s="144">
        <v>88</v>
      </c>
      <c r="O597" s="144"/>
      <c r="P597" s="144">
        <v>25</v>
      </c>
      <c r="Q597" s="144"/>
      <c r="R597" s="144"/>
      <c r="S597" s="144"/>
      <c r="T597" s="144"/>
      <c r="U597" s="144"/>
      <c r="V597" s="49"/>
    </row>
    <row r="598" spans="1:25" s="26" customFormat="1" ht="15" customHeight="1" x14ac:dyDescent="0.2">
      <c r="A598" s="32">
        <v>41612.428854166668</v>
      </c>
      <c r="B598" s="26" t="s">
        <v>152</v>
      </c>
      <c r="C598" s="26" t="s">
        <v>213</v>
      </c>
      <c r="D598" s="68">
        <v>41609</v>
      </c>
      <c r="E598" s="26" t="s">
        <v>3111</v>
      </c>
      <c r="F598" s="26" t="s">
        <v>3141</v>
      </c>
      <c r="G598" s="26" t="s">
        <v>26</v>
      </c>
      <c r="H598" s="26" t="s">
        <v>3139</v>
      </c>
      <c r="I598" s="26" t="s">
        <v>2986</v>
      </c>
      <c r="J598" s="46">
        <v>5</v>
      </c>
      <c r="K598" s="46">
        <v>22</v>
      </c>
      <c r="L598" s="136"/>
      <c r="M598" s="137" t="s">
        <v>44</v>
      </c>
      <c r="N598" s="138">
        <v>88</v>
      </c>
      <c r="O598" s="138"/>
      <c r="P598" s="138">
        <v>25</v>
      </c>
      <c r="Q598" s="138"/>
      <c r="R598" s="138"/>
      <c r="S598" s="138"/>
      <c r="T598" s="138"/>
      <c r="U598" s="138"/>
    </row>
    <row r="599" spans="1:25" s="26" customFormat="1" ht="15" customHeight="1" x14ac:dyDescent="0.2">
      <c r="A599" s="32">
        <v>41626.623923611114</v>
      </c>
      <c r="B599" s="26" t="s">
        <v>152</v>
      </c>
      <c r="C599" s="26" t="s">
        <v>213</v>
      </c>
      <c r="D599" s="68">
        <v>41609</v>
      </c>
      <c r="E599" s="26" t="s">
        <v>3768</v>
      </c>
      <c r="F599" s="26" t="s">
        <v>3769</v>
      </c>
      <c r="G599" s="26" t="s">
        <v>20</v>
      </c>
      <c r="H599" s="26" t="s">
        <v>3770</v>
      </c>
      <c r="I599" s="26" t="s">
        <v>2986</v>
      </c>
      <c r="J599" s="46">
        <v>1</v>
      </c>
      <c r="K599" s="46">
        <v>143</v>
      </c>
      <c r="L599" s="136">
        <v>483</v>
      </c>
      <c r="M599" s="137" t="s">
        <v>44</v>
      </c>
      <c r="N599" s="138">
        <v>483</v>
      </c>
      <c r="O599" s="138"/>
      <c r="P599" s="138"/>
      <c r="Q599" s="138"/>
      <c r="R599" s="138"/>
      <c r="S599" s="138"/>
      <c r="T599" s="138"/>
      <c r="U599" s="138"/>
      <c r="V599" s="26" t="s">
        <v>3771</v>
      </c>
    </row>
    <row r="600" spans="1:25" s="26" customFormat="1" ht="15" customHeight="1" x14ac:dyDescent="0.2">
      <c r="A600" s="32">
        <v>41626.629108796296</v>
      </c>
      <c r="B600" s="26" t="s">
        <v>152</v>
      </c>
      <c r="C600" s="26" t="s">
        <v>213</v>
      </c>
      <c r="D600" s="68">
        <v>41609</v>
      </c>
      <c r="E600" s="26" t="s">
        <v>3772</v>
      </c>
      <c r="F600" s="26" t="s">
        <v>3773</v>
      </c>
      <c r="G600" s="34" t="s">
        <v>60</v>
      </c>
      <c r="H600" s="26" t="s">
        <v>3774</v>
      </c>
      <c r="I600" s="26" t="s">
        <v>2986</v>
      </c>
      <c r="J600" s="46">
        <v>2</v>
      </c>
      <c r="K600" s="46">
        <v>3</v>
      </c>
      <c r="L600" s="136"/>
      <c r="M600" s="137" t="s">
        <v>22</v>
      </c>
      <c r="N600" s="138"/>
      <c r="O600" s="138"/>
      <c r="P600" s="138"/>
      <c r="Q600" s="138"/>
      <c r="R600" s="138"/>
      <c r="S600" s="138"/>
      <c r="T600" s="138"/>
      <c r="U600" s="138"/>
      <c r="V600" s="26" t="s">
        <v>3775</v>
      </c>
    </row>
    <row r="601" spans="1:25" s="26" customFormat="1" ht="15" customHeight="1" x14ac:dyDescent="0.2">
      <c r="A601" s="32">
        <v>41626.631504629629</v>
      </c>
      <c r="B601" s="26" t="s">
        <v>152</v>
      </c>
      <c r="C601" s="26" t="s">
        <v>213</v>
      </c>
      <c r="D601" s="68">
        <v>41609</v>
      </c>
      <c r="E601" s="26" t="s">
        <v>3776</v>
      </c>
      <c r="F601" s="26" t="s">
        <v>3777</v>
      </c>
      <c r="G601" s="34" t="s">
        <v>60</v>
      </c>
      <c r="I601" s="26" t="s">
        <v>3778</v>
      </c>
      <c r="J601" s="46">
        <v>3</v>
      </c>
      <c r="K601" s="46">
        <v>8</v>
      </c>
      <c r="L601" s="136"/>
      <c r="M601" s="137" t="s">
        <v>44</v>
      </c>
      <c r="N601" s="138">
        <v>44</v>
      </c>
      <c r="O601" s="138"/>
      <c r="P601" s="138"/>
      <c r="Q601" s="138"/>
      <c r="R601" s="138"/>
      <c r="S601" s="138"/>
      <c r="T601" s="138"/>
      <c r="U601" s="138"/>
      <c r="V601" s="26" t="s">
        <v>3779</v>
      </c>
    </row>
    <row r="602" spans="1:25" s="26" customFormat="1" ht="15" customHeight="1" x14ac:dyDescent="0.2">
      <c r="A602" s="32">
        <v>41626.633344907408</v>
      </c>
      <c r="B602" s="26" t="s">
        <v>152</v>
      </c>
      <c r="C602" s="26" t="s">
        <v>213</v>
      </c>
      <c r="D602" s="68">
        <v>41609</v>
      </c>
      <c r="E602" s="26" t="s">
        <v>3780</v>
      </c>
      <c r="F602" s="26" t="s">
        <v>221</v>
      </c>
      <c r="G602" s="34" t="s">
        <v>60</v>
      </c>
      <c r="H602" s="26" t="s">
        <v>3781</v>
      </c>
      <c r="I602" s="26" t="s">
        <v>3778</v>
      </c>
      <c r="J602" s="46">
        <v>1</v>
      </c>
      <c r="K602" s="46">
        <v>2</v>
      </c>
      <c r="L602" s="136"/>
      <c r="M602" s="137" t="s">
        <v>44</v>
      </c>
      <c r="N602" s="138">
        <v>11</v>
      </c>
      <c r="O602" s="138"/>
      <c r="P602" s="138"/>
      <c r="Q602" s="138"/>
      <c r="R602" s="138"/>
      <c r="S602" s="138"/>
      <c r="T602" s="138"/>
      <c r="U602" s="138"/>
    </row>
    <row r="603" spans="1:25" s="26" customFormat="1" ht="15" customHeight="1" x14ac:dyDescent="0.2">
      <c r="A603" s="32">
        <v>41626.671724537038</v>
      </c>
      <c r="B603" s="26" t="s">
        <v>152</v>
      </c>
      <c r="C603" s="26" t="s">
        <v>213</v>
      </c>
      <c r="D603" s="68">
        <v>41609</v>
      </c>
      <c r="E603" s="26" t="s">
        <v>3782</v>
      </c>
      <c r="F603" s="26" t="s">
        <v>221</v>
      </c>
      <c r="G603" s="34" t="s">
        <v>60</v>
      </c>
      <c r="H603" s="26" t="s">
        <v>3783</v>
      </c>
      <c r="I603" s="26" t="s">
        <v>2986</v>
      </c>
      <c r="J603" s="46">
        <v>1</v>
      </c>
      <c r="K603" s="46">
        <v>2</v>
      </c>
      <c r="L603" s="136"/>
      <c r="M603" s="137" t="s">
        <v>44</v>
      </c>
      <c r="N603" s="138">
        <v>9</v>
      </c>
      <c r="O603" s="138"/>
      <c r="P603" s="138"/>
      <c r="Q603" s="138"/>
      <c r="R603" s="138"/>
      <c r="S603" s="138"/>
      <c r="T603" s="138"/>
      <c r="U603" s="138"/>
    </row>
    <row r="604" spans="1:25" s="26" customFormat="1" ht="15" customHeight="1" x14ac:dyDescent="0.2">
      <c r="A604" s="32">
        <v>41628.697881944441</v>
      </c>
      <c r="B604" s="26" t="s">
        <v>152</v>
      </c>
      <c r="C604" s="26" t="s">
        <v>213</v>
      </c>
      <c r="D604" s="68">
        <v>41609</v>
      </c>
      <c r="E604" s="26" t="s">
        <v>3806</v>
      </c>
      <c r="F604" s="26" t="s">
        <v>3141</v>
      </c>
      <c r="G604" s="26" t="s">
        <v>60</v>
      </c>
      <c r="H604" s="26" t="s">
        <v>3807</v>
      </c>
      <c r="I604" s="26" t="s">
        <v>2986</v>
      </c>
      <c r="J604" s="46">
        <v>4</v>
      </c>
      <c r="K604" s="46">
        <v>13</v>
      </c>
      <c r="L604" s="136"/>
      <c r="M604" s="137" t="s">
        <v>44</v>
      </c>
      <c r="N604" s="138"/>
      <c r="O604" s="138"/>
      <c r="P604" s="138"/>
      <c r="Q604" s="138"/>
      <c r="R604" s="138"/>
      <c r="S604" s="138"/>
      <c r="T604" s="138"/>
      <c r="U604" s="138"/>
    </row>
    <row r="605" spans="1:25" s="26" customFormat="1" ht="15" customHeight="1" x14ac:dyDescent="0.2">
      <c r="A605" s="32">
        <v>41640.552766203706</v>
      </c>
      <c r="B605" s="26" t="s">
        <v>152</v>
      </c>
      <c r="C605" s="26" t="s">
        <v>213</v>
      </c>
      <c r="D605" s="68">
        <v>41609</v>
      </c>
      <c r="E605" s="26" t="s">
        <v>3879</v>
      </c>
      <c r="F605" s="26" t="s">
        <v>2074</v>
      </c>
      <c r="G605" s="34" t="s">
        <v>60</v>
      </c>
      <c r="H605" s="26" t="s">
        <v>3139</v>
      </c>
      <c r="I605" s="26" t="s">
        <v>2986</v>
      </c>
      <c r="J605" s="46">
        <v>2</v>
      </c>
      <c r="K605" s="46">
        <v>14</v>
      </c>
      <c r="L605" s="136"/>
      <c r="M605" s="137" t="s">
        <v>22</v>
      </c>
      <c r="N605" s="138"/>
      <c r="O605" s="138"/>
      <c r="P605" s="138"/>
      <c r="Q605" s="138"/>
      <c r="R605" s="138"/>
      <c r="S605" s="138"/>
      <c r="T605" s="138"/>
      <c r="U605" s="138"/>
    </row>
    <row r="606" spans="1:25" s="26" customFormat="1" ht="15" customHeight="1" x14ac:dyDescent="0.2">
      <c r="A606" s="32">
        <v>41640.554756944446</v>
      </c>
      <c r="B606" s="26" t="s">
        <v>152</v>
      </c>
      <c r="C606" s="26" t="s">
        <v>213</v>
      </c>
      <c r="D606" s="68">
        <v>41609</v>
      </c>
      <c r="E606" s="26" t="s">
        <v>3880</v>
      </c>
      <c r="F606" s="26" t="s">
        <v>2074</v>
      </c>
      <c r="G606" s="26" t="s">
        <v>60</v>
      </c>
      <c r="I606" s="26" t="s">
        <v>2986</v>
      </c>
      <c r="J606" s="46">
        <v>7</v>
      </c>
      <c r="K606" s="46">
        <v>30</v>
      </c>
      <c r="L606" s="136"/>
      <c r="M606" s="137" t="s">
        <v>44</v>
      </c>
      <c r="N606" s="138"/>
      <c r="O606" s="138"/>
      <c r="P606" s="138">
        <v>70</v>
      </c>
      <c r="Q606" s="138"/>
      <c r="R606" s="138"/>
      <c r="S606" s="138"/>
      <c r="T606" s="138"/>
      <c r="U606" s="138"/>
      <c r="V606" s="26" t="s">
        <v>3881</v>
      </c>
    </row>
    <row r="607" spans="1:25" s="26" customFormat="1" ht="15" customHeight="1" x14ac:dyDescent="0.2">
      <c r="A607" s="32">
        <v>41640.57236111111</v>
      </c>
      <c r="B607" s="26" t="s">
        <v>152</v>
      </c>
      <c r="C607" s="26" t="s">
        <v>213</v>
      </c>
      <c r="D607" s="68">
        <v>41609</v>
      </c>
      <c r="E607" s="26" t="s">
        <v>3882</v>
      </c>
      <c r="F607" s="26" t="s">
        <v>3883</v>
      </c>
      <c r="G607" s="26" t="s">
        <v>20</v>
      </c>
      <c r="H607" s="26" t="s">
        <v>3884</v>
      </c>
      <c r="I607" s="26" t="s">
        <v>2986</v>
      </c>
      <c r="J607" s="46">
        <v>1</v>
      </c>
      <c r="K607" s="46">
        <v>20</v>
      </c>
      <c r="L607" s="136"/>
      <c r="M607" s="137" t="s">
        <v>44</v>
      </c>
      <c r="N607" s="138">
        <v>70</v>
      </c>
      <c r="O607" s="138"/>
      <c r="P607" s="138">
        <v>30</v>
      </c>
      <c r="Q607" s="138"/>
      <c r="R607" s="138"/>
      <c r="S607" s="138"/>
      <c r="T607" s="138"/>
      <c r="U607" s="138"/>
      <c r="V607" s="26" t="s">
        <v>3885</v>
      </c>
    </row>
    <row r="608" spans="1:25" s="26" customFormat="1" ht="15" customHeight="1" x14ac:dyDescent="0.2">
      <c r="A608" s="53">
        <v>41640.582800925898</v>
      </c>
      <c r="B608" s="54" t="s">
        <v>152</v>
      </c>
      <c r="C608" s="56" t="s">
        <v>213</v>
      </c>
      <c r="D608" s="69">
        <v>41640</v>
      </c>
      <c r="E608" s="54" t="s">
        <v>4126</v>
      </c>
      <c r="F608" s="54" t="s">
        <v>2079</v>
      </c>
      <c r="G608" s="54" t="s">
        <v>26</v>
      </c>
      <c r="H608" s="54" t="s">
        <v>4127</v>
      </c>
      <c r="I608" s="54" t="s">
        <v>2986</v>
      </c>
      <c r="J608" s="95">
        <v>1</v>
      </c>
      <c r="K608" s="118">
        <v>11</v>
      </c>
      <c r="L608" s="145"/>
      <c r="M608" s="146" t="s">
        <v>44</v>
      </c>
      <c r="N608" s="147"/>
      <c r="O608" s="147"/>
      <c r="P608" s="147">
        <v>40</v>
      </c>
      <c r="Q608" s="147"/>
      <c r="R608" s="147"/>
      <c r="S608" s="147"/>
      <c r="T608" s="147"/>
      <c r="U608" s="147"/>
      <c r="V608" s="54"/>
      <c r="W608" s="52"/>
      <c r="X608" s="52"/>
      <c r="Y608" s="52"/>
    </row>
    <row r="609" spans="1:25" s="26" customFormat="1" ht="15" customHeight="1" x14ac:dyDescent="0.2">
      <c r="A609" s="53">
        <v>41640.587546296301</v>
      </c>
      <c r="B609" s="54" t="s">
        <v>152</v>
      </c>
      <c r="C609" s="52" t="s">
        <v>213</v>
      </c>
      <c r="D609" s="69">
        <v>41640</v>
      </c>
      <c r="E609" s="54" t="s">
        <v>4128</v>
      </c>
      <c r="F609" s="54" t="s">
        <v>4129</v>
      </c>
      <c r="G609" s="54" t="s">
        <v>26</v>
      </c>
      <c r="H609" s="54" t="s">
        <v>4130</v>
      </c>
      <c r="I609" s="54" t="s">
        <v>2986</v>
      </c>
      <c r="J609" s="95">
        <v>1</v>
      </c>
      <c r="K609" s="118">
        <v>10</v>
      </c>
      <c r="L609" s="145"/>
      <c r="M609" s="146" t="s">
        <v>44</v>
      </c>
      <c r="N609" s="147">
        <v>11</v>
      </c>
      <c r="O609" s="147"/>
      <c r="P609" s="147">
        <v>60</v>
      </c>
      <c r="Q609" s="147"/>
      <c r="R609" s="147"/>
      <c r="S609" s="147"/>
      <c r="T609" s="147"/>
      <c r="U609" s="147"/>
      <c r="V609" s="54" t="s">
        <v>4131</v>
      </c>
      <c r="W609" s="52"/>
      <c r="X609" s="52"/>
      <c r="Y609" s="52"/>
    </row>
    <row r="610" spans="1:25" s="26" customFormat="1" ht="15" customHeight="1" x14ac:dyDescent="0.2">
      <c r="A610" s="55">
        <v>41642.663680555597</v>
      </c>
      <c r="B610" s="52" t="s">
        <v>152</v>
      </c>
      <c r="C610" s="52" t="s">
        <v>213</v>
      </c>
      <c r="D610" s="69">
        <v>41640</v>
      </c>
      <c r="E610" s="52" t="s">
        <v>4148</v>
      </c>
      <c r="F610" s="52" t="s">
        <v>2074</v>
      </c>
      <c r="G610" s="52" t="s">
        <v>60</v>
      </c>
      <c r="H610" s="52" t="s">
        <v>4149</v>
      </c>
      <c r="I610" s="52" t="s">
        <v>2986</v>
      </c>
      <c r="J610" s="95">
        <v>1</v>
      </c>
      <c r="K610" s="118">
        <v>4</v>
      </c>
      <c r="L610" s="148"/>
      <c r="M610" s="146" t="s">
        <v>44</v>
      </c>
      <c r="N610" s="147"/>
      <c r="O610" s="147"/>
      <c r="P610" s="147">
        <v>8</v>
      </c>
      <c r="Q610" s="147"/>
      <c r="R610" s="147"/>
      <c r="S610" s="147"/>
      <c r="T610" s="147"/>
      <c r="U610" s="149"/>
      <c r="V610" s="52"/>
      <c r="W610" s="52"/>
      <c r="X610" s="52"/>
      <c r="Y610" s="52"/>
    </row>
    <row r="611" spans="1:25" s="26" customFormat="1" ht="15" customHeight="1" x14ac:dyDescent="0.2">
      <c r="A611" s="55">
        <v>41642.665856481501</v>
      </c>
      <c r="B611" s="52" t="s">
        <v>152</v>
      </c>
      <c r="C611" s="52" t="s">
        <v>213</v>
      </c>
      <c r="D611" s="69">
        <v>41640</v>
      </c>
      <c r="E611" s="52" t="s">
        <v>4150</v>
      </c>
      <c r="F611" s="52" t="s">
        <v>4151</v>
      </c>
      <c r="G611" s="52" t="s">
        <v>60</v>
      </c>
      <c r="H611" s="52" t="s">
        <v>4152</v>
      </c>
      <c r="I611" s="52" t="s">
        <v>2986</v>
      </c>
      <c r="J611" s="95">
        <v>4</v>
      </c>
      <c r="K611" s="118">
        <v>8</v>
      </c>
      <c r="L611" s="148"/>
      <c r="M611" s="146" t="s">
        <v>44</v>
      </c>
      <c r="N611" s="147"/>
      <c r="O611" s="147"/>
      <c r="P611" s="147">
        <v>6</v>
      </c>
      <c r="Q611" s="147"/>
      <c r="R611" s="147"/>
      <c r="S611" s="147"/>
      <c r="T611" s="147"/>
      <c r="U611" s="149"/>
      <c r="V611" s="52" t="s">
        <v>4153</v>
      </c>
      <c r="W611" s="52"/>
      <c r="X611" s="52"/>
      <c r="Y611" s="52"/>
    </row>
    <row r="612" spans="1:25" s="26" customFormat="1" ht="15" customHeight="1" x14ac:dyDescent="0.2">
      <c r="A612" s="55">
        <v>41649.628298611096</v>
      </c>
      <c r="B612" s="52" t="s">
        <v>152</v>
      </c>
      <c r="C612" s="52" t="s">
        <v>213</v>
      </c>
      <c r="D612" s="69">
        <v>41640</v>
      </c>
      <c r="E612" s="52" t="s">
        <v>4167</v>
      </c>
      <c r="F612" s="52" t="s">
        <v>2135</v>
      </c>
      <c r="G612" s="52" t="s">
        <v>60</v>
      </c>
      <c r="H612" s="52" t="s">
        <v>4168</v>
      </c>
      <c r="I612" s="52" t="s">
        <v>2986</v>
      </c>
      <c r="J612" s="95">
        <v>4</v>
      </c>
      <c r="K612" s="118">
        <v>11</v>
      </c>
      <c r="L612" s="148"/>
      <c r="M612" s="146" t="s">
        <v>44</v>
      </c>
      <c r="N612" s="147">
        <v>55</v>
      </c>
      <c r="O612" s="147"/>
      <c r="P612" s="147">
        <v>10</v>
      </c>
      <c r="Q612" s="147"/>
      <c r="R612" s="147"/>
      <c r="S612" s="147"/>
      <c r="T612" s="147"/>
      <c r="U612" s="149"/>
      <c r="V612" s="52"/>
      <c r="W612" s="52"/>
      <c r="X612" s="52"/>
      <c r="Y612" s="52"/>
    </row>
    <row r="613" spans="1:25" s="26" customFormat="1" ht="15" customHeight="1" x14ac:dyDescent="0.2">
      <c r="A613" s="55">
        <v>41649.631018518499</v>
      </c>
      <c r="B613" s="52" t="s">
        <v>152</v>
      </c>
      <c r="C613" s="52" t="s">
        <v>213</v>
      </c>
      <c r="D613" s="69">
        <v>41640</v>
      </c>
      <c r="E613" s="52" t="s">
        <v>4169</v>
      </c>
      <c r="F613" s="52" t="s">
        <v>2074</v>
      </c>
      <c r="G613" s="52" t="s">
        <v>60</v>
      </c>
      <c r="H613" s="52" t="s">
        <v>4170</v>
      </c>
      <c r="I613" s="52" t="s">
        <v>3140</v>
      </c>
      <c r="J613" s="95">
        <v>1</v>
      </c>
      <c r="K613" s="118">
        <v>7</v>
      </c>
      <c r="L613" s="148"/>
      <c r="M613" s="146" t="s">
        <v>44</v>
      </c>
      <c r="N613" s="147">
        <v>21</v>
      </c>
      <c r="O613" s="147"/>
      <c r="P613" s="147">
        <v>10</v>
      </c>
      <c r="Q613" s="147"/>
      <c r="R613" s="147"/>
      <c r="S613" s="147"/>
      <c r="T613" s="147"/>
      <c r="U613" s="149"/>
      <c r="V613" s="52"/>
      <c r="W613" s="52"/>
      <c r="X613" s="52"/>
      <c r="Y613" s="52"/>
    </row>
    <row r="614" spans="1:25" s="26" customFormat="1" ht="15" customHeight="1" x14ac:dyDescent="0.2">
      <c r="A614" s="55">
        <v>41656.363576388903</v>
      </c>
      <c r="B614" s="52" t="s">
        <v>152</v>
      </c>
      <c r="C614" s="52" t="s">
        <v>213</v>
      </c>
      <c r="D614" s="69">
        <v>41640</v>
      </c>
      <c r="E614" s="52" t="s">
        <v>4189</v>
      </c>
      <c r="F614" s="52" t="s">
        <v>2074</v>
      </c>
      <c r="G614" s="52" t="s">
        <v>60</v>
      </c>
      <c r="H614" s="52" t="s">
        <v>4190</v>
      </c>
      <c r="I614" s="52" t="s">
        <v>2986</v>
      </c>
      <c r="J614" s="95">
        <v>1</v>
      </c>
      <c r="K614" s="118">
        <v>3</v>
      </c>
      <c r="L614" s="148"/>
      <c r="M614" s="146" t="s">
        <v>44</v>
      </c>
      <c r="N614" s="147"/>
      <c r="O614" s="147"/>
      <c r="P614" s="147">
        <v>5</v>
      </c>
      <c r="Q614" s="147"/>
      <c r="R614" s="147"/>
      <c r="S614" s="147"/>
      <c r="T614" s="147"/>
      <c r="U614" s="149"/>
      <c r="V614" s="52"/>
      <c r="W614" s="52"/>
      <c r="X614" s="52"/>
      <c r="Y614" s="52"/>
    </row>
    <row r="615" spans="1:25" s="26" customFormat="1" ht="15" customHeight="1" x14ac:dyDescent="0.2">
      <c r="A615" s="55">
        <v>41656.366678240702</v>
      </c>
      <c r="B615" s="52" t="s">
        <v>152</v>
      </c>
      <c r="C615" s="52" t="s">
        <v>213</v>
      </c>
      <c r="D615" s="69">
        <v>41640</v>
      </c>
      <c r="E615" s="52" t="s">
        <v>4191</v>
      </c>
      <c r="F615" s="52" t="s">
        <v>2135</v>
      </c>
      <c r="G615" s="52" t="s">
        <v>60</v>
      </c>
      <c r="H615" s="52" t="s">
        <v>4192</v>
      </c>
      <c r="I615" s="52" t="s">
        <v>2986</v>
      </c>
      <c r="J615" s="95">
        <v>5</v>
      </c>
      <c r="K615" s="118">
        <v>16</v>
      </c>
      <c r="L615" s="148"/>
      <c r="M615" s="146" t="s">
        <v>44</v>
      </c>
      <c r="N615" s="147"/>
      <c r="O615" s="147"/>
      <c r="P615" s="147">
        <v>20</v>
      </c>
      <c r="Q615" s="147"/>
      <c r="R615" s="147"/>
      <c r="S615" s="147"/>
      <c r="T615" s="147"/>
      <c r="U615" s="149"/>
      <c r="V615" s="52"/>
      <c r="W615" s="52"/>
      <c r="X615" s="52"/>
      <c r="Y615" s="52"/>
    </row>
    <row r="616" spans="1:25" s="26" customFormat="1" ht="15" customHeight="1" x14ac:dyDescent="0.2">
      <c r="A616" s="55">
        <v>41656.3688078704</v>
      </c>
      <c r="B616" s="52" t="s">
        <v>152</v>
      </c>
      <c r="C616" s="52" t="s">
        <v>213</v>
      </c>
      <c r="D616" s="69">
        <v>41640</v>
      </c>
      <c r="E616" s="52" t="s">
        <v>4193</v>
      </c>
      <c r="F616" s="52" t="s">
        <v>2074</v>
      </c>
      <c r="G616" s="52" t="s">
        <v>60</v>
      </c>
      <c r="H616" s="52"/>
      <c r="I616" s="52" t="s">
        <v>3140</v>
      </c>
      <c r="J616" s="95">
        <v>1</v>
      </c>
      <c r="K616" s="118">
        <v>3</v>
      </c>
      <c r="L616" s="148"/>
      <c r="M616" s="146" t="s">
        <v>22</v>
      </c>
      <c r="N616" s="147"/>
      <c r="O616" s="147"/>
      <c r="P616" s="147"/>
      <c r="Q616" s="147"/>
      <c r="R616" s="147"/>
      <c r="S616" s="147"/>
      <c r="T616" s="147"/>
      <c r="U616" s="149"/>
      <c r="V616" s="52"/>
      <c r="W616" s="52"/>
      <c r="X616" s="52"/>
      <c r="Y616" s="52"/>
    </row>
    <row r="617" spans="1:25" s="26" customFormat="1" ht="15" customHeight="1" x14ac:dyDescent="0.2">
      <c r="A617" s="55">
        <v>41656.370486111096</v>
      </c>
      <c r="B617" s="52" t="s">
        <v>152</v>
      </c>
      <c r="C617" s="52" t="s">
        <v>213</v>
      </c>
      <c r="D617" s="69">
        <v>41640</v>
      </c>
      <c r="E617" s="52" t="s">
        <v>706</v>
      </c>
      <c r="F617" s="52" t="s">
        <v>2074</v>
      </c>
      <c r="G617" s="52" t="s">
        <v>60</v>
      </c>
      <c r="H617" s="52" t="s">
        <v>4194</v>
      </c>
      <c r="I617" s="52" t="s">
        <v>3140</v>
      </c>
      <c r="J617" s="95">
        <v>1</v>
      </c>
      <c r="K617" s="118">
        <v>4</v>
      </c>
      <c r="L617" s="148"/>
      <c r="M617" s="146" t="s">
        <v>44</v>
      </c>
      <c r="N617" s="147"/>
      <c r="O617" s="147"/>
      <c r="P617" s="147">
        <v>15</v>
      </c>
      <c r="Q617" s="147"/>
      <c r="R617" s="147"/>
      <c r="S617" s="147"/>
      <c r="T617" s="147"/>
      <c r="U617" s="149"/>
      <c r="V617" s="52"/>
      <c r="W617" s="52"/>
      <c r="X617" s="52"/>
      <c r="Y617" s="52"/>
    </row>
    <row r="618" spans="1:25" s="26" customFormat="1" ht="15" customHeight="1" x14ac:dyDescent="0.2">
      <c r="A618" s="55">
        <v>41657.387291666702</v>
      </c>
      <c r="B618" s="52" t="s">
        <v>152</v>
      </c>
      <c r="C618" s="52" t="s">
        <v>213</v>
      </c>
      <c r="D618" s="69">
        <v>41640</v>
      </c>
      <c r="E618" s="52" t="s">
        <v>4195</v>
      </c>
      <c r="F618" s="52" t="s">
        <v>2074</v>
      </c>
      <c r="G618" s="52" t="s">
        <v>60</v>
      </c>
      <c r="H618" s="52" t="s">
        <v>4196</v>
      </c>
      <c r="I618" s="52" t="s">
        <v>2986</v>
      </c>
      <c r="J618" s="95">
        <v>7</v>
      </c>
      <c r="K618" s="118">
        <v>17</v>
      </c>
      <c r="L618" s="148"/>
      <c r="M618" s="146" t="s">
        <v>44</v>
      </c>
      <c r="N618" s="147"/>
      <c r="O618" s="147"/>
      <c r="P618" s="147">
        <v>20</v>
      </c>
      <c r="Q618" s="147"/>
      <c r="R618" s="147"/>
      <c r="S618" s="147"/>
      <c r="T618" s="147"/>
      <c r="U618" s="149"/>
      <c r="V618" s="52" t="s">
        <v>4197</v>
      </c>
      <c r="W618" s="52"/>
      <c r="X618" s="52"/>
      <c r="Y618" s="52"/>
    </row>
    <row r="619" spans="1:25" s="26" customFormat="1" ht="15" customHeight="1" x14ac:dyDescent="0.2">
      <c r="A619" s="55">
        <v>41661.451157407399</v>
      </c>
      <c r="B619" s="52" t="s">
        <v>152</v>
      </c>
      <c r="C619" s="52" t="s">
        <v>213</v>
      </c>
      <c r="D619" s="69">
        <v>41640</v>
      </c>
      <c r="E619" s="52" t="s">
        <v>4238</v>
      </c>
      <c r="F619" s="52" t="s">
        <v>4239</v>
      </c>
      <c r="G619" s="52" t="s">
        <v>60</v>
      </c>
      <c r="H619" s="52"/>
      <c r="I619" s="52" t="s">
        <v>2986</v>
      </c>
      <c r="J619" s="95">
        <v>7</v>
      </c>
      <c r="K619" s="118">
        <v>31</v>
      </c>
      <c r="L619" s="148"/>
      <c r="M619" s="146" t="s">
        <v>44</v>
      </c>
      <c r="N619" s="147"/>
      <c r="O619" s="147"/>
      <c r="P619" s="147">
        <v>25</v>
      </c>
      <c r="Q619" s="147"/>
      <c r="R619" s="147"/>
      <c r="S619" s="147"/>
      <c r="T619" s="147"/>
      <c r="U619" s="149"/>
      <c r="V619" s="52"/>
      <c r="W619" s="52"/>
      <c r="X619" s="52"/>
      <c r="Y619" s="52"/>
    </row>
    <row r="620" spans="1:25" s="26" customFormat="1" ht="15" customHeight="1" x14ac:dyDescent="0.2">
      <c r="A620" s="55">
        <v>41662.383043981499</v>
      </c>
      <c r="B620" s="52" t="s">
        <v>152</v>
      </c>
      <c r="C620" s="52" t="s">
        <v>213</v>
      </c>
      <c r="D620" s="69">
        <v>41640</v>
      </c>
      <c r="E620" s="52" t="s">
        <v>4242</v>
      </c>
      <c r="F620" s="52" t="s">
        <v>4243</v>
      </c>
      <c r="G620" s="52" t="s">
        <v>20</v>
      </c>
      <c r="H620" s="52" t="s">
        <v>4244</v>
      </c>
      <c r="I620" s="52"/>
      <c r="J620" s="95">
        <v>1</v>
      </c>
      <c r="K620" s="118">
        <v>36</v>
      </c>
      <c r="L620" s="148"/>
      <c r="M620" s="146" t="s">
        <v>44</v>
      </c>
      <c r="N620" s="147">
        <v>126</v>
      </c>
      <c r="O620" s="147"/>
      <c r="P620" s="147">
        <v>20</v>
      </c>
      <c r="Q620" s="147"/>
      <c r="R620" s="147"/>
      <c r="S620" s="147"/>
      <c r="T620" s="147"/>
      <c r="U620" s="149"/>
      <c r="V620" s="52"/>
      <c r="W620" s="52"/>
      <c r="X620" s="52"/>
      <c r="Y620" s="52"/>
    </row>
    <row r="621" spans="1:25" s="26" customFormat="1" ht="15" customHeight="1" x14ac:dyDescent="0.2">
      <c r="A621" s="55">
        <v>41670.531423611101</v>
      </c>
      <c r="B621" s="52" t="s">
        <v>152</v>
      </c>
      <c r="C621" s="52" t="s">
        <v>213</v>
      </c>
      <c r="D621" s="69">
        <v>41640</v>
      </c>
      <c r="E621" s="52" t="s">
        <v>4275</v>
      </c>
      <c r="F621" s="52" t="s">
        <v>4151</v>
      </c>
      <c r="G621" s="52" t="s">
        <v>60</v>
      </c>
      <c r="H621" s="52" t="s">
        <v>4276</v>
      </c>
      <c r="I621" s="52" t="s">
        <v>3140</v>
      </c>
      <c r="J621" s="95">
        <v>1</v>
      </c>
      <c r="K621" s="118">
        <v>7</v>
      </c>
      <c r="L621" s="148"/>
      <c r="M621" s="146" t="s">
        <v>44</v>
      </c>
      <c r="N621" s="147"/>
      <c r="O621" s="147"/>
      <c r="P621" s="147">
        <v>20</v>
      </c>
      <c r="Q621" s="147"/>
      <c r="R621" s="147"/>
      <c r="S621" s="147"/>
      <c r="T621" s="147"/>
      <c r="U621" s="149"/>
      <c r="V621" s="52"/>
      <c r="W621" s="52"/>
      <c r="X621" s="52"/>
      <c r="Y621" s="52"/>
    </row>
    <row r="622" spans="1:25" s="26" customFormat="1" ht="15" customHeight="1" x14ac:dyDescent="0.2">
      <c r="A622" s="55">
        <v>41671.740231481497</v>
      </c>
      <c r="B622" s="52" t="s">
        <v>152</v>
      </c>
      <c r="C622" s="52" t="s">
        <v>213</v>
      </c>
      <c r="D622" s="69">
        <v>41640</v>
      </c>
      <c r="E622" s="52" t="s">
        <v>4323</v>
      </c>
      <c r="F622" s="52" t="s">
        <v>4151</v>
      </c>
      <c r="G622" s="52" t="s">
        <v>60</v>
      </c>
      <c r="H622" s="52"/>
      <c r="I622" s="52" t="s">
        <v>4324</v>
      </c>
      <c r="J622" s="95">
        <v>3</v>
      </c>
      <c r="K622" s="118">
        <v>5</v>
      </c>
      <c r="L622" s="148"/>
      <c r="M622" s="146" t="s">
        <v>44</v>
      </c>
      <c r="N622" s="147">
        <v>30</v>
      </c>
      <c r="O622" s="147"/>
      <c r="P622" s="147">
        <v>5</v>
      </c>
      <c r="Q622" s="147"/>
      <c r="R622" s="147"/>
      <c r="S622" s="147"/>
      <c r="T622" s="147"/>
      <c r="U622" s="149"/>
      <c r="V622" s="52"/>
      <c r="W622" s="52"/>
      <c r="X622" s="52"/>
      <c r="Y622" s="52"/>
    </row>
    <row r="623" spans="1:25" s="26" customFormat="1" ht="15" customHeight="1" x14ac:dyDescent="0.2">
      <c r="A623" s="55">
        <v>41671.747893518499</v>
      </c>
      <c r="B623" s="52" t="s">
        <v>152</v>
      </c>
      <c r="C623" s="52" t="s">
        <v>213</v>
      </c>
      <c r="D623" s="69">
        <v>41640</v>
      </c>
      <c r="E623" s="52" t="s">
        <v>4325</v>
      </c>
      <c r="F623" s="52" t="s">
        <v>4326</v>
      </c>
      <c r="G623" s="52" t="s">
        <v>42</v>
      </c>
      <c r="H623" s="52" t="s">
        <v>4327</v>
      </c>
      <c r="I623" s="52" t="s">
        <v>3140</v>
      </c>
      <c r="J623" s="95">
        <v>1</v>
      </c>
      <c r="K623" s="118">
        <v>17</v>
      </c>
      <c r="L623" s="148"/>
      <c r="M623" s="146" t="s">
        <v>44</v>
      </c>
      <c r="N623" s="147">
        <v>59.5</v>
      </c>
      <c r="O623" s="147"/>
      <c r="P623" s="147">
        <v>30.04</v>
      </c>
      <c r="Q623" s="147"/>
      <c r="R623" s="147"/>
      <c r="S623" s="147"/>
      <c r="T623" s="147"/>
      <c r="U623" s="149"/>
      <c r="V623" s="52"/>
      <c r="W623" s="52"/>
      <c r="X623" s="52"/>
      <c r="Y623" s="52"/>
    </row>
    <row r="624" spans="1:25" s="26" customFormat="1" ht="15" customHeight="1" x14ac:dyDescent="0.2">
      <c r="A624" s="32">
        <v>41671.760046296295</v>
      </c>
      <c r="B624" s="26" t="s">
        <v>152</v>
      </c>
      <c r="C624" s="26" t="s">
        <v>213</v>
      </c>
      <c r="D624" s="33">
        <v>41671</v>
      </c>
      <c r="E624" s="26" t="s">
        <v>4542</v>
      </c>
      <c r="F624" s="34" t="s">
        <v>4543</v>
      </c>
      <c r="G624" s="34" t="s">
        <v>26</v>
      </c>
      <c r="H624" s="34" t="s">
        <v>5153</v>
      </c>
      <c r="I624" s="26" t="s">
        <v>4544</v>
      </c>
      <c r="J624" s="115">
        <v>1</v>
      </c>
      <c r="K624" s="115">
        <v>12</v>
      </c>
      <c r="L624" s="136"/>
      <c r="M624" s="137" t="s">
        <v>44</v>
      </c>
      <c r="N624" s="138">
        <v>72</v>
      </c>
      <c r="O624" s="138"/>
      <c r="P624" s="138">
        <v>150</v>
      </c>
      <c r="Q624" s="138"/>
      <c r="R624" s="138"/>
      <c r="S624" s="138"/>
      <c r="T624" s="138"/>
      <c r="U624" s="138"/>
      <c r="V624" s="26" t="s">
        <v>4545</v>
      </c>
    </row>
    <row r="625" spans="1:22" s="26" customFormat="1" ht="15" customHeight="1" x14ac:dyDescent="0.2">
      <c r="A625" s="32">
        <v>41671.761400462965</v>
      </c>
      <c r="B625" s="26" t="s">
        <v>152</v>
      </c>
      <c r="C625" s="26" t="s">
        <v>213</v>
      </c>
      <c r="D625" s="33">
        <v>41671</v>
      </c>
      <c r="E625" s="26" t="s">
        <v>4546</v>
      </c>
      <c r="F625" s="26" t="s">
        <v>2074</v>
      </c>
      <c r="G625" s="26" t="s">
        <v>60</v>
      </c>
      <c r="I625" s="26" t="s">
        <v>4547</v>
      </c>
      <c r="J625" s="46">
        <v>1</v>
      </c>
      <c r="K625" s="46">
        <v>2</v>
      </c>
      <c r="L625" s="136"/>
      <c r="M625" s="137" t="s">
        <v>44</v>
      </c>
      <c r="N625" s="138"/>
      <c r="O625" s="138"/>
      <c r="P625" s="138">
        <v>2</v>
      </c>
      <c r="Q625" s="138"/>
      <c r="R625" s="138"/>
      <c r="S625" s="138"/>
      <c r="T625" s="138"/>
      <c r="U625" s="138"/>
    </row>
    <row r="626" spans="1:22" s="26" customFormat="1" ht="15" customHeight="1" x14ac:dyDescent="0.2">
      <c r="A626" s="32">
        <v>41674.873993055553</v>
      </c>
      <c r="B626" s="26" t="s">
        <v>152</v>
      </c>
      <c r="C626" s="26" t="s">
        <v>213</v>
      </c>
      <c r="D626" s="33">
        <v>41671</v>
      </c>
      <c r="E626" s="26" t="s">
        <v>4563</v>
      </c>
      <c r="F626" s="26" t="s">
        <v>4564</v>
      </c>
      <c r="G626" s="26" t="s">
        <v>351</v>
      </c>
      <c r="H626" s="26" t="s">
        <v>4565</v>
      </c>
      <c r="I626" s="26" t="s">
        <v>2986</v>
      </c>
      <c r="J626" s="46">
        <v>1</v>
      </c>
      <c r="K626" s="46">
        <v>126</v>
      </c>
      <c r="L626" s="136"/>
      <c r="M626" s="137" t="s">
        <v>22</v>
      </c>
      <c r="N626" s="138"/>
      <c r="O626" s="138"/>
      <c r="P626" s="138"/>
      <c r="Q626" s="138"/>
      <c r="R626" s="138"/>
      <c r="S626" s="138"/>
      <c r="T626" s="138"/>
      <c r="U626" s="138"/>
      <c r="V626" s="26" t="s">
        <v>4566</v>
      </c>
    </row>
    <row r="627" spans="1:22" s="26" customFormat="1" ht="15" customHeight="1" x14ac:dyDescent="0.2">
      <c r="A627" s="32">
        <v>41678.355428240742</v>
      </c>
      <c r="B627" s="26" t="s">
        <v>152</v>
      </c>
      <c r="C627" s="26" t="s">
        <v>213</v>
      </c>
      <c r="D627" s="33">
        <v>41671</v>
      </c>
      <c r="E627" s="26" t="s">
        <v>4570</v>
      </c>
      <c r="F627" s="26" t="s">
        <v>4151</v>
      </c>
      <c r="G627" s="26" t="s">
        <v>60</v>
      </c>
      <c r="I627" s="26" t="s">
        <v>2986</v>
      </c>
      <c r="J627" s="46">
        <v>2</v>
      </c>
      <c r="K627" s="46">
        <v>3</v>
      </c>
      <c r="L627" s="136"/>
      <c r="M627" s="137" t="s">
        <v>22</v>
      </c>
      <c r="N627" s="138"/>
      <c r="O627" s="138"/>
      <c r="P627" s="138"/>
      <c r="Q627" s="138"/>
      <c r="R627" s="138"/>
      <c r="S627" s="138"/>
      <c r="T627" s="138"/>
      <c r="U627" s="138"/>
    </row>
    <row r="628" spans="1:22" s="26" customFormat="1" ht="15" customHeight="1" x14ac:dyDescent="0.2">
      <c r="A628" s="32">
        <v>41687.384212962963</v>
      </c>
      <c r="B628" s="26" t="s">
        <v>152</v>
      </c>
      <c r="C628" s="26" t="s">
        <v>213</v>
      </c>
      <c r="D628" s="33">
        <v>41671</v>
      </c>
      <c r="E628" s="26" t="s">
        <v>4603</v>
      </c>
      <c r="F628" s="26" t="s">
        <v>2074</v>
      </c>
      <c r="G628" s="26" t="s">
        <v>60</v>
      </c>
      <c r="H628" s="26" t="s">
        <v>4604</v>
      </c>
      <c r="I628" s="26" t="s">
        <v>4324</v>
      </c>
      <c r="J628" s="46">
        <v>6</v>
      </c>
      <c r="K628" s="46">
        <v>20</v>
      </c>
      <c r="L628" s="136"/>
      <c r="M628" s="137" t="s">
        <v>44</v>
      </c>
      <c r="N628" s="138"/>
      <c r="O628" s="138"/>
      <c r="P628" s="138">
        <v>25</v>
      </c>
      <c r="Q628" s="138"/>
      <c r="R628" s="138"/>
      <c r="S628" s="138"/>
      <c r="T628" s="138"/>
      <c r="U628" s="138"/>
    </row>
    <row r="629" spans="1:22" s="26" customFormat="1" ht="15" customHeight="1" x14ac:dyDescent="0.2">
      <c r="A629" s="32">
        <v>41687.386597222219</v>
      </c>
      <c r="B629" s="26" t="s">
        <v>152</v>
      </c>
      <c r="C629" s="26" t="s">
        <v>213</v>
      </c>
      <c r="D629" s="33">
        <v>41671</v>
      </c>
      <c r="E629" s="26" t="s">
        <v>4605</v>
      </c>
      <c r="F629" s="26" t="s">
        <v>2074</v>
      </c>
      <c r="G629" s="26" t="s">
        <v>60</v>
      </c>
      <c r="H629" s="26" t="s">
        <v>4606</v>
      </c>
      <c r="I629" s="26" t="s">
        <v>4547</v>
      </c>
      <c r="J629" s="46">
        <v>2</v>
      </c>
      <c r="K629" s="46">
        <v>17</v>
      </c>
      <c r="L629" s="136"/>
      <c r="M629" s="137" t="s">
        <v>44</v>
      </c>
      <c r="N629" s="138"/>
      <c r="O629" s="138"/>
      <c r="P629" s="138">
        <v>22</v>
      </c>
      <c r="Q629" s="138"/>
      <c r="R629" s="138"/>
      <c r="S629" s="138"/>
      <c r="T629" s="138"/>
      <c r="U629" s="138"/>
    </row>
    <row r="630" spans="1:22" s="26" customFormat="1" ht="15" customHeight="1" x14ac:dyDescent="0.2">
      <c r="A630" s="32">
        <v>41687.388344907406</v>
      </c>
      <c r="B630" s="26" t="s">
        <v>152</v>
      </c>
      <c r="C630" s="26" t="s">
        <v>213</v>
      </c>
      <c r="D630" s="33">
        <v>41671</v>
      </c>
      <c r="E630" s="26" t="s">
        <v>4605</v>
      </c>
      <c r="F630" s="26" t="s">
        <v>4607</v>
      </c>
      <c r="G630" s="26" t="s">
        <v>26</v>
      </c>
      <c r="H630" s="26" t="s">
        <v>4608</v>
      </c>
      <c r="I630" s="26" t="s">
        <v>4547</v>
      </c>
      <c r="J630" s="46">
        <v>1</v>
      </c>
      <c r="K630" s="46">
        <v>25</v>
      </c>
      <c r="L630" s="136"/>
      <c r="M630" s="137" t="s">
        <v>44</v>
      </c>
      <c r="N630" s="138">
        <v>100</v>
      </c>
      <c r="O630" s="138"/>
      <c r="P630" s="138">
        <v>60</v>
      </c>
      <c r="Q630" s="138"/>
      <c r="R630" s="138"/>
      <c r="S630" s="138"/>
      <c r="T630" s="138"/>
      <c r="U630" s="138"/>
      <c r="V630" s="26" t="s">
        <v>4609</v>
      </c>
    </row>
    <row r="631" spans="1:22" s="26" customFormat="1" ht="15" customHeight="1" x14ac:dyDescent="0.2">
      <c r="A631" s="32">
        <v>41696.724988425929</v>
      </c>
      <c r="B631" s="26" t="s">
        <v>152</v>
      </c>
      <c r="C631" s="26" t="s">
        <v>213</v>
      </c>
      <c r="D631" s="33">
        <v>41671</v>
      </c>
      <c r="E631" s="26" t="s">
        <v>4696</v>
      </c>
      <c r="F631" s="26" t="s">
        <v>2135</v>
      </c>
      <c r="G631" s="26" t="s">
        <v>60</v>
      </c>
      <c r="H631" s="26" t="s">
        <v>4697</v>
      </c>
      <c r="I631" s="26" t="s">
        <v>2986</v>
      </c>
      <c r="J631" s="46">
        <v>5</v>
      </c>
      <c r="K631" s="46">
        <v>12</v>
      </c>
      <c r="L631" s="136"/>
      <c r="M631" s="137" t="s">
        <v>44</v>
      </c>
      <c r="N631" s="138"/>
      <c r="O631" s="138"/>
      <c r="P631" s="138">
        <v>50</v>
      </c>
      <c r="Q631" s="138"/>
      <c r="R631" s="138"/>
      <c r="S631" s="138"/>
      <c r="T631" s="138"/>
      <c r="U631" s="138"/>
    </row>
    <row r="632" spans="1:22" s="26" customFormat="1" ht="15" customHeight="1" x14ac:dyDescent="0.2">
      <c r="A632" s="32">
        <v>41696.728275462963</v>
      </c>
      <c r="B632" s="26" t="s">
        <v>152</v>
      </c>
      <c r="C632" s="26" t="s">
        <v>213</v>
      </c>
      <c r="D632" s="33">
        <v>41671</v>
      </c>
      <c r="E632" s="26" t="s">
        <v>4698</v>
      </c>
      <c r="F632" s="26" t="s">
        <v>2074</v>
      </c>
      <c r="G632" s="26" t="s">
        <v>60</v>
      </c>
      <c r="H632" s="26" t="s">
        <v>4699</v>
      </c>
      <c r="I632" s="26" t="s">
        <v>2986</v>
      </c>
      <c r="J632" s="46">
        <v>3</v>
      </c>
      <c r="K632" s="46">
        <v>9</v>
      </c>
      <c r="L632" s="136"/>
      <c r="M632" s="137" t="s">
        <v>44</v>
      </c>
      <c r="N632" s="138"/>
      <c r="O632" s="138"/>
      <c r="P632" s="138">
        <v>25</v>
      </c>
      <c r="Q632" s="138"/>
      <c r="R632" s="138"/>
      <c r="S632" s="138"/>
      <c r="T632" s="138"/>
      <c r="U632" s="138"/>
      <c r="V632" s="34" t="s">
        <v>5152</v>
      </c>
    </row>
    <row r="633" spans="1:22" s="26" customFormat="1" ht="15" customHeight="1" x14ac:dyDescent="0.2">
      <c r="A633" s="32">
        <v>41698.367731481485</v>
      </c>
      <c r="B633" s="26" t="s">
        <v>152</v>
      </c>
      <c r="C633" s="26" t="s">
        <v>213</v>
      </c>
      <c r="D633" s="33">
        <v>41671</v>
      </c>
      <c r="E633" s="26" t="s">
        <v>4704</v>
      </c>
      <c r="F633" s="26" t="s">
        <v>4705</v>
      </c>
      <c r="G633" s="26" t="s">
        <v>20</v>
      </c>
      <c r="H633" s="26" t="s">
        <v>4706</v>
      </c>
      <c r="I633" s="26" t="s">
        <v>4707</v>
      </c>
      <c r="J633" s="46">
        <v>1</v>
      </c>
      <c r="K633" s="46">
        <v>136</v>
      </c>
      <c r="L633" s="136"/>
      <c r="M633" s="137" t="s">
        <v>44</v>
      </c>
      <c r="N633" s="138">
        <v>280</v>
      </c>
      <c r="O633" s="138"/>
      <c r="P633" s="138">
        <v>26</v>
      </c>
      <c r="Q633" s="138"/>
      <c r="R633" s="138"/>
      <c r="S633" s="138"/>
      <c r="T633" s="138"/>
      <c r="U633" s="138"/>
      <c r="V633" s="26" t="s">
        <v>4708</v>
      </c>
    </row>
    <row r="634" spans="1:22" s="26" customFormat="1" ht="15" customHeight="1" x14ac:dyDescent="0.2">
      <c r="A634" s="32">
        <v>41706.404803240737</v>
      </c>
      <c r="B634" s="26" t="s">
        <v>152</v>
      </c>
      <c r="C634" s="26" t="s">
        <v>213</v>
      </c>
      <c r="D634" s="33">
        <v>41699</v>
      </c>
      <c r="E634" s="26" t="s">
        <v>5035</v>
      </c>
      <c r="F634" s="26" t="s">
        <v>2074</v>
      </c>
      <c r="G634" s="26" t="s">
        <v>60</v>
      </c>
      <c r="H634" s="26" t="s">
        <v>5036</v>
      </c>
      <c r="I634" s="26" t="s">
        <v>2986</v>
      </c>
      <c r="J634" s="46">
        <v>2</v>
      </c>
      <c r="K634" s="46">
        <v>6</v>
      </c>
      <c r="L634" s="136"/>
      <c r="M634" s="137" t="s">
        <v>22</v>
      </c>
      <c r="N634" s="138"/>
      <c r="O634" s="138"/>
      <c r="P634" s="138"/>
      <c r="Q634" s="138"/>
      <c r="R634" s="138"/>
      <c r="S634" s="138"/>
      <c r="T634" s="138"/>
      <c r="U634" s="138"/>
    </row>
    <row r="635" spans="1:22" s="26" customFormat="1" ht="15" customHeight="1" x14ac:dyDescent="0.2">
      <c r="A635" s="32">
        <v>41706.411979166667</v>
      </c>
      <c r="B635" s="26" t="s">
        <v>152</v>
      </c>
      <c r="C635" s="26" t="s">
        <v>213</v>
      </c>
      <c r="D635" s="33">
        <v>41699</v>
      </c>
      <c r="E635" s="26" t="s">
        <v>5037</v>
      </c>
      <c r="F635" s="26" t="s">
        <v>4151</v>
      </c>
      <c r="G635" s="26" t="s">
        <v>60</v>
      </c>
      <c r="H635" s="26" t="s">
        <v>5038</v>
      </c>
      <c r="I635" s="26" t="s">
        <v>5039</v>
      </c>
      <c r="J635" s="46">
        <v>1</v>
      </c>
      <c r="K635" s="46">
        <v>4</v>
      </c>
      <c r="L635" s="136"/>
      <c r="M635" s="137" t="s">
        <v>22</v>
      </c>
      <c r="N635" s="138"/>
      <c r="O635" s="138"/>
      <c r="P635" s="138"/>
      <c r="Q635" s="138"/>
      <c r="R635" s="138"/>
      <c r="S635" s="138"/>
      <c r="T635" s="138"/>
      <c r="U635" s="138"/>
    </row>
    <row r="636" spans="1:22" s="26" customFormat="1" ht="15" customHeight="1" x14ac:dyDescent="0.2">
      <c r="A636" s="32">
        <v>41706.417557870373</v>
      </c>
      <c r="B636" s="26" t="s">
        <v>152</v>
      </c>
      <c r="C636" s="26" t="s">
        <v>213</v>
      </c>
      <c r="D636" s="33">
        <v>41699</v>
      </c>
      <c r="E636" s="26" t="s">
        <v>5040</v>
      </c>
      <c r="F636" s="26" t="s">
        <v>5041</v>
      </c>
      <c r="G636" s="26" t="s">
        <v>351</v>
      </c>
      <c r="H636" s="26" t="s">
        <v>5042</v>
      </c>
      <c r="I636" s="26" t="s">
        <v>2986</v>
      </c>
      <c r="J636" s="46">
        <v>1</v>
      </c>
      <c r="K636" s="46">
        <v>50</v>
      </c>
      <c r="L636" s="136"/>
      <c r="M636" s="137" t="s">
        <v>22</v>
      </c>
      <c r="N636" s="138"/>
      <c r="O636" s="138"/>
      <c r="P636" s="138"/>
      <c r="Q636" s="138"/>
      <c r="R636" s="138"/>
      <c r="S636" s="138"/>
      <c r="T636" s="138"/>
      <c r="U636" s="138"/>
      <c r="V636" s="26" t="s">
        <v>5043</v>
      </c>
    </row>
    <row r="637" spans="1:22" s="26" customFormat="1" ht="15" customHeight="1" x14ac:dyDescent="0.2">
      <c r="A637" s="32">
        <v>41712.582835648151</v>
      </c>
      <c r="B637" s="26" t="s">
        <v>152</v>
      </c>
      <c r="C637" s="26" t="s">
        <v>213</v>
      </c>
      <c r="D637" s="33">
        <v>41699</v>
      </c>
      <c r="E637" s="26" t="s">
        <v>5166</v>
      </c>
      <c r="F637" s="26" t="s">
        <v>2074</v>
      </c>
      <c r="G637" s="26" t="s">
        <v>60</v>
      </c>
      <c r="H637" s="26" t="s">
        <v>5167</v>
      </c>
      <c r="I637" s="26" t="s">
        <v>5168</v>
      </c>
      <c r="J637" s="46">
        <v>3</v>
      </c>
      <c r="K637" s="46">
        <v>7</v>
      </c>
      <c r="L637" s="136"/>
      <c r="M637" s="137" t="s">
        <v>22</v>
      </c>
      <c r="N637" s="138"/>
      <c r="O637" s="138"/>
      <c r="P637" s="138"/>
      <c r="Q637" s="138"/>
      <c r="R637" s="138"/>
      <c r="S637" s="138"/>
      <c r="T637" s="138"/>
      <c r="U637" s="138"/>
    </row>
    <row r="638" spans="1:22" s="26" customFormat="1" ht="15" customHeight="1" x14ac:dyDescent="0.2">
      <c r="A638" s="32">
        <v>41712.585138888891</v>
      </c>
      <c r="B638" s="26" t="s">
        <v>152</v>
      </c>
      <c r="C638" s="26" t="s">
        <v>213</v>
      </c>
      <c r="D638" s="33">
        <v>41699</v>
      </c>
      <c r="E638" s="26" t="s">
        <v>5166</v>
      </c>
      <c r="F638" s="26" t="s">
        <v>5169</v>
      </c>
      <c r="G638" s="26" t="s">
        <v>26</v>
      </c>
      <c r="H638" s="26" t="s">
        <v>5170</v>
      </c>
      <c r="I638" s="34" t="s">
        <v>4547</v>
      </c>
      <c r="J638" s="46">
        <v>5</v>
      </c>
      <c r="K638" s="46">
        <v>30</v>
      </c>
      <c r="L638" s="136"/>
      <c r="M638" s="137" t="s">
        <v>44</v>
      </c>
      <c r="N638" s="138"/>
      <c r="O638" s="138"/>
      <c r="P638" s="138">
        <v>50</v>
      </c>
      <c r="Q638" s="138"/>
      <c r="R638" s="138"/>
      <c r="S638" s="138"/>
      <c r="T638" s="138"/>
      <c r="U638" s="138"/>
    </row>
    <row r="639" spans="1:22" s="26" customFormat="1" ht="15" customHeight="1" x14ac:dyDescent="0.2">
      <c r="A639" s="32">
        <v>41712.586550925924</v>
      </c>
      <c r="B639" s="26" t="s">
        <v>152</v>
      </c>
      <c r="C639" s="26" t="s">
        <v>213</v>
      </c>
      <c r="D639" s="33">
        <v>41699</v>
      </c>
      <c r="E639" s="26" t="s">
        <v>5166</v>
      </c>
      <c r="F639" s="26" t="s">
        <v>5171</v>
      </c>
      <c r="G639" s="26" t="s">
        <v>26</v>
      </c>
      <c r="H639" s="26" t="s">
        <v>5172</v>
      </c>
      <c r="I639" s="26" t="s">
        <v>2986</v>
      </c>
      <c r="J639" s="46">
        <v>1</v>
      </c>
      <c r="K639" s="46">
        <v>8</v>
      </c>
      <c r="L639" s="136"/>
      <c r="M639" s="137" t="s">
        <v>44</v>
      </c>
      <c r="N639" s="138"/>
      <c r="O639" s="138"/>
      <c r="P639" s="138">
        <v>12</v>
      </c>
      <c r="Q639" s="138"/>
      <c r="R639" s="138"/>
      <c r="S639" s="138"/>
      <c r="T639" s="138"/>
      <c r="U639" s="138"/>
    </row>
    <row r="640" spans="1:22" s="26" customFormat="1" ht="15" customHeight="1" x14ac:dyDescent="0.2">
      <c r="A640" s="32">
        <v>41717.444374999999</v>
      </c>
      <c r="B640" s="26" t="s">
        <v>152</v>
      </c>
      <c r="C640" s="26" t="s">
        <v>213</v>
      </c>
      <c r="D640" s="33">
        <v>41699</v>
      </c>
      <c r="E640" s="26" t="s">
        <v>5188</v>
      </c>
      <c r="F640" s="26" t="s">
        <v>5189</v>
      </c>
      <c r="G640" s="26" t="s">
        <v>156</v>
      </c>
      <c r="H640" s="26" t="s">
        <v>5190</v>
      </c>
      <c r="I640" s="26" t="s">
        <v>5191</v>
      </c>
      <c r="J640" s="46">
        <v>1</v>
      </c>
      <c r="K640" s="46">
        <v>102</v>
      </c>
      <c r="L640" s="136"/>
      <c r="M640" s="137" t="s">
        <v>44</v>
      </c>
      <c r="N640" s="138">
        <v>538</v>
      </c>
      <c r="O640" s="138"/>
      <c r="P640" s="138">
        <v>400</v>
      </c>
      <c r="Q640" s="138"/>
      <c r="R640" s="138"/>
      <c r="S640" s="138"/>
      <c r="T640" s="138"/>
      <c r="U640" s="138"/>
      <c r="V640" s="26" t="s">
        <v>5192</v>
      </c>
    </row>
    <row r="641" spans="1:25" s="26" customFormat="1" ht="15" customHeight="1" x14ac:dyDescent="0.2">
      <c r="A641" s="32">
        <v>41717.451122685183</v>
      </c>
      <c r="B641" s="26" t="s">
        <v>152</v>
      </c>
      <c r="C641" s="26" t="s">
        <v>213</v>
      </c>
      <c r="D641" s="33">
        <v>41699</v>
      </c>
      <c r="E641" s="26" t="s">
        <v>5193</v>
      </c>
      <c r="F641" s="26" t="s">
        <v>2074</v>
      </c>
      <c r="G641" s="26" t="s">
        <v>60</v>
      </c>
      <c r="H641" s="26" t="s">
        <v>5194</v>
      </c>
      <c r="I641" s="26" t="s">
        <v>5195</v>
      </c>
      <c r="J641" s="46">
        <v>7</v>
      </c>
      <c r="K641" s="46">
        <v>17</v>
      </c>
      <c r="L641" s="136"/>
      <c r="M641" s="137" t="s">
        <v>44</v>
      </c>
      <c r="N641" s="138"/>
      <c r="O641" s="138"/>
      <c r="P641" s="138">
        <v>28</v>
      </c>
      <c r="Q641" s="138"/>
      <c r="R641" s="138"/>
      <c r="S641" s="138"/>
      <c r="T641" s="138"/>
      <c r="U641" s="138"/>
    </row>
    <row r="642" spans="1:25" s="26" customFormat="1" ht="15" customHeight="1" x14ac:dyDescent="0.2">
      <c r="A642" s="32">
        <v>41719.605775462966</v>
      </c>
      <c r="B642" s="26" t="s">
        <v>152</v>
      </c>
      <c r="C642" s="26" t="s">
        <v>213</v>
      </c>
      <c r="D642" s="33">
        <v>41699</v>
      </c>
      <c r="E642" s="26" t="s">
        <v>5225</v>
      </c>
      <c r="F642" s="26" t="s">
        <v>5226</v>
      </c>
      <c r="G642" s="26" t="s">
        <v>20</v>
      </c>
      <c r="H642" s="26" t="s">
        <v>5227</v>
      </c>
      <c r="I642" s="26" t="s">
        <v>2986</v>
      </c>
      <c r="J642" s="46">
        <v>1</v>
      </c>
      <c r="K642" s="46">
        <v>84</v>
      </c>
      <c r="L642" s="136"/>
      <c r="M642" s="137" t="s">
        <v>44</v>
      </c>
      <c r="N642" s="138">
        <v>294</v>
      </c>
      <c r="O642" s="138"/>
      <c r="P642" s="138"/>
      <c r="Q642" s="138"/>
      <c r="R642" s="138"/>
      <c r="S642" s="138"/>
      <c r="T642" s="138"/>
      <c r="U642" s="138"/>
      <c r="V642" s="26" t="s">
        <v>5228</v>
      </c>
    </row>
    <row r="643" spans="1:25" s="26" customFormat="1" ht="15" customHeight="1" x14ac:dyDescent="0.2">
      <c r="A643" s="32">
        <v>41719.610196759262</v>
      </c>
      <c r="B643" s="26" t="s">
        <v>152</v>
      </c>
      <c r="C643" s="26" t="s">
        <v>213</v>
      </c>
      <c r="D643" s="33">
        <v>41699</v>
      </c>
      <c r="E643" s="26" t="s">
        <v>5234</v>
      </c>
      <c r="F643" s="26" t="s">
        <v>5235</v>
      </c>
      <c r="G643" s="26" t="s">
        <v>20</v>
      </c>
      <c r="H643" s="26" t="s">
        <v>5236</v>
      </c>
      <c r="I643" s="26" t="s">
        <v>5237</v>
      </c>
      <c r="J643" s="46">
        <v>1</v>
      </c>
      <c r="K643" s="46">
        <v>41</v>
      </c>
      <c r="L643" s="136"/>
      <c r="M643" s="137" t="s">
        <v>44</v>
      </c>
      <c r="N643" s="138">
        <v>122.5</v>
      </c>
      <c r="O643" s="138"/>
      <c r="P643" s="138">
        <v>12</v>
      </c>
      <c r="Q643" s="138"/>
      <c r="R643" s="138"/>
      <c r="S643" s="138"/>
      <c r="T643" s="138"/>
      <c r="U643" s="138"/>
      <c r="V643" s="26" t="s">
        <v>5238</v>
      </c>
    </row>
    <row r="644" spans="1:25" s="26" customFormat="1" ht="15" customHeight="1" x14ac:dyDescent="0.2">
      <c r="A644" s="32">
        <v>41719.61246527778</v>
      </c>
      <c r="B644" s="26" t="s">
        <v>152</v>
      </c>
      <c r="C644" s="26" t="s">
        <v>213</v>
      </c>
      <c r="D644" s="33">
        <v>41699</v>
      </c>
      <c r="E644" s="26" t="s">
        <v>5243</v>
      </c>
      <c r="F644" s="26" t="s">
        <v>2126</v>
      </c>
      <c r="G644" s="26" t="s">
        <v>20</v>
      </c>
      <c r="H644" s="26" t="s">
        <v>5244</v>
      </c>
      <c r="I644" s="26" t="s">
        <v>4547</v>
      </c>
      <c r="J644" s="46">
        <v>1</v>
      </c>
      <c r="K644" s="46">
        <v>22</v>
      </c>
      <c r="L644" s="136"/>
      <c r="M644" s="137" t="s">
        <v>44</v>
      </c>
      <c r="N644" s="138">
        <v>70</v>
      </c>
      <c r="O644" s="138"/>
      <c r="P644" s="138">
        <v>154</v>
      </c>
      <c r="Q644" s="138"/>
      <c r="R644" s="138"/>
      <c r="S644" s="138"/>
      <c r="T644" s="138"/>
      <c r="U644" s="138"/>
      <c r="V644" s="26" t="s">
        <v>5245</v>
      </c>
    </row>
    <row r="645" spans="1:25" s="26" customFormat="1" ht="15" customHeight="1" x14ac:dyDescent="0.2">
      <c r="A645" s="32">
        <v>41719.615081018521</v>
      </c>
      <c r="B645" s="26" t="s">
        <v>152</v>
      </c>
      <c r="C645" s="26" t="s">
        <v>213</v>
      </c>
      <c r="D645" s="33">
        <v>41699</v>
      </c>
      <c r="E645" s="26" t="s">
        <v>5247</v>
      </c>
      <c r="F645" s="26" t="s">
        <v>2074</v>
      </c>
      <c r="G645" s="26" t="s">
        <v>60</v>
      </c>
      <c r="H645" s="26" t="s">
        <v>5248</v>
      </c>
      <c r="I645" s="26" t="s">
        <v>2986</v>
      </c>
      <c r="J645" s="46">
        <v>3</v>
      </c>
      <c r="K645" s="46">
        <v>9</v>
      </c>
      <c r="L645" s="136"/>
      <c r="M645" s="137" t="s">
        <v>22</v>
      </c>
      <c r="N645" s="138"/>
      <c r="O645" s="138"/>
      <c r="P645" s="138"/>
      <c r="Q645" s="138"/>
      <c r="R645" s="138"/>
      <c r="S645" s="138"/>
      <c r="T645" s="138"/>
      <c r="U645" s="138"/>
    </row>
    <row r="646" spans="1:25" s="26" customFormat="1" ht="15" customHeight="1" x14ac:dyDescent="0.2">
      <c r="A646" s="32">
        <v>41724.369583333333</v>
      </c>
      <c r="B646" s="26" t="s">
        <v>152</v>
      </c>
      <c r="C646" s="26" t="s">
        <v>213</v>
      </c>
      <c r="D646" s="33">
        <v>41699</v>
      </c>
      <c r="E646" s="26" t="s">
        <v>5243</v>
      </c>
      <c r="F646" s="26" t="s">
        <v>2074</v>
      </c>
      <c r="G646" s="26" t="s">
        <v>60</v>
      </c>
      <c r="H646" s="26" t="s">
        <v>5261</v>
      </c>
      <c r="I646" s="26" t="s">
        <v>2986</v>
      </c>
      <c r="J646" s="46">
        <v>2</v>
      </c>
      <c r="K646" s="46">
        <v>4</v>
      </c>
      <c r="L646" s="136"/>
      <c r="M646" s="137" t="s">
        <v>22</v>
      </c>
      <c r="N646" s="138"/>
      <c r="O646" s="138"/>
      <c r="P646" s="138"/>
      <c r="Q646" s="138"/>
      <c r="R646" s="138"/>
      <c r="S646" s="138"/>
      <c r="T646" s="138"/>
      <c r="U646" s="138"/>
    </row>
    <row r="647" spans="1:25" s="26" customFormat="1" ht="15" customHeight="1" x14ac:dyDescent="0.2">
      <c r="A647" s="32">
        <v>41724.373564814814</v>
      </c>
      <c r="B647" s="26" t="s">
        <v>152</v>
      </c>
      <c r="C647" s="26" t="s">
        <v>213</v>
      </c>
      <c r="D647" s="33">
        <v>41699</v>
      </c>
      <c r="E647" s="26" t="s">
        <v>5243</v>
      </c>
      <c r="F647" s="26" t="s">
        <v>373</v>
      </c>
      <c r="G647" s="26" t="s">
        <v>26</v>
      </c>
      <c r="H647" s="26" t="s">
        <v>5262</v>
      </c>
      <c r="I647" s="26" t="s">
        <v>2986</v>
      </c>
      <c r="J647" s="46">
        <v>1</v>
      </c>
      <c r="K647" s="46">
        <v>1</v>
      </c>
      <c r="L647" s="136"/>
      <c r="M647" s="137" t="s">
        <v>22</v>
      </c>
      <c r="N647" s="138"/>
      <c r="O647" s="138"/>
      <c r="P647" s="138"/>
      <c r="Q647" s="138"/>
      <c r="R647" s="138"/>
      <c r="S647" s="138"/>
      <c r="T647" s="138"/>
      <c r="U647" s="138"/>
      <c r="V647" s="26" t="s">
        <v>5263</v>
      </c>
    </row>
    <row r="648" spans="1:25" s="26" customFormat="1" ht="15" customHeight="1" x14ac:dyDescent="0.2">
      <c r="A648" s="32">
        <v>41724.375543981485</v>
      </c>
      <c r="B648" s="26" t="s">
        <v>152</v>
      </c>
      <c r="C648" s="26" t="s">
        <v>213</v>
      </c>
      <c r="D648" s="33">
        <v>41699</v>
      </c>
      <c r="E648" s="26" t="s">
        <v>5264</v>
      </c>
      <c r="F648" s="26" t="s">
        <v>5265</v>
      </c>
      <c r="G648" s="26" t="s">
        <v>26</v>
      </c>
      <c r="H648" s="26" t="s">
        <v>5266</v>
      </c>
      <c r="I648" s="26" t="s">
        <v>5195</v>
      </c>
      <c r="J648" s="46">
        <v>3</v>
      </c>
      <c r="K648" s="46">
        <v>54</v>
      </c>
      <c r="L648" s="136"/>
      <c r="M648" s="137" t="s">
        <v>44</v>
      </c>
      <c r="N648" s="138"/>
      <c r="O648" s="138"/>
      <c r="P648" s="138">
        <v>70</v>
      </c>
      <c r="Q648" s="138"/>
      <c r="R648" s="138"/>
      <c r="S648" s="138"/>
      <c r="T648" s="138"/>
      <c r="U648" s="138"/>
    </row>
    <row r="649" spans="1:25" s="26" customFormat="1" ht="15" customHeight="1" x14ac:dyDescent="0.2">
      <c r="A649" s="32">
        <v>41724.379525462966</v>
      </c>
      <c r="B649" s="26" t="s">
        <v>152</v>
      </c>
      <c r="C649" s="26" t="s">
        <v>213</v>
      </c>
      <c r="D649" s="33">
        <v>41699</v>
      </c>
      <c r="E649" s="26" t="s">
        <v>5264</v>
      </c>
      <c r="F649" s="26" t="s">
        <v>5267</v>
      </c>
      <c r="G649" s="26" t="s">
        <v>26</v>
      </c>
      <c r="H649" s="26" t="s">
        <v>5268</v>
      </c>
      <c r="I649" s="26" t="s">
        <v>5195</v>
      </c>
      <c r="J649" s="46">
        <v>2</v>
      </c>
      <c r="K649" s="46">
        <v>7</v>
      </c>
      <c r="L649" s="136"/>
      <c r="M649" s="137" t="s">
        <v>44</v>
      </c>
      <c r="N649" s="138"/>
      <c r="O649" s="138"/>
      <c r="P649" s="138">
        <v>16</v>
      </c>
      <c r="Q649" s="138"/>
      <c r="R649" s="138"/>
      <c r="S649" s="138"/>
      <c r="T649" s="138"/>
      <c r="U649" s="138"/>
      <c r="V649" s="26" t="s">
        <v>5269</v>
      </c>
    </row>
    <row r="650" spans="1:25" s="26" customFormat="1" ht="15" customHeight="1" x14ac:dyDescent="0.2">
      <c r="A650" s="32">
        <v>41724.38175925926</v>
      </c>
      <c r="B650" s="26" t="s">
        <v>152</v>
      </c>
      <c r="C650" s="26" t="s">
        <v>213</v>
      </c>
      <c r="D650" s="33">
        <v>41699</v>
      </c>
      <c r="E650" s="26" t="s">
        <v>5270</v>
      </c>
      <c r="F650" s="26" t="s">
        <v>5271</v>
      </c>
      <c r="G650" s="26" t="s">
        <v>26</v>
      </c>
      <c r="H650" s="26" t="s">
        <v>5272</v>
      </c>
      <c r="I650" s="26" t="s">
        <v>2986</v>
      </c>
      <c r="J650" s="46">
        <v>1</v>
      </c>
      <c r="K650" s="46">
        <v>2</v>
      </c>
      <c r="L650" s="136"/>
      <c r="M650" s="137" t="s">
        <v>22</v>
      </c>
      <c r="N650" s="138"/>
      <c r="O650" s="138"/>
      <c r="P650" s="138"/>
      <c r="Q650" s="138"/>
      <c r="R650" s="138"/>
      <c r="S650" s="138"/>
      <c r="T650" s="138"/>
      <c r="U650" s="138"/>
      <c r="V650" s="26" t="s">
        <v>5273</v>
      </c>
    </row>
    <row r="651" spans="1:25" s="26" customFormat="1" ht="15" customHeight="1" x14ac:dyDescent="0.2">
      <c r="A651" s="32">
        <v>41732.360138888886</v>
      </c>
      <c r="B651" s="26" t="s">
        <v>152</v>
      </c>
      <c r="C651" s="26" t="s">
        <v>213</v>
      </c>
      <c r="D651" s="33">
        <v>41699</v>
      </c>
      <c r="E651" s="26" t="s">
        <v>5528</v>
      </c>
      <c r="F651" s="26" t="s">
        <v>2074</v>
      </c>
      <c r="G651" s="26" t="s">
        <v>60</v>
      </c>
      <c r="I651" s="26" t="s">
        <v>2986</v>
      </c>
      <c r="J651" s="46">
        <v>1</v>
      </c>
      <c r="K651" s="46">
        <v>4</v>
      </c>
      <c r="L651" s="136"/>
      <c r="M651" s="137" t="s">
        <v>22</v>
      </c>
      <c r="N651" s="138"/>
      <c r="O651" s="138"/>
      <c r="P651" s="138"/>
      <c r="Q651" s="138"/>
      <c r="R651" s="138"/>
      <c r="S651" s="138"/>
      <c r="T651" s="138"/>
      <c r="U651" s="138"/>
    </row>
    <row r="652" spans="1:25" s="26" customFormat="1" ht="15" customHeight="1" x14ac:dyDescent="0.2">
      <c r="A652" s="32">
        <v>41732.36451388889</v>
      </c>
      <c r="B652" s="26" t="s">
        <v>152</v>
      </c>
      <c r="C652" s="26" t="s">
        <v>213</v>
      </c>
      <c r="D652" s="33">
        <v>41699</v>
      </c>
      <c r="E652" s="26" t="s">
        <v>5529</v>
      </c>
      <c r="F652" s="26" t="s">
        <v>5530</v>
      </c>
      <c r="G652" s="26" t="s">
        <v>20</v>
      </c>
      <c r="H652" s="26" t="s">
        <v>5531</v>
      </c>
      <c r="I652" s="26" t="s">
        <v>5532</v>
      </c>
      <c r="J652" s="46">
        <v>1</v>
      </c>
      <c r="K652" s="46">
        <v>36</v>
      </c>
      <c r="L652" s="136"/>
      <c r="M652" s="137" t="s">
        <v>44</v>
      </c>
      <c r="N652" s="138">
        <v>122.5</v>
      </c>
      <c r="O652" s="138"/>
      <c r="P652" s="138">
        <v>58.52</v>
      </c>
      <c r="Q652" s="138"/>
      <c r="R652" s="138"/>
      <c r="S652" s="138"/>
      <c r="T652" s="138"/>
      <c r="U652" s="138"/>
      <c r="V652" s="26" t="s">
        <v>5533</v>
      </c>
    </row>
    <row r="653" spans="1:25" s="26" customFormat="1" ht="15" customHeight="1" x14ac:dyDescent="0.2">
      <c r="A653" s="92">
        <v>41740.485289351855</v>
      </c>
      <c r="B653" s="91" t="s">
        <v>152</v>
      </c>
      <c r="C653" s="26" t="s">
        <v>213</v>
      </c>
      <c r="D653" s="33">
        <v>41730</v>
      </c>
      <c r="E653" s="91" t="s">
        <v>5918</v>
      </c>
      <c r="F653" s="91" t="s">
        <v>5919</v>
      </c>
      <c r="G653" s="91" t="s">
        <v>26</v>
      </c>
      <c r="H653" s="91" t="s">
        <v>5920</v>
      </c>
      <c r="I653" s="91" t="s">
        <v>4547</v>
      </c>
      <c r="J653" s="46">
        <v>3</v>
      </c>
      <c r="K653" s="46">
        <v>77</v>
      </c>
      <c r="L653" s="138"/>
      <c r="M653" s="137" t="s">
        <v>44</v>
      </c>
      <c r="N653" s="138"/>
      <c r="O653" s="138"/>
      <c r="P653" s="138">
        <v>35</v>
      </c>
      <c r="Q653" s="138"/>
      <c r="R653" s="138"/>
      <c r="S653" s="138"/>
      <c r="T653" s="138"/>
      <c r="U653" s="138"/>
      <c r="V653" s="91"/>
      <c r="W653" s="91"/>
      <c r="X653" s="91"/>
      <c r="Y653" s="91"/>
    </row>
    <row r="654" spans="1:25" s="26" customFormat="1" ht="15" customHeight="1" x14ac:dyDescent="0.2">
      <c r="A654" s="32">
        <v>41740.567754629628</v>
      </c>
      <c r="B654" s="26" t="s">
        <v>152</v>
      </c>
      <c r="C654" s="26" t="s">
        <v>213</v>
      </c>
      <c r="D654" s="33">
        <v>41730</v>
      </c>
      <c r="E654" s="26" t="s">
        <v>5933</v>
      </c>
      <c r="F654" s="26" t="s">
        <v>2074</v>
      </c>
      <c r="G654" s="26" t="s">
        <v>60</v>
      </c>
      <c r="H654" s="26" t="s">
        <v>5167</v>
      </c>
      <c r="I654" s="26" t="s">
        <v>2986</v>
      </c>
      <c r="J654" s="46">
        <v>3</v>
      </c>
      <c r="K654" s="46">
        <v>10</v>
      </c>
      <c r="L654" s="138"/>
      <c r="M654" s="137" t="s">
        <v>22</v>
      </c>
      <c r="N654" s="138"/>
      <c r="O654" s="138"/>
      <c r="P654" s="138"/>
      <c r="Q654" s="138"/>
      <c r="R654" s="138"/>
      <c r="S654" s="138"/>
      <c r="T654" s="138"/>
      <c r="U654" s="138"/>
    </row>
    <row r="655" spans="1:25" s="26" customFormat="1" ht="15" customHeight="1" x14ac:dyDescent="0.2">
      <c r="A655" s="32">
        <v>41740.570590277777</v>
      </c>
      <c r="B655" s="26" t="s">
        <v>152</v>
      </c>
      <c r="C655" s="26" t="s">
        <v>213</v>
      </c>
      <c r="D655" s="33">
        <v>41730</v>
      </c>
      <c r="E655" s="26" t="s">
        <v>5934</v>
      </c>
      <c r="F655" s="26" t="s">
        <v>2074</v>
      </c>
      <c r="G655" s="26" t="s">
        <v>60</v>
      </c>
      <c r="H655" s="26" t="s">
        <v>5935</v>
      </c>
      <c r="I655" s="26" t="s">
        <v>3140</v>
      </c>
      <c r="J655" s="46">
        <v>4</v>
      </c>
      <c r="K655" s="46">
        <v>50</v>
      </c>
      <c r="L655" s="138"/>
      <c r="M655" s="137" t="s">
        <v>44</v>
      </c>
      <c r="N655" s="138"/>
      <c r="O655" s="138"/>
      <c r="P655" s="138">
        <v>60</v>
      </c>
      <c r="Q655" s="138"/>
      <c r="R655" s="138"/>
      <c r="S655" s="138"/>
      <c r="T655" s="138"/>
      <c r="U655" s="138"/>
      <c r="V655" s="26" t="s">
        <v>5936</v>
      </c>
    </row>
    <row r="656" spans="1:25" s="26" customFormat="1" ht="15" customHeight="1" x14ac:dyDescent="0.2">
      <c r="A656" s="32">
        <v>41740.573275462964</v>
      </c>
      <c r="B656" s="26" t="s">
        <v>152</v>
      </c>
      <c r="C656" s="26" t="s">
        <v>213</v>
      </c>
      <c r="D656" s="33">
        <v>41730</v>
      </c>
      <c r="E656" s="26" t="s">
        <v>5937</v>
      </c>
      <c r="F656" s="26" t="s">
        <v>5938</v>
      </c>
      <c r="G656" s="26" t="s">
        <v>60</v>
      </c>
      <c r="H656" s="26" t="s">
        <v>5939</v>
      </c>
      <c r="I656" s="26" t="s">
        <v>3140</v>
      </c>
      <c r="J656" s="46">
        <v>4</v>
      </c>
      <c r="K656" s="46">
        <v>18</v>
      </c>
      <c r="L656" s="138"/>
      <c r="M656" s="137" t="s">
        <v>44</v>
      </c>
      <c r="N656" s="138"/>
      <c r="O656" s="138"/>
      <c r="P656" s="138">
        <v>36</v>
      </c>
      <c r="Q656" s="138"/>
      <c r="R656" s="138"/>
      <c r="S656" s="138"/>
      <c r="T656" s="138"/>
      <c r="U656" s="138"/>
    </row>
    <row r="657" spans="1:25" s="26" customFormat="1" ht="15" customHeight="1" x14ac:dyDescent="0.2">
      <c r="A657" s="32">
        <v>41740.584791666668</v>
      </c>
      <c r="B657" s="26" t="s">
        <v>152</v>
      </c>
      <c r="C657" s="26" t="s">
        <v>213</v>
      </c>
      <c r="D657" s="33">
        <v>41730</v>
      </c>
      <c r="E657" s="26" t="s">
        <v>5943</v>
      </c>
      <c r="F657" s="26" t="s">
        <v>5944</v>
      </c>
      <c r="G657" s="26" t="s">
        <v>20</v>
      </c>
      <c r="H657" s="26" t="s">
        <v>5945</v>
      </c>
      <c r="I657" s="26" t="s">
        <v>5946</v>
      </c>
      <c r="J657" s="46">
        <v>1</v>
      </c>
      <c r="K657" s="46">
        <v>66</v>
      </c>
      <c r="L657" s="138"/>
      <c r="M657" s="137" t="s">
        <v>44</v>
      </c>
      <c r="N657" s="138">
        <v>217</v>
      </c>
      <c r="O657" s="138"/>
      <c r="P657" s="138">
        <v>90</v>
      </c>
      <c r="Q657" s="138"/>
      <c r="R657" s="138"/>
      <c r="S657" s="138"/>
      <c r="T657" s="138"/>
      <c r="U657" s="138"/>
    </row>
    <row r="658" spans="1:25" s="26" customFormat="1" ht="15" customHeight="1" x14ac:dyDescent="0.2">
      <c r="A658" s="32">
        <v>41740.589814814812</v>
      </c>
      <c r="B658" s="26" t="s">
        <v>152</v>
      </c>
      <c r="C658" s="26" t="s">
        <v>213</v>
      </c>
      <c r="D658" s="33">
        <v>41730</v>
      </c>
      <c r="E658" s="26" t="s">
        <v>5947</v>
      </c>
      <c r="F658" s="26" t="s">
        <v>5948</v>
      </c>
      <c r="G658" s="26" t="s">
        <v>20</v>
      </c>
      <c r="H658" s="26" t="s">
        <v>5949</v>
      </c>
      <c r="I658" s="26" t="s">
        <v>5950</v>
      </c>
      <c r="J658" s="46">
        <v>1</v>
      </c>
      <c r="K658" s="46">
        <v>72</v>
      </c>
      <c r="L658" s="138"/>
      <c r="M658" s="137" t="s">
        <v>44</v>
      </c>
      <c r="N658" s="138">
        <v>252</v>
      </c>
      <c r="O658" s="138"/>
      <c r="P658" s="138">
        <v>200</v>
      </c>
      <c r="Q658" s="138"/>
      <c r="R658" s="138"/>
      <c r="S658" s="138"/>
      <c r="T658" s="138"/>
      <c r="U658" s="138"/>
      <c r="V658" s="26" t="s">
        <v>5951</v>
      </c>
    </row>
    <row r="659" spans="1:25" s="26" customFormat="1" ht="15" customHeight="1" x14ac:dyDescent="0.2">
      <c r="A659" s="92">
        <v>41753.460532407407</v>
      </c>
      <c r="B659" s="91" t="s">
        <v>152</v>
      </c>
      <c r="C659" s="26" t="s">
        <v>213</v>
      </c>
      <c r="D659" s="33">
        <v>41730</v>
      </c>
      <c r="E659" s="91" t="s">
        <v>6053</v>
      </c>
      <c r="F659" s="91" t="s">
        <v>6054</v>
      </c>
      <c r="G659" s="91" t="s">
        <v>26</v>
      </c>
      <c r="H659" s="91" t="s">
        <v>6055</v>
      </c>
      <c r="I659" s="91" t="s">
        <v>2986</v>
      </c>
      <c r="J659" s="46">
        <v>1</v>
      </c>
      <c r="K659" s="46">
        <v>15</v>
      </c>
      <c r="L659" s="138"/>
      <c r="M659" s="137" t="s">
        <v>44</v>
      </c>
      <c r="N659" s="138"/>
      <c r="O659" s="138"/>
      <c r="P659" s="138">
        <v>15</v>
      </c>
      <c r="Q659" s="138"/>
      <c r="R659" s="138"/>
      <c r="S659" s="138"/>
      <c r="T659" s="138"/>
      <c r="U659" s="138"/>
      <c r="V659" s="91"/>
      <c r="W659" s="91"/>
      <c r="X659" s="91"/>
      <c r="Y659" s="91"/>
    </row>
    <row r="660" spans="1:25" s="26" customFormat="1" ht="15" customHeight="1" x14ac:dyDescent="0.2">
      <c r="A660" s="32">
        <v>41753.436018518521</v>
      </c>
      <c r="B660" s="26" t="s">
        <v>152</v>
      </c>
      <c r="C660" s="26" t="s">
        <v>213</v>
      </c>
      <c r="D660" s="33">
        <v>41730</v>
      </c>
      <c r="E660" s="26" t="s">
        <v>6056</v>
      </c>
      <c r="F660" s="26" t="s">
        <v>2074</v>
      </c>
      <c r="G660" s="26" t="s">
        <v>60</v>
      </c>
      <c r="H660" s="26" t="s">
        <v>6057</v>
      </c>
      <c r="I660" s="26" t="s">
        <v>2986</v>
      </c>
      <c r="J660" s="46">
        <v>1</v>
      </c>
      <c r="K660" s="46">
        <v>5</v>
      </c>
      <c r="L660" s="138"/>
      <c r="M660" s="137" t="s">
        <v>44</v>
      </c>
      <c r="N660" s="138"/>
      <c r="O660" s="138"/>
      <c r="P660" s="138">
        <v>12</v>
      </c>
      <c r="Q660" s="138"/>
      <c r="R660" s="138"/>
      <c r="S660" s="138"/>
      <c r="T660" s="138"/>
      <c r="U660" s="138"/>
    </row>
    <row r="661" spans="1:25" s="26" customFormat="1" ht="15" customHeight="1" x14ac:dyDescent="0.2">
      <c r="A661" s="92">
        <v>41753.438993055555</v>
      </c>
      <c r="B661" s="91" t="s">
        <v>152</v>
      </c>
      <c r="C661" s="26" t="s">
        <v>213</v>
      </c>
      <c r="D661" s="33">
        <v>41730</v>
      </c>
      <c r="E661" s="91" t="s">
        <v>6058</v>
      </c>
      <c r="F661" s="91" t="s">
        <v>6059</v>
      </c>
      <c r="G661" s="91" t="s">
        <v>26</v>
      </c>
      <c r="H661" s="91" t="s">
        <v>6060</v>
      </c>
      <c r="I661" s="91" t="s">
        <v>2986</v>
      </c>
      <c r="J661" s="46">
        <v>1</v>
      </c>
      <c r="K661" s="46">
        <v>1</v>
      </c>
      <c r="L661" s="138"/>
      <c r="M661" s="137" t="s">
        <v>22</v>
      </c>
      <c r="N661" s="138"/>
      <c r="O661" s="138"/>
      <c r="P661" s="138"/>
      <c r="Q661" s="138"/>
      <c r="R661" s="138"/>
      <c r="S661" s="138"/>
      <c r="T661" s="138"/>
      <c r="U661" s="138"/>
      <c r="V661" s="91"/>
      <c r="W661" s="91"/>
      <c r="X661" s="91"/>
      <c r="Y661" s="91"/>
    </row>
    <row r="662" spans="1:25" s="26" customFormat="1" ht="15" customHeight="1" x14ac:dyDescent="0.2">
      <c r="A662" s="92">
        <v>41753.462395833332</v>
      </c>
      <c r="B662" s="91" t="s">
        <v>152</v>
      </c>
      <c r="C662" s="26" t="s">
        <v>213</v>
      </c>
      <c r="D662" s="33">
        <v>41730</v>
      </c>
      <c r="E662" s="91" t="s">
        <v>6061</v>
      </c>
      <c r="F662" s="91" t="s">
        <v>6059</v>
      </c>
      <c r="G662" s="91" t="s">
        <v>26</v>
      </c>
      <c r="H662" s="91" t="s">
        <v>6062</v>
      </c>
      <c r="I662" s="91" t="s">
        <v>2986</v>
      </c>
      <c r="J662" s="46">
        <v>1</v>
      </c>
      <c r="K662" s="46">
        <v>5</v>
      </c>
      <c r="L662" s="138"/>
      <c r="M662" s="137" t="s">
        <v>22</v>
      </c>
      <c r="N662" s="138"/>
      <c r="O662" s="138"/>
      <c r="P662" s="138"/>
      <c r="Q662" s="138"/>
      <c r="R662" s="138"/>
      <c r="S662" s="138"/>
      <c r="T662" s="138"/>
      <c r="U662" s="138"/>
      <c r="V662" s="91" t="s">
        <v>6063</v>
      </c>
      <c r="W662" s="91"/>
      <c r="X662" s="91"/>
      <c r="Y662" s="91"/>
    </row>
    <row r="663" spans="1:25" s="26" customFormat="1" ht="15" customHeight="1" x14ac:dyDescent="0.2">
      <c r="A663" s="32">
        <v>41753.659583333334</v>
      </c>
      <c r="B663" s="26" t="s">
        <v>152</v>
      </c>
      <c r="C663" s="26" t="s">
        <v>213</v>
      </c>
      <c r="D663" s="33">
        <v>41730</v>
      </c>
      <c r="E663" s="26" t="s">
        <v>6061</v>
      </c>
      <c r="F663" s="26" t="s">
        <v>4151</v>
      </c>
      <c r="G663" s="26" t="s">
        <v>60</v>
      </c>
      <c r="H663" s="26" t="s">
        <v>6068</v>
      </c>
      <c r="I663" s="26" t="s">
        <v>2986</v>
      </c>
      <c r="J663" s="46">
        <v>1</v>
      </c>
      <c r="K663" s="46">
        <v>3</v>
      </c>
      <c r="L663" s="138"/>
      <c r="M663" s="137" t="s">
        <v>22</v>
      </c>
      <c r="N663" s="138"/>
      <c r="O663" s="138"/>
      <c r="P663" s="138"/>
      <c r="Q663" s="138"/>
      <c r="R663" s="138"/>
      <c r="S663" s="138"/>
      <c r="T663" s="138"/>
      <c r="U663" s="138"/>
    </row>
    <row r="664" spans="1:25" s="26" customFormat="1" ht="15" customHeight="1" x14ac:dyDescent="0.2">
      <c r="A664" s="32">
        <v>41753.664456018516</v>
      </c>
      <c r="B664" s="26" t="s">
        <v>152</v>
      </c>
      <c r="C664" s="26" t="s">
        <v>213</v>
      </c>
      <c r="D664" s="33">
        <v>41730</v>
      </c>
      <c r="E664" s="26" t="s">
        <v>6069</v>
      </c>
      <c r="F664" s="26" t="s">
        <v>2074</v>
      </c>
      <c r="G664" s="26" t="s">
        <v>60</v>
      </c>
      <c r="H664" s="26" t="s">
        <v>6070</v>
      </c>
      <c r="I664" s="26" t="s">
        <v>3140</v>
      </c>
      <c r="J664" s="46">
        <v>2</v>
      </c>
      <c r="K664" s="46">
        <v>6</v>
      </c>
      <c r="L664" s="138"/>
      <c r="M664" s="137" t="s">
        <v>22</v>
      </c>
      <c r="N664" s="138"/>
      <c r="O664" s="138"/>
      <c r="P664" s="138"/>
      <c r="Q664" s="138"/>
      <c r="R664" s="138"/>
      <c r="S664" s="138"/>
      <c r="T664" s="138"/>
      <c r="U664" s="138"/>
    </row>
    <row r="665" spans="1:25" s="26" customFormat="1" ht="15" customHeight="1" x14ac:dyDescent="0.2">
      <c r="A665" s="93">
        <v>41759.469780092601</v>
      </c>
      <c r="B665" s="89" t="s">
        <v>152</v>
      </c>
      <c r="C665" s="52" t="s">
        <v>213</v>
      </c>
      <c r="D665" s="87" t="s">
        <v>6076</v>
      </c>
      <c r="E665" s="89" t="s">
        <v>6184</v>
      </c>
      <c r="F665" s="89" t="s">
        <v>5267</v>
      </c>
      <c r="G665" s="89" t="s">
        <v>26</v>
      </c>
      <c r="H665" s="89" t="s">
        <v>6185</v>
      </c>
      <c r="I665" s="89" t="s">
        <v>2986</v>
      </c>
      <c r="J665" s="95">
        <v>2</v>
      </c>
      <c r="K665" s="95">
        <v>23</v>
      </c>
      <c r="L665" s="149"/>
      <c r="M665" s="146" t="s">
        <v>44</v>
      </c>
      <c r="N665" s="149"/>
      <c r="O665" s="149"/>
      <c r="P665" s="149">
        <v>20</v>
      </c>
      <c r="Q665" s="149"/>
      <c r="R665" s="149"/>
      <c r="S665" s="149"/>
      <c r="T665" s="149"/>
      <c r="U665" s="149"/>
      <c r="V665" s="89" t="s">
        <v>6186</v>
      </c>
      <c r="W665" s="91"/>
      <c r="X665" s="91"/>
      <c r="Y665" s="91"/>
    </row>
    <row r="666" spans="1:25" s="26" customFormat="1" ht="15" customHeight="1" x14ac:dyDescent="0.2">
      <c r="A666" s="93">
        <v>41759.4715856482</v>
      </c>
      <c r="B666" s="89" t="s">
        <v>152</v>
      </c>
      <c r="C666" s="52" t="s">
        <v>213</v>
      </c>
      <c r="D666" s="87" t="s">
        <v>6076</v>
      </c>
      <c r="E666" s="89" t="s">
        <v>6184</v>
      </c>
      <c r="F666" s="89" t="s">
        <v>6187</v>
      </c>
      <c r="G666" s="89" t="s">
        <v>26</v>
      </c>
      <c r="H666" s="89" t="s">
        <v>2080</v>
      </c>
      <c r="I666" s="89" t="s">
        <v>2986</v>
      </c>
      <c r="J666" s="95">
        <v>4</v>
      </c>
      <c r="K666" s="95">
        <v>70</v>
      </c>
      <c r="L666" s="149"/>
      <c r="M666" s="146" t="s">
        <v>44</v>
      </c>
      <c r="N666" s="149"/>
      <c r="O666" s="149"/>
      <c r="P666" s="149">
        <v>50</v>
      </c>
      <c r="Q666" s="149"/>
      <c r="R666" s="149"/>
      <c r="S666" s="149"/>
      <c r="T666" s="149"/>
      <c r="U666" s="149"/>
      <c r="V666" s="89"/>
      <c r="W666" s="91"/>
      <c r="X666" s="91"/>
      <c r="Y666" s="91"/>
    </row>
    <row r="667" spans="1:25" s="26" customFormat="1" ht="15" customHeight="1" x14ac:dyDescent="0.2">
      <c r="A667" s="93">
        <v>41759.4735069444</v>
      </c>
      <c r="B667" s="89" t="s">
        <v>152</v>
      </c>
      <c r="C667" s="52" t="s">
        <v>213</v>
      </c>
      <c r="D667" s="87" t="s">
        <v>6076</v>
      </c>
      <c r="E667" s="89" t="s">
        <v>6184</v>
      </c>
      <c r="F667" s="89" t="s">
        <v>5271</v>
      </c>
      <c r="G667" s="89" t="s">
        <v>26</v>
      </c>
      <c r="H667" s="89" t="s">
        <v>6188</v>
      </c>
      <c r="I667" s="89" t="s">
        <v>2986</v>
      </c>
      <c r="J667" s="95">
        <v>1</v>
      </c>
      <c r="K667" s="95">
        <v>12</v>
      </c>
      <c r="L667" s="149"/>
      <c r="M667" s="146" t="s">
        <v>22</v>
      </c>
      <c r="N667" s="149"/>
      <c r="O667" s="149"/>
      <c r="P667" s="149"/>
      <c r="Q667" s="149"/>
      <c r="R667" s="149"/>
      <c r="S667" s="149"/>
      <c r="T667" s="149"/>
      <c r="U667" s="149"/>
      <c r="V667" s="89" t="s">
        <v>6189</v>
      </c>
      <c r="W667" s="91"/>
      <c r="X667" s="91"/>
      <c r="Y667" s="91"/>
    </row>
    <row r="668" spans="1:25" s="26" customFormat="1" ht="15" customHeight="1" x14ac:dyDescent="0.2">
      <c r="A668" s="93">
        <v>41759.476307870398</v>
      </c>
      <c r="B668" s="89" t="s">
        <v>152</v>
      </c>
      <c r="C668" s="52" t="s">
        <v>213</v>
      </c>
      <c r="D668" s="87" t="s">
        <v>6076</v>
      </c>
      <c r="E668" s="89" t="s">
        <v>6190</v>
      </c>
      <c r="F668" s="89" t="s">
        <v>4239</v>
      </c>
      <c r="G668" s="89" t="s">
        <v>26</v>
      </c>
      <c r="H668" s="89"/>
      <c r="I668" s="89" t="s">
        <v>3140</v>
      </c>
      <c r="J668" s="95">
        <v>4</v>
      </c>
      <c r="K668" s="95">
        <v>16</v>
      </c>
      <c r="L668" s="149"/>
      <c r="M668" s="146" t="s">
        <v>44</v>
      </c>
      <c r="N668" s="149"/>
      <c r="O668" s="149"/>
      <c r="P668" s="149">
        <v>10</v>
      </c>
      <c r="Q668" s="149"/>
      <c r="R668" s="149"/>
      <c r="S668" s="149"/>
      <c r="T668" s="149"/>
      <c r="U668" s="149"/>
      <c r="V668" s="89"/>
      <c r="W668" s="91"/>
      <c r="X668" s="91"/>
      <c r="Y668" s="91"/>
    </row>
    <row r="669" spans="1:25" s="26" customFormat="1" ht="15" customHeight="1" x14ac:dyDescent="0.2">
      <c r="A669" s="93">
        <v>41759.506585648101</v>
      </c>
      <c r="B669" s="89" t="s">
        <v>152</v>
      </c>
      <c r="C669" s="52" t="s">
        <v>213</v>
      </c>
      <c r="D669" s="87" t="s">
        <v>6076</v>
      </c>
      <c r="E669" s="89" t="s">
        <v>6191</v>
      </c>
      <c r="F669" s="89" t="s">
        <v>6192</v>
      </c>
      <c r="G669" s="89" t="s">
        <v>26</v>
      </c>
      <c r="H669" s="89" t="s">
        <v>6193</v>
      </c>
      <c r="I669" s="89" t="s">
        <v>6194</v>
      </c>
      <c r="J669" s="95">
        <v>1</v>
      </c>
      <c r="K669" s="95">
        <v>107</v>
      </c>
      <c r="L669" s="149"/>
      <c r="M669" s="146" t="s">
        <v>44</v>
      </c>
      <c r="N669" s="149">
        <v>425</v>
      </c>
      <c r="O669" s="149"/>
      <c r="P669" s="149">
        <v>580</v>
      </c>
      <c r="Q669" s="149"/>
      <c r="R669" s="149"/>
      <c r="S669" s="149"/>
      <c r="T669" s="149"/>
      <c r="U669" s="149"/>
      <c r="V669" s="89" t="s">
        <v>6195</v>
      </c>
      <c r="W669" s="91"/>
      <c r="X669" s="91"/>
      <c r="Y669" s="91"/>
    </row>
    <row r="670" spans="1:25" s="26" customFormat="1" ht="15" customHeight="1" x14ac:dyDescent="0.2">
      <c r="A670" s="55">
        <v>41759.508692129602</v>
      </c>
      <c r="B670" s="52" t="s">
        <v>152</v>
      </c>
      <c r="C670" s="52" t="s">
        <v>213</v>
      </c>
      <c r="D670" s="88" t="s">
        <v>6076</v>
      </c>
      <c r="E670" s="52" t="s">
        <v>6196</v>
      </c>
      <c r="F670" s="52" t="s">
        <v>6197</v>
      </c>
      <c r="G670" s="52" t="s">
        <v>42</v>
      </c>
      <c r="H670" s="52" t="s">
        <v>6198</v>
      </c>
      <c r="I670" s="52" t="s">
        <v>6194</v>
      </c>
      <c r="J670" s="95">
        <v>1</v>
      </c>
      <c r="K670" s="95">
        <v>28</v>
      </c>
      <c r="L670" s="149"/>
      <c r="M670" s="146" t="s">
        <v>44</v>
      </c>
      <c r="N670" s="149">
        <v>140</v>
      </c>
      <c r="O670" s="149"/>
      <c r="P670" s="149">
        <v>80</v>
      </c>
      <c r="Q670" s="149"/>
      <c r="R670" s="149"/>
      <c r="S670" s="149"/>
      <c r="T670" s="149"/>
      <c r="U670" s="149"/>
      <c r="V670" s="52"/>
    </row>
    <row r="671" spans="1:25" s="26" customFormat="1" ht="15" customHeight="1" x14ac:dyDescent="0.2">
      <c r="A671" s="93">
        <v>41759.522430555597</v>
      </c>
      <c r="B671" s="89" t="s">
        <v>152</v>
      </c>
      <c r="C671" s="52" t="s">
        <v>213</v>
      </c>
      <c r="D671" s="87">
        <v>41730</v>
      </c>
      <c r="E671" s="89" t="s">
        <v>6199</v>
      </c>
      <c r="F671" s="89" t="s">
        <v>6200</v>
      </c>
      <c r="G671" s="89" t="s">
        <v>156</v>
      </c>
      <c r="H671" s="89" t="s">
        <v>6201</v>
      </c>
      <c r="I671" s="89" t="s">
        <v>6202</v>
      </c>
      <c r="J671" s="95">
        <v>1</v>
      </c>
      <c r="K671" s="95">
        <v>138</v>
      </c>
      <c r="L671" s="149"/>
      <c r="M671" s="146" t="s">
        <v>44</v>
      </c>
      <c r="N671" s="149"/>
      <c r="O671" s="149"/>
      <c r="P671" s="149">
        <v>400</v>
      </c>
      <c r="Q671" s="149"/>
      <c r="R671" s="149"/>
      <c r="S671" s="149"/>
      <c r="T671" s="149"/>
      <c r="U671" s="149"/>
      <c r="V671" s="89"/>
      <c r="W671" s="91"/>
      <c r="X671" s="91"/>
      <c r="Y671" s="91"/>
    </row>
    <row r="672" spans="1:25" s="26" customFormat="1" ht="15" customHeight="1" x14ac:dyDescent="0.2">
      <c r="A672" s="55">
        <v>41759.540034722202</v>
      </c>
      <c r="B672" s="52" t="s">
        <v>152</v>
      </c>
      <c r="C672" s="52" t="s">
        <v>213</v>
      </c>
      <c r="D672" s="88" t="s">
        <v>6076</v>
      </c>
      <c r="E672" s="52" t="s">
        <v>6053</v>
      </c>
      <c r="F672" s="52" t="s">
        <v>6203</v>
      </c>
      <c r="G672" s="52" t="s">
        <v>42</v>
      </c>
      <c r="H672" s="52" t="s">
        <v>6204</v>
      </c>
      <c r="I672" s="52" t="s">
        <v>2986</v>
      </c>
      <c r="J672" s="95">
        <v>1</v>
      </c>
      <c r="K672" s="95">
        <v>25</v>
      </c>
      <c r="L672" s="149"/>
      <c r="M672" s="146" t="s">
        <v>44</v>
      </c>
      <c r="N672" s="149">
        <v>87.5</v>
      </c>
      <c r="O672" s="149"/>
      <c r="P672" s="149">
        <v>68</v>
      </c>
      <c r="Q672" s="149"/>
      <c r="R672" s="149"/>
      <c r="S672" s="149"/>
      <c r="T672" s="149"/>
      <c r="U672" s="149"/>
      <c r="V672" s="52"/>
    </row>
    <row r="673" spans="1:25" s="26" customFormat="1" ht="15" customHeight="1" x14ac:dyDescent="0.2">
      <c r="A673" s="55">
        <v>41759.542638888903</v>
      </c>
      <c r="B673" s="52" t="s">
        <v>152</v>
      </c>
      <c r="C673" s="52" t="s">
        <v>213</v>
      </c>
      <c r="D673" s="88" t="s">
        <v>6076</v>
      </c>
      <c r="E673" s="52" t="s">
        <v>6205</v>
      </c>
      <c r="F673" s="52" t="s">
        <v>6206</v>
      </c>
      <c r="G673" s="52" t="s">
        <v>20</v>
      </c>
      <c r="H673" s="52" t="s">
        <v>6207</v>
      </c>
      <c r="I673" s="52" t="s">
        <v>2986</v>
      </c>
      <c r="J673" s="95">
        <v>1</v>
      </c>
      <c r="K673" s="95">
        <v>22</v>
      </c>
      <c r="L673" s="149"/>
      <c r="M673" s="146" t="s">
        <v>44</v>
      </c>
      <c r="N673" s="149">
        <v>77</v>
      </c>
      <c r="O673" s="149"/>
      <c r="P673" s="149">
        <v>15</v>
      </c>
      <c r="Q673" s="149"/>
      <c r="R673" s="149"/>
      <c r="S673" s="149"/>
      <c r="T673" s="149"/>
      <c r="U673" s="149"/>
      <c r="V673" s="52"/>
    </row>
    <row r="674" spans="1:25" s="26" customFormat="1" ht="15" customHeight="1" x14ac:dyDescent="0.2">
      <c r="A674" s="55">
        <v>41759.545902777798</v>
      </c>
      <c r="B674" s="52" t="s">
        <v>152</v>
      </c>
      <c r="C674" s="52" t="s">
        <v>213</v>
      </c>
      <c r="D674" s="88" t="s">
        <v>6076</v>
      </c>
      <c r="E674" s="52" t="s">
        <v>6208</v>
      </c>
      <c r="F674" s="52" t="s">
        <v>6209</v>
      </c>
      <c r="G674" s="52" t="s">
        <v>20</v>
      </c>
      <c r="H674" s="52" t="s">
        <v>6210</v>
      </c>
      <c r="I674" s="52" t="s">
        <v>2986</v>
      </c>
      <c r="J674" s="95">
        <v>1</v>
      </c>
      <c r="K674" s="95">
        <v>146</v>
      </c>
      <c r="L674" s="149"/>
      <c r="M674" s="146" t="s">
        <v>44</v>
      </c>
      <c r="N674" s="149">
        <v>511</v>
      </c>
      <c r="O674" s="149"/>
      <c r="P674" s="149">
        <v>20</v>
      </c>
      <c r="Q674" s="149"/>
      <c r="R674" s="149"/>
      <c r="S674" s="149"/>
      <c r="T674" s="149"/>
      <c r="U674" s="149"/>
      <c r="V674" s="52" t="s">
        <v>6211</v>
      </c>
    </row>
    <row r="675" spans="1:25" s="26" customFormat="1" ht="15" customHeight="1" x14ac:dyDescent="0.2">
      <c r="A675" s="55">
        <v>41759.548460648199</v>
      </c>
      <c r="B675" s="52" t="s">
        <v>152</v>
      </c>
      <c r="C675" s="52" t="s">
        <v>213</v>
      </c>
      <c r="D675" s="88" t="s">
        <v>6076</v>
      </c>
      <c r="E675" s="52" t="s">
        <v>6212</v>
      </c>
      <c r="F675" s="52" t="s">
        <v>6213</v>
      </c>
      <c r="G675" s="52" t="s">
        <v>20</v>
      </c>
      <c r="H675" s="52" t="s">
        <v>6214</v>
      </c>
      <c r="I675" s="52" t="s">
        <v>3140</v>
      </c>
      <c r="J675" s="95">
        <v>1</v>
      </c>
      <c r="K675" s="95">
        <v>15</v>
      </c>
      <c r="L675" s="149"/>
      <c r="M675" s="146" t="s">
        <v>44</v>
      </c>
      <c r="N675" s="149">
        <v>52.5</v>
      </c>
      <c r="O675" s="149"/>
      <c r="P675" s="149"/>
      <c r="Q675" s="149"/>
      <c r="R675" s="149"/>
      <c r="S675" s="149"/>
      <c r="T675" s="149"/>
      <c r="U675" s="149"/>
      <c r="V675" s="52" t="s">
        <v>6215</v>
      </c>
    </row>
    <row r="676" spans="1:25" s="26" customFormat="1" ht="15" customHeight="1" x14ac:dyDescent="0.2">
      <c r="A676" s="93">
        <v>41774.639374999999</v>
      </c>
      <c r="B676" s="89" t="s">
        <v>38</v>
      </c>
      <c r="C676" s="52" t="s">
        <v>39</v>
      </c>
      <c r="D676" s="87" t="s">
        <v>6224</v>
      </c>
      <c r="E676" s="89" t="s">
        <v>6915</v>
      </c>
      <c r="F676" s="89" t="s">
        <v>5216</v>
      </c>
      <c r="G676" s="89" t="s">
        <v>20</v>
      </c>
      <c r="H676" s="89" t="s">
        <v>43</v>
      </c>
      <c r="I676" s="89" t="s">
        <v>6294</v>
      </c>
      <c r="J676" s="95">
        <v>1</v>
      </c>
      <c r="K676" s="95">
        <v>50</v>
      </c>
      <c r="L676" s="150"/>
      <c r="M676" s="146" t="s">
        <v>44</v>
      </c>
      <c r="N676" s="149">
        <v>327.42</v>
      </c>
      <c r="O676" s="149"/>
      <c r="P676" s="149"/>
      <c r="Q676" s="149"/>
      <c r="R676" s="149"/>
      <c r="S676" s="149"/>
      <c r="T676" s="149"/>
      <c r="U676" s="149"/>
      <c r="V676" s="89"/>
      <c r="W676" s="91"/>
      <c r="X676" s="91"/>
      <c r="Y676" s="91"/>
    </row>
    <row r="677" spans="1:25" s="26" customFormat="1" ht="15" customHeight="1" x14ac:dyDescent="0.2">
      <c r="A677" s="93">
        <v>41774.640208333301</v>
      </c>
      <c r="B677" s="89" t="s">
        <v>38</v>
      </c>
      <c r="C677" s="52" t="s">
        <v>39</v>
      </c>
      <c r="D677" s="87" t="s">
        <v>6224</v>
      </c>
      <c r="E677" s="89" t="s">
        <v>3835</v>
      </c>
      <c r="F677" s="89" t="s">
        <v>6916</v>
      </c>
      <c r="G677" s="89" t="s">
        <v>42</v>
      </c>
      <c r="H677" s="89" t="s">
        <v>43</v>
      </c>
      <c r="I677" s="89" t="s">
        <v>6294</v>
      </c>
      <c r="J677" s="95">
        <v>1</v>
      </c>
      <c r="K677" s="95">
        <v>28</v>
      </c>
      <c r="L677" s="150"/>
      <c r="M677" s="146" t="s">
        <v>44</v>
      </c>
      <c r="N677" s="149">
        <v>194.74</v>
      </c>
      <c r="O677" s="149"/>
      <c r="P677" s="149"/>
      <c r="Q677" s="149"/>
      <c r="R677" s="149"/>
      <c r="S677" s="149"/>
      <c r="T677" s="149"/>
      <c r="U677" s="149"/>
      <c r="V677" s="89"/>
      <c r="W677" s="91"/>
      <c r="X677" s="91"/>
      <c r="Y677" s="91"/>
    </row>
    <row r="678" spans="1:25" s="26" customFormat="1" ht="15" customHeight="1" x14ac:dyDescent="0.2">
      <c r="A678" s="93">
        <v>41774.642581018503</v>
      </c>
      <c r="B678" s="89" t="s">
        <v>38</v>
      </c>
      <c r="C678" s="52" t="s">
        <v>39</v>
      </c>
      <c r="D678" s="87" t="s">
        <v>6224</v>
      </c>
      <c r="E678" s="89" t="s">
        <v>6917</v>
      </c>
      <c r="F678" s="89" t="s">
        <v>6918</v>
      </c>
      <c r="G678" s="89" t="s">
        <v>20</v>
      </c>
      <c r="H678" s="89" t="s">
        <v>43</v>
      </c>
      <c r="I678" s="89" t="s">
        <v>6294</v>
      </c>
      <c r="J678" s="95">
        <v>1</v>
      </c>
      <c r="K678" s="95">
        <v>128</v>
      </c>
      <c r="L678" s="150"/>
      <c r="M678" s="146" t="s">
        <v>44</v>
      </c>
      <c r="N678" s="149">
        <v>795</v>
      </c>
      <c r="O678" s="149"/>
      <c r="P678" s="149"/>
      <c r="Q678" s="149"/>
      <c r="R678" s="149"/>
      <c r="S678" s="149"/>
      <c r="T678" s="149"/>
      <c r="U678" s="149"/>
      <c r="V678" s="89"/>
      <c r="W678" s="91"/>
      <c r="X678" s="91"/>
      <c r="Y678" s="91"/>
    </row>
    <row r="679" spans="1:25" s="26" customFormat="1" ht="15" customHeight="1" x14ac:dyDescent="0.2">
      <c r="A679" s="93">
        <v>41774.643564814804</v>
      </c>
      <c r="B679" s="89" t="s">
        <v>38</v>
      </c>
      <c r="C679" s="52" t="s">
        <v>39</v>
      </c>
      <c r="D679" s="87" t="s">
        <v>6224</v>
      </c>
      <c r="E679" s="89" t="s">
        <v>1434</v>
      </c>
      <c r="F679" s="89" t="s">
        <v>6919</v>
      </c>
      <c r="G679" s="89" t="s">
        <v>20</v>
      </c>
      <c r="H679" s="89" t="s">
        <v>43</v>
      </c>
      <c r="I679" s="89" t="s">
        <v>6294</v>
      </c>
      <c r="J679" s="95">
        <v>1</v>
      </c>
      <c r="K679" s="95">
        <v>87</v>
      </c>
      <c r="L679" s="150"/>
      <c r="M679" s="146" t="s">
        <v>44</v>
      </c>
      <c r="N679" s="149">
        <v>430.05</v>
      </c>
      <c r="O679" s="149"/>
      <c r="P679" s="149"/>
      <c r="Q679" s="149"/>
      <c r="R679" s="149"/>
      <c r="S679" s="149"/>
      <c r="T679" s="149"/>
      <c r="U679" s="149"/>
      <c r="V679" s="89"/>
      <c r="W679" s="91"/>
      <c r="X679" s="91"/>
      <c r="Y679" s="91"/>
    </row>
    <row r="680" spans="1:25" s="26" customFormat="1" ht="15" customHeight="1" x14ac:dyDescent="0.2">
      <c r="A680" s="93">
        <v>41775.580173611103</v>
      </c>
      <c r="B680" s="89" t="s">
        <v>38</v>
      </c>
      <c r="C680" s="52" t="s">
        <v>47</v>
      </c>
      <c r="D680" s="87" t="s">
        <v>6224</v>
      </c>
      <c r="E680" s="89" t="s">
        <v>6920</v>
      </c>
      <c r="F680" s="89" t="s">
        <v>6921</v>
      </c>
      <c r="G680" s="89" t="s">
        <v>20</v>
      </c>
      <c r="H680" s="89" t="s">
        <v>6922</v>
      </c>
      <c r="I680" s="89" t="s">
        <v>3001</v>
      </c>
      <c r="J680" s="95">
        <v>1</v>
      </c>
      <c r="K680" s="95">
        <v>60</v>
      </c>
      <c r="L680" s="150">
        <v>300</v>
      </c>
      <c r="M680" s="146" t="s">
        <v>44</v>
      </c>
      <c r="N680" s="149"/>
      <c r="O680" s="149">
        <v>25</v>
      </c>
      <c r="P680" s="149"/>
      <c r="Q680" s="149"/>
      <c r="R680" s="149"/>
      <c r="S680" s="149"/>
      <c r="T680" s="149"/>
      <c r="U680" s="149"/>
      <c r="V680" s="89"/>
      <c r="W680" s="91"/>
      <c r="X680" s="91"/>
      <c r="Y680" s="91"/>
    </row>
    <row r="681" spans="1:25" s="26" customFormat="1" ht="15" customHeight="1" x14ac:dyDescent="0.2">
      <c r="A681" s="93">
        <v>41775.586006944402</v>
      </c>
      <c r="B681" s="89" t="s">
        <v>38</v>
      </c>
      <c r="C681" s="52" t="s">
        <v>47</v>
      </c>
      <c r="D681" s="87" t="s">
        <v>6224</v>
      </c>
      <c r="E681" s="89" t="s">
        <v>6923</v>
      </c>
      <c r="F681" s="89" t="s">
        <v>6924</v>
      </c>
      <c r="G681" s="89" t="s">
        <v>20</v>
      </c>
      <c r="H681" s="89" t="s">
        <v>6925</v>
      </c>
      <c r="I681" s="89" t="s">
        <v>3001</v>
      </c>
      <c r="J681" s="95">
        <v>1</v>
      </c>
      <c r="K681" s="95">
        <v>60</v>
      </c>
      <c r="L681" s="150">
        <v>1086</v>
      </c>
      <c r="M681" s="146" t="s">
        <v>44</v>
      </c>
      <c r="N681" s="149"/>
      <c r="O681" s="149">
        <v>75</v>
      </c>
      <c r="P681" s="149"/>
      <c r="Q681" s="149"/>
      <c r="R681" s="149"/>
      <c r="S681" s="149"/>
      <c r="T681" s="149"/>
      <c r="U681" s="149"/>
      <c r="V681" s="89"/>
      <c r="W681" s="91"/>
      <c r="X681" s="91"/>
      <c r="Y681" s="91"/>
    </row>
    <row r="682" spans="1:25" s="26" customFormat="1" ht="15" customHeight="1" x14ac:dyDescent="0.2">
      <c r="A682" s="93">
        <v>41777.615810185198</v>
      </c>
      <c r="B682" s="89" t="s">
        <v>38</v>
      </c>
      <c r="C682" s="52" t="s">
        <v>47</v>
      </c>
      <c r="D682" s="87" t="s">
        <v>6224</v>
      </c>
      <c r="E682" s="89" t="s">
        <v>2719</v>
      </c>
      <c r="F682" s="89" t="s">
        <v>6926</v>
      </c>
      <c r="G682" s="89" t="s">
        <v>42</v>
      </c>
      <c r="H682" s="89" t="s">
        <v>6927</v>
      </c>
      <c r="I682" s="89" t="s">
        <v>2926</v>
      </c>
      <c r="J682" s="95">
        <v>1</v>
      </c>
      <c r="K682" s="95">
        <v>24</v>
      </c>
      <c r="L682" s="150">
        <v>96</v>
      </c>
      <c r="M682" s="146" t="s">
        <v>22</v>
      </c>
      <c r="N682" s="149"/>
      <c r="O682" s="149"/>
      <c r="P682" s="149"/>
      <c r="Q682" s="149"/>
      <c r="R682" s="149"/>
      <c r="S682" s="149"/>
      <c r="T682" s="149"/>
      <c r="U682" s="149"/>
      <c r="V682" s="89"/>
      <c r="W682" s="91"/>
      <c r="X682" s="91"/>
      <c r="Y682" s="91"/>
    </row>
    <row r="683" spans="1:25" s="26" customFormat="1" ht="15" customHeight="1" x14ac:dyDescent="0.2">
      <c r="A683" s="93">
        <v>41778.436712962997</v>
      </c>
      <c r="B683" s="89" t="s">
        <v>16</v>
      </c>
      <c r="C683" s="52" t="s">
        <v>23</v>
      </c>
      <c r="D683" s="87" t="s">
        <v>6224</v>
      </c>
      <c r="E683" s="89" t="s">
        <v>6035</v>
      </c>
      <c r="F683" s="89" t="s">
        <v>6928</v>
      </c>
      <c r="G683" s="89" t="s">
        <v>26</v>
      </c>
      <c r="H683" s="89" t="s">
        <v>6929</v>
      </c>
      <c r="I683" s="89" t="s">
        <v>3001</v>
      </c>
      <c r="J683" s="95">
        <v>1</v>
      </c>
      <c r="K683" s="95">
        <v>25</v>
      </c>
      <c r="L683" s="150"/>
      <c r="M683" s="146" t="s">
        <v>44</v>
      </c>
      <c r="N683" s="149"/>
      <c r="O683" s="149">
        <v>50</v>
      </c>
      <c r="P683" s="149">
        <v>22.75</v>
      </c>
      <c r="Q683" s="149"/>
      <c r="R683" s="149"/>
      <c r="S683" s="149"/>
      <c r="T683" s="149"/>
      <c r="U683" s="149"/>
      <c r="V683" s="89"/>
      <c r="W683" s="91"/>
      <c r="X683" s="91"/>
      <c r="Y683" s="91"/>
    </row>
    <row r="684" spans="1:25" s="26" customFormat="1" ht="15" customHeight="1" x14ac:dyDescent="0.2">
      <c r="A684" s="93">
        <v>41778.635277777801</v>
      </c>
      <c r="B684" s="89" t="s">
        <v>38</v>
      </c>
      <c r="C684" s="52" t="s">
        <v>47</v>
      </c>
      <c r="D684" s="87" t="s">
        <v>6224</v>
      </c>
      <c r="E684" s="89" t="s">
        <v>5777</v>
      </c>
      <c r="F684" s="89" t="s">
        <v>6930</v>
      </c>
      <c r="G684" s="89" t="s">
        <v>20</v>
      </c>
      <c r="H684" s="89" t="s">
        <v>5991</v>
      </c>
      <c r="I684" s="89" t="s">
        <v>2926</v>
      </c>
      <c r="J684" s="95">
        <v>1</v>
      </c>
      <c r="K684" s="95">
        <v>59</v>
      </c>
      <c r="L684" s="150">
        <v>290</v>
      </c>
      <c r="M684" s="146" t="s">
        <v>44</v>
      </c>
      <c r="N684" s="149"/>
      <c r="O684" s="149">
        <v>55</v>
      </c>
      <c r="P684" s="149"/>
      <c r="Q684" s="149"/>
      <c r="R684" s="149"/>
      <c r="S684" s="149"/>
      <c r="T684" s="149"/>
      <c r="U684" s="149"/>
      <c r="V684" s="89"/>
      <c r="W684" s="91"/>
      <c r="X684" s="91"/>
      <c r="Y684" s="91"/>
    </row>
    <row r="685" spans="1:25" s="26" customFormat="1" ht="15" customHeight="1" x14ac:dyDescent="0.2">
      <c r="A685" s="93">
        <v>41779.410104166702</v>
      </c>
      <c r="B685" s="89" t="s">
        <v>16</v>
      </c>
      <c r="C685" s="52" t="s">
        <v>23</v>
      </c>
      <c r="D685" s="87" t="s">
        <v>6224</v>
      </c>
      <c r="E685" s="89" t="s">
        <v>1508</v>
      </c>
      <c r="F685" s="89" t="s">
        <v>6931</v>
      </c>
      <c r="G685" s="89" t="s">
        <v>42</v>
      </c>
      <c r="H685" s="89">
        <v>1</v>
      </c>
      <c r="I685" s="89" t="s">
        <v>3001</v>
      </c>
      <c r="J685" s="95">
        <v>1</v>
      </c>
      <c r="K685" s="95">
        <v>11</v>
      </c>
      <c r="L685" s="150">
        <v>50</v>
      </c>
      <c r="M685" s="146" t="s">
        <v>22</v>
      </c>
      <c r="N685" s="149"/>
      <c r="O685" s="149"/>
      <c r="P685" s="149"/>
      <c r="Q685" s="149"/>
      <c r="R685" s="149"/>
      <c r="S685" s="149"/>
      <c r="T685" s="149"/>
      <c r="U685" s="149"/>
      <c r="V685" s="89"/>
      <c r="W685" s="91"/>
      <c r="X685" s="91"/>
      <c r="Y685" s="91"/>
    </row>
    <row r="686" spans="1:25" s="26" customFormat="1" ht="15" customHeight="1" x14ac:dyDescent="0.2">
      <c r="A686" s="93">
        <v>41779.417187500003</v>
      </c>
      <c r="B686" s="89" t="s">
        <v>16</v>
      </c>
      <c r="C686" s="52" t="s">
        <v>799</v>
      </c>
      <c r="D686" s="87" t="s">
        <v>6224</v>
      </c>
      <c r="E686" s="89" t="s">
        <v>2806</v>
      </c>
      <c r="F686" s="89" t="s">
        <v>4160</v>
      </c>
      <c r="G686" s="89" t="s">
        <v>42</v>
      </c>
      <c r="H686" s="89" t="s">
        <v>6799</v>
      </c>
      <c r="I686" s="89" t="s">
        <v>3001</v>
      </c>
      <c r="J686" s="95">
        <v>1</v>
      </c>
      <c r="K686" s="95">
        <v>9</v>
      </c>
      <c r="L686" s="150">
        <v>45</v>
      </c>
      <c r="M686" s="146" t="s">
        <v>22</v>
      </c>
      <c r="N686" s="149"/>
      <c r="O686" s="149"/>
      <c r="P686" s="149"/>
      <c r="Q686" s="149"/>
      <c r="R686" s="149"/>
      <c r="S686" s="149"/>
      <c r="T686" s="149"/>
      <c r="U686" s="149"/>
      <c r="V686" s="89"/>
      <c r="W686" s="91"/>
      <c r="X686" s="91"/>
      <c r="Y686" s="91"/>
    </row>
    <row r="687" spans="1:25" s="26" customFormat="1" ht="15" customHeight="1" x14ac:dyDescent="0.2">
      <c r="A687" s="93">
        <v>41779.419618055603</v>
      </c>
      <c r="B687" s="89" t="s">
        <v>16</v>
      </c>
      <c r="C687" s="52" t="s">
        <v>799</v>
      </c>
      <c r="D687" s="87" t="s">
        <v>6224</v>
      </c>
      <c r="E687" s="89" t="s">
        <v>6932</v>
      </c>
      <c r="F687" s="89" t="s">
        <v>6933</v>
      </c>
      <c r="G687" s="89" t="s">
        <v>156</v>
      </c>
      <c r="H687" s="89" t="s">
        <v>6934</v>
      </c>
      <c r="I687" s="89" t="s">
        <v>6935</v>
      </c>
      <c r="J687" s="95">
        <v>1</v>
      </c>
      <c r="K687" s="95">
        <v>60</v>
      </c>
      <c r="L687" s="150"/>
      <c r="M687" s="146" t="s">
        <v>44</v>
      </c>
      <c r="N687" s="149">
        <v>27.84</v>
      </c>
      <c r="O687" s="149">
        <v>25</v>
      </c>
      <c r="P687" s="149">
        <v>10.8</v>
      </c>
      <c r="Q687" s="149"/>
      <c r="R687" s="149"/>
      <c r="S687" s="149">
        <v>12.75</v>
      </c>
      <c r="T687" s="149"/>
      <c r="U687" s="149"/>
      <c r="V687" s="89"/>
      <c r="W687" s="91"/>
      <c r="X687" s="91"/>
      <c r="Y687" s="91"/>
    </row>
    <row r="688" spans="1:25" s="26" customFormat="1" ht="15" customHeight="1" x14ac:dyDescent="0.2">
      <c r="A688" s="93">
        <v>41779.647476851802</v>
      </c>
      <c r="B688" s="89" t="s">
        <v>16</v>
      </c>
      <c r="C688" s="52" t="s">
        <v>23</v>
      </c>
      <c r="D688" s="87" t="s">
        <v>6224</v>
      </c>
      <c r="E688" s="89" t="s">
        <v>3104</v>
      </c>
      <c r="F688" s="89" t="s">
        <v>5174</v>
      </c>
      <c r="G688" s="89" t="s">
        <v>42</v>
      </c>
      <c r="H688" s="89" t="s">
        <v>6936</v>
      </c>
      <c r="I688" s="89" t="s">
        <v>6482</v>
      </c>
      <c r="J688" s="95">
        <v>1</v>
      </c>
      <c r="K688" s="95">
        <v>13</v>
      </c>
      <c r="L688" s="150">
        <v>200</v>
      </c>
      <c r="M688" s="146" t="s">
        <v>44</v>
      </c>
      <c r="N688" s="149"/>
      <c r="O688" s="149"/>
      <c r="P688" s="149">
        <v>10</v>
      </c>
      <c r="Q688" s="149"/>
      <c r="R688" s="149"/>
      <c r="S688" s="149"/>
      <c r="T688" s="149"/>
      <c r="U688" s="149">
        <v>5</v>
      </c>
      <c r="V688" s="89"/>
      <c r="W688" s="91"/>
      <c r="X688" s="91"/>
      <c r="Y688" s="91"/>
    </row>
    <row r="689" spans="1:25" s="26" customFormat="1" ht="15" customHeight="1" x14ac:dyDescent="0.2">
      <c r="A689" s="93">
        <v>41780.383738425902</v>
      </c>
      <c r="B689" s="89" t="s">
        <v>16</v>
      </c>
      <c r="C689" s="52" t="s">
        <v>83</v>
      </c>
      <c r="D689" s="87" t="s">
        <v>6224</v>
      </c>
      <c r="E689" s="89" t="s">
        <v>6937</v>
      </c>
      <c r="F689" s="89" t="s">
        <v>6938</v>
      </c>
      <c r="G689" s="89" t="s">
        <v>26</v>
      </c>
      <c r="H689" s="89" t="s">
        <v>6939</v>
      </c>
      <c r="I689" s="89" t="s">
        <v>2926</v>
      </c>
      <c r="J689" s="95">
        <v>1</v>
      </c>
      <c r="K689" s="95">
        <v>65</v>
      </c>
      <c r="L689" s="150"/>
      <c r="M689" s="146" t="s">
        <v>22</v>
      </c>
      <c r="N689" s="149"/>
      <c r="O689" s="149"/>
      <c r="P689" s="149"/>
      <c r="Q689" s="149"/>
      <c r="R689" s="149"/>
      <c r="S689" s="149"/>
      <c r="T689" s="149"/>
      <c r="U689" s="149"/>
      <c r="V689" s="89" t="s">
        <v>6940</v>
      </c>
      <c r="W689" s="91"/>
      <c r="X689" s="91"/>
      <c r="Y689" s="91"/>
    </row>
    <row r="690" spans="1:25" s="26" customFormat="1" ht="15" customHeight="1" x14ac:dyDescent="0.2">
      <c r="A690" s="93">
        <v>41780.5655555556</v>
      </c>
      <c r="B690" s="89" t="s">
        <v>16</v>
      </c>
      <c r="C690" s="52" t="s">
        <v>23</v>
      </c>
      <c r="D690" s="87" t="s">
        <v>6224</v>
      </c>
      <c r="E690" s="89" t="s">
        <v>6941</v>
      </c>
      <c r="F690" s="89" t="s">
        <v>6942</v>
      </c>
      <c r="G690" s="89" t="s">
        <v>20</v>
      </c>
      <c r="H690" s="89" t="s">
        <v>6943</v>
      </c>
      <c r="I690" s="89" t="s">
        <v>6944</v>
      </c>
      <c r="J690" s="95">
        <v>3</v>
      </c>
      <c r="K690" s="95">
        <v>68</v>
      </c>
      <c r="L690" s="150">
        <v>180</v>
      </c>
      <c r="M690" s="146" t="s">
        <v>44</v>
      </c>
      <c r="N690" s="149"/>
      <c r="O690" s="149"/>
      <c r="P690" s="149">
        <v>7</v>
      </c>
      <c r="Q690" s="149"/>
      <c r="R690" s="149"/>
      <c r="S690" s="149"/>
      <c r="T690" s="149"/>
      <c r="U690" s="149">
        <v>5</v>
      </c>
      <c r="V690" s="89"/>
      <c r="W690" s="91"/>
      <c r="X690" s="91"/>
      <c r="Y690" s="91"/>
    </row>
    <row r="691" spans="1:25" s="26" customFormat="1" ht="15" customHeight="1" x14ac:dyDescent="0.2">
      <c r="A691" s="93">
        <v>41784.366388888899</v>
      </c>
      <c r="B691" s="89" t="s">
        <v>38</v>
      </c>
      <c r="C691" s="52" t="s">
        <v>47</v>
      </c>
      <c r="D691" s="87" t="s">
        <v>6224</v>
      </c>
      <c r="E691" s="89" t="s">
        <v>1037</v>
      </c>
      <c r="F691" s="89" t="s">
        <v>6945</v>
      </c>
      <c r="G691" s="89" t="s">
        <v>26</v>
      </c>
      <c r="H691" s="89" t="s">
        <v>6946</v>
      </c>
      <c r="I691" s="89" t="s">
        <v>3001</v>
      </c>
      <c r="J691" s="95">
        <v>1</v>
      </c>
      <c r="K691" s="95">
        <v>15</v>
      </c>
      <c r="L691" s="150"/>
      <c r="M691" s="146" t="s">
        <v>22</v>
      </c>
      <c r="N691" s="149"/>
      <c r="O691" s="149"/>
      <c r="P691" s="149"/>
      <c r="Q691" s="149"/>
      <c r="R691" s="149"/>
      <c r="S691" s="149"/>
      <c r="T691" s="149"/>
      <c r="U691" s="149"/>
      <c r="V691" s="89"/>
      <c r="W691" s="91"/>
      <c r="X691" s="91"/>
      <c r="Y691" s="91"/>
    </row>
    <row r="692" spans="1:25" s="26" customFormat="1" ht="15" customHeight="1" x14ac:dyDescent="0.2">
      <c r="A692" s="93">
        <v>41784.366979166698</v>
      </c>
      <c r="B692" s="89" t="s">
        <v>38</v>
      </c>
      <c r="C692" s="52" t="s">
        <v>47</v>
      </c>
      <c r="D692" s="87" t="s">
        <v>6224</v>
      </c>
      <c r="E692" s="89" t="s">
        <v>6947</v>
      </c>
      <c r="F692" s="89" t="s">
        <v>6948</v>
      </c>
      <c r="G692" s="89" t="s">
        <v>26</v>
      </c>
      <c r="H692" s="89" t="s">
        <v>6949</v>
      </c>
      <c r="I692" s="89" t="s">
        <v>3001</v>
      </c>
      <c r="J692" s="95">
        <v>1</v>
      </c>
      <c r="K692" s="95">
        <v>8</v>
      </c>
      <c r="L692" s="150"/>
      <c r="M692" s="146" t="s">
        <v>22</v>
      </c>
      <c r="N692" s="149"/>
      <c r="O692" s="149"/>
      <c r="P692" s="149"/>
      <c r="Q692" s="149"/>
      <c r="R692" s="149"/>
      <c r="S692" s="149"/>
      <c r="T692" s="149"/>
      <c r="U692" s="149"/>
      <c r="V692" s="89"/>
      <c r="W692" s="91"/>
      <c r="X692" s="91"/>
      <c r="Y692" s="91"/>
    </row>
    <row r="693" spans="1:25" s="26" customFormat="1" ht="15" customHeight="1" x14ac:dyDescent="0.2">
      <c r="A693" s="93">
        <v>41784.3676851852</v>
      </c>
      <c r="B693" s="89" t="s">
        <v>38</v>
      </c>
      <c r="C693" s="52" t="s">
        <v>47</v>
      </c>
      <c r="D693" s="87" t="s">
        <v>6224</v>
      </c>
      <c r="E693" s="89" t="s">
        <v>6950</v>
      </c>
      <c r="F693" s="89" t="s">
        <v>6951</v>
      </c>
      <c r="G693" s="89" t="s">
        <v>26</v>
      </c>
      <c r="H693" s="89" t="s">
        <v>6927</v>
      </c>
      <c r="I693" s="89"/>
      <c r="J693" s="95">
        <v>1</v>
      </c>
      <c r="K693" s="95">
        <v>25</v>
      </c>
      <c r="L693" s="150">
        <v>12</v>
      </c>
      <c r="M693" s="146" t="s">
        <v>22</v>
      </c>
      <c r="N693" s="149"/>
      <c r="O693" s="149"/>
      <c r="P693" s="149"/>
      <c r="Q693" s="149"/>
      <c r="R693" s="149"/>
      <c r="S693" s="149"/>
      <c r="T693" s="149"/>
      <c r="U693" s="149"/>
      <c r="V693" s="89"/>
      <c r="W693" s="91"/>
      <c r="X693" s="91"/>
      <c r="Y693" s="91"/>
    </row>
    <row r="694" spans="1:25" s="26" customFormat="1" ht="15" customHeight="1" x14ac:dyDescent="0.2">
      <c r="A694" s="93">
        <v>41784.525150463</v>
      </c>
      <c r="B694" s="89" t="s">
        <v>16</v>
      </c>
      <c r="C694" s="52" t="s">
        <v>1190</v>
      </c>
      <c r="D694" s="87" t="s">
        <v>6224</v>
      </c>
      <c r="E694" s="89" t="s">
        <v>6952</v>
      </c>
      <c r="F694" s="89" t="s">
        <v>6953</v>
      </c>
      <c r="G694" s="89" t="s">
        <v>26</v>
      </c>
      <c r="H694" s="89" t="s">
        <v>1676</v>
      </c>
      <c r="I694" s="89" t="s">
        <v>2926</v>
      </c>
      <c r="J694" s="95">
        <v>1</v>
      </c>
      <c r="K694" s="95">
        <v>20</v>
      </c>
      <c r="L694" s="150">
        <v>0</v>
      </c>
      <c r="M694" s="146" t="s">
        <v>22</v>
      </c>
      <c r="N694" s="149"/>
      <c r="O694" s="149"/>
      <c r="P694" s="149"/>
      <c r="Q694" s="149"/>
      <c r="R694" s="149"/>
      <c r="S694" s="149"/>
      <c r="T694" s="149"/>
      <c r="U694" s="149">
        <v>11</v>
      </c>
      <c r="V694" s="89"/>
      <c r="W694" s="91"/>
      <c r="X694" s="91"/>
      <c r="Y694" s="91"/>
    </row>
    <row r="695" spans="1:25" s="26" customFormat="1" ht="15" customHeight="1" x14ac:dyDescent="0.2">
      <c r="A695" s="93">
        <v>41784.527951388904</v>
      </c>
      <c r="B695" s="89" t="s">
        <v>16</v>
      </c>
      <c r="C695" s="52" t="s">
        <v>1190</v>
      </c>
      <c r="D695" s="87" t="s">
        <v>6224</v>
      </c>
      <c r="E695" s="89" t="s">
        <v>6954</v>
      </c>
      <c r="F695" s="89" t="s">
        <v>6955</v>
      </c>
      <c r="G695" s="89" t="s">
        <v>26</v>
      </c>
      <c r="H695" s="89" t="s">
        <v>6956</v>
      </c>
      <c r="I695" s="89" t="s">
        <v>2926</v>
      </c>
      <c r="J695" s="95">
        <v>1</v>
      </c>
      <c r="K695" s="95">
        <v>23</v>
      </c>
      <c r="L695" s="150">
        <v>4</v>
      </c>
      <c r="M695" s="146" t="s">
        <v>22</v>
      </c>
      <c r="N695" s="149"/>
      <c r="O695" s="149"/>
      <c r="P695" s="149"/>
      <c r="Q695" s="149"/>
      <c r="R695" s="149"/>
      <c r="S695" s="149"/>
      <c r="T695" s="149"/>
      <c r="U695" s="149">
        <v>12</v>
      </c>
      <c r="V695" s="89"/>
      <c r="W695" s="91"/>
      <c r="X695" s="91"/>
      <c r="Y695" s="91"/>
    </row>
    <row r="696" spans="1:25" s="26" customFormat="1" ht="15" customHeight="1" x14ac:dyDescent="0.2">
      <c r="A696" s="93">
        <v>41784.532638888901</v>
      </c>
      <c r="B696" s="89" t="s">
        <v>16</v>
      </c>
      <c r="C696" s="52" t="s">
        <v>1190</v>
      </c>
      <c r="D696" s="87" t="s">
        <v>6224</v>
      </c>
      <c r="E696" s="89" t="s">
        <v>6957</v>
      </c>
      <c r="F696" s="89" t="s">
        <v>1714</v>
      </c>
      <c r="G696" s="89" t="s">
        <v>20</v>
      </c>
      <c r="H696" s="89" t="s">
        <v>6958</v>
      </c>
      <c r="I696" s="89" t="s">
        <v>2925</v>
      </c>
      <c r="J696" s="95">
        <v>1</v>
      </c>
      <c r="K696" s="95">
        <v>13</v>
      </c>
      <c r="L696" s="150"/>
      <c r="M696" s="146" t="s">
        <v>44</v>
      </c>
      <c r="N696" s="149"/>
      <c r="O696" s="149">
        <v>65</v>
      </c>
      <c r="P696" s="149"/>
      <c r="Q696" s="149"/>
      <c r="R696" s="149"/>
      <c r="S696" s="149"/>
      <c r="T696" s="149"/>
      <c r="U696" s="149">
        <v>0</v>
      </c>
      <c r="V696" s="89"/>
      <c r="W696" s="91"/>
      <c r="X696" s="91"/>
      <c r="Y696" s="91"/>
    </row>
    <row r="697" spans="1:25" s="26" customFormat="1" ht="15" customHeight="1" x14ac:dyDescent="0.2">
      <c r="A697" s="93">
        <v>41784.661863425899</v>
      </c>
      <c r="B697" s="89" t="s">
        <v>38</v>
      </c>
      <c r="C697" s="52" t="s">
        <v>47</v>
      </c>
      <c r="D697" s="87" t="s">
        <v>6224</v>
      </c>
      <c r="E697" s="89" t="s">
        <v>6959</v>
      </c>
      <c r="F697" s="89" t="s">
        <v>6960</v>
      </c>
      <c r="G697" s="89" t="s">
        <v>26</v>
      </c>
      <c r="H697" s="89" t="s">
        <v>4663</v>
      </c>
      <c r="I697" s="89" t="s">
        <v>3001</v>
      </c>
      <c r="J697" s="95">
        <v>2</v>
      </c>
      <c r="K697" s="95">
        <v>8</v>
      </c>
      <c r="L697" s="150">
        <v>65</v>
      </c>
      <c r="M697" s="146" t="s">
        <v>22</v>
      </c>
      <c r="N697" s="149"/>
      <c r="O697" s="149"/>
      <c r="P697" s="149"/>
      <c r="Q697" s="149"/>
      <c r="R697" s="149"/>
      <c r="S697" s="149"/>
      <c r="T697" s="149"/>
      <c r="U697" s="149"/>
      <c r="V697" s="89"/>
      <c r="W697" s="91"/>
      <c r="X697" s="91"/>
      <c r="Y697" s="91"/>
    </row>
    <row r="698" spans="1:25" s="26" customFormat="1" ht="15" customHeight="1" x14ac:dyDescent="0.2">
      <c r="A698" s="93">
        <v>41784.662638888898</v>
      </c>
      <c r="B698" s="89" t="s">
        <v>38</v>
      </c>
      <c r="C698" s="52" t="s">
        <v>47</v>
      </c>
      <c r="D698" s="87" t="s">
        <v>6224</v>
      </c>
      <c r="E698" s="89" t="s">
        <v>6263</v>
      </c>
      <c r="F698" s="89" t="s">
        <v>6961</v>
      </c>
      <c r="G698" s="89" t="s">
        <v>26</v>
      </c>
      <c r="H698" s="89" t="s">
        <v>1649</v>
      </c>
      <c r="I698" s="89" t="s">
        <v>3001</v>
      </c>
      <c r="J698" s="95">
        <v>1</v>
      </c>
      <c r="K698" s="95">
        <v>30</v>
      </c>
      <c r="L698" s="150"/>
      <c r="M698" s="146" t="s">
        <v>22</v>
      </c>
      <c r="N698" s="149"/>
      <c r="O698" s="149"/>
      <c r="P698" s="149"/>
      <c r="Q698" s="149"/>
      <c r="R698" s="149"/>
      <c r="S698" s="149"/>
      <c r="T698" s="149"/>
      <c r="U698" s="149"/>
      <c r="V698" s="89"/>
      <c r="W698" s="91"/>
      <c r="X698" s="91"/>
      <c r="Y698" s="91"/>
    </row>
    <row r="699" spans="1:25" s="26" customFormat="1" ht="15" customHeight="1" x14ac:dyDescent="0.2">
      <c r="A699" s="93">
        <v>41785.438437500001</v>
      </c>
      <c r="B699" s="89" t="s">
        <v>152</v>
      </c>
      <c r="C699" s="52" t="s">
        <v>247</v>
      </c>
      <c r="D699" s="87" t="s">
        <v>6224</v>
      </c>
      <c r="E699" s="89" t="s">
        <v>1877</v>
      </c>
      <c r="F699" s="89" t="s">
        <v>6962</v>
      </c>
      <c r="G699" s="89" t="s">
        <v>42</v>
      </c>
      <c r="H699" s="89"/>
      <c r="I699" s="89" t="s">
        <v>2986</v>
      </c>
      <c r="J699" s="95">
        <v>1</v>
      </c>
      <c r="K699" s="95">
        <v>25</v>
      </c>
      <c r="L699" s="150"/>
      <c r="M699" s="146" t="s">
        <v>44</v>
      </c>
      <c r="N699" s="149">
        <v>90</v>
      </c>
      <c r="O699" s="149"/>
      <c r="P699" s="149"/>
      <c r="Q699" s="149"/>
      <c r="R699" s="149"/>
      <c r="S699" s="149"/>
      <c r="T699" s="149"/>
      <c r="U699" s="149"/>
      <c r="V699" s="89"/>
      <c r="W699" s="91"/>
      <c r="X699" s="91"/>
      <c r="Y699" s="91"/>
    </row>
    <row r="700" spans="1:25" s="26" customFormat="1" ht="15" customHeight="1" x14ac:dyDescent="0.2">
      <c r="A700" s="93">
        <v>41785.441724536999</v>
      </c>
      <c r="B700" s="89" t="s">
        <v>16</v>
      </c>
      <c r="C700" s="52" t="s">
        <v>23</v>
      </c>
      <c r="D700" s="87" t="s">
        <v>6224</v>
      </c>
      <c r="E700" s="89" t="s">
        <v>6963</v>
      </c>
      <c r="F700" s="89" t="s">
        <v>6964</v>
      </c>
      <c r="G700" s="89" t="s">
        <v>26</v>
      </c>
      <c r="H700" s="89" t="s">
        <v>6965</v>
      </c>
      <c r="I700" s="89" t="s">
        <v>3001</v>
      </c>
      <c r="J700" s="95">
        <v>1</v>
      </c>
      <c r="K700" s="95">
        <v>25</v>
      </c>
      <c r="L700" s="150"/>
      <c r="M700" s="146" t="s">
        <v>22</v>
      </c>
      <c r="N700" s="149"/>
      <c r="O700" s="149"/>
      <c r="P700" s="149"/>
      <c r="Q700" s="149"/>
      <c r="R700" s="149"/>
      <c r="S700" s="149"/>
      <c r="T700" s="149"/>
      <c r="U700" s="149"/>
      <c r="V700" s="89"/>
      <c r="W700" s="91"/>
      <c r="X700" s="91"/>
      <c r="Y700" s="91"/>
    </row>
    <row r="701" spans="1:25" s="26" customFormat="1" ht="15" customHeight="1" x14ac:dyDescent="0.2">
      <c r="A701" s="93">
        <v>41785.4428819444</v>
      </c>
      <c r="B701" s="89" t="s">
        <v>16</v>
      </c>
      <c r="C701" s="52" t="s">
        <v>23</v>
      </c>
      <c r="D701" s="87" t="s">
        <v>6224</v>
      </c>
      <c r="E701" s="89" t="s">
        <v>6966</v>
      </c>
      <c r="F701" s="89" t="s">
        <v>6967</v>
      </c>
      <c r="G701" s="89" t="s">
        <v>26</v>
      </c>
      <c r="H701" s="89" t="s">
        <v>6968</v>
      </c>
      <c r="I701" s="89" t="s">
        <v>3001</v>
      </c>
      <c r="J701" s="95">
        <v>1</v>
      </c>
      <c r="K701" s="95">
        <v>25</v>
      </c>
      <c r="L701" s="150"/>
      <c r="M701" s="146" t="s">
        <v>22</v>
      </c>
      <c r="N701" s="149"/>
      <c r="O701" s="149"/>
      <c r="P701" s="149"/>
      <c r="Q701" s="149"/>
      <c r="R701" s="149"/>
      <c r="S701" s="149"/>
      <c r="T701" s="149"/>
      <c r="U701" s="149"/>
      <c r="V701" s="89"/>
      <c r="W701" s="91"/>
      <c r="X701" s="91"/>
      <c r="Y701" s="91"/>
    </row>
    <row r="702" spans="1:25" s="26" customFormat="1" ht="15" customHeight="1" x14ac:dyDescent="0.2">
      <c r="A702" s="93">
        <v>41785.443761574097</v>
      </c>
      <c r="B702" s="89" t="s">
        <v>16</v>
      </c>
      <c r="C702" s="52" t="s">
        <v>23</v>
      </c>
      <c r="D702" s="87" t="s">
        <v>6224</v>
      </c>
      <c r="E702" s="89" t="s">
        <v>6969</v>
      </c>
      <c r="F702" s="89" t="s">
        <v>3718</v>
      </c>
      <c r="G702" s="89" t="s">
        <v>26</v>
      </c>
      <c r="H702" s="89" t="s">
        <v>6970</v>
      </c>
      <c r="I702" s="89" t="s">
        <v>6971</v>
      </c>
      <c r="J702" s="95">
        <v>3</v>
      </c>
      <c r="K702" s="95">
        <v>55</v>
      </c>
      <c r="L702" s="150">
        <v>64</v>
      </c>
      <c r="M702" s="146" t="s">
        <v>22</v>
      </c>
      <c r="N702" s="149"/>
      <c r="O702" s="149"/>
      <c r="P702" s="149"/>
      <c r="Q702" s="149"/>
      <c r="R702" s="149"/>
      <c r="S702" s="149"/>
      <c r="T702" s="149"/>
      <c r="U702" s="149"/>
      <c r="V702" s="89"/>
      <c r="W702" s="91"/>
      <c r="X702" s="91"/>
      <c r="Y702" s="91"/>
    </row>
    <row r="703" spans="1:25" s="26" customFormat="1" ht="15" customHeight="1" x14ac:dyDescent="0.2">
      <c r="A703" s="93">
        <v>41785.4786342593</v>
      </c>
      <c r="B703" s="89" t="s">
        <v>38</v>
      </c>
      <c r="C703" s="52" t="s">
        <v>62</v>
      </c>
      <c r="D703" s="87" t="s">
        <v>6224</v>
      </c>
      <c r="E703" s="89" t="s">
        <v>6875</v>
      </c>
      <c r="F703" s="89" t="s">
        <v>263</v>
      </c>
      <c r="G703" s="89" t="s">
        <v>26</v>
      </c>
      <c r="H703" s="89"/>
      <c r="I703" s="89" t="s">
        <v>3678</v>
      </c>
      <c r="J703" s="95">
        <v>1</v>
      </c>
      <c r="K703" s="95">
        <v>19</v>
      </c>
      <c r="L703" s="150">
        <v>190</v>
      </c>
      <c r="M703" s="146" t="s">
        <v>44</v>
      </c>
      <c r="N703" s="149"/>
      <c r="O703" s="149">
        <v>20</v>
      </c>
      <c r="P703" s="149"/>
      <c r="Q703" s="149"/>
      <c r="R703" s="149"/>
      <c r="S703" s="149"/>
      <c r="T703" s="149"/>
      <c r="U703" s="149"/>
      <c r="V703" s="89" t="s">
        <v>6972</v>
      </c>
      <c r="W703" s="91"/>
      <c r="X703" s="91"/>
      <c r="Y703" s="91"/>
    </row>
    <row r="704" spans="1:25" s="26" customFormat="1" ht="15" customHeight="1" x14ac:dyDescent="0.2">
      <c r="A704" s="93">
        <v>41785.480601851799</v>
      </c>
      <c r="B704" s="89" t="s">
        <v>38</v>
      </c>
      <c r="C704" s="52" t="s">
        <v>62</v>
      </c>
      <c r="D704" s="87" t="s">
        <v>6224</v>
      </c>
      <c r="E704" s="89" t="s">
        <v>5650</v>
      </c>
      <c r="F704" s="89" t="s">
        <v>6878</v>
      </c>
      <c r="G704" s="89" t="s">
        <v>26</v>
      </c>
      <c r="H704" s="89"/>
      <c r="I704" s="89" t="s">
        <v>3678</v>
      </c>
      <c r="J704" s="95">
        <v>1</v>
      </c>
      <c r="K704" s="95">
        <v>10</v>
      </c>
      <c r="L704" s="150">
        <v>150</v>
      </c>
      <c r="M704" s="146"/>
      <c r="N704" s="149"/>
      <c r="O704" s="149"/>
      <c r="P704" s="149"/>
      <c r="Q704" s="149"/>
      <c r="R704" s="149"/>
      <c r="S704" s="149"/>
      <c r="T704" s="149"/>
      <c r="U704" s="149"/>
      <c r="V704" s="89"/>
      <c r="W704" s="91"/>
      <c r="X704" s="91"/>
      <c r="Y704" s="91"/>
    </row>
    <row r="705" spans="1:25" s="26" customFormat="1" ht="15" customHeight="1" x14ac:dyDescent="0.2">
      <c r="A705" s="93">
        <v>41785.492754629602</v>
      </c>
      <c r="B705" s="89" t="s">
        <v>38</v>
      </c>
      <c r="C705" s="52" t="s">
        <v>62</v>
      </c>
      <c r="D705" s="87" t="s">
        <v>6224</v>
      </c>
      <c r="E705" s="89" t="s">
        <v>5980</v>
      </c>
      <c r="F705" s="89" t="s">
        <v>5981</v>
      </c>
      <c r="G705" s="89" t="s">
        <v>20</v>
      </c>
      <c r="H705" s="89" t="s">
        <v>6973</v>
      </c>
      <c r="I705" s="89" t="s">
        <v>6974</v>
      </c>
      <c r="J705" s="95">
        <v>1</v>
      </c>
      <c r="K705" s="95">
        <v>9</v>
      </c>
      <c r="L705" s="150"/>
      <c r="M705" s="146"/>
      <c r="N705" s="149"/>
      <c r="O705" s="149"/>
      <c r="P705" s="149"/>
      <c r="Q705" s="149"/>
      <c r="R705" s="149"/>
      <c r="S705" s="149"/>
      <c r="T705" s="149"/>
      <c r="U705" s="149"/>
      <c r="V705" s="89" t="s">
        <v>6975</v>
      </c>
      <c r="W705" s="91"/>
      <c r="X705" s="91"/>
      <c r="Y705" s="91"/>
    </row>
    <row r="706" spans="1:25" s="26" customFormat="1" ht="15" customHeight="1" x14ac:dyDescent="0.2">
      <c r="A706" s="93">
        <v>41785.498310185198</v>
      </c>
      <c r="B706" s="89" t="s">
        <v>38</v>
      </c>
      <c r="C706" s="52" t="s">
        <v>62</v>
      </c>
      <c r="D706" s="87" t="s">
        <v>6224</v>
      </c>
      <c r="E706" s="89" t="s">
        <v>5973</v>
      </c>
      <c r="F706" s="89" t="s">
        <v>273</v>
      </c>
      <c r="G706" s="89" t="s">
        <v>26</v>
      </c>
      <c r="H706" s="89" t="s">
        <v>6976</v>
      </c>
      <c r="I706" s="89" t="s">
        <v>6974</v>
      </c>
      <c r="J706" s="95">
        <v>1</v>
      </c>
      <c r="K706" s="95">
        <v>20</v>
      </c>
      <c r="L706" s="150">
        <v>315</v>
      </c>
      <c r="M706" s="146"/>
      <c r="N706" s="149"/>
      <c r="O706" s="149"/>
      <c r="P706" s="149"/>
      <c r="Q706" s="149"/>
      <c r="R706" s="149"/>
      <c r="S706" s="149"/>
      <c r="T706" s="149"/>
      <c r="U706" s="149"/>
      <c r="V706" s="89"/>
      <c r="W706" s="91"/>
      <c r="X706" s="91"/>
      <c r="Y706" s="91"/>
    </row>
    <row r="707" spans="1:25" s="26" customFormat="1" ht="15" customHeight="1" x14ac:dyDescent="0.2">
      <c r="A707" s="37">
        <v>41488.444444444402</v>
      </c>
      <c r="B707" s="26" t="s">
        <v>38</v>
      </c>
      <c r="C707" s="26" t="s">
        <v>549</v>
      </c>
      <c r="D707" s="33">
        <v>41456</v>
      </c>
      <c r="E707" s="26" t="s">
        <v>550</v>
      </c>
      <c r="F707" s="26" t="s">
        <v>551</v>
      </c>
      <c r="G707" s="26" t="s">
        <v>42</v>
      </c>
      <c r="H707" s="26" t="s">
        <v>552</v>
      </c>
      <c r="J707" s="115">
        <v>3</v>
      </c>
      <c r="K707" s="115">
        <v>13</v>
      </c>
      <c r="L707" s="136"/>
      <c r="M707" s="137" t="s">
        <v>22</v>
      </c>
      <c r="N707" s="138"/>
      <c r="O707" s="138"/>
      <c r="P707" s="138"/>
      <c r="Q707" s="138"/>
      <c r="R707" s="138"/>
      <c r="S707" s="138"/>
      <c r="T707" s="138"/>
      <c r="U707" s="138"/>
      <c r="V707" s="26" t="s">
        <v>553</v>
      </c>
    </row>
    <row r="708" spans="1:25" s="26" customFormat="1" ht="15" customHeight="1" x14ac:dyDescent="0.2">
      <c r="A708" s="37">
        <v>41488.446377314802</v>
      </c>
      <c r="B708" s="26" t="s">
        <v>38</v>
      </c>
      <c r="C708" s="26" t="s">
        <v>549</v>
      </c>
      <c r="D708" s="33">
        <v>41456</v>
      </c>
      <c r="E708" s="26" t="s">
        <v>554</v>
      </c>
      <c r="F708" s="26" t="s">
        <v>555</v>
      </c>
      <c r="G708" s="26" t="s">
        <v>26</v>
      </c>
      <c r="H708" s="26" t="s">
        <v>556</v>
      </c>
      <c r="J708" s="115">
        <v>3</v>
      </c>
      <c r="K708" s="115">
        <v>62</v>
      </c>
      <c r="L708" s="136">
        <v>110</v>
      </c>
      <c r="M708" s="137" t="s">
        <v>44</v>
      </c>
      <c r="N708" s="138"/>
      <c r="O708" s="138">
        <v>15</v>
      </c>
      <c r="P708" s="138"/>
      <c r="Q708" s="138"/>
      <c r="R708" s="138"/>
      <c r="S708" s="138"/>
      <c r="T708" s="138"/>
      <c r="U708" s="138"/>
      <c r="V708" s="26" t="s">
        <v>557</v>
      </c>
    </row>
    <row r="709" spans="1:25" s="26" customFormat="1" ht="15" customHeight="1" x14ac:dyDescent="0.2">
      <c r="A709" s="37">
        <v>41488.447534722203</v>
      </c>
      <c r="B709" s="26" t="s">
        <v>38</v>
      </c>
      <c r="C709" s="26" t="s">
        <v>549</v>
      </c>
      <c r="D709" s="33">
        <v>41456</v>
      </c>
      <c r="E709" s="26" t="s">
        <v>558</v>
      </c>
      <c r="F709" s="26" t="s">
        <v>559</v>
      </c>
      <c r="G709" s="26" t="s">
        <v>26</v>
      </c>
      <c r="H709" s="26" t="s">
        <v>560</v>
      </c>
      <c r="J709" s="115">
        <v>1</v>
      </c>
      <c r="K709" s="115">
        <v>25</v>
      </c>
      <c r="L709" s="136"/>
      <c r="M709" s="137" t="s">
        <v>22</v>
      </c>
      <c r="N709" s="138"/>
      <c r="O709" s="138"/>
      <c r="P709" s="138"/>
      <c r="Q709" s="138"/>
      <c r="R709" s="138"/>
      <c r="S709" s="138"/>
      <c r="T709" s="138"/>
      <c r="U709" s="138"/>
    </row>
    <row r="710" spans="1:25" s="26" customFormat="1" ht="15" customHeight="1" x14ac:dyDescent="0.2">
      <c r="A710" s="37">
        <v>41488.449097222197</v>
      </c>
      <c r="B710" s="26" t="s">
        <v>38</v>
      </c>
      <c r="C710" s="26" t="s">
        <v>549</v>
      </c>
      <c r="D710" s="33">
        <v>41456</v>
      </c>
      <c r="E710" s="26" t="s">
        <v>561</v>
      </c>
      <c r="F710" s="26" t="s">
        <v>562</v>
      </c>
      <c r="G710" s="26" t="s">
        <v>26</v>
      </c>
      <c r="H710" s="26" t="s">
        <v>563</v>
      </c>
      <c r="J710" s="115">
        <v>4</v>
      </c>
      <c r="K710" s="115">
        <v>56</v>
      </c>
      <c r="L710" s="136">
        <v>58</v>
      </c>
      <c r="M710" s="137" t="s">
        <v>22</v>
      </c>
      <c r="N710" s="138"/>
      <c r="O710" s="138"/>
      <c r="P710" s="138"/>
      <c r="Q710" s="138"/>
      <c r="R710" s="138"/>
      <c r="S710" s="138"/>
      <c r="T710" s="138"/>
      <c r="U710" s="138"/>
    </row>
    <row r="711" spans="1:25" s="26" customFormat="1" ht="15" customHeight="1" x14ac:dyDescent="0.2">
      <c r="A711" s="37">
        <v>41488.450393518498</v>
      </c>
      <c r="B711" s="26" t="s">
        <v>38</v>
      </c>
      <c r="C711" s="26" t="s">
        <v>549</v>
      </c>
      <c r="D711" s="33">
        <v>41456</v>
      </c>
      <c r="E711" s="26" t="s">
        <v>564</v>
      </c>
      <c r="F711" s="26" t="s">
        <v>565</v>
      </c>
      <c r="G711" s="26" t="s">
        <v>42</v>
      </c>
      <c r="H711" s="26" t="s">
        <v>566</v>
      </c>
      <c r="J711" s="115">
        <v>1</v>
      </c>
      <c r="K711" s="115">
        <v>21</v>
      </c>
      <c r="L711" s="136">
        <v>95</v>
      </c>
      <c r="M711" s="137" t="s">
        <v>22</v>
      </c>
      <c r="N711" s="138"/>
      <c r="O711" s="138"/>
      <c r="P711" s="138"/>
      <c r="Q711" s="138"/>
      <c r="R711" s="138"/>
      <c r="S711" s="138"/>
      <c r="T711" s="138"/>
      <c r="U711" s="138"/>
    </row>
    <row r="712" spans="1:25" s="26" customFormat="1" ht="15" customHeight="1" x14ac:dyDescent="0.2">
      <c r="A712" s="37">
        <v>41488.4518634259</v>
      </c>
      <c r="B712" s="26" t="s">
        <v>38</v>
      </c>
      <c r="C712" s="26" t="s">
        <v>549</v>
      </c>
      <c r="D712" s="33">
        <v>41456</v>
      </c>
      <c r="E712" s="26" t="s">
        <v>567</v>
      </c>
      <c r="F712" s="26" t="s">
        <v>568</v>
      </c>
      <c r="G712" s="26" t="s">
        <v>26</v>
      </c>
      <c r="H712" s="26" t="s">
        <v>569</v>
      </c>
      <c r="J712" s="115">
        <v>3</v>
      </c>
      <c r="K712" s="115">
        <v>67</v>
      </c>
      <c r="L712" s="136"/>
      <c r="M712" s="137" t="s">
        <v>22</v>
      </c>
      <c r="N712" s="138"/>
      <c r="O712" s="138"/>
      <c r="P712" s="138"/>
      <c r="Q712" s="138"/>
      <c r="R712" s="138"/>
      <c r="S712" s="138"/>
      <c r="T712" s="138"/>
      <c r="U712" s="138"/>
    </row>
    <row r="713" spans="1:25" s="26" customFormat="1" ht="15" customHeight="1" x14ac:dyDescent="0.2">
      <c r="A713" s="37">
        <v>41488.4540277778</v>
      </c>
      <c r="B713" s="26" t="s">
        <v>38</v>
      </c>
      <c r="C713" s="26" t="s">
        <v>549</v>
      </c>
      <c r="D713" s="33">
        <v>41456</v>
      </c>
      <c r="E713" s="26" t="s">
        <v>570</v>
      </c>
      <c r="F713" s="26" t="s">
        <v>571</v>
      </c>
      <c r="G713" s="26" t="s">
        <v>26</v>
      </c>
      <c r="H713" s="26" t="s">
        <v>572</v>
      </c>
      <c r="J713" s="115">
        <v>1</v>
      </c>
      <c r="K713" s="115">
        <v>100</v>
      </c>
      <c r="L713" s="136"/>
      <c r="M713" s="137" t="s">
        <v>22</v>
      </c>
      <c r="N713" s="138"/>
      <c r="O713" s="138"/>
      <c r="P713" s="138"/>
      <c r="Q713" s="138"/>
      <c r="R713" s="138"/>
      <c r="S713" s="138"/>
      <c r="T713" s="138"/>
      <c r="U713" s="138"/>
      <c r="V713" s="26" t="s">
        <v>573</v>
      </c>
    </row>
    <row r="714" spans="1:25" s="26" customFormat="1" ht="15" customHeight="1" x14ac:dyDescent="0.2">
      <c r="A714" s="37">
        <v>41488.4551041667</v>
      </c>
      <c r="B714" s="26" t="s">
        <v>38</v>
      </c>
      <c r="C714" s="26" t="s">
        <v>549</v>
      </c>
      <c r="D714" s="33">
        <v>41456</v>
      </c>
      <c r="E714" s="26" t="s">
        <v>574</v>
      </c>
      <c r="F714" s="26" t="s">
        <v>575</v>
      </c>
      <c r="G714" s="26" t="s">
        <v>26</v>
      </c>
      <c r="H714" s="26" t="s">
        <v>576</v>
      </c>
      <c r="J714" s="115">
        <v>1</v>
      </c>
      <c r="K714" s="115">
        <v>15</v>
      </c>
      <c r="L714" s="136"/>
      <c r="M714" s="137" t="s">
        <v>22</v>
      </c>
      <c r="N714" s="138"/>
      <c r="O714" s="138"/>
      <c r="P714" s="138"/>
      <c r="Q714" s="138"/>
      <c r="R714" s="138"/>
      <c r="S714" s="138"/>
      <c r="T714" s="138"/>
      <c r="U714" s="138"/>
      <c r="V714" s="26" t="s">
        <v>577</v>
      </c>
    </row>
    <row r="715" spans="1:25" s="26" customFormat="1" ht="15" customHeight="1" x14ac:dyDescent="0.2">
      <c r="A715" s="37">
        <v>41488.455694444398</v>
      </c>
      <c r="B715" s="26" t="s">
        <v>38</v>
      </c>
      <c r="C715" s="26" t="s">
        <v>549</v>
      </c>
      <c r="D715" s="33">
        <v>41456</v>
      </c>
      <c r="E715" s="26" t="s">
        <v>578</v>
      </c>
      <c r="F715" s="26" t="s">
        <v>579</v>
      </c>
      <c r="G715" s="26" t="s">
        <v>26</v>
      </c>
      <c r="H715" s="26" t="s">
        <v>580</v>
      </c>
      <c r="J715" s="115">
        <v>1</v>
      </c>
      <c r="K715" s="115">
        <v>12</v>
      </c>
      <c r="L715" s="136">
        <v>15</v>
      </c>
      <c r="M715" s="137" t="s">
        <v>22</v>
      </c>
      <c r="N715" s="138"/>
      <c r="O715" s="138"/>
      <c r="P715" s="138"/>
      <c r="Q715" s="138"/>
      <c r="R715" s="138"/>
      <c r="S715" s="138"/>
      <c r="T715" s="138"/>
      <c r="U715" s="138"/>
    </row>
    <row r="716" spans="1:25" s="26" customFormat="1" ht="15" customHeight="1" x14ac:dyDescent="0.2">
      <c r="A716" s="37">
        <v>41488.457129629598</v>
      </c>
      <c r="B716" s="26" t="s">
        <v>38</v>
      </c>
      <c r="C716" s="26" t="s">
        <v>549</v>
      </c>
      <c r="D716" s="33">
        <v>41456</v>
      </c>
      <c r="E716" s="26" t="s">
        <v>581</v>
      </c>
      <c r="F716" s="26" t="s">
        <v>582</v>
      </c>
      <c r="G716" s="26" t="s">
        <v>26</v>
      </c>
      <c r="H716" s="26" t="s">
        <v>583</v>
      </c>
      <c r="J716" s="115">
        <v>1</v>
      </c>
      <c r="K716" s="115">
        <v>35</v>
      </c>
      <c r="L716" s="136"/>
      <c r="M716" s="137" t="s">
        <v>44</v>
      </c>
      <c r="N716" s="138"/>
      <c r="O716" s="138"/>
      <c r="P716" s="138">
        <v>140</v>
      </c>
      <c r="Q716" s="138"/>
      <c r="R716" s="138"/>
      <c r="S716" s="138"/>
      <c r="T716" s="138"/>
      <c r="U716" s="138"/>
      <c r="V716" s="26" t="s">
        <v>584</v>
      </c>
    </row>
    <row r="717" spans="1:25" s="26" customFormat="1" ht="15" customHeight="1" x14ac:dyDescent="0.2">
      <c r="A717" s="37">
        <v>41488.459027777797</v>
      </c>
      <c r="B717" s="26" t="s">
        <v>38</v>
      </c>
      <c r="C717" s="26" t="s">
        <v>549</v>
      </c>
      <c r="D717" s="33">
        <v>41456</v>
      </c>
      <c r="E717" s="26" t="s">
        <v>585</v>
      </c>
      <c r="F717" s="26" t="s">
        <v>586</v>
      </c>
      <c r="G717" s="26" t="s">
        <v>26</v>
      </c>
      <c r="H717" s="26" t="s">
        <v>587</v>
      </c>
      <c r="J717" s="115">
        <v>1</v>
      </c>
      <c r="K717" s="115">
        <v>11</v>
      </c>
      <c r="L717" s="136">
        <v>90</v>
      </c>
      <c r="M717" s="137" t="s">
        <v>22</v>
      </c>
      <c r="N717" s="138"/>
      <c r="O717" s="138"/>
      <c r="P717" s="138"/>
      <c r="Q717" s="138"/>
      <c r="R717" s="138"/>
      <c r="S717" s="138"/>
      <c r="T717" s="138"/>
      <c r="U717" s="138"/>
    </row>
    <row r="718" spans="1:25" s="26" customFormat="1" ht="15" customHeight="1" x14ac:dyDescent="0.2">
      <c r="A718" s="37">
        <v>41488.460243055597</v>
      </c>
      <c r="B718" s="26" t="s">
        <v>38</v>
      </c>
      <c r="C718" s="26" t="s">
        <v>549</v>
      </c>
      <c r="D718" s="33">
        <v>41456</v>
      </c>
      <c r="E718" s="26" t="s">
        <v>578</v>
      </c>
      <c r="F718" s="26" t="s">
        <v>588</v>
      </c>
      <c r="G718" s="26" t="s">
        <v>26</v>
      </c>
      <c r="H718" s="26" t="s">
        <v>589</v>
      </c>
      <c r="J718" s="115">
        <v>4</v>
      </c>
      <c r="K718" s="115">
        <v>120</v>
      </c>
      <c r="L718" s="136"/>
      <c r="M718" s="137" t="s">
        <v>22</v>
      </c>
      <c r="N718" s="138"/>
      <c r="O718" s="138"/>
      <c r="P718" s="138"/>
      <c r="Q718" s="138"/>
      <c r="R718" s="138"/>
      <c r="S718" s="138"/>
      <c r="T718" s="138"/>
      <c r="U718" s="138"/>
    </row>
    <row r="719" spans="1:25" s="26" customFormat="1" ht="15" customHeight="1" x14ac:dyDescent="0.2">
      <c r="A719" s="38">
        <v>41522.447928240741</v>
      </c>
      <c r="B719" s="29" t="s">
        <v>38</v>
      </c>
      <c r="C719" s="29" t="s">
        <v>549</v>
      </c>
      <c r="D719" s="30">
        <v>41487</v>
      </c>
      <c r="E719" s="31" t="s">
        <v>578</v>
      </c>
      <c r="F719" s="29" t="s">
        <v>579</v>
      </c>
      <c r="G719" s="29" t="s">
        <v>26</v>
      </c>
      <c r="H719" s="29" t="s">
        <v>1677</v>
      </c>
      <c r="I719" s="29"/>
      <c r="J719" s="116">
        <v>1</v>
      </c>
      <c r="K719" s="116">
        <v>10</v>
      </c>
      <c r="L719" s="139"/>
      <c r="M719" s="140" t="s">
        <v>22</v>
      </c>
      <c r="N719" s="141"/>
      <c r="O719" s="141"/>
      <c r="P719" s="141"/>
      <c r="Q719" s="141"/>
      <c r="R719" s="141"/>
      <c r="S719" s="141"/>
      <c r="T719" s="141"/>
      <c r="U719" s="141"/>
      <c r="V719" s="29"/>
    </row>
    <row r="720" spans="1:25" s="26" customFormat="1" ht="15" customHeight="1" x14ac:dyDescent="0.2">
      <c r="A720" s="38">
        <v>41522.449490740742</v>
      </c>
      <c r="B720" s="29" t="s">
        <v>38</v>
      </c>
      <c r="C720" s="29" t="s">
        <v>549</v>
      </c>
      <c r="D720" s="30">
        <v>41487</v>
      </c>
      <c r="E720" s="31" t="s">
        <v>1678</v>
      </c>
      <c r="F720" s="29" t="s">
        <v>1679</v>
      </c>
      <c r="G720" s="29" t="s">
        <v>26</v>
      </c>
      <c r="H720" s="29" t="s">
        <v>1680</v>
      </c>
      <c r="I720" s="29"/>
      <c r="J720" s="116">
        <v>1</v>
      </c>
      <c r="K720" s="116">
        <v>45</v>
      </c>
      <c r="L720" s="139"/>
      <c r="M720" s="140" t="s">
        <v>22</v>
      </c>
      <c r="N720" s="141"/>
      <c r="O720" s="141"/>
      <c r="P720" s="141"/>
      <c r="Q720" s="141"/>
      <c r="R720" s="141"/>
      <c r="S720" s="141"/>
      <c r="T720" s="141"/>
      <c r="U720" s="141"/>
      <c r="V720" s="29"/>
    </row>
    <row r="721" spans="1:22" s="26" customFormat="1" ht="15" customHeight="1" x14ac:dyDescent="0.2">
      <c r="A721" s="38">
        <v>41522.451377314814</v>
      </c>
      <c r="B721" s="29" t="s">
        <v>38</v>
      </c>
      <c r="C721" s="29" t="s">
        <v>549</v>
      </c>
      <c r="D721" s="30">
        <v>41487</v>
      </c>
      <c r="E721" s="31" t="s">
        <v>567</v>
      </c>
      <c r="F721" s="29" t="s">
        <v>568</v>
      </c>
      <c r="G721" s="29" t="s">
        <v>26</v>
      </c>
      <c r="H721" s="39" t="s">
        <v>1681</v>
      </c>
      <c r="I721" s="39"/>
      <c r="J721" s="116">
        <v>5</v>
      </c>
      <c r="K721" s="116">
        <v>102</v>
      </c>
      <c r="L721" s="139"/>
      <c r="M721" s="140" t="s">
        <v>22</v>
      </c>
      <c r="N721" s="141"/>
      <c r="O721" s="141"/>
      <c r="P721" s="141"/>
      <c r="Q721" s="141"/>
      <c r="R721" s="141"/>
      <c r="S721" s="141"/>
      <c r="T721" s="141"/>
      <c r="U721" s="141"/>
      <c r="V721" s="29" t="s">
        <v>1682</v>
      </c>
    </row>
    <row r="722" spans="1:22" s="26" customFormat="1" ht="15" customHeight="1" x14ac:dyDescent="0.2">
      <c r="A722" s="38">
        <v>41522.458761574075</v>
      </c>
      <c r="B722" s="29" t="s">
        <v>38</v>
      </c>
      <c r="C722" s="29" t="s">
        <v>549</v>
      </c>
      <c r="D722" s="30">
        <v>41487</v>
      </c>
      <c r="E722" s="31" t="s">
        <v>554</v>
      </c>
      <c r="F722" s="29" t="s">
        <v>555</v>
      </c>
      <c r="G722" s="29" t="s">
        <v>26</v>
      </c>
      <c r="H722" s="39" t="s">
        <v>1683</v>
      </c>
      <c r="I722" s="39"/>
      <c r="J722" s="116">
        <v>5</v>
      </c>
      <c r="K722" s="116">
        <v>102</v>
      </c>
      <c r="L722" s="139">
        <v>140</v>
      </c>
      <c r="M722" s="140" t="s">
        <v>22</v>
      </c>
      <c r="N722" s="141"/>
      <c r="O722" s="141"/>
      <c r="P722" s="141"/>
      <c r="Q722" s="141"/>
      <c r="R722" s="141"/>
      <c r="S722" s="141"/>
      <c r="T722" s="141"/>
      <c r="U722" s="141"/>
      <c r="V722" s="29" t="s">
        <v>1684</v>
      </c>
    </row>
    <row r="723" spans="1:22" s="26" customFormat="1" ht="15" customHeight="1" x14ac:dyDescent="0.2">
      <c r="A723" s="38">
        <v>41522.460150462961</v>
      </c>
      <c r="B723" s="29" t="s">
        <v>38</v>
      </c>
      <c r="C723" s="29" t="s">
        <v>549</v>
      </c>
      <c r="D723" s="30">
        <v>41487</v>
      </c>
      <c r="E723" s="31" t="s">
        <v>1685</v>
      </c>
      <c r="F723" s="29" t="s">
        <v>1686</v>
      </c>
      <c r="G723" s="29" t="s">
        <v>26</v>
      </c>
      <c r="H723" s="39" t="s">
        <v>1687</v>
      </c>
      <c r="I723" s="39"/>
      <c r="J723" s="116">
        <v>5</v>
      </c>
      <c r="K723" s="116">
        <v>98</v>
      </c>
      <c r="L723" s="139"/>
      <c r="M723" s="140" t="s">
        <v>22</v>
      </c>
      <c r="N723" s="141"/>
      <c r="O723" s="141"/>
      <c r="P723" s="141"/>
      <c r="Q723" s="141"/>
      <c r="R723" s="141"/>
      <c r="S723" s="141"/>
      <c r="T723" s="141"/>
      <c r="U723" s="141"/>
      <c r="V723" s="29"/>
    </row>
    <row r="724" spans="1:22" s="26" customFormat="1" ht="15" customHeight="1" x14ac:dyDescent="0.2">
      <c r="A724" s="38">
        <v>41522.462523148148</v>
      </c>
      <c r="B724" s="29" t="s">
        <v>38</v>
      </c>
      <c r="C724" s="29" t="s">
        <v>549</v>
      </c>
      <c r="D724" s="30">
        <v>41487</v>
      </c>
      <c r="E724" s="31" t="s">
        <v>1688</v>
      </c>
      <c r="F724" s="29" t="s">
        <v>1689</v>
      </c>
      <c r="G724" s="29" t="s">
        <v>26</v>
      </c>
      <c r="H724" s="39" t="s">
        <v>1690</v>
      </c>
      <c r="I724" s="39"/>
      <c r="J724" s="116">
        <v>1</v>
      </c>
      <c r="K724" s="116">
        <v>91</v>
      </c>
      <c r="L724" s="139">
        <v>18</v>
      </c>
      <c r="M724" s="140" t="s">
        <v>44</v>
      </c>
      <c r="N724" s="141"/>
      <c r="O724" s="141">
        <v>10</v>
      </c>
      <c r="P724" s="141"/>
      <c r="Q724" s="141"/>
      <c r="R724" s="141"/>
      <c r="S724" s="141">
        <v>10</v>
      </c>
      <c r="T724" s="141"/>
      <c r="U724" s="141"/>
      <c r="V724" s="29" t="s">
        <v>1691</v>
      </c>
    </row>
    <row r="725" spans="1:22" s="26" customFormat="1" ht="15" customHeight="1" x14ac:dyDescent="0.2">
      <c r="A725" s="38">
        <v>41522.465162037035</v>
      </c>
      <c r="B725" s="29" t="s">
        <v>38</v>
      </c>
      <c r="C725" s="29" t="s">
        <v>549</v>
      </c>
      <c r="D725" s="30">
        <v>41487</v>
      </c>
      <c r="E725" s="31" t="s">
        <v>561</v>
      </c>
      <c r="F725" s="29" t="s">
        <v>562</v>
      </c>
      <c r="G725" s="29" t="s">
        <v>26</v>
      </c>
      <c r="H725" s="29" t="s">
        <v>1692</v>
      </c>
      <c r="I725" s="29"/>
      <c r="J725" s="116">
        <v>4</v>
      </c>
      <c r="K725" s="116">
        <v>52</v>
      </c>
      <c r="L725" s="139">
        <v>36</v>
      </c>
      <c r="M725" s="140" t="s">
        <v>22</v>
      </c>
      <c r="N725" s="141"/>
      <c r="O725" s="141"/>
      <c r="P725" s="141"/>
      <c r="Q725" s="141"/>
      <c r="R725" s="141"/>
      <c r="S725" s="141"/>
      <c r="T725" s="141"/>
      <c r="U725" s="141"/>
      <c r="V725" s="29" t="s">
        <v>1693</v>
      </c>
    </row>
    <row r="726" spans="1:22" s="26" customFormat="1" ht="15" customHeight="1" x14ac:dyDescent="0.2">
      <c r="A726" s="28">
        <v>41524.683923611112</v>
      </c>
      <c r="B726" s="29" t="s">
        <v>38</v>
      </c>
      <c r="C726" s="29" t="s">
        <v>549</v>
      </c>
      <c r="D726" s="30">
        <v>41487</v>
      </c>
      <c r="E726" s="29" t="s">
        <v>1796</v>
      </c>
      <c r="F726" s="29" t="s">
        <v>1797</v>
      </c>
      <c r="G726" s="29" t="s">
        <v>26</v>
      </c>
      <c r="H726" s="29" t="s">
        <v>1798</v>
      </c>
      <c r="I726" s="29"/>
      <c r="J726" s="116">
        <v>1</v>
      </c>
      <c r="K726" s="116">
        <v>67</v>
      </c>
      <c r="L726" s="139">
        <v>495</v>
      </c>
      <c r="M726" s="140" t="s">
        <v>44</v>
      </c>
      <c r="N726" s="141"/>
      <c r="O726" s="141">
        <v>25</v>
      </c>
      <c r="P726" s="141"/>
      <c r="Q726" s="141"/>
      <c r="R726" s="141"/>
      <c r="S726" s="141"/>
      <c r="T726" s="141"/>
      <c r="U726" s="141">
        <v>496</v>
      </c>
      <c r="V726" s="29" t="s">
        <v>1799</v>
      </c>
    </row>
    <row r="727" spans="1:22" s="26" customFormat="1" ht="15" customHeight="1" x14ac:dyDescent="0.2">
      <c r="A727" s="32">
        <v>41551.554027777776</v>
      </c>
      <c r="B727" s="26" t="s">
        <v>38</v>
      </c>
      <c r="C727" s="26" t="s">
        <v>549</v>
      </c>
      <c r="D727" s="30">
        <v>41518</v>
      </c>
      <c r="E727" s="26" t="s">
        <v>2418</v>
      </c>
      <c r="F727" s="26" t="s">
        <v>579</v>
      </c>
      <c r="G727" s="26" t="s">
        <v>26</v>
      </c>
      <c r="H727" s="26" t="s">
        <v>2419</v>
      </c>
      <c r="J727" s="46">
        <v>1</v>
      </c>
      <c r="K727" s="46">
        <v>21</v>
      </c>
      <c r="L727" s="136"/>
      <c r="M727" s="137" t="s">
        <v>22</v>
      </c>
      <c r="N727" s="138"/>
      <c r="O727" s="138"/>
      <c r="P727" s="138"/>
      <c r="Q727" s="138"/>
      <c r="R727" s="138"/>
      <c r="S727" s="138"/>
      <c r="T727" s="138"/>
      <c r="U727" s="138"/>
    </row>
    <row r="728" spans="1:22" s="26" customFormat="1" ht="15" customHeight="1" x14ac:dyDescent="0.2">
      <c r="A728" s="32">
        <v>41551.555856481478</v>
      </c>
      <c r="B728" s="26" t="s">
        <v>38</v>
      </c>
      <c r="C728" s="26" t="s">
        <v>549</v>
      </c>
      <c r="D728" s="30">
        <v>41518</v>
      </c>
      <c r="E728" s="26" t="s">
        <v>2420</v>
      </c>
      <c r="F728" s="26" t="s">
        <v>2421</v>
      </c>
      <c r="G728" s="26" t="s">
        <v>26</v>
      </c>
      <c r="H728" s="26" t="s">
        <v>2422</v>
      </c>
      <c r="J728" s="46">
        <v>1</v>
      </c>
      <c r="K728" s="46">
        <v>70</v>
      </c>
      <c r="L728" s="136">
        <v>290</v>
      </c>
      <c r="M728" s="137" t="s">
        <v>44</v>
      </c>
      <c r="N728" s="138"/>
      <c r="O728" s="138"/>
      <c r="P728" s="138">
        <v>15</v>
      </c>
      <c r="Q728" s="138"/>
      <c r="R728" s="138"/>
      <c r="S728" s="138">
        <v>15</v>
      </c>
      <c r="T728" s="138"/>
      <c r="U728" s="138"/>
      <c r="V728" s="26" t="s">
        <v>2423</v>
      </c>
    </row>
    <row r="729" spans="1:22" s="26" customFormat="1" ht="15" customHeight="1" x14ac:dyDescent="0.2">
      <c r="A729" s="32">
        <v>41551.557581018518</v>
      </c>
      <c r="B729" s="26" t="s">
        <v>38</v>
      </c>
      <c r="C729" s="26" t="s">
        <v>549</v>
      </c>
      <c r="D729" s="30">
        <v>41518</v>
      </c>
      <c r="E729" s="26" t="s">
        <v>2424</v>
      </c>
      <c r="F729" s="26" t="s">
        <v>2425</v>
      </c>
      <c r="G729" s="26" t="s">
        <v>156</v>
      </c>
      <c r="H729" s="26" t="s">
        <v>2426</v>
      </c>
      <c r="J729" s="46">
        <v>1</v>
      </c>
      <c r="K729" s="46">
        <v>3012</v>
      </c>
      <c r="L729" s="136">
        <v>6000</v>
      </c>
      <c r="M729" s="137" t="s">
        <v>44</v>
      </c>
      <c r="N729" s="138"/>
      <c r="O729" s="138">
        <v>75</v>
      </c>
      <c r="P729" s="138">
        <v>800</v>
      </c>
      <c r="Q729" s="138"/>
      <c r="R729" s="138"/>
      <c r="S729" s="138"/>
      <c r="T729" s="138"/>
      <c r="U729" s="138"/>
    </row>
    <row r="730" spans="1:22" s="26" customFormat="1" ht="15" customHeight="1" x14ac:dyDescent="0.2">
      <c r="A730" s="32">
        <v>41551.560023148151</v>
      </c>
      <c r="B730" s="26" t="s">
        <v>38</v>
      </c>
      <c r="C730" s="26" t="s">
        <v>549</v>
      </c>
      <c r="D730" s="30">
        <v>41518</v>
      </c>
      <c r="E730" s="26" t="s">
        <v>554</v>
      </c>
      <c r="F730" s="26" t="s">
        <v>2427</v>
      </c>
      <c r="G730" s="26" t="s">
        <v>26</v>
      </c>
      <c r="H730" s="26" t="s">
        <v>2428</v>
      </c>
      <c r="J730" s="46">
        <v>3</v>
      </c>
      <c r="K730" s="46">
        <v>36</v>
      </c>
      <c r="L730" s="136">
        <v>40</v>
      </c>
      <c r="M730" s="137" t="s">
        <v>22</v>
      </c>
      <c r="N730" s="138"/>
      <c r="O730" s="138"/>
      <c r="P730" s="138"/>
      <c r="Q730" s="138"/>
      <c r="R730" s="138"/>
      <c r="S730" s="138"/>
      <c r="T730" s="138"/>
      <c r="U730" s="138"/>
    </row>
    <row r="731" spans="1:22" s="26" customFormat="1" ht="15" customHeight="1" x14ac:dyDescent="0.2">
      <c r="A731" s="32">
        <v>41551.561192129629</v>
      </c>
      <c r="B731" s="26" t="s">
        <v>38</v>
      </c>
      <c r="C731" s="26" t="s">
        <v>549</v>
      </c>
      <c r="D731" s="30">
        <v>41518</v>
      </c>
      <c r="E731" s="26" t="s">
        <v>2429</v>
      </c>
      <c r="F731" s="26" t="s">
        <v>2430</v>
      </c>
      <c r="G731" s="26" t="s">
        <v>26</v>
      </c>
      <c r="H731" s="26" t="s">
        <v>2431</v>
      </c>
      <c r="J731" s="46">
        <v>3</v>
      </c>
      <c r="K731" s="46">
        <v>27</v>
      </c>
      <c r="L731" s="136"/>
      <c r="M731" s="137" t="s">
        <v>22</v>
      </c>
      <c r="N731" s="138"/>
      <c r="O731" s="138"/>
      <c r="P731" s="138"/>
      <c r="Q731" s="138"/>
      <c r="R731" s="138"/>
      <c r="S731" s="138"/>
      <c r="T731" s="138"/>
      <c r="U731" s="138"/>
    </row>
    <row r="732" spans="1:22" s="26" customFormat="1" ht="15" customHeight="1" x14ac:dyDescent="0.2">
      <c r="A732" s="32">
        <v>41551.563379629632</v>
      </c>
      <c r="B732" s="26" t="s">
        <v>38</v>
      </c>
      <c r="C732" s="26" t="s">
        <v>549</v>
      </c>
      <c r="D732" s="30">
        <v>41518</v>
      </c>
      <c r="E732" s="26" t="s">
        <v>2432</v>
      </c>
      <c r="F732" s="26" t="s">
        <v>2433</v>
      </c>
      <c r="G732" s="26" t="s">
        <v>26</v>
      </c>
      <c r="H732" s="26" t="s">
        <v>2434</v>
      </c>
      <c r="J732" s="115">
        <v>1</v>
      </c>
      <c r="K732" s="115">
        <v>120</v>
      </c>
      <c r="L732" s="136"/>
      <c r="M732" s="137" t="s">
        <v>22</v>
      </c>
      <c r="N732" s="138"/>
      <c r="O732" s="138"/>
      <c r="P732" s="138"/>
      <c r="Q732" s="138"/>
      <c r="R732" s="138"/>
      <c r="S732" s="138"/>
      <c r="T732" s="138"/>
      <c r="U732" s="138"/>
    </row>
    <row r="733" spans="1:22" s="26" customFormat="1" ht="15" customHeight="1" x14ac:dyDescent="0.2">
      <c r="A733" s="32">
        <v>41551.564560185187</v>
      </c>
      <c r="B733" s="26" t="s">
        <v>38</v>
      </c>
      <c r="C733" s="26" t="s">
        <v>549</v>
      </c>
      <c r="D733" s="30">
        <v>41518</v>
      </c>
      <c r="E733" s="26" t="s">
        <v>561</v>
      </c>
      <c r="F733" s="26" t="s">
        <v>2435</v>
      </c>
      <c r="G733" s="26" t="s">
        <v>26</v>
      </c>
      <c r="H733" s="26" t="s">
        <v>2436</v>
      </c>
      <c r="J733" s="46">
        <v>3</v>
      </c>
      <c r="K733" s="46">
        <v>100</v>
      </c>
      <c r="L733" s="136"/>
      <c r="M733" s="137" t="s">
        <v>22</v>
      </c>
      <c r="N733" s="138"/>
      <c r="O733" s="138"/>
      <c r="P733" s="138"/>
      <c r="Q733" s="138"/>
      <c r="R733" s="138"/>
      <c r="S733" s="138"/>
      <c r="T733" s="138"/>
      <c r="U733" s="138"/>
    </row>
    <row r="734" spans="1:22" s="26" customFormat="1" ht="15" customHeight="1" x14ac:dyDescent="0.2">
      <c r="A734" s="32">
        <v>41551.566377314812</v>
      </c>
      <c r="B734" s="26" t="s">
        <v>38</v>
      </c>
      <c r="C734" s="26" t="s">
        <v>549</v>
      </c>
      <c r="D734" s="30">
        <v>41518</v>
      </c>
      <c r="E734" s="26" t="s">
        <v>564</v>
      </c>
      <c r="F734" s="26" t="s">
        <v>2437</v>
      </c>
      <c r="G734" s="26" t="s">
        <v>42</v>
      </c>
      <c r="H734" s="26" t="s">
        <v>2422</v>
      </c>
      <c r="J734" s="46">
        <v>1</v>
      </c>
      <c r="K734" s="46">
        <v>20</v>
      </c>
      <c r="L734" s="136">
        <v>100</v>
      </c>
      <c r="M734" s="137" t="s">
        <v>44</v>
      </c>
      <c r="N734" s="138"/>
      <c r="O734" s="138"/>
      <c r="P734" s="138">
        <v>75</v>
      </c>
      <c r="Q734" s="138"/>
      <c r="R734" s="138"/>
      <c r="S734" s="138"/>
      <c r="T734" s="138"/>
      <c r="U734" s="138"/>
    </row>
    <row r="735" spans="1:22" s="26" customFormat="1" ht="15" customHeight="1" x14ac:dyDescent="0.2">
      <c r="A735" s="32">
        <v>41551.567407407405</v>
      </c>
      <c r="B735" s="26" t="s">
        <v>38</v>
      </c>
      <c r="C735" s="26" t="s">
        <v>549</v>
      </c>
      <c r="D735" s="30">
        <v>41518</v>
      </c>
      <c r="E735" s="26" t="s">
        <v>561</v>
      </c>
      <c r="F735" s="26" t="s">
        <v>1536</v>
      </c>
      <c r="G735" s="26" t="s">
        <v>26</v>
      </c>
      <c r="H735" s="26" t="s">
        <v>2438</v>
      </c>
      <c r="J735" s="46">
        <v>1</v>
      </c>
      <c r="K735" s="46">
        <v>45</v>
      </c>
      <c r="L735" s="136">
        <v>20</v>
      </c>
      <c r="M735" s="137" t="s">
        <v>22</v>
      </c>
      <c r="N735" s="138"/>
      <c r="O735" s="138"/>
      <c r="P735" s="138"/>
      <c r="Q735" s="138"/>
      <c r="R735" s="138"/>
      <c r="S735" s="138"/>
      <c r="T735" s="138"/>
      <c r="U735" s="138"/>
    </row>
    <row r="736" spans="1:22" s="26" customFormat="1" ht="15" customHeight="1" x14ac:dyDescent="0.2">
      <c r="A736" s="32">
        <v>41551.568599537037</v>
      </c>
      <c r="B736" s="26" t="s">
        <v>38</v>
      </c>
      <c r="C736" s="26" t="s">
        <v>549</v>
      </c>
      <c r="D736" s="30">
        <v>41518</v>
      </c>
      <c r="E736" s="26" t="s">
        <v>2439</v>
      </c>
      <c r="F736" s="26" t="s">
        <v>588</v>
      </c>
      <c r="G736" s="26" t="s">
        <v>26</v>
      </c>
      <c r="H736" s="26" t="s">
        <v>2440</v>
      </c>
      <c r="J736" s="46">
        <v>3</v>
      </c>
      <c r="K736" s="46">
        <v>75</v>
      </c>
      <c r="L736" s="136"/>
      <c r="M736" s="137" t="s">
        <v>22</v>
      </c>
      <c r="N736" s="138"/>
      <c r="O736" s="138"/>
      <c r="P736" s="138"/>
      <c r="Q736" s="138"/>
      <c r="R736" s="138"/>
      <c r="S736" s="138"/>
      <c r="T736" s="138"/>
      <c r="U736" s="138"/>
    </row>
    <row r="737" spans="1:22" s="26" customFormat="1" ht="15" customHeight="1" x14ac:dyDescent="0.2">
      <c r="A737" s="48">
        <v>41614.472500000003</v>
      </c>
      <c r="B737" s="49" t="s">
        <v>38</v>
      </c>
      <c r="C737" s="50" t="s">
        <v>549</v>
      </c>
      <c r="D737" s="67">
        <v>41579</v>
      </c>
      <c r="E737" s="50" t="s">
        <v>3416</v>
      </c>
      <c r="F737" s="50" t="s">
        <v>3417</v>
      </c>
      <c r="G737" s="49" t="s">
        <v>42</v>
      </c>
      <c r="H737" s="50" t="s">
        <v>3418</v>
      </c>
      <c r="I737" s="50" t="s">
        <v>3419</v>
      </c>
      <c r="J737" s="117">
        <v>1</v>
      </c>
      <c r="K737" s="117">
        <v>125</v>
      </c>
      <c r="L737" s="142"/>
      <c r="M737" s="143" t="s">
        <v>44</v>
      </c>
      <c r="N737" s="144"/>
      <c r="O737" s="144">
        <v>200</v>
      </c>
      <c r="P737" s="144"/>
      <c r="Q737" s="144"/>
      <c r="R737" s="144"/>
      <c r="S737" s="144"/>
      <c r="T737" s="144"/>
      <c r="U737" s="144"/>
      <c r="V737" s="50" t="s">
        <v>3420</v>
      </c>
    </row>
    <row r="738" spans="1:22" s="26" customFormat="1" ht="15" customHeight="1" x14ac:dyDescent="0.2">
      <c r="A738" s="48">
        <v>41614.477500000001</v>
      </c>
      <c r="B738" s="49" t="s">
        <v>38</v>
      </c>
      <c r="C738" s="50" t="s">
        <v>549</v>
      </c>
      <c r="D738" s="67">
        <v>41579</v>
      </c>
      <c r="E738" s="50" t="s">
        <v>3421</v>
      </c>
      <c r="F738" s="50" t="s">
        <v>3422</v>
      </c>
      <c r="G738" s="49" t="s">
        <v>26</v>
      </c>
      <c r="H738" s="50" t="s">
        <v>3423</v>
      </c>
      <c r="I738" s="50" t="s">
        <v>3424</v>
      </c>
      <c r="J738" s="117">
        <v>1</v>
      </c>
      <c r="K738" s="117">
        <v>70</v>
      </c>
      <c r="L738" s="142">
        <v>180</v>
      </c>
      <c r="M738" s="143" t="s">
        <v>44</v>
      </c>
      <c r="N738" s="144"/>
      <c r="O738" s="144">
        <v>30</v>
      </c>
      <c r="P738" s="144"/>
      <c r="Q738" s="144"/>
      <c r="R738" s="144"/>
      <c r="S738" s="144"/>
      <c r="T738" s="144"/>
      <c r="U738" s="144"/>
      <c r="V738" s="50" t="s">
        <v>3425</v>
      </c>
    </row>
    <row r="739" spans="1:22" s="26" customFormat="1" ht="15" customHeight="1" x14ac:dyDescent="0.2">
      <c r="A739" s="48">
        <v>41614.481215277803</v>
      </c>
      <c r="B739" s="49" t="s">
        <v>38</v>
      </c>
      <c r="C739" s="50" t="s">
        <v>549</v>
      </c>
      <c r="D739" s="67">
        <v>41579</v>
      </c>
      <c r="E739" s="50" t="s">
        <v>2866</v>
      </c>
      <c r="F739" s="50" t="s">
        <v>2815</v>
      </c>
      <c r="G739" s="49" t="s">
        <v>26</v>
      </c>
      <c r="H739" s="50" t="s">
        <v>2867</v>
      </c>
      <c r="I739" s="50" t="s">
        <v>2812</v>
      </c>
      <c r="J739" s="117">
        <v>2</v>
      </c>
      <c r="K739" s="117">
        <v>60</v>
      </c>
      <c r="L739" s="142"/>
      <c r="M739" s="143" t="s">
        <v>44</v>
      </c>
      <c r="N739" s="144"/>
      <c r="O739" s="144">
        <v>15</v>
      </c>
      <c r="P739" s="144"/>
      <c r="Q739" s="144"/>
      <c r="R739" s="144"/>
      <c r="S739" s="144"/>
      <c r="T739" s="144"/>
      <c r="U739" s="144"/>
      <c r="V739" s="50" t="s">
        <v>3426</v>
      </c>
    </row>
    <row r="740" spans="1:22" s="26" customFormat="1" ht="15" customHeight="1" x14ac:dyDescent="0.2">
      <c r="A740" s="48">
        <v>41614.483668981498</v>
      </c>
      <c r="B740" s="49" t="s">
        <v>38</v>
      </c>
      <c r="C740" s="50" t="s">
        <v>549</v>
      </c>
      <c r="D740" s="67">
        <v>41579</v>
      </c>
      <c r="E740" s="50" t="s">
        <v>3427</v>
      </c>
      <c r="F740" s="50" t="s">
        <v>3428</v>
      </c>
      <c r="G740" s="49" t="s">
        <v>26</v>
      </c>
      <c r="H740" s="50" t="s">
        <v>3429</v>
      </c>
      <c r="I740" s="50" t="s">
        <v>2812</v>
      </c>
      <c r="J740" s="117">
        <v>5</v>
      </c>
      <c r="K740" s="117">
        <v>430</v>
      </c>
      <c r="L740" s="142"/>
      <c r="M740" s="143" t="s">
        <v>44</v>
      </c>
      <c r="N740" s="144"/>
      <c r="O740" s="144"/>
      <c r="P740" s="144"/>
      <c r="Q740" s="144"/>
      <c r="R740" s="144"/>
      <c r="S740" s="144">
        <v>312</v>
      </c>
      <c r="T740" s="144"/>
      <c r="U740" s="144"/>
      <c r="V740" s="50" t="s">
        <v>3430</v>
      </c>
    </row>
    <row r="741" spans="1:22" s="26" customFormat="1" ht="15" customHeight="1" x14ac:dyDescent="0.2">
      <c r="A741" s="48">
        <v>41614.485347222202</v>
      </c>
      <c r="B741" s="49" t="s">
        <v>38</v>
      </c>
      <c r="C741" s="50" t="s">
        <v>549</v>
      </c>
      <c r="D741" s="67">
        <v>41579</v>
      </c>
      <c r="E741" s="50" t="s">
        <v>3431</v>
      </c>
      <c r="F741" s="50" t="s">
        <v>3432</v>
      </c>
      <c r="G741" s="49" t="s">
        <v>26</v>
      </c>
      <c r="H741" s="50" t="s">
        <v>3433</v>
      </c>
      <c r="I741" s="50" t="s">
        <v>2812</v>
      </c>
      <c r="J741" s="117">
        <v>1</v>
      </c>
      <c r="K741" s="117">
        <v>11</v>
      </c>
      <c r="L741" s="142"/>
      <c r="M741" s="143" t="s">
        <v>44</v>
      </c>
      <c r="N741" s="144"/>
      <c r="O741" s="144">
        <v>15</v>
      </c>
      <c r="P741" s="144"/>
      <c r="Q741" s="144"/>
      <c r="R741" s="144"/>
      <c r="S741" s="144"/>
      <c r="T741" s="144"/>
      <c r="U741" s="144"/>
      <c r="V741" s="50" t="s">
        <v>3434</v>
      </c>
    </row>
    <row r="742" spans="1:22" s="26" customFormat="1" ht="15" customHeight="1" x14ac:dyDescent="0.2">
      <c r="A742" s="48">
        <v>41614.487638888902</v>
      </c>
      <c r="B742" s="49" t="s">
        <v>38</v>
      </c>
      <c r="C742" s="50" t="s">
        <v>549</v>
      </c>
      <c r="D742" s="67">
        <v>41579</v>
      </c>
      <c r="E742" s="50" t="s">
        <v>2829</v>
      </c>
      <c r="F742" s="50" t="s">
        <v>2100</v>
      </c>
      <c r="G742" s="49" t="s">
        <v>26</v>
      </c>
      <c r="H742" s="50" t="s">
        <v>3435</v>
      </c>
      <c r="I742" s="50" t="s">
        <v>3001</v>
      </c>
      <c r="J742" s="117">
        <v>5</v>
      </c>
      <c r="K742" s="117">
        <v>34</v>
      </c>
      <c r="L742" s="142"/>
      <c r="M742" s="143" t="s">
        <v>22</v>
      </c>
      <c r="N742" s="144"/>
      <c r="O742" s="144"/>
      <c r="P742" s="144"/>
      <c r="Q742" s="144"/>
      <c r="R742" s="144"/>
      <c r="S742" s="144"/>
      <c r="T742" s="144"/>
      <c r="U742" s="144"/>
      <c r="V742" s="50" t="s">
        <v>3436</v>
      </c>
    </row>
    <row r="743" spans="1:22" s="26" customFormat="1" ht="15" customHeight="1" x14ac:dyDescent="0.2">
      <c r="A743" s="48">
        <v>41614.4908796296</v>
      </c>
      <c r="B743" s="49" t="s">
        <v>38</v>
      </c>
      <c r="C743" s="50" t="s">
        <v>549</v>
      </c>
      <c r="D743" s="67">
        <v>41579</v>
      </c>
      <c r="E743" s="50" t="s">
        <v>3437</v>
      </c>
      <c r="F743" s="50" t="s">
        <v>3438</v>
      </c>
      <c r="G743" s="49" t="s">
        <v>26</v>
      </c>
      <c r="H743" s="50" t="s">
        <v>3439</v>
      </c>
      <c r="I743" s="50" t="s">
        <v>3001</v>
      </c>
      <c r="J743" s="117">
        <v>3</v>
      </c>
      <c r="K743" s="117">
        <v>25</v>
      </c>
      <c r="L743" s="142">
        <v>50</v>
      </c>
      <c r="M743" s="143" t="s">
        <v>22</v>
      </c>
      <c r="N743" s="144"/>
      <c r="O743" s="144"/>
      <c r="P743" s="144"/>
      <c r="Q743" s="144"/>
      <c r="R743" s="144"/>
      <c r="S743" s="144"/>
      <c r="T743" s="144"/>
      <c r="U743" s="144">
        <v>25</v>
      </c>
      <c r="V743" s="50" t="s">
        <v>3440</v>
      </c>
    </row>
    <row r="744" spans="1:22" s="26" customFormat="1" ht="15" customHeight="1" x14ac:dyDescent="0.2">
      <c r="A744" s="48">
        <v>41614.492893518502</v>
      </c>
      <c r="B744" s="49" t="s">
        <v>38</v>
      </c>
      <c r="C744" s="50" t="s">
        <v>549</v>
      </c>
      <c r="D744" s="67">
        <v>41579</v>
      </c>
      <c r="E744" s="50" t="s">
        <v>3441</v>
      </c>
      <c r="F744" s="50" t="s">
        <v>3442</v>
      </c>
      <c r="G744" s="49" t="s">
        <v>26</v>
      </c>
      <c r="H744" s="50" t="s">
        <v>3443</v>
      </c>
      <c r="I744" s="50" t="s">
        <v>3001</v>
      </c>
      <c r="J744" s="117">
        <v>1</v>
      </c>
      <c r="K744" s="117">
        <v>41</v>
      </c>
      <c r="L744" s="142"/>
      <c r="M744" s="143" t="s">
        <v>22</v>
      </c>
      <c r="N744" s="144"/>
      <c r="O744" s="144"/>
      <c r="P744" s="144"/>
      <c r="Q744" s="144"/>
      <c r="R744" s="144"/>
      <c r="S744" s="144"/>
      <c r="T744" s="144"/>
      <c r="U744" s="144"/>
      <c r="V744" s="50" t="s">
        <v>3444</v>
      </c>
    </row>
    <row r="745" spans="1:22" s="26" customFormat="1" ht="15" customHeight="1" x14ac:dyDescent="0.2">
      <c r="A745" s="48">
        <v>41614.496863425898</v>
      </c>
      <c r="B745" s="49" t="s">
        <v>38</v>
      </c>
      <c r="C745" s="50" t="s">
        <v>549</v>
      </c>
      <c r="D745" s="67">
        <v>41579</v>
      </c>
      <c r="E745" s="50" t="s">
        <v>3445</v>
      </c>
      <c r="F745" s="50" t="s">
        <v>3446</v>
      </c>
      <c r="G745" s="49" t="s">
        <v>26</v>
      </c>
      <c r="H745" s="50" t="s">
        <v>3447</v>
      </c>
      <c r="I745" s="50" t="s">
        <v>3001</v>
      </c>
      <c r="J745" s="117">
        <v>1</v>
      </c>
      <c r="K745" s="117">
        <v>10</v>
      </c>
      <c r="L745" s="142"/>
      <c r="M745" s="143" t="s">
        <v>44</v>
      </c>
      <c r="N745" s="144"/>
      <c r="O745" s="144">
        <v>15</v>
      </c>
      <c r="P745" s="144"/>
      <c r="Q745" s="144"/>
      <c r="R745" s="144"/>
      <c r="S745" s="144"/>
      <c r="T745" s="144"/>
      <c r="U745" s="144"/>
      <c r="V745" s="50" t="s">
        <v>3448</v>
      </c>
    </row>
    <row r="746" spans="1:22" s="26" customFormat="1" ht="15" customHeight="1" x14ac:dyDescent="0.2">
      <c r="A746" s="48">
        <v>41614.502847222197</v>
      </c>
      <c r="B746" s="49" t="s">
        <v>38</v>
      </c>
      <c r="C746" s="50" t="s">
        <v>549</v>
      </c>
      <c r="D746" s="67">
        <v>41579</v>
      </c>
      <c r="E746" s="50" t="s">
        <v>3451</v>
      </c>
      <c r="F746" s="50" t="s">
        <v>3452</v>
      </c>
      <c r="G746" s="49" t="s">
        <v>26</v>
      </c>
      <c r="H746" s="50" t="s">
        <v>3453</v>
      </c>
      <c r="I746" s="50" t="s">
        <v>3001</v>
      </c>
      <c r="J746" s="117">
        <v>4</v>
      </c>
      <c r="K746" s="117">
        <v>83</v>
      </c>
      <c r="L746" s="142">
        <v>131</v>
      </c>
      <c r="M746" s="143" t="s">
        <v>22</v>
      </c>
      <c r="N746" s="144"/>
      <c r="O746" s="144"/>
      <c r="P746" s="144"/>
      <c r="Q746" s="144"/>
      <c r="R746" s="144"/>
      <c r="S746" s="144"/>
      <c r="T746" s="144"/>
      <c r="U746" s="144"/>
      <c r="V746" s="50" t="s">
        <v>3454</v>
      </c>
    </row>
    <row r="747" spans="1:22" s="26" customFormat="1" ht="15" customHeight="1" x14ac:dyDescent="0.2">
      <c r="A747" s="48">
        <v>41614.505347222199</v>
      </c>
      <c r="B747" s="49" t="s">
        <v>38</v>
      </c>
      <c r="C747" s="50" t="s">
        <v>549</v>
      </c>
      <c r="D747" s="67">
        <v>41579</v>
      </c>
      <c r="E747" s="50" t="s">
        <v>3455</v>
      </c>
      <c r="F747" s="50" t="s">
        <v>3456</v>
      </c>
      <c r="G747" s="49" t="s">
        <v>42</v>
      </c>
      <c r="H747" s="50" t="s">
        <v>3457</v>
      </c>
      <c r="I747" s="50" t="s">
        <v>3001</v>
      </c>
      <c r="J747" s="117">
        <v>1</v>
      </c>
      <c r="K747" s="117">
        <v>18</v>
      </c>
      <c r="L747" s="142">
        <v>90</v>
      </c>
      <c r="M747" s="143" t="s">
        <v>44</v>
      </c>
      <c r="N747" s="144"/>
      <c r="O747" s="144">
        <v>15</v>
      </c>
      <c r="P747" s="144"/>
      <c r="Q747" s="144"/>
      <c r="R747" s="144"/>
      <c r="S747" s="144"/>
      <c r="T747" s="144"/>
      <c r="U747" s="144"/>
      <c r="V747" s="50" t="s">
        <v>3458</v>
      </c>
    </row>
    <row r="748" spans="1:22" s="26" customFormat="1" ht="15" customHeight="1" x14ac:dyDescent="0.2">
      <c r="A748" s="48">
        <v>41614.514490740701</v>
      </c>
      <c r="B748" s="49" t="s">
        <v>38</v>
      </c>
      <c r="C748" s="50" t="s">
        <v>549</v>
      </c>
      <c r="D748" s="67">
        <v>41579</v>
      </c>
      <c r="E748" s="50" t="s">
        <v>3459</v>
      </c>
      <c r="F748" s="50" t="s">
        <v>3460</v>
      </c>
      <c r="G748" s="49" t="s">
        <v>351</v>
      </c>
      <c r="H748" s="50" t="s">
        <v>3461</v>
      </c>
      <c r="I748" s="50" t="s">
        <v>2925</v>
      </c>
      <c r="J748" s="117">
        <v>1</v>
      </c>
      <c r="K748" s="117">
        <v>122</v>
      </c>
      <c r="L748" s="142"/>
      <c r="M748" s="143" t="s">
        <v>22</v>
      </c>
      <c r="N748" s="144"/>
      <c r="O748" s="144"/>
      <c r="P748" s="144"/>
      <c r="Q748" s="144"/>
      <c r="R748" s="144"/>
      <c r="S748" s="144"/>
      <c r="T748" s="144"/>
      <c r="U748" s="144"/>
      <c r="V748" s="50"/>
    </row>
    <row r="749" spans="1:22" s="26" customFormat="1" ht="15" customHeight="1" x14ac:dyDescent="0.2">
      <c r="A749" s="48">
        <v>41614.537708333301</v>
      </c>
      <c r="B749" s="49" t="s">
        <v>38</v>
      </c>
      <c r="C749" s="50" t="s">
        <v>549</v>
      </c>
      <c r="D749" s="67">
        <v>41579</v>
      </c>
      <c r="E749" s="50" t="s">
        <v>3462</v>
      </c>
      <c r="F749" s="50" t="s">
        <v>3463</v>
      </c>
      <c r="G749" s="49" t="s">
        <v>26</v>
      </c>
      <c r="H749" s="50" t="s">
        <v>3464</v>
      </c>
      <c r="I749" s="50" t="s">
        <v>2812</v>
      </c>
      <c r="J749" s="117">
        <v>1</v>
      </c>
      <c r="K749" s="117">
        <v>47</v>
      </c>
      <c r="L749" s="142"/>
      <c r="M749" s="143" t="s">
        <v>44</v>
      </c>
      <c r="N749" s="144"/>
      <c r="O749" s="144">
        <v>10</v>
      </c>
      <c r="P749" s="144"/>
      <c r="Q749" s="144"/>
      <c r="R749" s="144"/>
      <c r="S749" s="144"/>
      <c r="T749" s="144"/>
      <c r="U749" s="144"/>
      <c r="V749" s="50" t="s">
        <v>3465</v>
      </c>
    </row>
    <row r="750" spans="1:22" s="26" customFormat="1" ht="15" customHeight="1" x14ac:dyDescent="0.2">
      <c r="A750" s="32">
        <v>41642.660104166665</v>
      </c>
      <c r="B750" s="26" t="s">
        <v>38</v>
      </c>
      <c r="C750" s="26" t="s">
        <v>549</v>
      </c>
      <c r="D750" s="68">
        <v>41609</v>
      </c>
      <c r="E750" s="26" t="s">
        <v>3913</v>
      </c>
      <c r="F750" s="26" t="s">
        <v>3914</v>
      </c>
      <c r="G750" s="26" t="s">
        <v>26</v>
      </c>
      <c r="H750" s="26" t="s">
        <v>3915</v>
      </c>
      <c r="I750" s="26" t="s">
        <v>3916</v>
      </c>
      <c r="J750" s="46">
        <v>1</v>
      </c>
      <c r="K750" s="46">
        <v>99</v>
      </c>
      <c r="L750" s="136">
        <v>260</v>
      </c>
      <c r="M750" s="137" t="s">
        <v>44</v>
      </c>
      <c r="N750" s="138"/>
      <c r="O750" s="138">
        <v>15</v>
      </c>
      <c r="P750" s="138"/>
      <c r="Q750" s="138"/>
      <c r="R750" s="138"/>
      <c r="S750" s="138"/>
      <c r="T750" s="138"/>
      <c r="U750" s="138">
        <v>100</v>
      </c>
      <c r="V750" s="26" t="s">
        <v>3917</v>
      </c>
    </row>
    <row r="751" spans="1:22" s="26" customFormat="1" ht="15" customHeight="1" x14ac:dyDescent="0.2">
      <c r="A751" s="32">
        <v>41642.662777777776</v>
      </c>
      <c r="B751" s="26" t="s">
        <v>38</v>
      </c>
      <c r="C751" s="26" t="s">
        <v>549</v>
      </c>
      <c r="D751" s="68">
        <v>41609</v>
      </c>
      <c r="E751" s="26" t="s">
        <v>3918</v>
      </c>
      <c r="F751" s="26" t="s">
        <v>3919</v>
      </c>
      <c r="G751" s="26" t="s">
        <v>26</v>
      </c>
      <c r="H751" s="26" t="s">
        <v>3920</v>
      </c>
      <c r="I751" s="26" t="s">
        <v>3001</v>
      </c>
      <c r="J751" s="46">
        <v>2</v>
      </c>
      <c r="K751" s="46">
        <v>9</v>
      </c>
      <c r="L751" s="136">
        <v>40</v>
      </c>
      <c r="M751" s="137" t="s">
        <v>22</v>
      </c>
      <c r="N751" s="138"/>
      <c r="O751" s="138"/>
      <c r="P751" s="138"/>
      <c r="Q751" s="138"/>
      <c r="R751" s="138"/>
      <c r="S751" s="138"/>
      <c r="T751" s="138"/>
      <c r="U751" s="138"/>
      <c r="V751" s="26" t="s">
        <v>3921</v>
      </c>
    </row>
    <row r="752" spans="1:22" s="26" customFormat="1" ht="15" customHeight="1" x14ac:dyDescent="0.2">
      <c r="A752" s="32">
        <v>41642.667858796296</v>
      </c>
      <c r="B752" s="26" t="s">
        <v>38</v>
      </c>
      <c r="C752" s="26" t="s">
        <v>549</v>
      </c>
      <c r="D752" s="68">
        <v>41609</v>
      </c>
      <c r="E752" s="26" t="s">
        <v>2829</v>
      </c>
      <c r="F752" s="26" t="s">
        <v>2100</v>
      </c>
      <c r="G752" s="26" t="s">
        <v>26</v>
      </c>
      <c r="H752" s="26" t="s">
        <v>3922</v>
      </c>
      <c r="I752" s="26" t="s">
        <v>3923</v>
      </c>
      <c r="J752" s="46">
        <v>4</v>
      </c>
      <c r="K752" s="46">
        <v>10</v>
      </c>
      <c r="L752" s="136"/>
      <c r="M752" s="137" t="s">
        <v>44</v>
      </c>
      <c r="N752" s="138"/>
      <c r="O752" s="138">
        <v>5</v>
      </c>
      <c r="P752" s="138"/>
      <c r="Q752" s="138"/>
      <c r="R752" s="138"/>
      <c r="S752" s="138"/>
      <c r="T752" s="138"/>
      <c r="U752" s="138"/>
      <c r="V752" s="26" t="s">
        <v>3924</v>
      </c>
    </row>
    <row r="753" spans="1:25" s="26" customFormat="1" ht="15" customHeight="1" x14ac:dyDescent="0.2">
      <c r="A753" s="32">
        <v>41642.673206018517</v>
      </c>
      <c r="B753" s="26" t="s">
        <v>38</v>
      </c>
      <c r="C753" s="26" t="s">
        <v>549</v>
      </c>
      <c r="D753" s="68">
        <v>41609</v>
      </c>
      <c r="E753" s="26" t="s">
        <v>3925</v>
      </c>
      <c r="F753" s="26" t="s">
        <v>3926</v>
      </c>
      <c r="G753" s="26" t="s">
        <v>26</v>
      </c>
      <c r="H753" s="26" t="s">
        <v>3927</v>
      </c>
      <c r="I753" s="26" t="s">
        <v>3928</v>
      </c>
      <c r="J753" s="46">
        <v>1</v>
      </c>
      <c r="K753" s="46">
        <v>186</v>
      </c>
      <c r="L753" s="136"/>
      <c r="M753" s="137" t="s">
        <v>22</v>
      </c>
      <c r="N753" s="138"/>
      <c r="O753" s="138"/>
      <c r="P753" s="138"/>
      <c r="Q753" s="138"/>
      <c r="R753" s="138"/>
      <c r="S753" s="138"/>
      <c r="T753" s="138"/>
      <c r="U753" s="138"/>
      <c r="V753" s="26" t="s">
        <v>3929</v>
      </c>
    </row>
    <row r="754" spans="1:25" s="26" customFormat="1" ht="15" customHeight="1" x14ac:dyDescent="0.2">
      <c r="A754" s="32">
        <v>41642.675312500003</v>
      </c>
      <c r="B754" s="26" t="s">
        <v>38</v>
      </c>
      <c r="C754" s="26" t="s">
        <v>549</v>
      </c>
      <c r="D754" s="68">
        <v>41609</v>
      </c>
      <c r="E754" s="26" t="s">
        <v>3930</v>
      </c>
      <c r="F754" s="26" t="s">
        <v>3931</v>
      </c>
      <c r="G754" s="26" t="s">
        <v>26</v>
      </c>
      <c r="H754" s="26" t="s">
        <v>3932</v>
      </c>
      <c r="I754" s="26" t="s">
        <v>3001</v>
      </c>
      <c r="J754" s="46">
        <v>4</v>
      </c>
      <c r="K754" s="46">
        <v>3</v>
      </c>
      <c r="L754" s="136"/>
      <c r="M754" s="137" t="s">
        <v>44</v>
      </c>
      <c r="N754" s="138"/>
      <c r="O754" s="138">
        <v>5</v>
      </c>
      <c r="P754" s="138"/>
      <c r="Q754" s="138"/>
      <c r="R754" s="138"/>
      <c r="S754" s="138"/>
      <c r="T754" s="138"/>
      <c r="U754" s="138"/>
      <c r="V754" s="26" t="s">
        <v>3933</v>
      </c>
    </row>
    <row r="755" spans="1:25" s="26" customFormat="1" ht="15" customHeight="1" x14ac:dyDescent="0.2">
      <c r="A755" s="32">
        <v>41642.677210648151</v>
      </c>
      <c r="B755" s="26" t="s">
        <v>38</v>
      </c>
      <c r="C755" s="26" t="s">
        <v>549</v>
      </c>
      <c r="D755" s="68">
        <v>41609</v>
      </c>
      <c r="E755" s="26" t="s">
        <v>3934</v>
      </c>
      <c r="F755" s="26" t="s">
        <v>3935</v>
      </c>
      <c r="G755" s="26" t="s">
        <v>26</v>
      </c>
      <c r="H755" s="26" t="s">
        <v>3936</v>
      </c>
      <c r="I755" s="26" t="s">
        <v>3937</v>
      </c>
      <c r="J755" s="46">
        <v>1</v>
      </c>
      <c r="K755" s="46">
        <v>36</v>
      </c>
      <c r="L755" s="136"/>
      <c r="M755" s="137" t="s">
        <v>22</v>
      </c>
      <c r="N755" s="138"/>
      <c r="O755" s="138"/>
      <c r="P755" s="138"/>
      <c r="Q755" s="138"/>
      <c r="R755" s="138"/>
      <c r="S755" s="138"/>
      <c r="T755" s="138"/>
      <c r="U755" s="138"/>
      <c r="V755" s="26" t="s">
        <v>3938</v>
      </c>
    </row>
    <row r="756" spans="1:25" s="26" customFormat="1" ht="15" customHeight="1" x14ac:dyDescent="0.2">
      <c r="A756" s="32">
        <v>41642.679432870369</v>
      </c>
      <c r="B756" s="26" t="s">
        <v>38</v>
      </c>
      <c r="C756" s="26" t="s">
        <v>549</v>
      </c>
      <c r="D756" s="68">
        <v>41609</v>
      </c>
      <c r="E756" s="26" t="s">
        <v>3925</v>
      </c>
      <c r="F756" s="26" t="s">
        <v>3939</v>
      </c>
      <c r="G756" s="26" t="s">
        <v>26</v>
      </c>
      <c r="H756" s="26" t="s">
        <v>3940</v>
      </c>
      <c r="I756" s="26" t="s">
        <v>3001</v>
      </c>
      <c r="J756" s="46">
        <v>2</v>
      </c>
      <c r="K756" s="46">
        <v>9</v>
      </c>
      <c r="L756" s="136">
        <v>15</v>
      </c>
      <c r="M756" s="137" t="s">
        <v>22</v>
      </c>
      <c r="N756" s="138"/>
      <c r="O756" s="138"/>
      <c r="P756" s="138"/>
      <c r="Q756" s="138"/>
      <c r="R756" s="138"/>
      <c r="S756" s="138"/>
      <c r="T756" s="138"/>
      <c r="U756" s="138"/>
      <c r="V756" s="26" t="s">
        <v>3941</v>
      </c>
    </row>
    <row r="757" spans="1:25" s="26" customFormat="1" ht="15" customHeight="1" x14ac:dyDescent="0.2">
      <c r="A757" s="32">
        <v>41642.683009259257</v>
      </c>
      <c r="B757" s="26" t="s">
        <v>38</v>
      </c>
      <c r="C757" s="26" t="s">
        <v>549</v>
      </c>
      <c r="D757" s="68">
        <v>41609</v>
      </c>
      <c r="E757" s="26" t="s">
        <v>3942</v>
      </c>
      <c r="F757" s="26" t="s">
        <v>3943</v>
      </c>
      <c r="G757" s="26" t="s">
        <v>156</v>
      </c>
      <c r="H757" s="26" t="s">
        <v>3944</v>
      </c>
      <c r="I757" s="26" t="s">
        <v>2812</v>
      </c>
      <c r="J757" s="46">
        <v>1</v>
      </c>
      <c r="K757" s="46">
        <v>300</v>
      </c>
      <c r="L757" s="136"/>
      <c r="M757" s="137" t="s">
        <v>44</v>
      </c>
      <c r="N757" s="138"/>
      <c r="O757" s="138">
        <v>50</v>
      </c>
      <c r="P757" s="138"/>
      <c r="Q757" s="138"/>
      <c r="R757" s="138"/>
      <c r="S757" s="138"/>
      <c r="T757" s="138">
        <v>270</v>
      </c>
      <c r="U757" s="138"/>
      <c r="V757" s="26" t="s">
        <v>3945</v>
      </c>
    </row>
    <row r="758" spans="1:25" s="26" customFormat="1" ht="15" customHeight="1" x14ac:dyDescent="0.2">
      <c r="A758" s="55">
        <v>41676.598715277803</v>
      </c>
      <c r="B758" s="52" t="s">
        <v>38</v>
      </c>
      <c r="C758" s="52" t="s">
        <v>549</v>
      </c>
      <c r="D758" s="69">
        <v>41640</v>
      </c>
      <c r="E758" s="52" t="s">
        <v>4398</v>
      </c>
      <c r="F758" s="52" t="s">
        <v>4120</v>
      </c>
      <c r="G758" s="52" t="s">
        <v>26</v>
      </c>
      <c r="H758" s="52" t="s">
        <v>579</v>
      </c>
      <c r="I758" s="56" t="s">
        <v>4536</v>
      </c>
      <c r="J758" s="95">
        <v>1</v>
      </c>
      <c r="K758" s="118">
        <v>51</v>
      </c>
      <c r="L758" s="148"/>
      <c r="M758" s="146" t="s">
        <v>22</v>
      </c>
      <c r="N758" s="147"/>
      <c r="O758" s="147"/>
      <c r="P758" s="147"/>
      <c r="Q758" s="147"/>
      <c r="R758" s="147"/>
      <c r="S758" s="147"/>
      <c r="T758" s="147"/>
      <c r="U758" s="149"/>
      <c r="V758" s="52" t="s">
        <v>4399</v>
      </c>
      <c r="W758" s="52"/>
      <c r="X758" s="52"/>
      <c r="Y758" s="52"/>
    </row>
    <row r="759" spans="1:25" s="26" customFormat="1" ht="15" customHeight="1" x14ac:dyDescent="0.2">
      <c r="A759" s="55">
        <v>41676.600416666697</v>
      </c>
      <c r="B759" s="52" t="s">
        <v>38</v>
      </c>
      <c r="C759" s="52" t="s">
        <v>549</v>
      </c>
      <c r="D759" s="69">
        <v>41640</v>
      </c>
      <c r="E759" s="52" t="s">
        <v>4400</v>
      </c>
      <c r="F759" s="52" t="s">
        <v>4401</v>
      </c>
      <c r="G759" s="52" t="s">
        <v>26</v>
      </c>
      <c r="H759" s="52" t="s">
        <v>579</v>
      </c>
      <c r="I759" s="52" t="s">
        <v>2812</v>
      </c>
      <c r="J759" s="95">
        <v>1</v>
      </c>
      <c r="K759" s="118">
        <v>32</v>
      </c>
      <c r="L759" s="148"/>
      <c r="M759" s="146" t="s">
        <v>44</v>
      </c>
      <c r="N759" s="147"/>
      <c r="O759" s="147">
        <v>5</v>
      </c>
      <c r="P759" s="147"/>
      <c r="Q759" s="147"/>
      <c r="R759" s="147"/>
      <c r="S759" s="147"/>
      <c r="T759" s="147"/>
      <c r="U759" s="149"/>
      <c r="V759" s="52"/>
      <c r="W759" s="52"/>
      <c r="X759" s="52"/>
      <c r="Y759" s="52"/>
    </row>
    <row r="760" spans="1:25" s="26" customFormat="1" ht="15" customHeight="1" x14ac:dyDescent="0.2">
      <c r="A760" s="55">
        <v>41676.601840277799</v>
      </c>
      <c r="B760" s="52" t="s">
        <v>38</v>
      </c>
      <c r="C760" s="52" t="s">
        <v>549</v>
      </c>
      <c r="D760" s="69">
        <v>41640</v>
      </c>
      <c r="E760" s="52" t="s">
        <v>2829</v>
      </c>
      <c r="F760" s="52" t="s">
        <v>2100</v>
      </c>
      <c r="G760" s="52" t="s">
        <v>26</v>
      </c>
      <c r="H760" s="52" t="s">
        <v>4402</v>
      </c>
      <c r="I760" s="52" t="s">
        <v>2812</v>
      </c>
      <c r="J760" s="95">
        <v>2</v>
      </c>
      <c r="K760" s="118">
        <v>3</v>
      </c>
      <c r="L760" s="148"/>
      <c r="M760" s="146" t="s">
        <v>22</v>
      </c>
      <c r="N760" s="147"/>
      <c r="O760" s="147"/>
      <c r="P760" s="147"/>
      <c r="Q760" s="147"/>
      <c r="R760" s="147"/>
      <c r="S760" s="147"/>
      <c r="T760" s="147"/>
      <c r="U760" s="149"/>
      <c r="V760" s="52" t="s">
        <v>4403</v>
      </c>
      <c r="W760" s="52"/>
      <c r="X760" s="52"/>
      <c r="Y760" s="52"/>
    </row>
    <row r="761" spans="1:25" s="26" customFormat="1" ht="15" customHeight="1" x14ac:dyDescent="0.2">
      <c r="A761" s="55">
        <v>41676.607673611099</v>
      </c>
      <c r="B761" s="52" t="s">
        <v>38</v>
      </c>
      <c r="C761" s="52" t="s">
        <v>549</v>
      </c>
      <c r="D761" s="69">
        <v>41640</v>
      </c>
      <c r="E761" s="52" t="s">
        <v>4404</v>
      </c>
      <c r="F761" s="52" t="s">
        <v>4405</v>
      </c>
      <c r="G761" s="52" t="s">
        <v>26</v>
      </c>
      <c r="H761" s="52" t="s">
        <v>4406</v>
      </c>
      <c r="I761" s="52" t="s">
        <v>3001</v>
      </c>
      <c r="J761" s="95">
        <v>1</v>
      </c>
      <c r="K761" s="118">
        <v>35</v>
      </c>
      <c r="L761" s="148">
        <v>130</v>
      </c>
      <c r="M761" s="146" t="s">
        <v>44</v>
      </c>
      <c r="N761" s="147"/>
      <c r="O761" s="147"/>
      <c r="P761" s="147"/>
      <c r="Q761" s="147">
        <v>112</v>
      </c>
      <c r="R761" s="147"/>
      <c r="S761" s="147"/>
      <c r="T761" s="147"/>
      <c r="U761" s="149">
        <v>175</v>
      </c>
      <c r="V761" s="52" t="s">
        <v>4407</v>
      </c>
      <c r="W761" s="52"/>
      <c r="X761" s="52"/>
      <c r="Y761" s="52"/>
    </row>
    <row r="762" spans="1:25" s="26" customFormat="1" ht="15" customHeight="1" x14ac:dyDescent="0.2">
      <c r="A762" s="55">
        <v>41676.619803240697</v>
      </c>
      <c r="B762" s="52" t="s">
        <v>38</v>
      </c>
      <c r="C762" s="52" t="s">
        <v>549</v>
      </c>
      <c r="D762" s="69">
        <v>41640</v>
      </c>
      <c r="E762" s="52" t="s">
        <v>4408</v>
      </c>
      <c r="F762" s="52" t="s">
        <v>4409</v>
      </c>
      <c r="G762" s="52" t="s">
        <v>26</v>
      </c>
      <c r="H762" s="52" t="s">
        <v>4410</v>
      </c>
      <c r="I762" s="52" t="s">
        <v>4411</v>
      </c>
      <c r="J762" s="95">
        <v>1</v>
      </c>
      <c r="K762" s="118">
        <v>54</v>
      </c>
      <c r="L762" s="148"/>
      <c r="M762" s="146" t="s">
        <v>22</v>
      </c>
      <c r="N762" s="147"/>
      <c r="O762" s="147"/>
      <c r="P762" s="147"/>
      <c r="Q762" s="147"/>
      <c r="R762" s="147"/>
      <c r="S762" s="147"/>
      <c r="T762" s="147"/>
      <c r="U762" s="149"/>
      <c r="V762" s="52" t="s">
        <v>4412</v>
      </c>
      <c r="W762" s="52"/>
      <c r="X762" s="52"/>
      <c r="Y762" s="52"/>
    </row>
    <row r="763" spans="1:25" s="26" customFormat="1" ht="15" customHeight="1" x14ac:dyDescent="0.2">
      <c r="A763" s="55">
        <v>41676.622662037</v>
      </c>
      <c r="B763" s="52" t="s">
        <v>38</v>
      </c>
      <c r="C763" s="52" t="s">
        <v>549</v>
      </c>
      <c r="D763" s="69">
        <v>41640</v>
      </c>
      <c r="E763" s="52" t="s">
        <v>3451</v>
      </c>
      <c r="F763" s="52"/>
      <c r="G763" s="52" t="s">
        <v>26</v>
      </c>
      <c r="H763" s="52" t="s">
        <v>4413</v>
      </c>
      <c r="I763" s="52" t="s">
        <v>3001</v>
      </c>
      <c r="J763" s="95">
        <v>2</v>
      </c>
      <c r="K763" s="118">
        <v>18</v>
      </c>
      <c r="L763" s="148">
        <v>37</v>
      </c>
      <c r="M763" s="146" t="s">
        <v>22</v>
      </c>
      <c r="N763" s="147"/>
      <c r="O763" s="147"/>
      <c r="P763" s="147"/>
      <c r="Q763" s="147"/>
      <c r="R763" s="147"/>
      <c r="S763" s="147"/>
      <c r="T763" s="147"/>
      <c r="U763" s="149"/>
      <c r="V763" s="52" t="s">
        <v>4414</v>
      </c>
      <c r="W763" s="52"/>
      <c r="X763" s="52"/>
      <c r="Y763" s="52"/>
    </row>
    <row r="764" spans="1:25" s="26" customFormat="1" ht="15" customHeight="1" x14ac:dyDescent="0.2">
      <c r="A764" s="55">
        <v>41676.624722222201</v>
      </c>
      <c r="B764" s="52" t="s">
        <v>38</v>
      </c>
      <c r="C764" s="52" t="s">
        <v>549</v>
      </c>
      <c r="D764" s="69">
        <v>41640</v>
      </c>
      <c r="E764" s="52" t="s">
        <v>4415</v>
      </c>
      <c r="F764" s="52" t="s">
        <v>4416</v>
      </c>
      <c r="G764" s="56" t="s">
        <v>20</v>
      </c>
      <c r="H764" s="56" t="s">
        <v>4417</v>
      </c>
      <c r="I764" s="52" t="s">
        <v>4418</v>
      </c>
      <c r="J764" s="95">
        <v>4</v>
      </c>
      <c r="K764" s="118">
        <v>444</v>
      </c>
      <c r="L764" s="148"/>
      <c r="M764" s="146" t="s">
        <v>22</v>
      </c>
      <c r="N764" s="147"/>
      <c r="O764" s="147"/>
      <c r="P764" s="147"/>
      <c r="Q764" s="147"/>
      <c r="R764" s="147"/>
      <c r="S764" s="147"/>
      <c r="T764" s="147"/>
      <c r="U764" s="149"/>
      <c r="V764" s="52" t="s">
        <v>4419</v>
      </c>
      <c r="W764" s="52"/>
      <c r="X764" s="52"/>
      <c r="Y764" s="52"/>
    </row>
    <row r="765" spans="1:25" s="26" customFormat="1" ht="15" customHeight="1" x14ac:dyDescent="0.2">
      <c r="A765" s="55">
        <v>41676.626805555599</v>
      </c>
      <c r="B765" s="52" t="s">
        <v>38</v>
      </c>
      <c r="C765" s="52" t="s">
        <v>549</v>
      </c>
      <c r="D765" s="69">
        <v>41640</v>
      </c>
      <c r="E765" s="52" t="s">
        <v>4420</v>
      </c>
      <c r="F765" s="52" t="s">
        <v>4421</v>
      </c>
      <c r="G765" s="56" t="s">
        <v>26</v>
      </c>
      <c r="H765" s="56" t="s">
        <v>4533</v>
      </c>
      <c r="I765" s="52"/>
      <c r="J765" s="95">
        <v>1</v>
      </c>
      <c r="K765" s="118">
        <v>15</v>
      </c>
      <c r="L765" s="148"/>
      <c r="M765" s="146" t="s">
        <v>22</v>
      </c>
      <c r="N765" s="147"/>
      <c r="O765" s="147"/>
      <c r="P765" s="147"/>
      <c r="Q765" s="147"/>
      <c r="R765" s="147"/>
      <c r="S765" s="147"/>
      <c r="T765" s="147"/>
      <c r="U765" s="149"/>
      <c r="V765" s="52"/>
      <c r="W765" s="52"/>
      <c r="X765" s="52"/>
      <c r="Y765" s="52"/>
    </row>
    <row r="766" spans="1:25" s="26" customFormat="1" ht="15" customHeight="1" x14ac:dyDescent="0.2">
      <c r="A766" s="32">
        <v>41704.387129629627</v>
      </c>
      <c r="B766" s="26" t="s">
        <v>38</v>
      </c>
      <c r="C766" s="26" t="s">
        <v>549</v>
      </c>
      <c r="D766" s="33">
        <v>41671</v>
      </c>
      <c r="E766" s="26" t="s">
        <v>4939</v>
      </c>
      <c r="F766" s="26" t="s">
        <v>4940</v>
      </c>
      <c r="G766" s="26" t="s">
        <v>26</v>
      </c>
      <c r="H766" s="26" t="s">
        <v>4941</v>
      </c>
      <c r="I766" s="26" t="s">
        <v>4942</v>
      </c>
      <c r="J766" s="46">
        <v>1</v>
      </c>
      <c r="K766" s="46">
        <v>5</v>
      </c>
      <c r="L766" s="136">
        <v>18</v>
      </c>
      <c r="M766" s="137" t="s">
        <v>22</v>
      </c>
      <c r="N766" s="138"/>
      <c r="O766" s="138"/>
      <c r="P766" s="138"/>
      <c r="Q766" s="138"/>
      <c r="R766" s="138"/>
      <c r="S766" s="138"/>
      <c r="T766" s="138"/>
      <c r="U766" s="138"/>
      <c r="V766" s="26" t="s">
        <v>4943</v>
      </c>
    </row>
    <row r="767" spans="1:25" s="26" customFormat="1" ht="15" customHeight="1" x14ac:dyDescent="0.2">
      <c r="A767" s="32">
        <v>41704.385092592594</v>
      </c>
      <c r="B767" s="26" t="s">
        <v>38</v>
      </c>
      <c r="C767" s="26" t="s">
        <v>549</v>
      </c>
      <c r="D767" s="33">
        <v>41671</v>
      </c>
      <c r="E767" s="26" t="s">
        <v>4944</v>
      </c>
      <c r="F767" s="26" t="s">
        <v>4945</v>
      </c>
      <c r="G767" s="26" t="s">
        <v>26</v>
      </c>
      <c r="H767" s="26" t="s">
        <v>4946</v>
      </c>
      <c r="I767" s="26" t="s">
        <v>4947</v>
      </c>
      <c r="J767" s="46">
        <v>1</v>
      </c>
      <c r="K767" s="46">
        <v>0</v>
      </c>
      <c r="L767" s="136"/>
      <c r="M767" s="137" t="s">
        <v>22</v>
      </c>
      <c r="N767" s="138"/>
      <c r="O767" s="138"/>
      <c r="P767" s="138"/>
      <c r="Q767" s="138"/>
      <c r="R767" s="138"/>
      <c r="S767" s="138"/>
      <c r="T767" s="138"/>
      <c r="U767" s="138"/>
      <c r="V767" s="26" t="s">
        <v>4948</v>
      </c>
    </row>
    <row r="768" spans="1:25" s="26" customFormat="1" ht="15" customHeight="1" x14ac:dyDescent="0.2">
      <c r="A768" s="32">
        <v>41704.381226851852</v>
      </c>
      <c r="B768" s="26" t="s">
        <v>38</v>
      </c>
      <c r="C768" s="26" t="s">
        <v>549</v>
      </c>
      <c r="D768" s="33">
        <v>41671</v>
      </c>
      <c r="E768" s="26" t="s">
        <v>4949</v>
      </c>
      <c r="F768" s="26" t="s">
        <v>4950</v>
      </c>
      <c r="G768" s="26" t="s">
        <v>26</v>
      </c>
      <c r="H768" s="26" t="s">
        <v>4951</v>
      </c>
      <c r="I768" s="26" t="s">
        <v>3001</v>
      </c>
      <c r="J768" s="46">
        <v>1</v>
      </c>
      <c r="K768" s="46">
        <v>7</v>
      </c>
      <c r="L768" s="136"/>
      <c r="M768" s="137" t="s">
        <v>22</v>
      </c>
      <c r="N768" s="138"/>
      <c r="O768" s="138"/>
      <c r="P768" s="138"/>
      <c r="Q768" s="138"/>
      <c r="R768" s="138"/>
      <c r="S768" s="138"/>
      <c r="T768" s="138"/>
      <c r="U768" s="138"/>
      <c r="V768" s="26" t="s">
        <v>4952</v>
      </c>
    </row>
    <row r="769" spans="1:22" s="26" customFormat="1" ht="15" customHeight="1" x14ac:dyDescent="0.2">
      <c r="A769" s="32">
        <v>41704.401770833334</v>
      </c>
      <c r="B769" s="26" t="s">
        <v>38</v>
      </c>
      <c r="C769" s="26" t="s">
        <v>549</v>
      </c>
      <c r="D769" s="33">
        <v>41671</v>
      </c>
      <c r="E769" s="26" t="s">
        <v>3437</v>
      </c>
      <c r="F769" s="26" t="s">
        <v>4953</v>
      </c>
      <c r="G769" s="26" t="s">
        <v>26</v>
      </c>
      <c r="H769" s="26" t="s">
        <v>4954</v>
      </c>
      <c r="I769" s="26" t="s">
        <v>3001</v>
      </c>
      <c r="J769" s="46">
        <v>1</v>
      </c>
      <c r="K769" s="46">
        <v>21</v>
      </c>
      <c r="L769" s="136"/>
      <c r="M769" s="137" t="s">
        <v>44</v>
      </c>
      <c r="N769" s="138"/>
      <c r="O769" s="138">
        <v>10</v>
      </c>
      <c r="P769" s="138"/>
      <c r="Q769" s="138"/>
      <c r="R769" s="138"/>
      <c r="S769" s="138"/>
      <c r="T769" s="138"/>
      <c r="U769" s="138"/>
      <c r="V769" s="26" t="s">
        <v>4955</v>
      </c>
    </row>
    <row r="770" spans="1:22" s="26" customFormat="1" ht="15" customHeight="1" x14ac:dyDescent="0.2">
      <c r="A770" s="32">
        <v>41704.403263888889</v>
      </c>
      <c r="B770" s="26" t="s">
        <v>38</v>
      </c>
      <c r="C770" s="26" t="s">
        <v>549</v>
      </c>
      <c r="D770" s="33">
        <v>41671</v>
      </c>
      <c r="E770" s="26" t="s">
        <v>4956</v>
      </c>
      <c r="F770" s="26" t="s">
        <v>4957</v>
      </c>
      <c r="G770" s="26" t="s">
        <v>26</v>
      </c>
      <c r="I770" s="26" t="s">
        <v>3001</v>
      </c>
      <c r="J770" s="46">
        <v>2</v>
      </c>
      <c r="K770" s="46">
        <v>25</v>
      </c>
      <c r="L770" s="136">
        <v>45</v>
      </c>
      <c r="M770" s="137" t="s">
        <v>22</v>
      </c>
      <c r="N770" s="138"/>
      <c r="O770" s="138"/>
      <c r="P770" s="138"/>
      <c r="Q770" s="138"/>
      <c r="R770" s="138"/>
      <c r="S770" s="138"/>
      <c r="T770" s="138"/>
      <c r="U770" s="138"/>
      <c r="V770" s="26" t="s">
        <v>4958</v>
      </c>
    </row>
    <row r="771" spans="1:22" s="26" customFormat="1" ht="15" customHeight="1" x14ac:dyDescent="0.2">
      <c r="A771" s="32">
        <v>41704.405671296299</v>
      </c>
      <c r="B771" s="26" t="s">
        <v>38</v>
      </c>
      <c r="C771" s="26" t="s">
        <v>549</v>
      </c>
      <c r="D771" s="33">
        <v>41671</v>
      </c>
      <c r="E771" s="26" t="s">
        <v>4959</v>
      </c>
      <c r="F771" s="26" t="s">
        <v>4960</v>
      </c>
      <c r="G771" s="26" t="s">
        <v>26</v>
      </c>
      <c r="H771" s="26" t="s">
        <v>4961</v>
      </c>
      <c r="I771" s="26" t="s">
        <v>4962</v>
      </c>
      <c r="J771" s="46">
        <v>1</v>
      </c>
      <c r="K771" s="46">
        <v>82</v>
      </c>
      <c r="L771" s="136"/>
      <c r="M771" s="137" t="s">
        <v>22</v>
      </c>
      <c r="N771" s="138"/>
      <c r="O771" s="138"/>
      <c r="P771" s="138"/>
      <c r="Q771" s="138"/>
      <c r="R771" s="138"/>
      <c r="S771" s="138"/>
      <c r="T771" s="138"/>
      <c r="U771" s="138"/>
      <c r="V771" s="26" t="s">
        <v>4963</v>
      </c>
    </row>
    <row r="772" spans="1:22" s="26" customFormat="1" ht="15" customHeight="1" x14ac:dyDescent="0.2">
      <c r="A772" s="32">
        <v>41704.407719907409</v>
      </c>
      <c r="B772" s="26" t="s">
        <v>38</v>
      </c>
      <c r="C772" s="26" t="s">
        <v>549</v>
      </c>
      <c r="D772" s="33">
        <v>41671</v>
      </c>
      <c r="E772" s="26" t="s">
        <v>4964</v>
      </c>
      <c r="F772" s="26" t="s">
        <v>4965</v>
      </c>
      <c r="G772" s="26" t="s">
        <v>20</v>
      </c>
      <c r="H772" s="26" t="s">
        <v>4966</v>
      </c>
      <c r="I772" s="26" t="s">
        <v>3001</v>
      </c>
      <c r="J772" s="46">
        <v>1</v>
      </c>
      <c r="K772" s="46">
        <v>18</v>
      </c>
      <c r="L772" s="136">
        <v>90</v>
      </c>
      <c r="M772" s="137" t="s">
        <v>22</v>
      </c>
      <c r="N772" s="138"/>
      <c r="O772" s="138"/>
      <c r="P772" s="138"/>
      <c r="Q772" s="138"/>
      <c r="R772" s="138"/>
      <c r="S772" s="138"/>
      <c r="T772" s="138"/>
      <c r="U772" s="138"/>
    </row>
    <row r="773" spans="1:22" s="26" customFormat="1" ht="15" customHeight="1" x14ac:dyDescent="0.2">
      <c r="A773" s="32">
        <v>41704.409525462965</v>
      </c>
      <c r="B773" s="26" t="s">
        <v>38</v>
      </c>
      <c r="C773" s="26" t="s">
        <v>549</v>
      </c>
      <c r="D773" s="33">
        <v>41671</v>
      </c>
      <c r="E773" s="26" t="s">
        <v>4967</v>
      </c>
      <c r="F773" s="26" t="s">
        <v>4968</v>
      </c>
      <c r="G773" s="26" t="s">
        <v>20</v>
      </c>
      <c r="H773" s="26" t="s">
        <v>4969</v>
      </c>
      <c r="I773" s="26" t="s">
        <v>3001</v>
      </c>
      <c r="J773" s="46">
        <v>2</v>
      </c>
      <c r="K773" s="46">
        <v>26</v>
      </c>
      <c r="L773" s="136">
        <v>130</v>
      </c>
      <c r="M773" s="137" t="s">
        <v>44</v>
      </c>
      <c r="N773" s="138"/>
      <c r="O773" s="138"/>
      <c r="P773" s="138">
        <v>300</v>
      </c>
      <c r="Q773" s="138"/>
      <c r="R773" s="138"/>
      <c r="S773" s="138"/>
      <c r="T773" s="138"/>
      <c r="U773" s="138"/>
      <c r="V773" s="26" t="s">
        <v>4970</v>
      </c>
    </row>
    <row r="774" spans="1:22" s="26" customFormat="1" ht="15" customHeight="1" x14ac:dyDescent="0.2">
      <c r="A774" s="32">
        <v>41704.411400462966</v>
      </c>
      <c r="B774" s="26" t="s">
        <v>38</v>
      </c>
      <c r="C774" s="26" t="s">
        <v>549</v>
      </c>
      <c r="D774" s="33">
        <v>41671</v>
      </c>
      <c r="E774" s="26" t="s">
        <v>4971</v>
      </c>
      <c r="F774" s="26" t="s">
        <v>4972</v>
      </c>
      <c r="G774" s="26" t="s">
        <v>20</v>
      </c>
      <c r="H774" s="26" t="s">
        <v>4973</v>
      </c>
      <c r="I774" s="26" t="s">
        <v>4974</v>
      </c>
      <c r="J774" s="46">
        <v>4</v>
      </c>
      <c r="K774" s="46">
        <v>80</v>
      </c>
      <c r="L774" s="136">
        <v>200</v>
      </c>
      <c r="M774" s="137" t="s">
        <v>22</v>
      </c>
      <c r="N774" s="138"/>
      <c r="O774" s="138"/>
      <c r="P774" s="138"/>
      <c r="Q774" s="138"/>
      <c r="R774" s="138"/>
      <c r="S774" s="138"/>
      <c r="T774" s="138"/>
      <c r="U774" s="138"/>
      <c r="V774" s="26" t="s">
        <v>4975</v>
      </c>
    </row>
    <row r="775" spans="1:22" s="26" customFormat="1" ht="15" customHeight="1" x14ac:dyDescent="0.2">
      <c r="A775" s="32">
        <v>41704.508842592593</v>
      </c>
      <c r="B775" s="26" t="s">
        <v>38</v>
      </c>
      <c r="C775" s="26" t="s">
        <v>549</v>
      </c>
      <c r="D775" s="33">
        <v>41671</v>
      </c>
      <c r="E775" s="26" t="s">
        <v>4978</v>
      </c>
      <c r="F775" s="26" t="s">
        <v>4979</v>
      </c>
      <c r="G775" s="26" t="s">
        <v>26</v>
      </c>
      <c r="H775" s="26" t="s">
        <v>4980</v>
      </c>
      <c r="I775" s="26" t="s">
        <v>2812</v>
      </c>
      <c r="J775" s="46">
        <v>1</v>
      </c>
      <c r="K775" s="46">
        <v>18</v>
      </c>
      <c r="L775" s="136"/>
      <c r="M775" s="137" t="s">
        <v>22</v>
      </c>
      <c r="N775" s="138"/>
      <c r="O775" s="138"/>
      <c r="P775" s="138"/>
      <c r="Q775" s="138"/>
      <c r="R775" s="138"/>
      <c r="S775" s="138"/>
      <c r="T775" s="138"/>
      <c r="U775" s="138"/>
    </row>
    <row r="776" spans="1:22" s="26" customFormat="1" ht="15" customHeight="1" x14ac:dyDescent="0.2">
      <c r="A776" s="32">
        <v>41704.510231481479</v>
      </c>
      <c r="B776" s="26" t="s">
        <v>38</v>
      </c>
      <c r="C776" s="26" t="s">
        <v>549</v>
      </c>
      <c r="D776" s="33">
        <v>41671</v>
      </c>
      <c r="E776" s="26" t="s">
        <v>4981</v>
      </c>
      <c r="F776" s="26" t="s">
        <v>4982</v>
      </c>
      <c r="G776" s="26" t="s">
        <v>26</v>
      </c>
      <c r="H776" s="26" t="s">
        <v>4983</v>
      </c>
      <c r="I776" s="34" t="s">
        <v>4984</v>
      </c>
      <c r="J776" s="46">
        <v>1</v>
      </c>
      <c r="K776" s="46">
        <v>81</v>
      </c>
      <c r="L776" s="136"/>
      <c r="M776" s="137" t="s">
        <v>22</v>
      </c>
      <c r="N776" s="138"/>
      <c r="O776" s="138"/>
      <c r="P776" s="138"/>
      <c r="Q776" s="138"/>
      <c r="R776" s="138"/>
      <c r="S776" s="138"/>
      <c r="T776" s="138"/>
      <c r="U776" s="138"/>
    </row>
    <row r="777" spans="1:22" s="26" customFormat="1" ht="15" customHeight="1" x14ac:dyDescent="0.2">
      <c r="A777" s="32">
        <v>41725.573576388888</v>
      </c>
      <c r="B777" s="26" t="s">
        <v>38</v>
      </c>
      <c r="C777" s="26" t="s">
        <v>549</v>
      </c>
      <c r="D777" s="33">
        <v>41699</v>
      </c>
      <c r="E777" s="26" t="s">
        <v>5301</v>
      </c>
      <c r="F777" s="26" t="s">
        <v>5302</v>
      </c>
      <c r="G777" s="26" t="s">
        <v>26</v>
      </c>
      <c r="H777" s="26" t="s">
        <v>5303</v>
      </c>
      <c r="I777" s="26" t="s">
        <v>2812</v>
      </c>
      <c r="J777" s="46">
        <v>1</v>
      </c>
      <c r="K777" s="46">
        <v>24</v>
      </c>
      <c r="L777" s="136"/>
      <c r="M777" s="137" t="s">
        <v>22</v>
      </c>
      <c r="N777" s="138"/>
      <c r="O777" s="138"/>
      <c r="P777" s="138"/>
      <c r="Q777" s="138"/>
      <c r="R777" s="138"/>
      <c r="S777" s="138"/>
      <c r="T777" s="138"/>
      <c r="U777" s="138"/>
    </row>
    <row r="778" spans="1:22" s="26" customFormat="1" ht="15" customHeight="1" x14ac:dyDescent="0.2">
      <c r="A778" s="32">
        <v>41725.575266203705</v>
      </c>
      <c r="B778" s="26" t="s">
        <v>38</v>
      </c>
      <c r="C778" s="26" t="s">
        <v>549</v>
      </c>
      <c r="D778" s="33">
        <v>41699</v>
      </c>
      <c r="E778" s="26" t="s">
        <v>5304</v>
      </c>
      <c r="F778" s="26" t="s">
        <v>5305</v>
      </c>
      <c r="G778" s="26" t="s">
        <v>26</v>
      </c>
      <c r="H778" s="26" t="s">
        <v>5306</v>
      </c>
      <c r="I778" s="26" t="s">
        <v>2812</v>
      </c>
      <c r="J778" s="46">
        <v>2</v>
      </c>
      <c r="K778" s="46">
        <v>400</v>
      </c>
      <c r="L778" s="136"/>
      <c r="M778" s="137" t="s">
        <v>44</v>
      </c>
      <c r="N778" s="138"/>
      <c r="O778" s="138">
        <v>30</v>
      </c>
      <c r="P778" s="138"/>
      <c r="Q778" s="138"/>
      <c r="R778" s="138"/>
      <c r="S778" s="138"/>
      <c r="T778" s="138"/>
      <c r="U778" s="138"/>
    </row>
    <row r="779" spans="1:22" s="26" customFormat="1" ht="15" customHeight="1" x14ac:dyDescent="0.2">
      <c r="A779" s="32">
        <v>41725.576643518521</v>
      </c>
      <c r="B779" s="26" t="s">
        <v>38</v>
      </c>
      <c r="C779" s="26" t="s">
        <v>549</v>
      </c>
      <c r="D779" s="33">
        <v>41699</v>
      </c>
      <c r="E779" s="26" t="s">
        <v>5307</v>
      </c>
      <c r="F779" s="26" t="s">
        <v>5308</v>
      </c>
      <c r="G779" s="26" t="s">
        <v>26</v>
      </c>
      <c r="H779" s="26" t="s">
        <v>5309</v>
      </c>
      <c r="I779" s="26" t="s">
        <v>2926</v>
      </c>
      <c r="J779" s="46">
        <v>3</v>
      </c>
      <c r="K779" s="46">
        <v>1</v>
      </c>
      <c r="L779" s="136"/>
      <c r="M779" s="137" t="s">
        <v>22</v>
      </c>
      <c r="N779" s="138"/>
      <c r="O779" s="138"/>
      <c r="P779" s="138"/>
      <c r="Q779" s="138"/>
      <c r="R779" s="138"/>
      <c r="S779" s="138"/>
      <c r="T779" s="138"/>
      <c r="U779" s="138"/>
    </row>
    <row r="780" spans="1:22" s="26" customFormat="1" ht="15" customHeight="1" x14ac:dyDescent="0.2">
      <c r="A780" s="32">
        <v>41725.57917824074</v>
      </c>
      <c r="B780" s="26" t="s">
        <v>38</v>
      </c>
      <c r="C780" s="26" t="s">
        <v>549</v>
      </c>
      <c r="D780" s="33">
        <v>41699</v>
      </c>
      <c r="E780" s="26" t="s">
        <v>5310</v>
      </c>
      <c r="F780" s="26" t="s">
        <v>5311</v>
      </c>
      <c r="G780" s="26" t="s">
        <v>26</v>
      </c>
      <c r="I780" s="26" t="s">
        <v>5312</v>
      </c>
      <c r="J780" s="46">
        <v>1</v>
      </c>
      <c r="K780" s="46">
        <v>19</v>
      </c>
      <c r="L780" s="136">
        <v>190</v>
      </c>
      <c r="M780" s="137" t="s">
        <v>44</v>
      </c>
      <c r="N780" s="138"/>
      <c r="O780" s="138">
        <v>10</v>
      </c>
      <c r="P780" s="138"/>
      <c r="Q780" s="138"/>
      <c r="R780" s="138"/>
      <c r="S780" s="138"/>
      <c r="T780" s="138"/>
      <c r="U780" s="138">
        <v>29</v>
      </c>
      <c r="V780" s="26" t="s">
        <v>5313</v>
      </c>
    </row>
    <row r="781" spans="1:22" s="26" customFormat="1" ht="15" customHeight="1" x14ac:dyDescent="0.2">
      <c r="A781" s="32">
        <v>41725.580810185187</v>
      </c>
      <c r="B781" s="26" t="s">
        <v>38</v>
      </c>
      <c r="C781" s="26" t="s">
        <v>549</v>
      </c>
      <c r="D781" s="33">
        <v>41699</v>
      </c>
      <c r="E781" s="26" t="s">
        <v>5314</v>
      </c>
      <c r="F781" s="26" t="s">
        <v>5315</v>
      </c>
      <c r="G781" s="26" t="s">
        <v>26</v>
      </c>
      <c r="H781" s="26" t="s">
        <v>5316</v>
      </c>
      <c r="I781" s="26" t="s">
        <v>5317</v>
      </c>
      <c r="J781" s="46">
        <v>1</v>
      </c>
      <c r="K781" s="46">
        <v>18</v>
      </c>
      <c r="L781" s="136"/>
      <c r="M781" s="137" t="s">
        <v>22</v>
      </c>
      <c r="N781" s="138"/>
      <c r="O781" s="138"/>
      <c r="P781" s="138"/>
      <c r="Q781" s="138"/>
      <c r="R781" s="138"/>
      <c r="S781" s="138"/>
      <c r="T781" s="138"/>
      <c r="U781" s="138"/>
      <c r="V781" s="26" t="s">
        <v>5318</v>
      </c>
    </row>
    <row r="782" spans="1:22" s="26" customFormat="1" ht="15" customHeight="1" x14ac:dyDescent="0.2">
      <c r="A782" s="32">
        <v>41725.581770833334</v>
      </c>
      <c r="B782" s="26" t="s">
        <v>38</v>
      </c>
      <c r="C782" s="26" t="s">
        <v>549</v>
      </c>
      <c r="D782" s="33">
        <v>41699</v>
      </c>
      <c r="E782" s="26" t="s">
        <v>5314</v>
      </c>
      <c r="F782" s="26" t="s">
        <v>5319</v>
      </c>
      <c r="G782" s="26" t="s">
        <v>26</v>
      </c>
      <c r="I782" s="26" t="s">
        <v>3001</v>
      </c>
      <c r="J782" s="46">
        <v>1</v>
      </c>
      <c r="K782" s="46">
        <v>2</v>
      </c>
      <c r="L782" s="136">
        <v>10</v>
      </c>
      <c r="M782" s="137" t="s">
        <v>22</v>
      </c>
      <c r="N782" s="138"/>
      <c r="O782" s="138"/>
      <c r="P782" s="138"/>
      <c r="Q782" s="138"/>
      <c r="R782" s="138"/>
      <c r="S782" s="138"/>
      <c r="T782" s="138"/>
      <c r="U782" s="138"/>
      <c r="V782" s="26" t="s">
        <v>5320</v>
      </c>
    </row>
    <row r="783" spans="1:22" s="26" customFormat="1" ht="15" customHeight="1" x14ac:dyDescent="0.2">
      <c r="A783" s="32">
        <v>41725.582650462966</v>
      </c>
      <c r="B783" s="26" t="s">
        <v>38</v>
      </c>
      <c r="C783" s="26" t="s">
        <v>549</v>
      </c>
      <c r="D783" s="33">
        <v>41699</v>
      </c>
      <c r="E783" s="26" t="s">
        <v>3437</v>
      </c>
      <c r="F783" s="26" t="s">
        <v>5321</v>
      </c>
      <c r="G783" s="26" t="s">
        <v>26</v>
      </c>
      <c r="H783" s="26" t="s">
        <v>5322</v>
      </c>
      <c r="I783" s="26" t="s">
        <v>3001</v>
      </c>
      <c r="J783" s="46">
        <v>1</v>
      </c>
      <c r="K783" s="46">
        <v>5</v>
      </c>
      <c r="L783" s="136"/>
      <c r="M783" s="137" t="s">
        <v>22</v>
      </c>
      <c r="N783" s="138"/>
      <c r="O783" s="138"/>
      <c r="P783" s="138"/>
      <c r="Q783" s="138"/>
      <c r="R783" s="138"/>
      <c r="S783" s="138"/>
      <c r="T783" s="138"/>
      <c r="U783" s="138"/>
    </row>
    <row r="784" spans="1:22" s="26" customFormat="1" ht="15" customHeight="1" x14ac:dyDescent="0.2">
      <c r="A784" s="32">
        <v>41725.58452546296</v>
      </c>
      <c r="B784" s="26" t="s">
        <v>38</v>
      </c>
      <c r="C784" s="26" t="s">
        <v>549</v>
      </c>
      <c r="D784" s="33">
        <v>41699</v>
      </c>
      <c r="E784" s="26" t="s">
        <v>5323</v>
      </c>
      <c r="F784" s="26" t="s">
        <v>5324</v>
      </c>
      <c r="G784" s="26" t="s">
        <v>351</v>
      </c>
      <c r="H784" s="26" t="s">
        <v>5325</v>
      </c>
      <c r="I784" s="26" t="s">
        <v>3001</v>
      </c>
      <c r="J784" s="46">
        <v>1</v>
      </c>
      <c r="K784" s="46">
        <v>1800</v>
      </c>
      <c r="L784" s="136"/>
      <c r="M784" s="137" t="s">
        <v>22</v>
      </c>
      <c r="N784" s="138"/>
      <c r="O784" s="138"/>
      <c r="P784" s="138"/>
      <c r="Q784" s="138"/>
      <c r="R784" s="138"/>
      <c r="S784" s="138"/>
      <c r="T784" s="138"/>
      <c r="U784" s="138"/>
      <c r="V784" s="26" t="s">
        <v>5326</v>
      </c>
    </row>
    <row r="785" spans="1:25" s="26" customFormat="1" ht="15" customHeight="1" x14ac:dyDescent="0.2">
      <c r="A785" s="32">
        <v>41725.586076388892</v>
      </c>
      <c r="B785" s="26" t="s">
        <v>38</v>
      </c>
      <c r="C785" s="26" t="s">
        <v>549</v>
      </c>
      <c r="D785" s="33">
        <v>41699</v>
      </c>
      <c r="E785" s="26" t="s">
        <v>5327</v>
      </c>
      <c r="F785" s="26" t="s">
        <v>5328</v>
      </c>
      <c r="G785" s="26" t="s">
        <v>26</v>
      </c>
      <c r="H785" s="26" t="s">
        <v>5329</v>
      </c>
      <c r="I785" s="26" t="s">
        <v>2926</v>
      </c>
      <c r="J785" s="46">
        <v>2</v>
      </c>
      <c r="K785" s="46">
        <v>8</v>
      </c>
      <c r="L785" s="136">
        <v>120</v>
      </c>
      <c r="M785" s="137" t="s">
        <v>22</v>
      </c>
      <c r="N785" s="138"/>
      <c r="O785" s="138"/>
      <c r="P785" s="138"/>
      <c r="Q785" s="138"/>
      <c r="R785" s="138"/>
      <c r="S785" s="138"/>
      <c r="T785" s="138"/>
      <c r="U785" s="138"/>
    </row>
    <row r="786" spans="1:25" s="26" customFormat="1" ht="15" customHeight="1" x14ac:dyDescent="0.2">
      <c r="A786" s="32">
        <v>41725.587719907409</v>
      </c>
      <c r="B786" s="26" t="s">
        <v>38</v>
      </c>
      <c r="C786" s="26" t="s">
        <v>549</v>
      </c>
      <c r="D786" s="33">
        <v>41699</v>
      </c>
      <c r="E786" s="26" t="s">
        <v>5330</v>
      </c>
      <c r="F786" s="26" t="s">
        <v>5331</v>
      </c>
      <c r="G786" s="26" t="s">
        <v>26</v>
      </c>
      <c r="H786" s="26" t="s">
        <v>5332</v>
      </c>
      <c r="I786" s="26" t="s">
        <v>2926</v>
      </c>
      <c r="J786" s="46">
        <v>2</v>
      </c>
      <c r="K786" s="46">
        <v>4</v>
      </c>
      <c r="L786" s="136">
        <v>48</v>
      </c>
      <c r="M786" s="137" t="s">
        <v>22</v>
      </c>
      <c r="N786" s="138"/>
      <c r="O786" s="138"/>
      <c r="P786" s="138"/>
      <c r="Q786" s="138"/>
      <c r="R786" s="138"/>
      <c r="S786" s="138"/>
      <c r="T786" s="138"/>
      <c r="U786" s="138"/>
      <c r="V786" s="26" t="s">
        <v>5333</v>
      </c>
    </row>
    <row r="787" spans="1:25" s="26" customFormat="1" ht="15" customHeight="1" x14ac:dyDescent="0.2">
      <c r="A787" s="32">
        <v>41725.592222222222</v>
      </c>
      <c r="B787" s="26" t="s">
        <v>38</v>
      </c>
      <c r="C787" s="26" t="s">
        <v>549</v>
      </c>
      <c r="D787" s="33">
        <v>41699</v>
      </c>
      <c r="E787" s="26" t="s">
        <v>5334</v>
      </c>
      <c r="F787" s="26" t="s">
        <v>5335</v>
      </c>
      <c r="G787" s="26" t="s">
        <v>26</v>
      </c>
      <c r="H787" s="26" t="s">
        <v>5336</v>
      </c>
      <c r="I787" s="26" t="s">
        <v>2812</v>
      </c>
      <c r="J787" s="46">
        <v>1</v>
      </c>
      <c r="K787" s="46">
        <v>15</v>
      </c>
      <c r="L787" s="136"/>
      <c r="M787" s="137" t="s">
        <v>22</v>
      </c>
      <c r="N787" s="138"/>
      <c r="O787" s="138"/>
      <c r="P787" s="138"/>
      <c r="Q787" s="138"/>
      <c r="R787" s="138"/>
      <c r="S787" s="138"/>
      <c r="T787" s="138"/>
      <c r="U787" s="138"/>
    </row>
    <row r="788" spans="1:25" s="26" customFormat="1" ht="15" customHeight="1" x14ac:dyDescent="0.2">
      <c r="A788" s="32">
        <v>41725.594097222223</v>
      </c>
      <c r="B788" s="26" t="s">
        <v>38</v>
      </c>
      <c r="C788" s="26" t="s">
        <v>549</v>
      </c>
      <c r="D788" s="33">
        <v>41699</v>
      </c>
      <c r="E788" s="26" t="s">
        <v>5337</v>
      </c>
      <c r="F788" s="26" t="s">
        <v>5338</v>
      </c>
      <c r="G788" s="26" t="s">
        <v>351</v>
      </c>
      <c r="H788" s="26" t="s">
        <v>5339</v>
      </c>
      <c r="I788" s="26" t="s">
        <v>5340</v>
      </c>
      <c r="J788" s="46">
        <v>1</v>
      </c>
      <c r="K788" s="46">
        <v>350</v>
      </c>
      <c r="L788" s="136"/>
      <c r="M788" s="137" t="s">
        <v>22</v>
      </c>
      <c r="N788" s="138"/>
      <c r="O788" s="138"/>
      <c r="P788" s="138"/>
      <c r="Q788" s="138"/>
      <c r="R788" s="138"/>
      <c r="S788" s="138"/>
      <c r="T788" s="138"/>
      <c r="U788" s="138"/>
    </row>
    <row r="789" spans="1:25" s="26" customFormat="1" ht="15" customHeight="1" x14ac:dyDescent="0.2">
      <c r="A789" s="93">
        <v>41755.596469907403</v>
      </c>
      <c r="B789" s="89" t="s">
        <v>38</v>
      </c>
      <c r="C789" s="52" t="s">
        <v>549</v>
      </c>
      <c r="D789" s="87">
        <v>41730</v>
      </c>
      <c r="E789" s="89" t="s">
        <v>6077</v>
      </c>
      <c r="F789" s="89" t="s">
        <v>6078</v>
      </c>
      <c r="G789" s="89" t="s">
        <v>26</v>
      </c>
      <c r="H789" s="89" t="s">
        <v>6079</v>
      </c>
      <c r="I789" s="89" t="s">
        <v>6080</v>
      </c>
      <c r="J789" s="95">
        <v>1</v>
      </c>
      <c r="K789" s="95">
        <v>412</v>
      </c>
      <c r="L789" s="149">
        <v>345</v>
      </c>
      <c r="M789" s="146" t="s">
        <v>44</v>
      </c>
      <c r="N789" s="149"/>
      <c r="O789" s="149">
        <v>355</v>
      </c>
      <c r="P789" s="149">
        <v>78</v>
      </c>
      <c r="Q789" s="149"/>
      <c r="R789" s="149"/>
      <c r="S789" s="149">
        <v>68</v>
      </c>
      <c r="T789" s="149"/>
      <c r="U789" s="149">
        <v>581</v>
      </c>
      <c r="V789" s="89" t="s">
        <v>6081</v>
      </c>
      <c r="W789" s="91"/>
      <c r="X789" s="91"/>
      <c r="Y789" s="91"/>
    </row>
    <row r="790" spans="1:25" s="26" customFormat="1" ht="15" customHeight="1" x14ac:dyDescent="0.2">
      <c r="A790" s="93">
        <v>41755.603981481501</v>
      </c>
      <c r="B790" s="89" t="s">
        <v>38</v>
      </c>
      <c r="C790" s="52" t="s">
        <v>549</v>
      </c>
      <c r="D790" s="87" t="s">
        <v>6076</v>
      </c>
      <c r="E790" s="89" t="s">
        <v>6085</v>
      </c>
      <c r="F790" s="89" t="s">
        <v>6086</v>
      </c>
      <c r="G790" s="89" t="s">
        <v>26</v>
      </c>
      <c r="H790" s="89" t="s">
        <v>6087</v>
      </c>
      <c r="I790" s="89" t="s">
        <v>6088</v>
      </c>
      <c r="J790" s="95">
        <v>1</v>
      </c>
      <c r="K790" s="95">
        <v>7</v>
      </c>
      <c r="L790" s="149">
        <v>234</v>
      </c>
      <c r="M790" s="146" t="s">
        <v>44</v>
      </c>
      <c r="N790" s="149"/>
      <c r="O790" s="149">
        <v>30</v>
      </c>
      <c r="P790" s="149"/>
      <c r="Q790" s="149"/>
      <c r="R790" s="149"/>
      <c r="S790" s="149"/>
      <c r="T790" s="149"/>
      <c r="U790" s="149">
        <v>138</v>
      </c>
      <c r="V790" s="89" t="s">
        <v>6089</v>
      </c>
      <c r="W790" s="91"/>
      <c r="X790" s="91"/>
      <c r="Y790" s="91"/>
    </row>
    <row r="791" spans="1:25" s="26" customFormat="1" ht="15" customHeight="1" x14ac:dyDescent="0.2">
      <c r="A791" s="93">
        <v>41755.607939814799</v>
      </c>
      <c r="B791" s="89" t="s">
        <v>38</v>
      </c>
      <c r="C791" s="52" t="s">
        <v>549</v>
      </c>
      <c r="D791" s="87" t="s">
        <v>6076</v>
      </c>
      <c r="E791" s="89" t="s">
        <v>6090</v>
      </c>
      <c r="F791" s="89" t="s">
        <v>4843</v>
      </c>
      <c r="G791" s="89" t="s">
        <v>26</v>
      </c>
      <c r="H791" s="89" t="s">
        <v>6091</v>
      </c>
      <c r="I791" s="89" t="s">
        <v>2812</v>
      </c>
      <c r="J791" s="95">
        <v>8</v>
      </c>
      <c r="K791" s="95">
        <v>47</v>
      </c>
      <c r="L791" s="149"/>
      <c r="M791" s="146" t="s">
        <v>22</v>
      </c>
      <c r="N791" s="149"/>
      <c r="O791" s="149"/>
      <c r="P791" s="149"/>
      <c r="Q791" s="149"/>
      <c r="R791" s="149"/>
      <c r="S791" s="149"/>
      <c r="T791" s="149"/>
      <c r="U791" s="149"/>
      <c r="V791" s="89"/>
      <c r="W791" s="91"/>
      <c r="X791" s="91"/>
      <c r="Y791" s="91"/>
    </row>
    <row r="792" spans="1:25" s="26" customFormat="1" ht="15" customHeight="1" x14ac:dyDescent="0.2">
      <c r="A792" s="55">
        <v>41755.6100462963</v>
      </c>
      <c r="B792" s="52" t="s">
        <v>38</v>
      </c>
      <c r="C792" s="52" t="s">
        <v>549</v>
      </c>
      <c r="D792" s="88" t="s">
        <v>6076</v>
      </c>
      <c r="E792" s="52" t="s">
        <v>6092</v>
      </c>
      <c r="F792" s="52" t="s">
        <v>6093</v>
      </c>
      <c r="G792" s="52" t="s">
        <v>20</v>
      </c>
      <c r="H792" s="52" t="s">
        <v>6094</v>
      </c>
      <c r="I792" s="52" t="s">
        <v>6095</v>
      </c>
      <c r="J792" s="95">
        <v>1</v>
      </c>
      <c r="K792" s="95">
        <v>17</v>
      </c>
      <c r="L792" s="149">
        <v>70</v>
      </c>
      <c r="M792" s="146" t="s">
        <v>44</v>
      </c>
      <c r="N792" s="149"/>
      <c r="O792" s="149"/>
      <c r="P792" s="149"/>
      <c r="Q792" s="149"/>
      <c r="R792" s="149">
        <v>375</v>
      </c>
      <c r="S792" s="149"/>
      <c r="T792" s="149"/>
      <c r="U792" s="149"/>
      <c r="V792" s="52"/>
    </row>
    <row r="793" spans="1:25" s="26" customFormat="1" ht="15" customHeight="1" x14ac:dyDescent="0.2">
      <c r="A793" s="55">
        <v>41755.611412036997</v>
      </c>
      <c r="B793" s="52" t="s">
        <v>38</v>
      </c>
      <c r="C793" s="52" t="s">
        <v>549</v>
      </c>
      <c r="D793" s="88" t="s">
        <v>6076</v>
      </c>
      <c r="E793" s="52" t="s">
        <v>6096</v>
      </c>
      <c r="F793" s="52" t="s">
        <v>6097</v>
      </c>
      <c r="G793" s="52" t="s">
        <v>42</v>
      </c>
      <c r="H793" s="52" t="s">
        <v>6098</v>
      </c>
      <c r="I793" s="52" t="s">
        <v>2926</v>
      </c>
      <c r="J793" s="95">
        <v>1</v>
      </c>
      <c r="K793" s="95">
        <v>24</v>
      </c>
      <c r="L793" s="149"/>
      <c r="M793" s="146" t="s">
        <v>44</v>
      </c>
      <c r="N793" s="149"/>
      <c r="O793" s="149">
        <v>15</v>
      </c>
      <c r="P793" s="149"/>
      <c r="Q793" s="149"/>
      <c r="R793" s="149"/>
      <c r="S793" s="149"/>
      <c r="T793" s="149"/>
      <c r="U793" s="149"/>
      <c r="V793" s="52"/>
    </row>
    <row r="794" spans="1:25" s="26" customFormat="1" ht="15" customHeight="1" x14ac:dyDescent="0.2">
      <c r="A794" s="93">
        <v>41755.614618055602</v>
      </c>
      <c r="B794" s="89" t="s">
        <v>38</v>
      </c>
      <c r="C794" s="52" t="s">
        <v>549</v>
      </c>
      <c r="D794" s="87" t="s">
        <v>6076</v>
      </c>
      <c r="E794" s="89" t="s">
        <v>6099</v>
      </c>
      <c r="F794" s="89" t="s">
        <v>6100</v>
      </c>
      <c r="G794" s="89" t="s">
        <v>26</v>
      </c>
      <c r="H794" s="89" t="s">
        <v>6101</v>
      </c>
      <c r="I794" s="89" t="s">
        <v>6102</v>
      </c>
      <c r="J794" s="95">
        <v>4</v>
      </c>
      <c r="K794" s="95">
        <v>718</v>
      </c>
      <c r="L794" s="149"/>
      <c r="M794" s="146" t="s">
        <v>22</v>
      </c>
      <c r="N794" s="149"/>
      <c r="O794" s="149"/>
      <c r="P794" s="149"/>
      <c r="Q794" s="149"/>
      <c r="R794" s="149"/>
      <c r="S794" s="149"/>
      <c r="T794" s="149"/>
      <c r="U794" s="149"/>
      <c r="V794" s="89"/>
      <c r="W794" s="91"/>
      <c r="X794" s="91"/>
      <c r="Y794" s="91"/>
    </row>
    <row r="795" spans="1:25" s="26" customFormat="1" ht="15" customHeight="1" x14ac:dyDescent="0.2">
      <c r="A795" s="93">
        <v>41755.615474537</v>
      </c>
      <c r="B795" s="94" t="s">
        <v>38</v>
      </c>
      <c r="C795" s="52" t="s">
        <v>549</v>
      </c>
      <c r="D795" s="87" t="s">
        <v>6076</v>
      </c>
      <c r="E795" s="89" t="s">
        <v>6103</v>
      </c>
      <c r="F795" s="89" t="s">
        <v>6104</v>
      </c>
      <c r="G795" s="89" t="s">
        <v>26</v>
      </c>
      <c r="H795" s="89" t="s">
        <v>6105</v>
      </c>
      <c r="I795" s="89" t="s">
        <v>2812</v>
      </c>
      <c r="J795" s="95">
        <v>1</v>
      </c>
      <c r="K795" s="95">
        <v>44</v>
      </c>
      <c r="L795" s="149"/>
      <c r="M795" s="146" t="s">
        <v>22</v>
      </c>
      <c r="N795" s="149"/>
      <c r="O795" s="149"/>
      <c r="P795" s="149"/>
      <c r="Q795" s="149"/>
      <c r="R795" s="149"/>
      <c r="S795" s="149"/>
      <c r="T795" s="149"/>
      <c r="U795" s="149"/>
      <c r="V795" s="89"/>
      <c r="W795" s="91"/>
      <c r="X795" s="91"/>
      <c r="Y795" s="91"/>
    </row>
    <row r="796" spans="1:25" s="26" customFormat="1" ht="15" customHeight="1" x14ac:dyDescent="0.2">
      <c r="A796" s="93">
        <v>41755.620428240698</v>
      </c>
      <c r="B796" s="89" t="s">
        <v>38</v>
      </c>
      <c r="C796" s="52" t="s">
        <v>549</v>
      </c>
      <c r="D796" s="87" t="s">
        <v>6076</v>
      </c>
      <c r="E796" s="89" t="s">
        <v>6106</v>
      </c>
      <c r="F796" s="89" t="s">
        <v>6107</v>
      </c>
      <c r="G796" s="89" t="s">
        <v>26</v>
      </c>
      <c r="H796" s="89" t="s">
        <v>6108</v>
      </c>
      <c r="I796" s="89" t="s">
        <v>3001</v>
      </c>
      <c r="J796" s="95">
        <v>3</v>
      </c>
      <c r="K796" s="95">
        <v>96</v>
      </c>
      <c r="L796" s="149">
        <v>183</v>
      </c>
      <c r="M796" s="146"/>
      <c r="N796" s="149"/>
      <c r="O796" s="149"/>
      <c r="P796" s="149"/>
      <c r="Q796" s="149"/>
      <c r="R796" s="149"/>
      <c r="S796" s="149"/>
      <c r="T796" s="149"/>
      <c r="U796" s="149"/>
      <c r="V796" s="89"/>
      <c r="W796" s="91"/>
      <c r="X796" s="91"/>
      <c r="Y796" s="91"/>
    </row>
    <row r="797" spans="1:25" s="26" customFormat="1" ht="15" customHeight="1" x14ac:dyDescent="0.2">
      <c r="A797" s="55">
        <v>41755.621886574103</v>
      </c>
      <c r="B797" s="52" t="s">
        <v>38</v>
      </c>
      <c r="C797" s="52" t="s">
        <v>549</v>
      </c>
      <c r="D797" s="88" t="s">
        <v>6076</v>
      </c>
      <c r="E797" s="52" t="s">
        <v>6109</v>
      </c>
      <c r="F797" s="52" t="s">
        <v>6110</v>
      </c>
      <c r="G797" s="52" t="s">
        <v>20</v>
      </c>
      <c r="H797" s="52"/>
      <c r="I797" s="52"/>
      <c r="J797" s="95">
        <v>4</v>
      </c>
      <c r="K797" s="95">
        <v>58</v>
      </c>
      <c r="L797" s="149">
        <v>290</v>
      </c>
      <c r="M797" s="146" t="s">
        <v>22</v>
      </c>
      <c r="N797" s="149"/>
      <c r="O797" s="149"/>
      <c r="P797" s="149"/>
      <c r="Q797" s="149"/>
      <c r="R797" s="149"/>
      <c r="S797" s="149"/>
      <c r="T797" s="149"/>
      <c r="U797" s="149"/>
      <c r="V797" s="52"/>
    </row>
    <row r="798" spans="1:25" s="26" customFormat="1" ht="15" customHeight="1" x14ac:dyDescent="0.2">
      <c r="A798" s="93">
        <v>41755.622835648202</v>
      </c>
      <c r="B798" s="89" t="s">
        <v>38</v>
      </c>
      <c r="C798" s="52" t="s">
        <v>549</v>
      </c>
      <c r="D798" s="87" t="s">
        <v>6076</v>
      </c>
      <c r="E798" s="89" t="s">
        <v>6111</v>
      </c>
      <c r="F798" s="89" t="s">
        <v>6112</v>
      </c>
      <c r="G798" s="89" t="s">
        <v>26</v>
      </c>
      <c r="H798" s="89" t="s">
        <v>6113</v>
      </c>
      <c r="I798" s="89" t="s">
        <v>3001</v>
      </c>
      <c r="J798" s="95">
        <v>1</v>
      </c>
      <c r="K798" s="95">
        <v>6</v>
      </c>
      <c r="L798" s="149"/>
      <c r="M798" s="146" t="s">
        <v>22</v>
      </c>
      <c r="N798" s="149"/>
      <c r="O798" s="149"/>
      <c r="P798" s="149"/>
      <c r="Q798" s="149"/>
      <c r="R798" s="149"/>
      <c r="S798" s="149"/>
      <c r="T798" s="149"/>
      <c r="U798" s="149"/>
      <c r="V798" s="89" t="s">
        <v>6114</v>
      </c>
      <c r="W798" s="91"/>
      <c r="X798" s="91"/>
      <c r="Y798" s="91"/>
    </row>
    <row r="799" spans="1:25" s="26" customFormat="1" ht="15" customHeight="1" x14ac:dyDescent="0.2">
      <c r="A799" s="93">
        <v>41790.7117939815</v>
      </c>
      <c r="B799" s="89" t="s">
        <v>38</v>
      </c>
      <c r="C799" s="52" t="s">
        <v>549</v>
      </c>
      <c r="D799" s="87" t="s">
        <v>6076</v>
      </c>
      <c r="E799" s="89" t="s">
        <v>7081</v>
      </c>
      <c r="F799" s="89" t="s">
        <v>7082</v>
      </c>
      <c r="G799" s="89" t="s">
        <v>26</v>
      </c>
      <c r="H799" s="89" t="s">
        <v>7083</v>
      </c>
      <c r="I799" s="89" t="s">
        <v>2812</v>
      </c>
      <c r="J799" s="95">
        <v>2</v>
      </c>
      <c r="K799" s="95">
        <v>190</v>
      </c>
      <c r="L799" s="149"/>
      <c r="M799" s="146" t="s">
        <v>44</v>
      </c>
      <c r="N799" s="149"/>
      <c r="O799" s="149">
        <v>50</v>
      </c>
      <c r="P799" s="149"/>
      <c r="Q799" s="149"/>
      <c r="R799" s="149"/>
      <c r="S799" s="149"/>
      <c r="T799" s="149"/>
      <c r="U799" s="149"/>
      <c r="V799" s="89"/>
      <c r="W799" s="91"/>
      <c r="X799" s="91"/>
      <c r="Y799" s="91"/>
    </row>
    <row r="800" spans="1:25" s="26" customFormat="1" ht="15" customHeight="1" x14ac:dyDescent="0.2">
      <c r="A800" s="93">
        <v>41785.502511574101</v>
      </c>
      <c r="B800" s="89" t="s">
        <v>38</v>
      </c>
      <c r="C800" s="52" t="s">
        <v>62</v>
      </c>
      <c r="D800" s="87" t="s">
        <v>6224</v>
      </c>
      <c r="E800" s="89" t="s">
        <v>3375</v>
      </c>
      <c r="F800" s="89" t="s">
        <v>273</v>
      </c>
      <c r="G800" s="89" t="s">
        <v>26</v>
      </c>
      <c r="H800" s="89" t="s">
        <v>6976</v>
      </c>
      <c r="I800" s="94" t="s">
        <v>3038</v>
      </c>
      <c r="J800" s="95">
        <v>1</v>
      </c>
      <c r="K800" s="95">
        <v>14</v>
      </c>
      <c r="L800" s="150">
        <v>142.5</v>
      </c>
      <c r="M800" s="146" t="s">
        <v>44</v>
      </c>
      <c r="N800" s="149"/>
      <c r="O800" s="149">
        <v>20</v>
      </c>
      <c r="P800" s="149"/>
      <c r="Q800" s="149">
        <v>58</v>
      </c>
      <c r="R800" s="149">
        <v>270</v>
      </c>
      <c r="S800" s="149"/>
      <c r="T800" s="149"/>
      <c r="U800" s="149"/>
      <c r="V800" s="89"/>
      <c r="W800" s="91"/>
      <c r="X800" s="91"/>
      <c r="Y800" s="91"/>
    </row>
    <row r="801" spans="1:25" s="26" customFormat="1" ht="15" customHeight="1" x14ac:dyDescent="0.2">
      <c r="A801" s="93">
        <v>41785.510567129597</v>
      </c>
      <c r="B801" s="89" t="s">
        <v>38</v>
      </c>
      <c r="C801" s="52" t="s">
        <v>187</v>
      </c>
      <c r="D801" s="87" t="s">
        <v>6224</v>
      </c>
      <c r="E801" s="89" t="s">
        <v>6977</v>
      </c>
      <c r="F801" s="89" t="s">
        <v>6978</v>
      </c>
      <c r="G801" s="89" t="s">
        <v>351</v>
      </c>
      <c r="H801" s="89" t="s">
        <v>6979</v>
      </c>
      <c r="I801" s="89" t="s">
        <v>3038</v>
      </c>
      <c r="J801" s="95">
        <v>1</v>
      </c>
      <c r="K801" s="95">
        <v>20</v>
      </c>
      <c r="L801" s="150"/>
      <c r="M801" s="146"/>
      <c r="N801" s="149"/>
      <c r="O801" s="149"/>
      <c r="P801" s="149"/>
      <c r="Q801" s="149"/>
      <c r="R801" s="149"/>
      <c r="S801" s="149"/>
      <c r="T801" s="149"/>
      <c r="U801" s="149"/>
      <c r="V801" s="89" t="s">
        <v>6980</v>
      </c>
      <c r="W801" s="91"/>
      <c r="X801" s="91"/>
      <c r="Y801" s="91"/>
    </row>
    <row r="802" spans="1:25" s="26" customFormat="1" ht="15" customHeight="1" x14ac:dyDescent="0.2">
      <c r="A802" s="93">
        <v>41785.5144560185</v>
      </c>
      <c r="B802" s="89" t="s">
        <v>38</v>
      </c>
      <c r="C802" s="52" t="s">
        <v>62</v>
      </c>
      <c r="D802" s="87" t="s">
        <v>6224</v>
      </c>
      <c r="E802" s="89" t="s">
        <v>6981</v>
      </c>
      <c r="F802" s="89" t="s">
        <v>6982</v>
      </c>
      <c r="G802" s="89" t="s">
        <v>26</v>
      </c>
      <c r="H802" s="89" t="s">
        <v>5972</v>
      </c>
      <c r="I802" s="89" t="s">
        <v>3678</v>
      </c>
      <c r="J802" s="95">
        <v>1</v>
      </c>
      <c r="K802" s="95">
        <v>15</v>
      </c>
      <c r="L802" s="150">
        <v>195</v>
      </c>
      <c r="M802" s="146" t="s">
        <v>44</v>
      </c>
      <c r="N802" s="149"/>
      <c r="O802" s="149">
        <v>10</v>
      </c>
      <c r="P802" s="149"/>
      <c r="Q802" s="149"/>
      <c r="R802" s="149"/>
      <c r="S802" s="149"/>
      <c r="T802" s="149"/>
      <c r="U802" s="149"/>
      <c r="V802" s="89"/>
      <c r="W802" s="91"/>
      <c r="X802" s="91"/>
      <c r="Y802" s="91"/>
    </row>
    <row r="803" spans="1:25" s="26" customFormat="1" ht="15" customHeight="1" x14ac:dyDescent="0.2">
      <c r="A803" s="93">
        <v>41785.517002314802</v>
      </c>
      <c r="B803" s="89" t="s">
        <v>38</v>
      </c>
      <c r="C803" s="52" t="s">
        <v>62</v>
      </c>
      <c r="D803" s="87" t="s">
        <v>6224</v>
      </c>
      <c r="E803" s="89" t="s">
        <v>1484</v>
      </c>
      <c r="F803" s="89" t="s">
        <v>4757</v>
      </c>
      <c r="G803" s="89" t="s">
        <v>26</v>
      </c>
      <c r="H803" s="89" t="s">
        <v>4758</v>
      </c>
      <c r="I803" s="89" t="s">
        <v>3678</v>
      </c>
      <c r="J803" s="95">
        <v>2</v>
      </c>
      <c r="K803" s="95">
        <v>10</v>
      </c>
      <c r="L803" s="150">
        <v>50</v>
      </c>
      <c r="M803" s="146" t="s">
        <v>44</v>
      </c>
      <c r="N803" s="149"/>
      <c r="O803" s="149">
        <v>10</v>
      </c>
      <c r="P803" s="149">
        <v>67</v>
      </c>
      <c r="Q803" s="149"/>
      <c r="R803" s="149"/>
      <c r="S803" s="149"/>
      <c r="T803" s="149"/>
      <c r="U803" s="149"/>
      <c r="V803" s="89"/>
      <c r="W803" s="91"/>
      <c r="X803" s="91"/>
      <c r="Y803" s="91"/>
    </row>
    <row r="804" spans="1:25" s="26" customFormat="1" ht="15" customHeight="1" x14ac:dyDescent="0.2">
      <c r="A804" s="93">
        <v>41785.518981481502</v>
      </c>
      <c r="B804" s="89" t="s">
        <v>38</v>
      </c>
      <c r="C804" s="52" t="s">
        <v>62</v>
      </c>
      <c r="D804" s="87" t="s">
        <v>6224</v>
      </c>
      <c r="E804" s="89" t="s">
        <v>6983</v>
      </c>
      <c r="F804" s="89" t="s">
        <v>6873</v>
      </c>
      <c r="G804" s="89" t="s">
        <v>26</v>
      </c>
      <c r="H804" s="89" t="s">
        <v>6984</v>
      </c>
      <c r="I804" s="89" t="s">
        <v>3678</v>
      </c>
      <c r="J804" s="95">
        <v>1</v>
      </c>
      <c r="K804" s="95">
        <v>24</v>
      </c>
      <c r="L804" s="150">
        <v>300</v>
      </c>
      <c r="M804" s="146"/>
      <c r="N804" s="149"/>
      <c r="O804" s="149"/>
      <c r="P804" s="149"/>
      <c r="Q804" s="149"/>
      <c r="R804" s="149"/>
      <c r="S804" s="149"/>
      <c r="T804" s="149"/>
      <c r="U804" s="149"/>
      <c r="V804" s="89"/>
      <c r="W804" s="91"/>
      <c r="X804" s="91"/>
      <c r="Y804" s="91"/>
    </row>
    <row r="805" spans="1:25" s="26" customFormat="1" ht="15" customHeight="1" x14ac:dyDescent="0.2">
      <c r="A805" s="93">
        <v>41785.523993055598</v>
      </c>
      <c r="B805" s="89" t="s">
        <v>38</v>
      </c>
      <c r="C805" s="52" t="s">
        <v>62</v>
      </c>
      <c r="D805" s="87" t="s">
        <v>6224</v>
      </c>
      <c r="E805" s="89" t="s">
        <v>6981</v>
      </c>
      <c r="F805" s="89" t="s">
        <v>6982</v>
      </c>
      <c r="G805" s="89" t="s">
        <v>26</v>
      </c>
      <c r="H805" s="89" t="s">
        <v>5972</v>
      </c>
      <c r="I805" s="89" t="s">
        <v>6985</v>
      </c>
      <c r="J805" s="95">
        <v>1</v>
      </c>
      <c r="K805" s="95">
        <v>29</v>
      </c>
      <c r="L805" s="150">
        <v>330</v>
      </c>
      <c r="M805" s="146" t="s">
        <v>44</v>
      </c>
      <c r="N805" s="149"/>
      <c r="O805" s="149">
        <v>50</v>
      </c>
      <c r="P805" s="149"/>
      <c r="Q805" s="149"/>
      <c r="R805" s="149"/>
      <c r="S805" s="149"/>
      <c r="T805" s="149"/>
      <c r="U805" s="149"/>
      <c r="V805" s="89" t="s">
        <v>6986</v>
      </c>
      <c r="W805" s="91"/>
      <c r="X805" s="91"/>
      <c r="Y805" s="91"/>
    </row>
    <row r="806" spans="1:25" s="26" customFormat="1" ht="15" customHeight="1" x14ac:dyDescent="0.2">
      <c r="A806" s="93">
        <v>41785.525474536997</v>
      </c>
      <c r="B806" s="89" t="s">
        <v>38</v>
      </c>
      <c r="C806" s="52" t="s">
        <v>62</v>
      </c>
      <c r="D806" s="87" t="s">
        <v>6224</v>
      </c>
      <c r="E806" s="89" t="s">
        <v>6987</v>
      </c>
      <c r="F806" s="89" t="s">
        <v>1485</v>
      </c>
      <c r="G806" s="89" t="s">
        <v>26</v>
      </c>
      <c r="H806" s="89" t="s">
        <v>6988</v>
      </c>
      <c r="I806" s="89" t="s">
        <v>3038</v>
      </c>
      <c r="J806" s="95">
        <v>1</v>
      </c>
      <c r="K806" s="95">
        <v>7</v>
      </c>
      <c r="L806" s="150">
        <v>105</v>
      </c>
      <c r="M806" s="146"/>
      <c r="N806" s="149"/>
      <c r="O806" s="149"/>
      <c r="P806" s="149"/>
      <c r="Q806" s="149"/>
      <c r="R806" s="149"/>
      <c r="S806" s="149"/>
      <c r="T806" s="149"/>
      <c r="U806" s="149"/>
      <c r="V806" s="89"/>
      <c r="W806" s="91"/>
      <c r="X806" s="91"/>
      <c r="Y806" s="91"/>
    </row>
    <row r="807" spans="1:25" s="26" customFormat="1" ht="15" customHeight="1" x14ac:dyDescent="0.2">
      <c r="A807" s="93">
        <v>41785.526712963001</v>
      </c>
      <c r="B807" s="89" t="s">
        <v>38</v>
      </c>
      <c r="C807" s="52" t="s">
        <v>62</v>
      </c>
      <c r="D807" s="87" t="s">
        <v>6224</v>
      </c>
      <c r="E807" s="89" t="s">
        <v>6989</v>
      </c>
      <c r="F807" s="89" t="s">
        <v>6990</v>
      </c>
      <c r="G807" s="89" t="s">
        <v>26</v>
      </c>
      <c r="H807" s="89" t="s">
        <v>4211</v>
      </c>
      <c r="I807" s="89" t="s">
        <v>5974</v>
      </c>
      <c r="J807" s="95">
        <v>2</v>
      </c>
      <c r="K807" s="95">
        <v>10</v>
      </c>
      <c r="L807" s="150">
        <v>50</v>
      </c>
      <c r="M807" s="146" t="s">
        <v>44</v>
      </c>
      <c r="N807" s="149"/>
      <c r="O807" s="149">
        <v>10</v>
      </c>
      <c r="P807" s="149"/>
      <c r="Q807" s="149"/>
      <c r="R807" s="149"/>
      <c r="S807" s="149"/>
      <c r="T807" s="149"/>
      <c r="U807" s="149"/>
      <c r="V807" s="89"/>
      <c r="W807" s="91"/>
      <c r="X807" s="91"/>
      <c r="Y807" s="91"/>
    </row>
    <row r="808" spans="1:25" s="26" customFormat="1" ht="15" customHeight="1" x14ac:dyDescent="0.2">
      <c r="A808" s="37">
        <v>41491.440092592602</v>
      </c>
      <c r="B808" s="26" t="s">
        <v>38</v>
      </c>
      <c r="C808" s="26" t="s">
        <v>693</v>
      </c>
      <c r="D808" s="33">
        <v>41456</v>
      </c>
      <c r="E808" s="26" t="s">
        <v>694</v>
      </c>
      <c r="F808" s="26" t="s">
        <v>695</v>
      </c>
      <c r="G808" s="26" t="s">
        <v>26</v>
      </c>
      <c r="H808" s="26" t="s">
        <v>696</v>
      </c>
      <c r="J808" s="115">
        <v>9</v>
      </c>
      <c r="K808" s="115">
        <v>75</v>
      </c>
      <c r="L808" s="136">
        <v>135</v>
      </c>
      <c r="M808" s="137" t="s">
        <v>22</v>
      </c>
      <c r="N808" s="138"/>
      <c r="O808" s="138"/>
      <c r="P808" s="138"/>
      <c r="Q808" s="138"/>
      <c r="R808" s="138"/>
      <c r="S808" s="138"/>
      <c r="T808" s="138"/>
      <c r="U808" s="138"/>
    </row>
    <row r="809" spans="1:25" s="26" customFormat="1" ht="15" customHeight="1" x14ac:dyDescent="0.2">
      <c r="A809" s="37">
        <v>41491.443587962996</v>
      </c>
      <c r="B809" s="26" t="s">
        <v>38</v>
      </c>
      <c r="C809" s="26" t="s">
        <v>693</v>
      </c>
      <c r="D809" s="33">
        <v>41456</v>
      </c>
      <c r="E809" s="26" t="s">
        <v>703</v>
      </c>
      <c r="F809" s="26" t="s">
        <v>704</v>
      </c>
      <c r="G809" s="26" t="s">
        <v>20</v>
      </c>
      <c r="H809" s="26" t="s">
        <v>705</v>
      </c>
      <c r="J809" s="115">
        <v>1</v>
      </c>
      <c r="K809" s="115">
        <v>22</v>
      </c>
      <c r="L809" s="136">
        <v>44</v>
      </c>
      <c r="M809" s="137" t="s">
        <v>22</v>
      </c>
      <c r="N809" s="138"/>
      <c r="O809" s="138"/>
      <c r="P809" s="138"/>
      <c r="Q809" s="138"/>
      <c r="R809" s="138"/>
      <c r="S809" s="138"/>
      <c r="T809" s="138"/>
      <c r="U809" s="138"/>
    </row>
    <row r="810" spans="1:25" s="26" customFormat="1" ht="15" customHeight="1" x14ac:dyDescent="0.2">
      <c r="A810" s="38">
        <v>41522.434178240743</v>
      </c>
      <c r="B810" s="29" t="s">
        <v>38</v>
      </c>
      <c r="C810" s="29" t="s">
        <v>693</v>
      </c>
      <c r="D810" s="30">
        <v>41487</v>
      </c>
      <c r="E810" s="31" t="s">
        <v>1667</v>
      </c>
      <c r="F810" s="29" t="s">
        <v>1668</v>
      </c>
      <c r="G810" s="29" t="s">
        <v>20</v>
      </c>
      <c r="H810" s="29" t="s">
        <v>1669</v>
      </c>
      <c r="I810" s="29"/>
      <c r="J810" s="116">
        <v>1</v>
      </c>
      <c r="K810" s="116">
        <v>14</v>
      </c>
      <c r="L810" s="139">
        <v>42</v>
      </c>
      <c r="M810" s="140" t="s">
        <v>22</v>
      </c>
      <c r="N810" s="141"/>
      <c r="O810" s="141"/>
      <c r="P810" s="141"/>
      <c r="Q810" s="141"/>
      <c r="R810" s="141"/>
      <c r="S810" s="141"/>
      <c r="T810" s="141"/>
      <c r="U810" s="141" t="s">
        <v>1670</v>
      </c>
      <c r="V810" s="29"/>
    </row>
    <row r="811" spans="1:25" s="26" customFormat="1" ht="15" customHeight="1" x14ac:dyDescent="0.2">
      <c r="A811" s="38">
        <v>41522.435324074075</v>
      </c>
      <c r="B811" s="29" t="s">
        <v>38</v>
      </c>
      <c r="C811" s="29" t="s">
        <v>693</v>
      </c>
      <c r="D811" s="30">
        <v>41487</v>
      </c>
      <c r="E811" s="31">
        <v>41497</v>
      </c>
      <c r="F811" s="29" t="s">
        <v>1671</v>
      </c>
      <c r="G811" s="29" t="s">
        <v>42</v>
      </c>
      <c r="H811" s="29" t="s">
        <v>1672</v>
      </c>
      <c r="I811" s="29"/>
      <c r="J811" s="116">
        <v>1</v>
      </c>
      <c r="K811" s="116">
        <v>10</v>
      </c>
      <c r="L811" s="139">
        <v>50</v>
      </c>
      <c r="M811" s="140" t="s">
        <v>22</v>
      </c>
      <c r="N811" s="141"/>
      <c r="O811" s="141"/>
      <c r="P811" s="141"/>
      <c r="Q811" s="141"/>
      <c r="R811" s="141"/>
      <c r="S811" s="141"/>
      <c r="T811" s="141"/>
      <c r="U811" s="141"/>
      <c r="V811" s="29"/>
    </row>
    <row r="812" spans="1:25" s="26" customFormat="1" ht="15" customHeight="1" x14ac:dyDescent="0.2">
      <c r="A812" s="38">
        <v>41522.436793981484</v>
      </c>
      <c r="B812" s="29" t="s">
        <v>38</v>
      </c>
      <c r="C812" s="29" t="s">
        <v>693</v>
      </c>
      <c r="D812" s="30">
        <v>41487</v>
      </c>
      <c r="E812" s="31">
        <v>41491</v>
      </c>
      <c r="F812" s="29" t="s">
        <v>1673</v>
      </c>
      <c r="G812" s="29" t="s">
        <v>42</v>
      </c>
      <c r="H812" s="29" t="s">
        <v>1674</v>
      </c>
      <c r="I812" s="29"/>
      <c r="J812" s="116">
        <v>1</v>
      </c>
      <c r="K812" s="116">
        <v>20</v>
      </c>
      <c r="L812" s="139"/>
      <c r="M812" s="140" t="s">
        <v>22</v>
      </c>
      <c r="N812" s="141"/>
      <c r="O812" s="141"/>
      <c r="P812" s="141"/>
      <c r="Q812" s="141"/>
      <c r="R812" s="141"/>
      <c r="S812" s="141"/>
      <c r="T812" s="141"/>
      <c r="U812" s="141"/>
      <c r="V812" s="29"/>
    </row>
    <row r="813" spans="1:25" s="26" customFormat="1" ht="15" customHeight="1" x14ac:dyDescent="0.2">
      <c r="A813" s="38">
        <v>41522.437881944446</v>
      </c>
      <c r="B813" s="29" t="s">
        <v>38</v>
      </c>
      <c r="C813" s="29" t="s">
        <v>693</v>
      </c>
      <c r="D813" s="30">
        <v>41487</v>
      </c>
      <c r="E813" s="31">
        <v>41517</v>
      </c>
      <c r="F813" s="29" t="s">
        <v>1675</v>
      </c>
      <c r="G813" s="29" t="s">
        <v>26</v>
      </c>
      <c r="H813" s="29" t="s">
        <v>1676</v>
      </c>
      <c r="I813" s="29"/>
      <c r="J813" s="116">
        <v>7</v>
      </c>
      <c r="K813" s="116">
        <v>30</v>
      </c>
      <c r="L813" s="139">
        <v>60</v>
      </c>
      <c r="M813" s="140" t="s">
        <v>22</v>
      </c>
      <c r="N813" s="141"/>
      <c r="O813" s="141"/>
      <c r="P813" s="141"/>
      <c r="Q813" s="141"/>
      <c r="R813" s="141"/>
      <c r="S813" s="141"/>
      <c r="T813" s="141"/>
      <c r="U813" s="141"/>
      <c r="V813" s="29"/>
    </row>
    <row r="814" spans="1:25" s="26" customFormat="1" ht="15" customHeight="1" x14ac:dyDescent="0.2">
      <c r="A814" s="32">
        <v>41645.394166666665</v>
      </c>
      <c r="B814" s="26" t="s">
        <v>38</v>
      </c>
      <c r="C814" s="26" t="s">
        <v>693</v>
      </c>
      <c r="D814" s="68">
        <v>41609</v>
      </c>
      <c r="E814" s="26" t="s">
        <v>3961</v>
      </c>
      <c r="F814" s="26" t="s">
        <v>3962</v>
      </c>
      <c r="G814" s="26" t="s">
        <v>26</v>
      </c>
      <c r="H814" s="26" t="s">
        <v>3963</v>
      </c>
      <c r="I814" s="26" t="s">
        <v>2812</v>
      </c>
      <c r="J814" s="46">
        <v>1</v>
      </c>
      <c r="K814" s="46">
        <v>50</v>
      </c>
      <c r="L814" s="136">
        <v>25</v>
      </c>
      <c r="M814" s="137" t="s">
        <v>22</v>
      </c>
      <c r="N814" s="138"/>
      <c r="O814" s="138"/>
      <c r="P814" s="138"/>
      <c r="Q814" s="138"/>
      <c r="R814" s="138"/>
      <c r="S814" s="138"/>
      <c r="T814" s="138"/>
      <c r="U814" s="138"/>
    </row>
    <row r="815" spans="1:25" s="26" customFormat="1" ht="15" customHeight="1" x14ac:dyDescent="0.2">
      <c r="A815" s="32">
        <v>41645.395462962966</v>
      </c>
      <c r="B815" s="26" t="s">
        <v>38</v>
      </c>
      <c r="C815" s="26" t="s">
        <v>693</v>
      </c>
      <c r="D815" s="68">
        <v>41609</v>
      </c>
      <c r="E815" s="26" t="s">
        <v>3964</v>
      </c>
      <c r="F815" s="26" t="s">
        <v>3965</v>
      </c>
      <c r="G815" s="26" t="s">
        <v>20</v>
      </c>
      <c r="H815" s="26" t="s">
        <v>3966</v>
      </c>
      <c r="I815" s="26" t="s">
        <v>2812</v>
      </c>
      <c r="J815" s="46">
        <v>1</v>
      </c>
      <c r="K815" s="46">
        <v>25</v>
      </c>
      <c r="L815" s="136">
        <v>3</v>
      </c>
      <c r="M815" s="137" t="s">
        <v>22</v>
      </c>
      <c r="N815" s="138"/>
      <c r="O815" s="138"/>
      <c r="P815" s="138"/>
      <c r="Q815" s="138"/>
      <c r="R815" s="138"/>
      <c r="S815" s="138"/>
      <c r="T815" s="138"/>
      <c r="U815" s="138"/>
    </row>
    <row r="816" spans="1:25" s="26" customFormat="1" ht="15" customHeight="1" x14ac:dyDescent="0.2">
      <c r="A816" s="55">
        <v>41673.430219907401</v>
      </c>
      <c r="B816" s="52" t="s">
        <v>38</v>
      </c>
      <c r="C816" s="52" t="s">
        <v>693</v>
      </c>
      <c r="D816" s="69">
        <v>41640</v>
      </c>
      <c r="E816" s="52" t="s">
        <v>4370</v>
      </c>
      <c r="F816" s="52" t="s">
        <v>4371</v>
      </c>
      <c r="G816" s="52" t="s">
        <v>20</v>
      </c>
      <c r="H816" s="52" t="s">
        <v>4372</v>
      </c>
      <c r="I816" s="52" t="s">
        <v>2986</v>
      </c>
      <c r="J816" s="95">
        <v>1</v>
      </c>
      <c r="K816" s="118">
        <v>12</v>
      </c>
      <c r="L816" s="148"/>
      <c r="M816" s="146" t="s">
        <v>22</v>
      </c>
      <c r="N816" s="147"/>
      <c r="O816" s="147"/>
      <c r="P816" s="147"/>
      <c r="Q816" s="147"/>
      <c r="R816" s="147"/>
      <c r="S816" s="147"/>
      <c r="T816" s="147"/>
      <c r="U816" s="149"/>
      <c r="V816" s="52"/>
      <c r="W816" s="52"/>
      <c r="X816" s="52"/>
      <c r="Y816" s="52"/>
    </row>
    <row r="817" spans="1:25" s="26" customFormat="1" ht="15" customHeight="1" x14ac:dyDescent="0.2">
      <c r="A817" s="32">
        <v>41700.417280092595</v>
      </c>
      <c r="B817" s="26" t="s">
        <v>38</v>
      </c>
      <c r="C817" s="26" t="s">
        <v>693</v>
      </c>
      <c r="D817" s="33">
        <v>41671</v>
      </c>
      <c r="E817" s="26" t="s">
        <v>3209</v>
      </c>
      <c r="F817" s="26" t="s">
        <v>4759</v>
      </c>
      <c r="G817" s="26" t="s">
        <v>26</v>
      </c>
      <c r="H817" s="26" t="s">
        <v>4760</v>
      </c>
      <c r="I817" s="26" t="s">
        <v>2812</v>
      </c>
      <c r="J817" s="46">
        <v>1</v>
      </c>
      <c r="K817" s="46">
        <v>10</v>
      </c>
      <c r="L817" s="136"/>
      <c r="M817" s="137" t="s">
        <v>22</v>
      </c>
      <c r="N817" s="138"/>
      <c r="O817" s="138"/>
      <c r="P817" s="138"/>
      <c r="Q817" s="138"/>
      <c r="R817" s="138"/>
      <c r="S817" s="138"/>
      <c r="T817" s="138"/>
      <c r="U817" s="138"/>
      <c r="V817" s="26" t="s">
        <v>4761</v>
      </c>
    </row>
    <row r="818" spans="1:25" s="26" customFormat="1" ht="15" customHeight="1" x14ac:dyDescent="0.2">
      <c r="A818" s="32">
        <v>41700.422175925924</v>
      </c>
      <c r="B818" s="26" t="s">
        <v>38</v>
      </c>
      <c r="C818" s="26" t="s">
        <v>693</v>
      </c>
      <c r="D818" s="33">
        <v>41671</v>
      </c>
      <c r="E818" s="26" t="s">
        <v>4765</v>
      </c>
      <c r="F818" s="26" t="s">
        <v>4766</v>
      </c>
      <c r="G818" s="26" t="s">
        <v>20</v>
      </c>
      <c r="H818" s="26" t="s">
        <v>4767</v>
      </c>
      <c r="I818" s="26" t="s">
        <v>2986</v>
      </c>
      <c r="J818" s="46">
        <v>2</v>
      </c>
      <c r="K818" s="46">
        <v>50</v>
      </c>
      <c r="L818" s="136">
        <v>400</v>
      </c>
      <c r="M818" s="137" t="s">
        <v>22</v>
      </c>
      <c r="N818" s="138"/>
      <c r="O818" s="138"/>
      <c r="P818" s="138"/>
      <c r="Q818" s="138"/>
      <c r="R818" s="138"/>
      <c r="S818" s="138"/>
      <c r="T818" s="138"/>
      <c r="U818" s="138"/>
    </row>
    <row r="819" spans="1:25" s="26" customFormat="1" ht="15" customHeight="1" x14ac:dyDescent="0.2">
      <c r="A819" s="32">
        <v>41700.423379629632</v>
      </c>
      <c r="B819" s="26" t="s">
        <v>38</v>
      </c>
      <c r="C819" s="26" t="s">
        <v>693</v>
      </c>
      <c r="D819" s="33">
        <v>41671</v>
      </c>
      <c r="E819" s="26" t="s">
        <v>4768</v>
      </c>
      <c r="F819" s="26" t="s">
        <v>919</v>
      </c>
      <c r="G819" s="26" t="s">
        <v>26</v>
      </c>
      <c r="H819" s="26" t="s">
        <v>4769</v>
      </c>
      <c r="I819" s="26" t="s">
        <v>2812</v>
      </c>
      <c r="J819" s="46">
        <v>1</v>
      </c>
      <c r="K819" s="46">
        <v>8</v>
      </c>
      <c r="L819" s="136"/>
      <c r="M819" s="137" t="s">
        <v>22</v>
      </c>
      <c r="N819" s="138"/>
      <c r="O819" s="138"/>
      <c r="P819" s="138"/>
      <c r="Q819" s="138"/>
      <c r="R819" s="138"/>
      <c r="S819" s="138"/>
      <c r="T819" s="138"/>
      <c r="U819" s="138"/>
    </row>
    <row r="820" spans="1:25" s="26" customFormat="1" ht="15" customHeight="1" x14ac:dyDescent="0.2">
      <c r="A820" s="32">
        <v>41700.427673611113</v>
      </c>
      <c r="B820" s="26" t="s">
        <v>38</v>
      </c>
      <c r="C820" s="26" t="s">
        <v>693</v>
      </c>
      <c r="D820" s="33">
        <v>41671</v>
      </c>
      <c r="E820" s="26" t="s">
        <v>4773</v>
      </c>
      <c r="F820" s="26" t="s">
        <v>4774</v>
      </c>
      <c r="G820" s="26" t="s">
        <v>26</v>
      </c>
      <c r="H820" s="26" t="s">
        <v>4775</v>
      </c>
      <c r="I820" s="26" t="s">
        <v>2812</v>
      </c>
      <c r="J820" s="46">
        <v>1</v>
      </c>
      <c r="K820" s="46">
        <v>10</v>
      </c>
      <c r="L820" s="136"/>
      <c r="M820" s="137" t="s">
        <v>22</v>
      </c>
      <c r="N820" s="138"/>
      <c r="O820" s="138"/>
      <c r="P820" s="138"/>
      <c r="Q820" s="138"/>
      <c r="R820" s="138"/>
      <c r="S820" s="138"/>
      <c r="T820" s="138"/>
      <c r="U820" s="138"/>
    </row>
    <row r="821" spans="1:25" s="26" customFormat="1" ht="15" customHeight="1" x14ac:dyDescent="0.2">
      <c r="A821" s="32">
        <v>41736.457152777781</v>
      </c>
      <c r="B821" s="26" t="s">
        <v>38</v>
      </c>
      <c r="C821" s="26" t="s">
        <v>693</v>
      </c>
      <c r="D821" s="33">
        <v>41699</v>
      </c>
      <c r="E821" s="26" t="s">
        <v>5748</v>
      </c>
      <c r="F821" s="26" t="s">
        <v>5749</v>
      </c>
      <c r="G821" s="26" t="s">
        <v>26</v>
      </c>
      <c r="H821" s="26" t="s">
        <v>5750</v>
      </c>
      <c r="I821" s="26" t="s">
        <v>2986</v>
      </c>
      <c r="J821" s="46">
        <v>1</v>
      </c>
      <c r="K821" s="46">
        <v>8</v>
      </c>
      <c r="L821" s="136">
        <v>3</v>
      </c>
      <c r="M821" s="137" t="s">
        <v>22</v>
      </c>
      <c r="N821" s="138"/>
      <c r="O821" s="138"/>
      <c r="P821" s="138"/>
      <c r="Q821" s="138"/>
      <c r="R821" s="138"/>
      <c r="S821" s="138"/>
      <c r="T821" s="138"/>
      <c r="U821" s="138"/>
    </row>
    <row r="822" spans="1:25" s="26" customFormat="1" ht="15" customHeight="1" x14ac:dyDescent="0.2">
      <c r="A822" s="93">
        <v>41764.557326388902</v>
      </c>
      <c r="B822" s="89" t="s">
        <v>38</v>
      </c>
      <c r="C822" s="52" t="s">
        <v>693</v>
      </c>
      <c r="D822" s="87" t="s">
        <v>6076</v>
      </c>
      <c r="E822" s="89" t="s">
        <v>6370</v>
      </c>
      <c r="F822" s="89" t="s">
        <v>5205</v>
      </c>
      <c r="G822" s="89" t="s">
        <v>26</v>
      </c>
      <c r="H822" s="89" t="s">
        <v>6371</v>
      </c>
      <c r="I822" s="89" t="s">
        <v>2986</v>
      </c>
      <c r="J822" s="95">
        <v>1</v>
      </c>
      <c r="K822" s="95">
        <v>6</v>
      </c>
      <c r="L822" s="149">
        <v>35</v>
      </c>
      <c r="M822" s="146" t="s">
        <v>22</v>
      </c>
      <c r="N822" s="149"/>
      <c r="O822" s="149"/>
      <c r="P822" s="149"/>
      <c r="Q822" s="149"/>
      <c r="R822" s="149"/>
      <c r="S822" s="149"/>
      <c r="T822" s="149"/>
      <c r="U822" s="149"/>
      <c r="V822" s="89"/>
      <c r="W822" s="91"/>
      <c r="X822" s="91"/>
      <c r="Y822" s="91"/>
    </row>
    <row r="823" spans="1:25" s="26" customFormat="1" ht="15" customHeight="1" x14ac:dyDescent="0.2">
      <c r="A823" s="93">
        <v>41764.559861111098</v>
      </c>
      <c r="B823" s="89" t="s">
        <v>38</v>
      </c>
      <c r="C823" s="52" t="s">
        <v>693</v>
      </c>
      <c r="D823" s="87" t="s">
        <v>6076</v>
      </c>
      <c r="E823" s="89" t="s">
        <v>6372</v>
      </c>
      <c r="F823" s="89" t="s">
        <v>5205</v>
      </c>
      <c r="G823" s="89" t="s">
        <v>26</v>
      </c>
      <c r="H823" s="89" t="s">
        <v>6373</v>
      </c>
      <c r="I823" s="89" t="s">
        <v>2986</v>
      </c>
      <c r="J823" s="95">
        <v>1</v>
      </c>
      <c r="K823" s="95">
        <v>5</v>
      </c>
      <c r="L823" s="149">
        <v>25</v>
      </c>
      <c r="M823" s="146" t="s">
        <v>22</v>
      </c>
      <c r="N823" s="149"/>
      <c r="O823" s="149"/>
      <c r="P823" s="149"/>
      <c r="Q823" s="149"/>
      <c r="R823" s="149"/>
      <c r="S823" s="149"/>
      <c r="T823" s="149"/>
      <c r="U823" s="149">
        <v>9.85</v>
      </c>
      <c r="V823" s="89"/>
      <c r="W823" s="91"/>
      <c r="X823" s="91"/>
      <c r="Y823" s="91"/>
    </row>
    <row r="824" spans="1:25" s="26" customFormat="1" ht="15" customHeight="1" x14ac:dyDescent="0.2">
      <c r="A824" s="93">
        <v>41764.562673611101</v>
      </c>
      <c r="B824" s="89" t="s">
        <v>38</v>
      </c>
      <c r="C824" s="52" t="s">
        <v>693</v>
      </c>
      <c r="D824" s="87" t="s">
        <v>6076</v>
      </c>
      <c r="E824" s="89" t="s">
        <v>6377</v>
      </c>
      <c r="F824" s="89" t="s">
        <v>6378</v>
      </c>
      <c r="G824" s="89" t="s">
        <v>26</v>
      </c>
      <c r="H824" s="89" t="s">
        <v>6379</v>
      </c>
      <c r="I824" s="89" t="s">
        <v>2986</v>
      </c>
      <c r="J824" s="95">
        <v>1</v>
      </c>
      <c r="K824" s="95">
        <v>150</v>
      </c>
      <c r="L824" s="149"/>
      <c r="M824" s="146" t="s">
        <v>22</v>
      </c>
      <c r="N824" s="149"/>
      <c r="O824" s="149"/>
      <c r="P824" s="149"/>
      <c r="Q824" s="149"/>
      <c r="R824" s="149"/>
      <c r="S824" s="149"/>
      <c r="T824" s="149"/>
      <c r="U824" s="149"/>
      <c r="V824" s="89"/>
      <c r="W824" s="91"/>
      <c r="X824" s="91"/>
      <c r="Y824" s="91"/>
    </row>
    <row r="825" spans="1:25" s="26" customFormat="1" ht="15" customHeight="1" x14ac:dyDescent="0.2">
      <c r="A825" s="93">
        <v>41764.564965277801</v>
      </c>
      <c r="B825" s="89" t="s">
        <v>38</v>
      </c>
      <c r="C825" s="52" t="s">
        <v>693</v>
      </c>
      <c r="D825" s="87" t="s">
        <v>6076</v>
      </c>
      <c r="E825" s="89" t="s">
        <v>6380</v>
      </c>
      <c r="F825" s="89" t="s">
        <v>6014</v>
      </c>
      <c r="G825" s="89" t="s">
        <v>26</v>
      </c>
      <c r="H825" s="89" t="s">
        <v>6381</v>
      </c>
      <c r="I825" s="89" t="s">
        <v>2986</v>
      </c>
      <c r="J825" s="95">
        <v>1</v>
      </c>
      <c r="K825" s="95">
        <v>200</v>
      </c>
      <c r="L825" s="149"/>
      <c r="M825" s="146" t="s">
        <v>22</v>
      </c>
      <c r="N825" s="149"/>
      <c r="O825" s="149"/>
      <c r="P825" s="149"/>
      <c r="Q825" s="149"/>
      <c r="R825" s="149"/>
      <c r="S825" s="149"/>
      <c r="T825" s="149"/>
      <c r="U825" s="149">
        <v>250</v>
      </c>
      <c r="V825" s="89" t="s">
        <v>6382</v>
      </c>
      <c r="W825" s="91"/>
      <c r="X825" s="91"/>
      <c r="Y825" s="91"/>
    </row>
    <row r="826" spans="1:25" s="26" customFormat="1" ht="15" customHeight="1" x14ac:dyDescent="0.2">
      <c r="A826" s="93">
        <v>41786.369386574101</v>
      </c>
      <c r="B826" s="89" t="s">
        <v>38</v>
      </c>
      <c r="C826" s="52" t="s">
        <v>47</v>
      </c>
      <c r="D826" s="87" t="s">
        <v>6224</v>
      </c>
      <c r="E826" s="89" t="s">
        <v>6991</v>
      </c>
      <c r="F826" s="89" t="s">
        <v>6992</v>
      </c>
      <c r="G826" s="89" t="s">
        <v>26</v>
      </c>
      <c r="H826" s="89" t="s">
        <v>6993</v>
      </c>
      <c r="I826" s="89" t="s">
        <v>3001</v>
      </c>
      <c r="J826" s="95">
        <v>2</v>
      </c>
      <c r="K826" s="95">
        <v>8</v>
      </c>
      <c r="L826" s="150">
        <v>20</v>
      </c>
      <c r="M826" s="146" t="s">
        <v>22</v>
      </c>
      <c r="N826" s="149"/>
      <c r="O826" s="149"/>
      <c r="P826" s="149"/>
      <c r="Q826" s="149"/>
      <c r="R826" s="149"/>
      <c r="S826" s="149"/>
      <c r="T826" s="149"/>
      <c r="U826" s="149"/>
      <c r="V826" s="89" t="s">
        <v>6994</v>
      </c>
      <c r="W826" s="91"/>
      <c r="X826" s="91"/>
      <c r="Y826" s="91"/>
    </row>
    <row r="827" spans="1:25" s="26" customFormat="1" ht="15" customHeight="1" x14ac:dyDescent="0.2">
      <c r="A827" s="93">
        <v>41787.392256944397</v>
      </c>
      <c r="B827" s="94" t="s">
        <v>38</v>
      </c>
      <c r="C827" s="52" t="s">
        <v>4162</v>
      </c>
      <c r="D827" s="87" t="s">
        <v>6224</v>
      </c>
      <c r="E827" s="89" t="s">
        <v>1299</v>
      </c>
      <c r="F827" s="89" t="s">
        <v>6995</v>
      </c>
      <c r="G827" s="89" t="s">
        <v>26</v>
      </c>
      <c r="H827" s="89" t="s">
        <v>6996</v>
      </c>
      <c r="I827" s="89" t="s">
        <v>2986</v>
      </c>
      <c r="J827" s="95">
        <v>1</v>
      </c>
      <c r="K827" s="95">
        <v>6</v>
      </c>
      <c r="L827" s="150"/>
      <c r="M827" s="146" t="s">
        <v>22</v>
      </c>
      <c r="N827" s="149"/>
      <c r="O827" s="149"/>
      <c r="P827" s="149"/>
      <c r="Q827" s="149"/>
      <c r="R827" s="149"/>
      <c r="S827" s="149"/>
      <c r="T827" s="149"/>
      <c r="U827" s="149"/>
      <c r="V827" s="89" t="s">
        <v>6997</v>
      </c>
      <c r="W827" s="91"/>
      <c r="X827" s="91"/>
      <c r="Y827" s="91"/>
    </row>
    <row r="828" spans="1:25" s="26" customFormat="1" ht="15" customHeight="1" x14ac:dyDescent="0.2">
      <c r="A828" s="37">
        <v>41493.493113425902</v>
      </c>
      <c r="B828" s="26" t="s">
        <v>16</v>
      </c>
      <c r="C828" s="26" t="s">
        <v>986</v>
      </c>
      <c r="D828" s="33">
        <v>41456</v>
      </c>
      <c r="E828" s="26" t="s">
        <v>987</v>
      </c>
      <c r="F828" s="26" t="s">
        <v>988</v>
      </c>
      <c r="G828" s="26" t="s">
        <v>156</v>
      </c>
      <c r="H828" s="26" t="s">
        <v>989</v>
      </c>
      <c r="J828" s="115">
        <v>1</v>
      </c>
      <c r="K828" s="115">
        <v>92</v>
      </c>
      <c r="L828" s="136">
        <v>933</v>
      </c>
      <c r="M828" s="137" t="s">
        <v>22</v>
      </c>
      <c r="N828" s="138"/>
      <c r="O828" s="138"/>
      <c r="P828" s="138"/>
      <c r="Q828" s="138"/>
      <c r="R828" s="138"/>
      <c r="S828" s="138"/>
      <c r="T828" s="138"/>
      <c r="U828" s="138">
        <v>60</v>
      </c>
    </row>
    <row r="829" spans="1:25" s="26" customFormat="1" ht="15" customHeight="1" x14ac:dyDescent="0.2">
      <c r="A829" s="37">
        <v>41493.496550925898</v>
      </c>
      <c r="B829" s="26" t="s">
        <v>16</v>
      </c>
      <c r="C829" s="26" t="s">
        <v>986</v>
      </c>
      <c r="D829" s="33">
        <v>41456</v>
      </c>
      <c r="E829" s="26" t="s">
        <v>529</v>
      </c>
      <c r="F829" s="26" t="s">
        <v>990</v>
      </c>
      <c r="G829" s="26" t="s">
        <v>26</v>
      </c>
      <c r="H829" s="26" t="s">
        <v>991</v>
      </c>
      <c r="J829" s="46">
        <v>1</v>
      </c>
      <c r="K829" s="46">
        <v>63</v>
      </c>
      <c r="L829" s="136">
        <v>652</v>
      </c>
      <c r="M829" s="137" t="s">
        <v>22</v>
      </c>
      <c r="N829" s="138"/>
      <c r="O829" s="138"/>
      <c r="P829" s="138"/>
      <c r="Q829" s="138"/>
      <c r="R829" s="138"/>
      <c r="S829" s="138"/>
      <c r="T829" s="138"/>
      <c r="U829" s="138"/>
    </row>
    <row r="830" spans="1:25" s="26" customFormat="1" ht="15" customHeight="1" x14ac:dyDescent="0.2">
      <c r="A830" s="37">
        <v>41493.500428240703</v>
      </c>
      <c r="B830" s="26" t="s">
        <v>16</v>
      </c>
      <c r="C830" s="26" t="s">
        <v>986</v>
      </c>
      <c r="D830" s="33">
        <v>41456</v>
      </c>
      <c r="E830" s="26" t="s">
        <v>992</v>
      </c>
      <c r="F830" s="26" t="s">
        <v>993</v>
      </c>
      <c r="G830" s="26" t="s">
        <v>26</v>
      </c>
      <c r="H830" s="26" t="s">
        <v>994</v>
      </c>
      <c r="J830" s="46">
        <v>1</v>
      </c>
      <c r="K830" s="46">
        <v>5</v>
      </c>
      <c r="L830" s="136"/>
      <c r="M830" s="137" t="s">
        <v>22</v>
      </c>
      <c r="N830" s="138"/>
      <c r="O830" s="138"/>
      <c r="P830" s="138"/>
      <c r="Q830" s="138"/>
      <c r="R830" s="138"/>
      <c r="S830" s="138"/>
      <c r="T830" s="138"/>
      <c r="U830" s="138"/>
    </row>
    <row r="831" spans="1:25" s="26" customFormat="1" ht="15" customHeight="1" x14ac:dyDescent="0.2">
      <c r="A831" s="28">
        <v>41523.686539351853</v>
      </c>
      <c r="B831" s="29" t="s">
        <v>16</v>
      </c>
      <c r="C831" s="29" t="s">
        <v>986</v>
      </c>
      <c r="D831" s="30">
        <v>41487</v>
      </c>
      <c r="E831" s="29" t="s">
        <v>529</v>
      </c>
      <c r="F831" s="29" t="s">
        <v>1762</v>
      </c>
      <c r="G831" s="29" t="s">
        <v>26</v>
      </c>
      <c r="H831" s="29" t="s">
        <v>1763</v>
      </c>
      <c r="I831" s="29"/>
      <c r="J831" s="116">
        <v>1</v>
      </c>
      <c r="K831" s="116">
        <v>24</v>
      </c>
      <c r="L831" s="139">
        <v>281.08</v>
      </c>
      <c r="M831" s="140" t="s">
        <v>22</v>
      </c>
      <c r="N831" s="141"/>
      <c r="O831" s="141"/>
      <c r="P831" s="141"/>
      <c r="Q831" s="141"/>
      <c r="R831" s="141"/>
      <c r="S831" s="141"/>
      <c r="T831" s="141"/>
      <c r="U831" s="141">
        <v>14</v>
      </c>
      <c r="V831" s="29" t="s">
        <v>1764</v>
      </c>
    </row>
    <row r="832" spans="1:25" s="26" customFormat="1" ht="15" customHeight="1" x14ac:dyDescent="0.2">
      <c r="A832" s="32">
        <v>41550.690011574072</v>
      </c>
      <c r="B832" s="26" t="s">
        <v>16</v>
      </c>
      <c r="C832" s="26" t="s">
        <v>986</v>
      </c>
      <c r="D832" s="30">
        <v>41518</v>
      </c>
      <c r="E832" s="26" t="s">
        <v>2377</v>
      </c>
      <c r="F832" s="26" t="s">
        <v>2378</v>
      </c>
      <c r="G832" s="26" t="s">
        <v>26</v>
      </c>
      <c r="H832" s="26" t="s">
        <v>2379</v>
      </c>
      <c r="J832" s="46">
        <v>1</v>
      </c>
      <c r="K832" s="46">
        <v>22</v>
      </c>
      <c r="L832" s="136">
        <v>153</v>
      </c>
      <c r="M832" s="137" t="s">
        <v>22</v>
      </c>
      <c r="N832" s="138"/>
      <c r="O832" s="138"/>
      <c r="P832" s="138"/>
      <c r="Q832" s="138"/>
      <c r="R832" s="138"/>
      <c r="S832" s="138"/>
      <c r="T832" s="138"/>
      <c r="U832" s="138">
        <v>55</v>
      </c>
    </row>
    <row r="833" spans="1:22" s="26" customFormat="1" ht="15" customHeight="1" x14ac:dyDescent="0.2">
      <c r="A833" s="32">
        <v>41550.691354166665</v>
      </c>
      <c r="B833" s="26" t="s">
        <v>16</v>
      </c>
      <c r="C833" s="26" t="s">
        <v>986</v>
      </c>
      <c r="D833" s="30">
        <v>41518</v>
      </c>
      <c r="E833" s="26" t="s">
        <v>2380</v>
      </c>
      <c r="F833" s="26" t="s">
        <v>1762</v>
      </c>
      <c r="G833" s="26" t="s">
        <v>26</v>
      </c>
      <c r="H833" s="26" t="s">
        <v>2381</v>
      </c>
      <c r="J833" s="46">
        <v>1</v>
      </c>
      <c r="K833" s="46">
        <v>24</v>
      </c>
      <c r="L833" s="136">
        <v>164.78</v>
      </c>
      <c r="M833" s="137" t="s">
        <v>22</v>
      </c>
      <c r="N833" s="138"/>
      <c r="O833" s="138"/>
      <c r="P833" s="138"/>
      <c r="Q833" s="138"/>
      <c r="R833" s="138"/>
      <c r="S833" s="138"/>
      <c r="T833" s="138"/>
      <c r="U833" s="138"/>
    </row>
    <row r="834" spans="1:22" s="26" customFormat="1" ht="15" customHeight="1" x14ac:dyDescent="0.2">
      <c r="A834" s="32">
        <v>41550.695173611108</v>
      </c>
      <c r="B834" s="26" t="s">
        <v>16</v>
      </c>
      <c r="C834" s="26" t="s">
        <v>986</v>
      </c>
      <c r="D834" s="30">
        <v>41518</v>
      </c>
      <c r="E834" s="26" t="s">
        <v>2382</v>
      </c>
      <c r="F834" s="26" t="s">
        <v>2383</v>
      </c>
      <c r="G834" s="26" t="s">
        <v>351</v>
      </c>
      <c r="H834" s="26" t="s">
        <v>2384</v>
      </c>
      <c r="J834" s="46">
        <v>1</v>
      </c>
      <c r="K834" s="46">
        <v>31</v>
      </c>
      <c r="L834" s="136"/>
      <c r="M834" s="137" t="s">
        <v>22</v>
      </c>
      <c r="N834" s="138"/>
      <c r="O834" s="138"/>
      <c r="P834" s="138"/>
      <c r="Q834" s="138"/>
      <c r="R834" s="138"/>
      <c r="S834" s="138"/>
      <c r="T834" s="138"/>
      <c r="U834" s="138"/>
      <c r="V834" s="26" t="s">
        <v>2385</v>
      </c>
    </row>
    <row r="835" spans="1:22" s="26" customFormat="1" ht="15" customHeight="1" x14ac:dyDescent="0.2">
      <c r="A835" s="48">
        <v>41615.698668981502</v>
      </c>
      <c r="B835" s="49" t="s">
        <v>16</v>
      </c>
      <c r="C835" s="50" t="s">
        <v>986</v>
      </c>
      <c r="D835" s="67">
        <v>41579</v>
      </c>
      <c r="E835" s="50" t="s">
        <v>529</v>
      </c>
      <c r="F835" s="50" t="s">
        <v>3544</v>
      </c>
      <c r="G835" s="49" t="s">
        <v>26</v>
      </c>
      <c r="H835" s="50" t="s">
        <v>3545</v>
      </c>
      <c r="I835" s="50" t="s">
        <v>2986</v>
      </c>
      <c r="J835" s="117">
        <v>1</v>
      </c>
      <c r="K835" s="117">
        <v>32</v>
      </c>
      <c r="L835" s="142">
        <v>421.25</v>
      </c>
      <c r="M835" s="143" t="s">
        <v>22</v>
      </c>
      <c r="N835" s="144"/>
      <c r="O835" s="144"/>
      <c r="P835" s="144"/>
      <c r="Q835" s="144"/>
      <c r="R835" s="144"/>
      <c r="S835" s="144"/>
      <c r="T835" s="144"/>
      <c r="U835" s="144">
        <v>50</v>
      </c>
      <c r="V835" s="50"/>
    </row>
    <row r="836" spans="1:22" s="26" customFormat="1" ht="15" customHeight="1" x14ac:dyDescent="0.2">
      <c r="A836" s="48">
        <v>41615.700497685197</v>
      </c>
      <c r="B836" s="49" t="s">
        <v>16</v>
      </c>
      <c r="C836" s="50" t="s">
        <v>986</v>
      </c>
      <c r="D836" s="67">
        <v>41579</v>
      </c>
      <c r="E836" s="50" t="s">
        <v>3546</v>
      </c>
      <c r="F836" s="50" t="s">
        <v>3547</v>
      </c>
      <c r="G836" s="49" t="s">
        <v>20</v>
      </c>
      <c r="H836" s="50" t="s">
        <v>3548</v>
      </c>
      <c r="I836" s="50" t="s">
        <v>3265</v>
      </c>
      <c r="J836" s="117">
        <v>9</v>
      </c>
      <c r="K836" s="117">
        <v>400</v>
      </c>
      <c r="L836" s="142">
        <v>1200</v>
      </c>
      <c r="M836" s="143" t="s">
        <v>22</v>
      </c>
      <c r="N836" s="144"/>
      <c r="O836" s="144"/>
      <c r="P836" s="144"/>
      <c r="Q836" s="144"/>
      <c r="R836" s="144"/>
      <c r="S836" s="144"/>
      <c r="T836" s="144"/>
      <c r="U836" s="144"/>
      <c r="V836" s="50"/>
    </row>
    <row r="837" spans="1:22" s="26" customFormat="1" ht="15" customHeight="1" x14ac:dyDescent="0.2">
      <c r="A837" s="48">
        <v>41615.701840277798</v>
      </c>
      <c r="B837" s="49" t="s">
        <v>16</v>
      </c>
      <c r="C837" s="50" t="s">
        <v>986</v>
      </c>
      <c r="D837" s="67">
        <v>41579</v>
      </c>
      <c r="E837" s="50" t="s">
        <v>3549</v>
      </c>
      <c r="F837" s="50" t="s">
        <v>3550</v>
      </c>
      <c r="G837" s="49" t="s">
        <v>26</v>
      </c>
      <c r="H837" s="50" t="s">
        <v>3551</v>
      </c>
      <c r="I837" s="50" t="s">
        <v>2986</v>
      </c>
      <c r="J837" s="117">
        <v>1</v>
      </c>
      <c r="K837" s="117">
        <v>250</v>
      </c>
      <c r="L837" s="142">
        <v>1900</v>
      </c>
      <c r="M837" s="143" t="s">
        <v>22</v>
      </c>
      <c r="N837" s="144"/>
      <c r="O837" s="144"/>
      <c r="P837" s="144"/>
      <c r="Q837" s="144"/>
      <c r="R837" s="144"/>
      <c r="S837" s="144"/>
      <c r="T837" s="144"/>
      <c r="U837" s="144"/>
      <c r="V837" s="50"/>
    </row>
    <row r="838" spans="1:22" s="26" customFormat="1" ht="15" customHeight="1" x14ac:dyDescent="0.2">
      <c r="A838" s="48">
        <v>41615.702754629601</v>
      </c>
      <c r="B838" s="49" t="s">
        <v>16</v>
      </c>
      <c r="C838" s="50" t="s">
        <v>986</v>
      </c>
      <c r="D838" s="67">
        <v>41579</v>
      </c>
      <c r="E838" s="50" t="s">
        <v>3552</v>
      </c>
      <c r="F838" s="50" t="s">
        <v>3553</v>
      </c>
      <c r="G838" s="49" t="s">
        <v>20</v>
      </c>
      <c r="H838" s="50" t="s">
        <v>3554</v>
      </c>
      <c r="I838" s="50" t="s">
        <v>2986</v>
      </c>
      <c r="J838" s="117">
        <v>1</v>
      </c>
      <c r="K838" s="117">
        <v>63</v>
      </c>
      <c r="L838" s="142">
        <v>221</v>
      </c>
      <c r="M838" s="143" t="s">
        <v>22</v>
      </c>
      <c r="N838" s="144"/>
      <c r="O838" s="144"/>
      <c r="P838" s="144"/>
      <c r="Q838" s="144"/>
      <c r="R838" s="144"/>
      <c r="S838" s="144"/>
      <c r="T838" s="144"/>
      <c r="U838" s="144"/>
      <c r="V838" s="50"/>
    </row>
    <row r="839" spans="1:22" s="26" customFormat="1" ht="15" customHeight="1" x14ac:dyDescent="0.2">
      <c r="A839" s="48">
        <v>41615.703541666699</v>
      </c>
      <c r="B839" s="49" t="s">
        <v>16</v>
      </c>
      <c r="C839" s="50" t="s">
        <v>986</v>
      </c>
      <c r="D839" s="67">
        <v>41579</v>
      </c>
      <c r="E839" s="50" t="s">
        <v>3555</v>
      </c>
      <c r="F839" s="50" t="s">
        <v>3556</v>
      </c>
      <c r="G839" s="49" t="s">
        <v>156</v>
      </c>
      <c r="H839" s="50" t="s">
        <v>3557</v>
      </c>
      <c r="I839" s="50" t="s">
        <v>2986</v>
      </c>
      <c r="J839" s="117">
        <v>1</v>
      </c>
      <c r="K839" s="117">
        <v>12</v>
      </c>
      <c r="L839" s="142">
        <v>225</v>
      </c>
      <c r="M839" s="143" t="s">
        <v>22</v>
      </c>
      <c r="N839" s="144"/>
      <c r="O839" s="144"/>
      <c r="P839" s="144"/>
      <c r="Q839" s="144"/>
      <c r="R839" s="144"/>
      <c r="S839" s="144"/>
      <c r="T839" s="144"/>
      <c r="U839" s="144"/>
      <c r="V839" s="50"/>
    </row>
    <row r="840" spans="1:22" s="26" customFormat="1" ht="15" customHeight="1" x14ac:dyDescent="0.2">
      <c r="A840" s="48">
        <v>41615.705613425896</v>
      </c>
      <c r="B840" s="49" t="s">
        <v>16</v>
      </c>
      <c r="C840" s="50" t="s">
        <v>986</v>
      </c>
      <c r="D840" s="67">
        <v>41579</v>
      </c>
      <c r="E840" s="50" t="s">
        <v>3558</v>
      </c>
      <c r="F840" s="50" t="s">
        <v>3559</v>
      </c>
      <c r="G840" s="49" t="s">
        <v>20</v>
      </c>
      <c r="H840" s="50" t="s">
        <v>3560</v>
      </c>
      <c r="I840" s="50" t="s">
        <v>2986</v>
      </c>
      <c r="J840" s="117">
        <v>1</v>
      </c>
      <c r="K840" s="117">
        <v>61</v>
      </c>
      <c r="L840" s="142">
        <v>213.5</v>
      </c>
      <c r="M840" s="143" t="s">
        <v>22</v>
      </c>
      <c r="N840" s="144"/>
      <c r="O840" s="144"/>
      <c r="P840" s="144"/>
      <c r="Q840" s="144"/>
      <c r="R840" s="144"/>
      <c r="S840" s="144"/>
      <c r="T840" s="144"/>
      <c r="U840" s="144"/>
      <c r="V840" s="50"/>
    </row>
    <row r="841" spans="1:22" s="26" customFormat="1" ht="15" customHeight="1" x14ac:dyDescent="0.2">
      <c r="A841" s="48">
        <v>41615.706342592603</v>
      </c>
      <c r="B841" s="49" t="s">
        <v>16</v>
      </c>
      <c r="C841" s="50" t="s">
        <v>986</v>
      </c>
      <c r="D841" s="67">
        <v>41579</v>
      </c>
      <c r="E841" s="50" t="s">
        <v>3561</v>
      </c>
      <c r="F841" s="50" t="s">
        <v>3562</v>
      </c>
      <c r="G841" s="49" t="s">
        <v>20</v>
      </c>
      <c r="H841" s="50" t="s">
        <v>3560</v>
      </c>
      <c r="I841" s="50" t="s">
        <v>2986</v>
      </c>
      <c r="J841" s="117">
        <v>1</v>
      </c>
      <c r="K841" s="117">
        <v>67</v>
      </c>
      <c r="L841" s="142">
        <v>234</v>
      </c>
      <c r="M841" s="143" t="s">
        <v>22</v>
      </c>
      <c r="N841" s="144"/>
      <c r="O841" s="144"/>
      <c r="P841" s="144"/>
      <c r="Q841" s="144"/>
      <c r="R841" s="144"/>
      <c r="S841" s="144"/>
      <c r="T841" s="144"/>
      <c r="U841" s="144"/>
      <c r="V841" s="50"/>
    </row>
    <row r="842" spans="1:22" s="26" customFormat="1" ht="15" customHeight="1" x14ac:dyDescent="0.2">
      <c r="A842" s="32">
        <v>41647.419618055559</v>
      </c>
      <c r="B842" s="26" t="s">
        <v>16</v>
      </c>
      <c r="C842" s="26" t="s">
        <v>986</v>
      </c>
      <c r="D842" s="68">
        <v>41609</v>
      </c>
      <c r="E842" s="26" t="s">
        <v>4012</v>
      </c>
      <c r="F842" s="26" t="s">
        <v>4013</v>
      </c>
      <c r="G842" s="26" t="s">
        <v>42</v>
      </c>
      <c r="H842" s="26" t="s">
        <v>4014</v>
      </c>
      <c r="I842" s="26" t="s">
        <v>2986</v>
      </c>
      <c r="J842" s="46">
        <v>1</v>
      </c>
      <c r="K842" s="46">
        <v>13</v>
      </c>
      <c r="L842" s="136"/>
      <c r="M842" s="137" t="s">
        <v>22</v>
      </c>
      <c r="N842" s="138"/>
      <c r="O842" s="138"/>
      <c r="P842" s="138"/>
      <c r="Q842" s="138"/>
      <c r="R842" s="138"/>
      <c r="S842" s="138"/>
      <c r="T842" s="138"/>
      <c r="U842" s="138">
        <v>10</v>
      </c>
    </row>
    <row r="843" spans="1:22" s="26" customFormat="1" ht="15" customHeight="1" x14ac:dyDescent="0.2">
      <c r="A843" s="32">
        <v>41647.420891203707</v>
      </c>
      <c r="B843" s="26" t="s">
        <v>16</v>
      </c>
      <c r="C843" s="26" t="s">
        <v>986</v>
      </c>
      <c r="D843" s="68">
        <v>41609</v>
      </c>
      <c r="E843" s="26" t="s">
        <v>361</v>
      </c>
      <c r="F843" s="26" t="s">
        <v>4043</v>
      </c>
      <c r="G843" s="26" t="s">
        <v>26</v>
      </c>
      <c r="H843" s="26" t="s">
        <v>4044</v>
      </c>
      <c r="I843" s="26" t="s">
        <v>2812</v>
      </c>
      <c r="J843" s="46">
        <v>1</v>
      </c>
      <c r="K843" s="46">
        <v>27</v>
      </c>
      <c r="L843" s="136"/>
      <c r="M843" s="137" t="s">
        <v>22</v>
      </c>
      <c r="N843" s="138"/>
      <c r="O843" s="138"/>
      <c r="P843" s="138"/>
      <c r="Q843" s="138"/>
      <c r="R843" s="138"/>
      <c r="S843" s="138"/>
      <c r="T843" s="138"/>
      <c r="U843" s="138"/>
    </row>
    <row r="844" spans="1:22" s="26" customFormat="1" ht="15" customHeight="1" x14ac:dyDescent="0.2">
      <c r="A844" s="32">
        <v>41647.422395833331</v>
      </c>
      <c r="B844" s="26" t="s">
        <v>16</v>
      </c>
      <c r="C844" s="26" t="s">
        <v>986</v>
      </c>
      <c r="D844" s="68">
        <v>41609</v>
      </c>
      <c r="E844" s="26" t="s">
        <v>4045</v>
      </c>
      <c r="F844" s="34" t="s">
        <v>4046</v>
      </c>
      <c r="G844" s="34" t="s">
        <v>351</v>
      </c>
      <c r="H844" s="26" t="s">
        <v>4047</v>
      </c>
      <c r="I844" s="26" t="s">
        <v>4048</v>
      </c>
      <c r="J844" s="46">
        <v>1</v>
      </c>
      <c r="K844" s="46">
        <v>500</v>
      </c>
      <c r="L844" s="136"/>
      <c r="M844" s="137" t="s">
        <v>22</v>
      </c>
      <c r="N844" s="138"/>
      <c r="O844" s="138"/>
      <c r="P844" s="138"/>
      <c r="Q844" s="138"/>
      <c r="R844" s="138"/>
      <c r="S844" s="138"/>
      <c r="T844" s="138"/>
      <c r="U844" s="138"/>
    </row>
    <row r="845" spans="1:22" s="26" customFormat="1" ht="15" customHeight="1" x14ac:dyDescent="0.2">
      <c r="A845" s="32">
        <v>41647.423263888886</v>
      </c>
      <c r="B845" s="26" t="s">
        <v>16</v>
      </c>
      <c r="C845" s="26" t="s">
        <v>986</v>
      </c>
      <c r="D845" s="68">
        <v>41609</v>
      </c>
      <c r="E845" s="26" t="s">
        <v>4049</v>
      </c>
      <c r="F845" s="26" t="s">
        <v>4046</v>
      </c>
      <c r="G845" s="34" t="s">
        <v>351</v>
      </c>
      <c r="H845" s="26" t="s">
        <v>4047</v>
      </c>
      <c r="I845" s="26" t="s">
        <v>4048</v>
      </c>
      <c r="J845" s="46">
        <v>1</v>
      </c>
      <c r="K845" s="46">
        <v>500</v>
      </c>
      <c r="L845" s="136"/>
      <c r="M845" s="137" t="s">
        <v>22</v>
      </c>
      <c r="N845" s="138"/>
      <c r="O845" s="138"/>
      <c r="P845" s="138"/>
      <c r="Q845" s="138"/>
      <c r="R845" s="138"/>
      <c r="S845" s="138"/>
      <c r="T845" s="138"/>
      <c r="U845" s="138"/>
    </row>
    <row r="846" spans="1:22" s="26" customFormat="1" ht="15" customHeight="1" x14ac:dyDescent="0.2">
      <c r="A846" s="32">
        <v>41647.423854166664</v>
      </c>
      <c r="B846" s="26" t="s">
        <v>16</v>
      </c>
      <c r="C846" s="26" t="s">
        <v>986</v>
      </c>
      <c r="D846" s="68">
        <v>41609</v>
      </c>
      <c r="E846" s="26" t="s">
        <v>4050</v>
      </c>
      <c r="F846" s="26" t="s">
        <v>4046</v>
      </c>
      <c r="G846" s="34" t="s">
        <v>351</v>
      </c>
      <c r="H846" s="34" t="s">
        <v>4047</v>
      </c>
      <c r="I846" s="26" t="s">
        <v>4048</v>
      </c>
      <c r="J846" s="46">
        <v>1</v>
      </c>
      <c r="K846" s="46">
        <v>500</v>
      </c>
      <c r="L846" s="136"/>
      <c r="M846" s="137" t="s">
        <v>22</v>
      </c>
      <c r="N846" s="138"/>
      <c r="O846" s="138"/>
      <c r="P846" s="138"/>
      <c r="Q846" s="138"/>
      <c r="R846" s="138"/>
      <c r="S846" s="138"/>
      <c r="T846" s="138"/>
      <c r="U846" s="138"/>
    </row>
    <row r="847" spans="1:22" s="26" customFormat="1" ht="15" customHeight="1" x14ac:dyDescent="0.2">
      <c r="A847" s="32">
        <v>41647.428356481483</v>
      </c>
      <c r="B847" s="26" t="s">
        <v>16</v>
      </c>
      <c r="C847" s="26" t="s">
        <v>986</v>
      </c>
      <c r="D847" s="68">
        <v>41609</v>
      </c>
      <c r="E847" s="26" t="s">
        <v>4055</v>
      </c>
      <c r="F847" s="26" t="s">
        <v>4056</v>
      </c>
      <c r="G847" s="26" t="s">
        <v>156</v>
      </c>
      <c r="H847" s="34" t="s">
        <v>4057</v>
      </c>
      <c r="I847" s="26" t="s">
        <v>2986</v>
      </c>
      <c r="J847" s="46">
        <v>1</v>
      </c>
      <c r="K847" s="46">
        <v>62</v>
      </c>
      <c r="L847" s="136"/>
      <c r="M847" s="137" t="s">
        <v>22</v>
      </c>
      <c r="N847" s="138"/>
      <c r="O847" s="138"/>
      <c r="P847" s="138"/>
      <c r="Q847" s="138"/>
      <c r="R847" s="138"/>
      <c r="S847" s="138"/>
      <c r="T847" s="138"/>
      <c r="U847" s="138"/>
    </row>
    <row r="848" spans="1:22" s="26" customFormat="1" ht="15" customHeight="1" x14ac:dyDescent="0.2">
      <c r="A848" s="32">
        <v>41647.42931712963</v>
      </c>
      <c r="B848" s="26" t="s">
        <v>16</v>
      </c>
      <c r="C848" s="26" t="s">
        <v>986</v>
      </c>
      <c r="D848" s="68">
        <v>41609</v>
      </c>
      <c r="E848" s="26" t="s">
        <v>3561</v>
      </c>
      <c r="F848" s="26" t="s">
        <v>4058</v>
      </c>
      <c r="G848" s="26" t="s">
        <v>20</v>
      </c>
      <c r="H848" s="26" t="s">
        <v>4014</v>
      </c>
      <c r="I848" s="26" t="s">
        <v>2986</v>
      </c>
      <c r="J848" s="46">
        <v>1</v>
      </c>
      <c r="K848" s="46">
        <v>134</v>
      </c>
      <c r="L848" s="136">
        <v>469</v>
      </c>
      <c r="M848" s="137" t="s">
        <v>22</v>
      </c>
      <c r="N848" s="138"/>
      <c r="O848" s="138"/>
      <c r="P848" s="138"/>
      <c r="Q848" s="138"/>
      <c r="R848" s="138"/>
      <c r="S848" s="138"/>
      <c r="T848" s="138"/>
      <c r="U848" s="138"/>
    </row>
    <row r="849" spans="1:25" s="26" customFormat="1" ht="15" customHeight="1" x14ac:dyDescent="0.2">
      <c r="A849" s="32">
        <v>41705.672569444447</v>
      </c>
      <c r="B849" s="26" t="s">
        <v>16</v>
      </c>
      <c r="C849" s="26" t="s">
        <v>986</v>
      </c>
      <c r="D849" s="33">
        <v>41671</v>
      </c>
      <c r="E849" s="26" t="s">
        <v>529</v>
      </c>
      <c r="F849" s="26" t="s">
        <v>1762</v>
      </c>
      <c r="G849" s="26" t="s">
        <v>26</v>
      </c>
      <c r="H849" s="26" t="s">
        <v>5024</v>
      </c>
      <c r="I849" s="26" t="s">
        <v>2986</v>
      </c>
      <c r="J849" s="46">
        <v>1</v>
      </c>
      <c r="K849" s="46">
        <v>48</v>
      </c>
      <c r="L849" s="136"/>
      <c r="M849" s="137" t="s">
        <v>22</v>
      </c>
      <c r="N849" s="138"/>
      <c r="O849" s="138"/>
      <c r="P849" s="138"/>
      <c r="Q849" s="138"/>
      <c r="R849" s="138"/>
      <c r="S849" s="138"/>
      <c r="T849" s="138"/>
      <c r="U849" s="138"/>
    </row>
    <row r="850" spans="1:25" s="26" customFormat="1" ht="15" customHeight="1" x14ac:dyDescent="0.2">
      <c r="A850" s="32">
        <v>41705.673356481479</v>
      </c>
      <c r="B850" s="26" t="s">
        <v>16</v>
      </c>
      <c r="C850" s="26" t="s">
        <v>986</v>
      </c>
      <c r="D850" s="33">
        <v>41671</v>
      </c>
      <c r="E850" s="26" t="s">
        <v>529</v>
      </c>
      <c r="F850" s="26" t="s">
        <v>4043</v>
      </c>
      <c r="G850" s="26" t="s">
        <v>26</v>
      </c>
      <c r="H850" s="26" t="s">
        <v>5025</v>
      </c>
      <c r="I850" s="26" t="s">
        <v>2812</v>
      </c>
      <c r="J850" s="46">
        <v>1</v>
      </c>
      <c r="K850" s="46">
        <v>52</v>
      </c>
      <c r="L850" s="136"/>
      <c r="M850" s="137" t="s">
        <v>22</v>
      </c>
      <c r="N850" s="138"/>
      <c r="O850" s="138"/>
      <c r="P850" s="138"/>
      <c r="Q850" s="138"/>
      <c r="R850" s="138"/>
      <c r="S850" s="138"/>
      <c r="T850" s="138"/>
      <c r="U850" s="138"/>
    </row>
    <row r="851" spans="1:25" s="26" customFormat="1" ht="15" customHeight="1" x14ac:dyDescent="0.2">
      <c r="A851" s="32">
        <v>41705.674270833333</v>
      </c>
      <c r="B851" s="26" t="s">
        <v>16</v>
      </c>
      <c r="C851" s="26" t="s">
        <v>986</v>
      </c>
      <c r="D851" s="33">
        <v>41671</v>
      </c>
      <c r="E851" s="26" t="s">
        <v>3029</v>
      </c>
      <c r="F851" s="26" t="s">
        <v>5026</v>
      </c>
      <c r="G851" s="26" t="s">
        <v>20</v>
      </c>
      <c r="H851" s="26" t="s">
        <v>3560</v>
      </c>
      <c r="I851" s="26" t="s">
        <v>2986</v>
      </c>
      <c r="J851" s="46">
        <v>1</v>
      </c>
      <c r="K851" s="46">
        <v>142</v>
      </c>
      <c r="L851" s="136">
        <v>568</v>
      </c>
      <c r="M851" s="137" t="s">
        <v>22</v>
      </c>
      <c r="N851" s="138"/>
      <c r="O851" s="138"/>
      <c r="P851" s="138"/>
      <c r="Q851" s="138"/>
      <c r="R851" s="138"/>
      <c r="S851" s="138"/>
      <c r="T851" s="138"/>
      <c r="U851" s="138"/>
    </row>
    <row r="852" spans="1:25" s="26" customFormat="1" ht="15" customHeight="1" x14ac:dyDescent="0.2">
      <c r="A852" s="32">
        <v>41705.675081018519</v>
      </c>
      <c r="B852" s="26" t="s">
        <v>16</v>
      </c>
      <c r="C852" s="26" t="s">
        <v>986</v>
      </c>
      <c r="D852" s="33">
        <v>41671</v>
      </c>
      <c r="E852" s="26" t="s">
        <v>529</v>
      </c>
      <c r="F852" s="26" t="s">
        <v>5027</v>
      </c>
      <c r="G852" s="26" t="s">
        <v>26</v>
      </c>
      <c r="H852" s="26" t="s">
        <v>5028</v>
      </c>
      <c r="I852" s="26" t="s">
        <v>2986</v>
      </c>
      <c r="J852" s="46">
        <v>1</v>
      </c>
      <c r="K852" s="46">
        <v>46</v>
      </c>
      <c r="L852" s="136"/>
      <c r="M852" s="137" t="s">
        <v>22</v>
      </c>
      <c r="N852" s="138"/>
      <c r="O852" s="138"/>
      <c r="P852" s="138"/>
      <c r="Q852" s="138"/>
      <c r="R852" s="138"/>
      <c r="S852" s="138"/>
      <c r="T852" s="138"/>
      <c r="U852" s="138"/>
    </row>
    <row r="853" spans="1:25" s="26" customFormat="1" ht="15" customHeight="1" x14ac:dyDescent="0.2">
      <c r="A853" s="32">
        <v>41705.675810185188</v>
      </c>
      <c r="B853" s="26" t="s">
        <v>16</v>
      </c>
      <c r="C853" s="26" t="s">
        <v>986</v>
      </c>
      <c r="D853" s="33">
        <v>41671</v>
      </c>
      <c r="E853" s="26" t="s">
        <v>5029</v>
      </c>
      <c r="F853" s="26" t="s">
        <v>5030</v>
      </c>
      <c r="G853" s="26" t="s">
        <v>20</v>
      </c>
      <c r="H853" s="26" t="s">
        <v>3560</v>
      </c>
      <c r="I853" s="26" t="s">
        <v>2986</v>
      </c>
      <c r="J853" s="46">
        <v>1</v>
      </c>
      <c r="K853" s="46">
        <v>118</v>
      </c>
      <c r="L853" s="136">
        <v>472</v>
      </c>
      <c r="M853" s="137" t="s">
        <v>22</v>
      </c>
      <c r="N853" s="138"/>
      <c r="O853" s="138"/>
      <c r="P853" s="138"/>
      <c r="Q853" s="138"/>
      <c r="R853" s="138"/>
      <c r="S853" s="138"/>
      <c r="T853" s="138"/>
      <c r="U853" s="138"/>
    </row>
    <row r="854" spans="1:25" s="26" customFormat="1" ht="15" customHeight="1" x14ac:dyDescent="0.2">
      <c r="A854" s="32">
        <v>41735.472719907404</v>
      </c>
      <c r="B854" s="26" t="s">
        <v>16</v>
      </c>
      <c r="C854" s="26" t="s">
        <v>986</v>
      </c>
      <c r="D854" s="33">
        <v>41699</v>
      </c>
      <c r="E854" s="26" t="s">
        <v>4898</v>
      </c>
      <c r="F854" s="26" t="s">
        <v>5701</v>
      </c>
      <c r="G854" s="26" t="s">
        <v>156</v>
      </c>
      <c r="H854" s="26" t="s">
        <v>5702</v>
      </c>
      <c r="I854" s="26" t="s">
        <v>2986</v>
      </c>
      <c r="J854" s="46">
        <v>1</v>
      </c>
      <c r="K854" s="46">
        <v>225</v>
      </c>
      <c r="L854" s="136"/>
      <c r="M854" s="137" t="s">
        <v>22</v>
      </c>
      <c r="N854" s="138"/>
      <c r="O854" s="138"/>
      <c r="P854" s="138"/>
      <c r="Q854" s="138"/>
      <c r="R854" s="138"/>
      <c r="S854" s="138"/>
      <c r="T854" s="138"/>
      <c r="U854" s="138"/>
    </row>
    <row r="855" spans="1:25" s="26" customFormat="1" ht="15" customHeight="1" x14ac:dyDescent="0.2">
      <c r="A855" s="32">
        <v>41735.446805555555</v>
      </c>
      <c r="B855" s="26" t="s">
        <v>16</v>
      </c>
      <c r="C855" s="26" t="s">
        <v>986</v>
      </c>
      <c r="D855" s="33">
        <v>41699</v>
      </c>
      <c r="E855" s="26" t="s">
        <v>4895</v>
      </c>
      <c r="F855" s="26" t="s">
        <v>5706</v>
      </c>
      <c r="G855" s="26" t="s">
        <v>20</v>
      </c>
      <c r="H855" s="26" t="s">
        <v>5707</v>
      </c>
      <c r="I855" s="26" t="s">
        <v>2925</v>
      </c>
      <c r="J855" s="46">
        <v>1</v>
      </c>
      <c r="K855" s="46">
        <v>34</v>
      </c>
      <c r="L855" s="136">
        <v>153</v>
      </c>
      <c r="M855" s="137" t="s">
        <v>22</v>
      </c>
      <c r="N855" s="138"/>
      <c r="O855" s="138"/>
      <c r="P855" s="138"/>
      <c r="Q855" s="138"/>
      <c r="R855" s="138"/>
      <c r="S855" s="138"/>
      <c r="T855" s="138"/>
      <c r="U855" s="138"/>
      <c r="V855" s="26" t="s">
        <v>5708</v>
      </c>
    </row>
    <row r="856" spans="1:25" s="26" customFormat="1" ht="15" customHeight="1" x14ac:dyDescent="0.2">
      <c r="A856" s="32">
        <v>41735.449918981481</v>
      </c>
      <c r="B856" s="26" t="s">
        <v>16</v>
      </c>
      <c r="C856" s="26" t="s">
        <v>986</v>
      </c>
      <c r="D856" s="33">
        <v>41699</v>
      </c>
      <c r="E856" s="26" t="s">
        <v>5709</v>
      </c>
      <c r="F856" s="26" t="s">
        <v>5710</v>
      </c>
      <c r="G856" s="26" t="s">
        <v>20</v>
      </c>
      <c r="H856" s="26" t="s">
        <v>5707</v>
      </c>
      <c r="I856" s="26" t="s">
        <v>2986</v>
      </c>
      <c r="J856" s="46">
        <v>1</v>
      </c>
      <c r="K856" s="46">
        <v>60</v>
      </c>
      <c r="L856" s="136">
        <v>240</v>
      </c>
      <c r="M856" s="137" t="s">
        <v>22</v>
      </c>
      <c r="N856" s="138"/>
      <c r="O856" s="138"/>
      <c r="P856" s="138"/>
      <c r="Q856" s="138"/>
      <c r="R856" s="138"/>
      <c r="S856" s="138"/>
      <c r="T856" s="138"/>
      <c r="U856" s="138"/>
    </row>
    <row r="857" spans="1:25" s="26" customFormat="1" ht="15" customHeight="1" x14ac:dyDescent="0.2">
      <c r="A857" s="32">
        <v>41735.45826388889</v>
      </c>
      <c r="B857" s="26" t="s">
        <v>16</v>
      </c>
      <c r="C857" s="26" t="s">
        <v>986</v>
      </c>
      <c r="D857" s="33">
        <v>41699</v>
      </c>
      <c r="E857" s="26" t="s">
        <v>5711</v>
      </c>
      <c r="F857" s="26" t="s">
        <v>5712</v>
      </c>
      <c r="G857" s="26" t="s">
        <v>42</v>
      </c>
      <c r="H857" s="26" t="s">
        <v>5713</v>
      </c>
      <c r="I857" s="26" t="s">
        <v>2986</v>
      </c>
      <c r="J857" s="46">
        <v>1</v>
      </c>
      <c r="K857" s="46">
        <v>27</v>
      </c>
      <c r="L857" s="136">
        <v>225</v>
      </c>
      <c r="M857" s="137" t="s">
        <v>22</v>
      </c>
      <c r="N857" s="138"/>
      <c r="O857" s="138"/>
      <c r="P857" s="138"/>
      <c r="Q857" s="138"/>
      <c r="R857" s="138"/>
      <c r="S857" s="138"/>
      <c r="T857" s="138"/>
      <c r="U857" s="138"/>
    </row>
    <row r="858" spans="1:25" s="26" customFormat="1" ht="15" customHeight="1" x14ac:dyDescent="0.2">
      <c r="A858" s="32">
        <v>41735.460393518515</v>
      </c>
      <c r="B858" s="26" t="s">
        <v>16</v>
      </c>
      <c r="C858" s="26" t="s">
        <v>986</v>
      </c>
      <c r="D858" s="33">
        <v>41699</v>
      </c>
      <c r="E858" s="26" t="s">
        <v>3558</v>
      </c>
      <c r="F858" s="26" t="s">
        <v>5714</v>
      </c>
      <c r="G858" s="26" t="s">
        <v>20</v>
      </c>
      <c r="H858" s="26" t="s">
        <v>5707</v>
      </c>
      <c r="I858" s="26" t="s">
        <v>2986</v>
      </c>
      <c r="J858" s="46">
        <v>1</v>
      </c>
      <c r="K858" s="46">
        <v>71</v>
      </c>
      <c r="L858" s="136">
        <v>284</v>
      </c>
      <c r="M858" s="137" t="s">
        <v>22</v>
      </c>
      <c r="N858" s="138"/>
      <c r="O858" s="138"/>
      <c r="P858" s="138"/>
      <c r="Q858" s="138"/>
      <c r="R858" s="138"/>
      <c r="S858" s="138"/>
      <c r="T858" s="138"/>
      <c r="U858" s="138"/>
    </row>
    <row r="859" spans="1:25" s="26" customFormat="1" ht="15" customHeight="1" x14ac:dyDescent="0.2">
      <c r="A859" s="32">
        <v>41735.461446759262</v>
      </c>
      <c r="B859" s="26" t="s">
        <v>16</v>
      </c>
      <c r="C859" s="26" t="s">
        <v>986</v>
      </c>
      <c r="D859" s="33">
        <v>41699</v>
      </c>
      <c r="E859" s="26" t="s">
        <v>5715</v>
      </c>
      <c r="F859" s="26" t="s">
        <v>5716</v>
      </c>
      <c r="G859" s="26" t="s">
        <v>20</v>
      </c>
      <c r="H859" s="26" t="s">
        <v>5707</v>
      </c>
      <c r="I859" s="26" t="s">
        <v>5717</v>
      </c>
      <c r="J859" s="46">
        <v>10</v>
      </c>
      <c r="K859" s="46">
        <v>84</v>
      </c>
      <c r="L859" s="136">
        <v>336</v>
      </c>
      <c r="M859" s="137" t="s">
        <v>22</v>
      </c>
      <c r="N859" s="138"/>
      <c r="O859" s="138"/>
      <c r="P859" s="138"/>
      <c r="Q859" s="138"/>
      <c r="R859" s="138"/>
      <c r="S859" s="138"/>
      <c r="T859" s="138"/>
      <c r="U859" s="138"/>
    </row>
    <row r="860" spans="1:25" s="26" customFormat="1" ht="15" customHeight="1" x14ac:dyDescent="0.2">
      <c r="A860" s="32">
        <v>41735.476875</v>
      </c>
      <c r="B860" s="26" t="s">
        <v>16</v>
      </c>
      <c r="C860" s="26" t="s">
        <v>986</v>
      </c>
      <c r="D860" s="33">
        <v>41699</v>
      </c>
      <c r="E860" s="26" t="s">
        <v>5718</v>
      </c>
      <c r="F860" s="26" t="s">
        <v>5719</v>
      </c>
      <c r="G860" s="26" t="s">
        <v>156</v>
      </c>
      <c r="H860" s="26" t="s">
        <v>5720</v>
      </c>
      <c r="I860" s="26" t="s">
        <v>2812</v>
      </c>
      <c r="J860" s="46">
        <v>1</v>
      </c>
      <c r="K860" s="46">
        <v>22</v>
      </c>
      <c r="L860" s="136"/>
      <c r="M860" s="137" t="s">
        <v>22</v>
      </c>
      <c r="N860" s="138"/>
      <c r="O860" s="138"/>
      <c r="P860" s="138"/>
      <c r="Q860" s="138"/>
      <c r="R860" s="138"/>
      <c r="S860" s="138"/>
      <c r="T860" s="138"/>
      <c r="U860" s="138"/>
    </row>
    <row r="861" spans="1:25" s="26" customFormat="1" ht="15" customHeight="1" x14ac:dyDescent="0.2">
      <c r="A861" s="55">
        <v>41765.662673611099</v>
      </c>
      <c r="B861" s="52" t="s">
        <v>16</v>
      </c>
      <c r="C861" s="52" t="s">
        <v>986</v>
      </c>
      <c r="D861" s="88" t="s">
        <v>6076</v>
      </c>
      <c r="E861" s="52" t="s">
        <v>4397</v>
      </c>
      <c r="F861" s="52" t="s">
        <v>6451</v>
      </c>
      <c r="G861" s="52" t="s">
        <v>20</v>
      </c>
      <c r="H861" s="52" t="s">
        <v>6452</v>
      </c>
      <c r="I861" s="52" t="s">
        <v>2986</v>
      </c>
      <c r="J861" s="95">
        <v>1</v>
      </c>
      <c r="K861" s="95">
        <v>100</v>
      </c>
      <c r="L861" s="149">
        <v>400</v>
      </c>
      <c r="M861" s="146" t="s">
        <v>22</v>
      </c>
      <c r="N861" s="149"/>
      <c r="O861" s="149"/>
      <c r="P861" s="149"/>
      <c r="Q861" s="149"/>
      <c r="R861" s="149"/>
      <c r="S861" s="149"/>
      <c r="T861" s="149"/>
      <c r="U861" s="149">
        <v>40</v>
      </c>
      <c r="V861" s="52"/>
    </row>
    <row r="862" spans="1:25" s="26" customFormat="1" ht="15" customHeight="1" x14ac:dyDescent="0.2">
      <c r="A862" s="93">
        <v>41765.6655902778</v>
      </c>
      <c r="B862" s="89" t="s">
        <v>16</v>
      </c>
      <c r="C862" s="52" t="s">
        <v>986</v>
      </c>
      <c r="D862" s="87" t="s">
        <v>6076</v>
      </c>
      <c r="E862" s="89" t="s">
        <v>3549</v>
      </c>
      <c r="F862" s="89" t="s">
        <v>6453</v>
      </c>
      <c r="G862" s="89" t="s">
        <v>26</v>
      </c>
      <c r="H862" s="89" t="s">
        <v>6454</v>
      </c>
      <c r="I862" s="89" t="s">
        <v>6455</v>
      </c>
      <c r="J862" s="95">
        <v>1</v>
      </c>
      <c r="K862" s="95">
        <v>42</v>
      </c>
      <c r="L862" s="149"/>
      <c r="M862" s="146" t="s">
        <v>22</v>
      </c>
      <c r="N862" s="149"/>
      <c r="O862" s="149"/>
      <c r="P862" s="149"/>
      <c r="Q862" s="149"/>
      <c r="R862" s="149"/>
      <c r="S862" s="149"/>
      <c r="T862" s="149"/>
      <c r="U862" s="149"/>
      <c r="V862" s="89"/>
      <c r="W862" s="91"/>
      <c r="X862" s="91"/>
      <c r="Y862" s="91"/>
    </row>
    <row r="863" spans="1:25" s="26" customFormat="1" ht="15" customHeight="1" x14ac:dyDescent="0.2">
      <c r="A863" s="55">
        <v>41765.666631944398</v>
      </c>
      <c r="B863" s="52" t="s">
        <v>16</v>
      </c>
      <c r="C863" s="52" t="s">
        <v>986</v>
      </c>
      <c r="D863" s="88" t="s">
        <v>6076</v>
      </c>
      <c r="E863" s="52" t="s">
        <v>6456</v>
      </c>
      <c r="F863" s="52" t="s">
        <v>6457</v>
      </c>
      <c r="G863" s="52" t="s">
        <v>20</v>
      </c>
      <c r="H863" s="52" t="s">
        <v>6452</v>
      </c>
      <c r="I863" s="52" t="s">
        <v>2986</v>
      </c>
      <c r="J863" s="95">
        <v>1</v>
      </c>
      <c r="K863" s="95">
        <v>25</v>
      </c>
      <c r="L863" s="149">
        <v>100</v>
      </c>
      <c r="M863" s="146" t="s">
        <v>22</v>
      </c>
      <c r="N863" s="149"/>
      <c r="O863" s="149"/>
      <c r="P863" s="149"/>
      <c r="Q863" s="149"/>
      <c r="R863" s="149"/>
      <c r="S863" s="149"/>
      <c r="T863" s="149"/>
      <c r="U863" s="149"/>
      <c r="V863" s="52"/>
    </row>
    <row r="864" spans="1:25" s="26" customFormat="1" ht="15" customHeight="1" x14ac:dyDescent="0.2">
      <c r="A864" s="55">
        <v>41765.689594907402</v>
      </c>
      <c r="B864" s="52" t="s">
        <v>16</v>
      </c>
      <c r="C864" s="52" t="s">
        <v>986</v>
      </c>
      <c r="D864" s="88" t="s">
        <v>6076</v>
      </c>
      <c r="E864" s="52" t="s">
        <v>6458</v>
      </c>
      <c r="F864" s="52" t="s">
        <v>6459</v>
      </c>
      <c r="G864" s="52" t="s">
        <v>42</v>
      </c>
      <c r="H864" s="52" t="s">
        <v>6452</v>
      </c>
      <c r="I864" s="52" t="s">
        <v>2986</v>
      </c>
      <c r="J864" s="95">
        <v>1</v>
      </c>
      <c r="K864" s="95">
        <v>62</v>
      </c>
      <c r="L864" s="149">
        <v>279</v>
      </c>
      <c r="M864" s="146" t="s">
        <v>22</v>
      </c>
      <c r="N864" s="149"/>
      <c r="O864" s="149"/>
      <c r="P864" s="149"/>
      <c r="Q864" s="149"/>
      <c r="R864" s="149"/>
      <c r="S864" s="149"/>
      <c r="T864" s="149"/>
      <c r="U864" s="149"/>
      <c r="V864" s="52"/>
    </row>
    <row r="865" spans="1:25" s="26" customFormat="1" ht="15" customHeight="1" x14ac:dyDescent="0.2">
      <c r="A865" s="93">
        <v>41787.4690625</v>
      </c>
      <c r="B865" s="89" t="s">
        <v>38</v>
      </c>
      <c r="C865" s="52" t="s">
        <v>39</v>
      </c>
      <c r="D865" s="87" t="s">
        <v>6224</v>
      </c>
      <c r="E865" s="89" t="s">
        <v>6998</v>
      </c>
      <c r="F865" s="89" t="s">
        <v>6999</v>
      </c>
      <c r="G865" s="89" t="s">
        <v>20</v>
      </c>
      <c r="H865" s="89" t="s">
        <v>43</v>
      </c>
      <c r="I865" s="89" t="s">
        <v>6294</v>
      </c>
      <c r="J865" s="95">
        <v>1</v>
      </c>
      <c r="K865" s="95">
        <v>149</v>
      </c>
      <c r="L865" s="150"/>
      <c r="M865" s="146" t="s">
        <v>44</v>
      </c>
      <c r="N865" s="149">
        <v>891</v>
      </c>
      <c r="O865" s="149"/>
      <c r="P865" s="149"/>
      <c r="Q865" s="149"/>
      <c r="R865" s="149"/>
      <c r="S865" s="149"/>
      <c r="T865" s="149"/>
      <c r="U865" s="149"/>
      <c r="V865" s="89"/>
      <c r="W865" s="91"/>
      <c r="X865" s="91"/>
      <c r="Y865" s="91"/>
    </row>
    <row r="866" spans="1:25" s="26" customFormat="1" ht="15" customHeight="1" x14ac:dyDescent="0.2">
      <c r="A866" s="93">
        <v>41787.470497685201</v>
      </c>
      <c r="B866" s="89" t="s">
        <v>38</v>
      </c>
      <c r="C866" s="52" t="s">
        <v>39</v>
      </c>
      <c r="D866" s="87" t="s">
        <v>6224</v>
      </c>
      <c r="E866" s="89" t="s">
        <v>7000</v>
      </c>
      <c r="F866" s="89" t="s">
        <v>7001</v>
      </c>
      <c r="G866" s="89" t="s">
        <v>20</v>
      </c>
      <c r="H866" s="89" t="s">
        <v>43</v>
      </c>
      <c r="I866" s="89" t="s">
        <v>6294</v>
      </c>
      <c r="J866" s="95">
        <v>1</v>
      </c>
      <c r="K866" s="95">
        <v>133</v>
      </c>
      <c r="L866" s="150"/>
      <c r="M866" s="146" t="s">
        <v>44</v>
      </c>
      <c r="N866" s="149">
        <v>837.24</v>
      </c>
      <c r="O866" s="149"/>
      <c r="P866" s="149"/>
      <c r="Q866" s="149"/>
      <c r="R866" s="149"/>
      <c r="S866" s="149"/>
      <c r="T866" s="149"/>
      <c r="U866" s="149"/>
      <c r="V866" s="89"/>
      <c r="W866" s="91"/>
      <c r="X866" s="91"/>
      <c r="Y866" s="91"/>
    </row>
    <row r="867" spans="1:25" s="26" customFormat="1" ht="15" customHeight="1" x14ac:dyDescent="0.2">
      <c r="A867" s="93">
        <v>41787.475787037001</v>
      </c>
      <c r="B867" s="89" t="s">
        <v>38</v>
      </c>
      <c r="C867" s="52" t="s">
        <v>39</v>
      </c>
      <c r="D867" s="87" t="s">
        <v>6224</v>
      </c>
      <c r="E867" s="89" t="s">
        <v>7002</v>
      </c>
      <c r="F867" s="89" t="s">
        <v>7003</v>
      </c>
      <c r="G867" s="89" t="s">
        <v>20</v>
      </c>
      <c r="H867" s="89" t="s">
        <v>43</v>
      </c>
      <c r="I867" s="89" t="s">
        <v>6294</v>
      </c>
      <c r="J867" s="95">
        <v>1</v>
      </c>
      <c r="K867" s="95">
        <v>90</v>
      </c>
      <c r="L867" s="150"/>
      <c r="M867" s="146" t="s">
        <v>44</v>
      </c>
      <c r="N867" s="149">
        <v>528</v>
      </c>
      <c r="O867" s="149"/>
      <c r="P867" s="149"/>
      <c r="Q867" s="149"/>
      <c r="R867" s="149"/>
      <c r="S867" s="149"/>
      <c r="T867" s="149"/>
      <c r="U867" s="149"/>
      <c r="V867" s="89"/>
      <c r="W867" s="91"/>
      <c r="X867" s="91"/>
      <c r="Y867" s="91"/>
    </row>
    <row r="868" spans="1:25" s="26" customFormat="1" ht="15" customHeight="1" x14ac:dyDescent="0.2">
      <c r="A868" s="93">
        <v>41787.4827546296</v>
      </c>
      <c r="B868" s="89" t="s">
        <v>152</v>
      </c>
      <c r="C868" s="52" t="s">
        <v>213</v>
      </c>
      <c r="D868" s="87" t="s">
        <v>6224</v>
      </c>
      <c r="E868" s="89" t="s">
        <v>7004</v>
      </c>
      <c r="F868" s="89" t="s">
        <v>7005</v>
      </c>
      <c r="G868" s="89" t="s">
        <v>42</v>
      </c>
      <c r="H868" s="89" t="s">
        <v>7006</v>
      </c>
      <c r="I868" s="89" t="s">
        <v>2986</v>
      </c>
      <c r="J868" s="95">
        <v>1</v>
      </c>
      <c r="K868" s="95">
        <v>30</v>
      </c>
      <c r="L868" s="150"/>
      <c r="M868" s="146" t="s">
        <v>44</v>
      </c>
      <c r="N868" s="149"/>
      <c r="O868" s="149"/>
      <c r="P868" s="149">
        <v>60</v>
      </c>
      <c r="Q868" s="149"/>
      <c r="R868" s="149"/>
      <c r="S868" s="149"/>
      <c r="T868" s="149"/>
      <c r="U868" s="149"/>
      <c r="V868" s="89" t="s">
        <v>7007</v>
      </c>
      <c r="W868" s="91"/>
      <c r="X868" s="91"/>
      <c r="Y868" s="91"/>
    </row>
    <row r="869" spans="1:25" s="26" customFormat="1" ht="15" customHeight="1" x14ac:dyDescent="0.2">
      <c r="A869" s="93">
        <v>41787.490995370397</v>
      </c>
      <c r="B869" s="89" t="s">
        <v>38</v>
      </c>
      <c r="C869" s="52" t="s">
        <v>39</v>
      </c>
      <c r="D869" s="87" t="s">
        <v>6224</v>
      </c>
      <c r="E869" s="89" t="s">
        <v>7008</v>
      </c>
      <c r="F869" s="89" t="s">
        <v>7009</v>
      </c>
      <c r="G869" s="89" t="s">
        <v>20</v>
      </c>
      <c r="H869" s="89" t="s">
        <v>43</v>
      </c>
      <c r="I869" s="89" t="s">
        <v>6294</v>
      </c>
      <c r="J869" s="95">
        <v>1</v>
      </c>
      <c r="K869" s="95">
        <v>128</v>
      </c>
      <c r="L869" s="150"/>
      <c r="M869" s="146" t="s">
        <v>44</v>
      </c>
      <c r="N869" s="149">
        <v>680.85</v>
      </c>
      <c r="O869" s="149"/>
      <c r="P869" s="149"/>
      <c r="Q869" s="149"/>
      <c r="R869" s="149"/>
      <c r="S869" s="149"/>
      <c r="T869" s="149"/>
      <c r="U869" s="149"/>
      <c r="V869" s="89"/>
      <c r="W869" s="91"/>
      <c r="X869" s="91"/>
      <c r="Y869" s="91"/>
    </row>
    <row r="870" spans="1:25" s="26" customFormat="1" ht="15" customHeight="1" x14ac:dyDescent="0.2">
      <c r="A870" s="93">
        <v>41787.492719907401</v>
      </c>
      <c r="B870" s="89" t="s">
        <v>38</v>
      </c>
      <c r="C870" s="52" t="s">
        <v>39</v>
      </c>
      <c r="D870" s="87" t="s">
        <v>6224</v>
      </c>
      <c r="E870" s="89" t="s">
        <v>6389</v>
      </c>
      <c r="F870" s="89" t="s">
        <v>7010</v>
      </c>
      <c r="G870" s="89" t="s">
        <v>20</v>
      </c>
      <c r="H870" s="89" t="s">
        <v>43</v>
      </c>
      <c r="I870" s="89" t="s">
        <v>6294</v>
      </c>
      <c r="J870" s="95">
        <v>1</v>
      </c>
      <c r="K870" s="95">
        <v>101</v>
      </c>
      <c r="L870" s="150"/>
      <c r="M870" s="146" t="s">
        <v>44</v>
      </c>
      <c r="N870" s="149">
        <v>443.1</v>
      </c>
      <c r="O870" s="149"/>
      <c r="P870" s="149"/>
      <c r="Q870" s="149"/>
      <c r="R870" s="149"/>
      <c r="S870" s="149"/>
      <c r="T870" s="149"/>
      <c r="U870" s="149"/>
      <c r="V870" s="89"/>
      <c r="W870" s="91"/>
      <c r="X870" s="91"/>
      <c r="Y870" s="91"/>
    </row>
    <row r="871" spans="1:25" s="26" customFormat="1" ht="15" customHeight="1" x14ac:dyDescent="0.2">
      <c r="A871" s="93">
        <v>41787.494849536997</v>
      </c>
      <c r="B871" s="89" t="s">
        <v>38</v>
      </c>
      <c r="C871" s="52" t="s">
        <v>39</v>
      </c>
      <c r="D871" s="87" t="s">
        <v>6224</v>
      </c>
      <c r="E871" s="89" t="s">
        <v>7011</v>
      </c>
      <c r="F871" s="89" t="s">
        <v>7012</v>
      </c>
      <c r="G871" s="89" t="s">
        <v>20</v>
      </c>
      <c r="H871" s="89" t="s">
        <v>43</v>
      </c>
      <c r="I871" s="89" t="s">
        <v>6294</v>
      </c>
      <c r="J871" s="95">
        <v>1</v>
      </c>
      <c r="K871" s="95">
        <v>64</v>
      </c>
      <c r="L871" s="150"/>
      <c r="M871" s="146" t="s">
        <v>44</v>
      </c>
      <c r="N871" s="149">
        <v>384</v>
      </c>
      <c r="O871" s="149"/>
      <c r="P871" s="149"/>
      <c r="Q871" s="149"/>
      <c r="R871" s="149"/>
      <c r="S871" s="149"/>
      <c r="T871" s="149"/>
      <c r="U871" s="149"/>
      <c r="V871" s="89"/>
      <c r="W871" s="91"/>
      <c r="X871" s="91"/>
      <c r="Y871" s="91"/>
    </row>
    <row r="872" spans="1:25" s="26" customFormat="1" ht="15" customHeight="1" x14ac:dyDescent="0.2">
      <c r="A872" s="37">
        <v>41487.688113425902</v>
      </c>
      <c r="B872" s="26" t="s">
        <v>16</v>
      </c>
      <c r="C872" s="26" t="s">
        <v>532</v>
      </c>
      <c r="D872" s="33">
        <v>41456</v>
      </c>
      <c r="E872" s="26" t="s">
        <v>533</v>
      </c>
      <c r="F872" s="26" t="s">
        <v>534</v>
      </c>
      <c r="G872" s="34" t="s">
        <v>26</v>
      </c>
      <c r="H872" s="26" t="s">
        <v>535</v>
      </c>
      <c r="J872" s="46">
        <v>20</v>
      </c>
      <c r="K872" s="46">
        <v>18</v>
      </c>
      <c r="L872" s="136">
        <v>1620</v>
      </c>
      <c r="M872" s="137" t="s">
        <v>22</v>
      </c>
      <c r="N872" s="138"/>
      <c r="O872" s="138"/>
      <c r="P872" s="138"/>
      <c r="Q872" s="138"/>
      <c r="R872" s="138"/>
      <c r="S872" s="138"/>
      <c r="T872" s="138"/>
      <c r="U872" s="138">
        <v>800</v>
      </c>
      <c r="V872" s="26" t="s">
        <v>536</v>
      </c>
    </row>
    <row r="873" spans="1:25" s="26" customFormat="1" ht="15" customHeight="1" x14ac:dyDescent="0.2">
      <c r="A873" s="37">
        <v>41487.689849536997</v>
      </c>
      <c r="B873" s="26" t="s">
        <v>16</v>
      </c>
      <c r="C873" s="26" t="s">
        <v>532</v>
      </c>
      <c r="D873" s="33">
        <v>41456</v>
      </c>
      <c r="E873" s="26" t="s">
        <v>537</v>
      </c>
      <c r="F873" s="26" t="s">
        <v>538</v>
      </c>
      <c r="G873" s="26" t="s">
        <v>26</v>
      </c>
      <c r="H873" s="26" t="s">
        <v>539</v>
      </c>
      <c r="J873" s="46">
        <v>8</v>
      </c>
      <c r="K873" s="46">
        <v>100</v>
      </c>
      <c r="L873" s="136"/>
      <c r="M873" s="137" t="s">
        <v>22</v>
      </c>
      <c r="N873" s="138"/>
      <c r="O873" s="138"/>
      <c r="P873" s="138"/>
      <c r="Q873" s="138"/>
      <c r="R873" s="138"/>
      <c r="S873" s="138"/>
      <c r="T873" s="138"/>
      <c r="U873" s="138"/>
      <c r="V873" s="26" t="s">
        <v>540</v>
      </c>
    </row>
    <row r="874" spans="1:25" s="26" customFormat="1" ht="15" customHeight="1" x14ac:dyDescent="0.2">
      <c r="A874" s="37">
        <v>41487.691030092603</v>
      </c>
      <c r="B874" s="26" t="s">
        <v>16</v>
      </c>
      <c r="C874" s="26" t="s">
        <v>532</v>
      </c>
      <c r="D874" s="33">
        <v>41456</v>
      </c>
      <c r="E874" s="26" t="s">
        <v>537</v>
      </c>
      <c r="F874" s="26" t="s">
        <v>541</v>
      </c>
      <c r="G874" s="26" t="s">
        <v>26</v>
      </c>
      <c r="H874" s="26" t="s">
        <v>542</v>
      </c>
      <c r="J874" s="46">
        <v>8</v>
      </c>
      <c r="K874" s="46">
        <v>100</v>
      </c>
      <c r="L874" s="136"/>
      <c r="M874" s="137" t="s">
        <v>22</v>
      </c>
      <c r="N874" s="138"/>
      <c r="O874" s="138"/>
      <c r="P874" s="138"/>
      <c r="Q874" s="138"/>
      <c r="R874" s="138"/>
      <c r="S874" s="138"/>
      <c r="T874" s="138"/>
      <c r="U874" s="138"/>
      <c r="V874" s="26" t="s">
        <v>540</v>
      </c>
    </row>
    <row r="875" spans="1:25" s="26" customFormat="1" ht="15" customHeight="1" x14ac:dyDescent="0.2">
      <c r="A875" s="37">
        <v>41487.692395833299</v>
      </c>
      <c r="B875" s="26" t="s">
        <v>16</v>
      </c>
      <c r="C875" s="26" t="s">
        <v>532</v>
      </c>
      <c r="D875" s="33">
        <v>41456</v>
      </c>
      <c r="E875" s="26" t="s">
        <v>537</v>
      </c>
      <c r="F875" s="26" t="s">
        <v>538</v>
      </c>
      <c r="G875" s="26" t="s">
        <v>26</v>
      </c>
      <c r="H875" s="26" t="s">
        <v>539</v>
      </c>
      <c r="J875" s="46">
        <v>8</v>
      </c>
      <c r="K875" s="46">
        <v>100</v>
      </c>
      <c r="L875" s="136"/>
      <c r="M875" s="137" t="s">
        <v>22</v>
      </c>
      <c r="N875" s="138"/>
      <c r="O875" s="138"/>
      <c r="P875" s="138"/>
      <c r="Q875" s="138"/>
      <c r="R875" s="138"/>
      <c r="S875" s="138"/>
      <c r="T875" s="138"/>
      <c r="U875" s="138"/>
      <c r="V875" s="26" t="s">
        <v>540</v>
      </c>
    </row>
    <row r="876" spans="1:25" s="26" customFormat="1" ht="15" customHeight="1" x14ac:dyDescent="0.2">
      <c r="A876" s="37">
        <v>41487.693634259304</v>
      </c>
      <c r="B876" s="26" t="s">
        <v>16</v>
      </c>
      <c r="C876" s="26" t="s">
        <v>532</v>
      </c>
      <c r="D876" s="33">
        <v>41456</v>
      </c>
      <c r="E876" s="26" t="s">
        <v>543</v>
      </c>
      <c r="F876" s="26" t="s">
        <v>538</v>
      </c>
      <c r="G876" s="26" t="s">
        <v>26</v>
      </c>
      <c r="H876" s="26" t="s">
        <v>538</v>
      </c>
      <c r="J876" s="46">
        <v>8</v>
      </c>
      <c r="K876" s="46">
        <v>100</v>
      </c>
      <c r="L876" s="136"/>
      <c r="M876" s="137" t="s">
        <v>22</v>
      </c>
      <c r="N876" s="138"/>
      <c r="O876" s="138"/>
      <c r="P876" s="138"/>
      <c r="Q876" s="138"/>
      <c r="R876" s="138"/>
      <c r="S876" s="138"/>
      <c r="T876" s="138"/>
      <c r="U876" s="138"/>
      <c r="V876" s="26" t="s">
        <v>540</v>
      </c>
    </row>
    <row r="877" spans="1:25" s="26" customFormat="1" ht="15" customHeight="1" x14ac:dyDescent="0.2">
      <c r="A877" s="37">
        <v>41487.694791666698</v>
      </c>
      <c r="B877" s="26" t="s">
        <v>16</v>
      </c>
      <c r="C877" s="26" t="s">
        <v>532</v>
      </c>
      <c r="D877" s="33">
        <v>41456</v>
      </c>
      <c r="E877" s="26" t="s">
        <v>543</v>
      </c>
      <c r="F877" s="26" t="s">
        <v>544</v>
      </c>
      <c r="G877" s="26" t="s">
        <v>26</v>
      </c>
      <c r="H877" s="26" t="s">
        <v>539</v>
      </c>
      <c r="J877" s="46">
        <v>8</v>
      </c>
      <c r="K877" s="46">
        <v>100</v>
      </c>
      <c r="L877" s="136"/>
      <c r="M877" s="137"/>
      <c r="N877" s="138"/>
      <c r="O877" s="138"/>
      <c r="P877" s="138"/>
      <c r="Q877" s="138"/>
      <c r="R877" s="138"/>
      <c r="S877" s="138"/>
      <c r="T877" s="138"/>
      <c r="U877" s="138"/>
      <c r="V877" s="26" t="s">
        <v>540</v>
      </c>
    </row>
    <row r="878" spans="1:25" s="26" customFormat="1" ht="15" customHeight="1" x14ac:dyDescent="0.2">
      <c r="A878" s="37">
        <v>41487.695937500001</v>
      </c>
      <c r="B878" s="26" t="s">
        <v>16</v>
      </c>
      <c r="C878" s="26" t="s">
        <v>532</v>
      </c>
      <c r="D878" s="33">
        <v>41456</v>
      </c>
      <c r="E878" s="26" t="s">
        <v>537</v>
      </c>
      <c r="F878" s="26" t="s">
        <v>538</v>
      </c>
      <c r="G878" s="26" t="s">
        <v>26</v>
      </c>
      <c r="H878" s="26" t="s">
        <v>539</v>
      </c>
      <c r="J878" s="46">
        <v>8</v>
      </c>
      <c r="K878" s="46">
        <v>100</v>
      </c>
      <c r="L878" s="136"/>
      <c r="M878" s="137" t="s">
        <v>22</v>
      </c>
      <c r="N878" s="138"/>
      <c r="O878" s="138"/>
      <c r="P878" s="138"/>
      <c r="Q878" s="138"/>
      <c r="R878" s="138"/>
      <c r="S878" s="138"/>
      <c r="T878" s="138"/>
      <c r="U878" s="138"/>
      <c r="V878" s="26" t="s">
        <v>540</v>
      </c>
    </row>
    <row r="879" spans="1:25" s="26" customFormat="1" ht="15" customHeight="1" x14ac:dyDescent="0.2">
      <c r="A879" s="38">
        <v>41496.658275462964</v>
      </c>
      <c r="B879" s="29" t="s">
        <v>16</v>
      </c>
      <c r="C879" s="29" t="s">
        <v>532</v>
      </c>
      <c r="D879" s="30">
        <v>41487</v>
      </c>
      <c r="E879" s="29" t="s">
        <v>1179</v>
      </c>
      <c r="F879" s="29" t="s">
        <v>1334</v>
      </c>
      <c r="G879" s="29" t="s">
        <v>26</v>
      </c>
      <c r="H879" s="29" t="s">
        <v>1335</v>
      </c>
      <c r="I879" s="29"/>
      <c r="J879" s="116">
        <v>2</v>
      </c>
      <c r="K879" s="116">
        <v>26</v>
      </c>
      <c r="L879" s="139"/>
      <c r="M879" s="140" t="s">
        <v>22</v>
      </c>
      <c r="N879" s="141"/>
      <c r="O879" s="141"/>
      <c r="P879" s="141"/>
      <c r="Q879" s="141"/>
      <c r="R879" s="141"/>
      <c r="S879" s="141"/>
      <c r="T879" s="141"/>
      <c r="U879" s="141"/>
      <c r="V879" s="29"/>
    </row>
    <row r="880" spans="1:25" s="26" customFormat="1" ht="15" customHeight="1" x14ac:dyDescent="0.2">
      <c r="A880" s="37">
        <v>41496.659050925897</v>
      </c>
      <c r="B880" s="26" t="s">
        <v>16</v>
      </c>
      <c r="C880" s="26" t="s">
        <v>532</v>
      </c>
      <c r="D880" s="33">
        <v>41456</v>
      </c>
      <c r="E880" s="26" t="s">
        <v>1180</v>
      </c>
      <c r="F880" s="26" t="s">
        <v>1181</v>
      </c>
      <c r="G880" s="26" t="s">
        <v>26</v>
      </c>
      <c r="H880" s="26" t="s">
        <v>1182</v>
      </c>
      <c r="J880" s="46">
        <v>2</v>
      </c>
      <c r="K880" s="46">
        <v>13</v>
      </c>
      <c r="L880" s="136"/>
      <c r="M880" s="137" t="s">
        <v>22</v>
      </c>
      <c r="N880" s="138"/>
      <c r="O880" s="138"/>
      <c r="P880" s="138"/>
      <c r="Q880" s="138"/>
      <c r="R880" s="138"/>
      <c r="S880" s="138"/>
      <c r="T880" s="138"/>
      <c r="U880" s="138"/>
    </row>
    <row r="881" spans="1:22" s="26" customFormat="1" ht="15" customHeight="1" x14ac:dyDescent="0.2">
      <c r="A881" s="37">
        <v>41496.660891203697</v>
      </c>
      <c r="B881" s="26" t="s">
        <v>16</v>
      </c>
      <c r="C881" s="26" t="s">
        <v>532</v>
      </c>
      <c r="D881" s="33">
        <v>41456</v>
      </c>
      <c r="E881" s="26" t="s">
        <v>1183</v>
      </c>
      <c r="F881" s="26" t="s">
        <v>1184</v>
      </c>
      <c r="G881" s="26" t="s">
        <v>26</v>
      </c>
      <c r="H881" s="26" t="s">
        <v>1185</v>
      </c>
      <c r="J881" s="46">
        <v>2</v>
      </c>
      <c r="K881" s="46">
        <v>2</v>
      </c>
      <c r="L881" s="136"/>
      <c r="M881" s="137" t="s">
        <v>22</v>
      </c>
      <c r="N881" s="138"/>
      <c r="O881" s="138"/>
      <c r="P881" s="138"/>
      <c r="Q881" s="138"/>
      <c r="R881" s="138"/>
      <c r="S881" s="138"/>
      <c r="T881" s="138"/>
      <c r="U881" s="138"/>
    </row>
    <row r="882" spans="1:22" s="26" customFormat="1" ht="15" customHeight="1" x14ac:dyDescent="0.2">
      <c r="A882" s="37">
        <v>41496.661932870396</v>
      </c>
      <c r="B882" s="26" t="s">
        <v>16</v>
      </c>
      <c r="C882" s="26" t="s">
        <v>532</v>
      </c>
      <c r="D882" s="33">
        <v>41456</v>
      </c>
      <c r="E882" s="26" t="s">
        <v>1179</v>
      </c>
      <c r="F882" s="26" t="s">
        <v>1186</v>
      </c>
      <c r="G882" s="26" t="s">
        <v>26</v>
      </c>
      <c r="H882" s="26" t="s">
        <v>1187</v>
      </c>
      <c r="J882" s="46">
        <v>1</v>
      </c>
      <c r="K882" s="46">
        <v>13</v>
      </c>
      <c r="L882" s="136"/>
      <c r="M882" s="137" t="s">
        <v>22</v>
      </c>
      <c r="N882" s="138"/>
      <c r="O882" s="138"/>
      <c r="P882" s="138"/>
      <c r="Q882" s="138"/>
      <c r="R882" s="138"/>
      <c r="S882" s="138"/>
      <c r="T882" s="138"/>
      <c r="U882" s="138"/>
    </row>
    <row r="883" spans="1:22" s="26" customFormat="1" ht="15" customHeight="1" x14ac:dyDescent="0.2">
      <c r="A883" s="37">
        <v>41496.6629861111</v>
      </c>
      <c r="B883" s="26" t="s">
        <v>16</v>
      </c>
      <c r="C883" s="26" t="s">
        <v>532</v>
      </c>
      <c r="D883" s="33">
        <v>41456</v>
      </c>
      <c r="E883" s="26" t="s">
        <v>1183</v>
      </c>
      <c r="F883" s="26" t="s">
        <v>1188</v>
      </c>
      <c r="G883" s="26" t="s">
        <v>26</v>
      </c>
      <c r="H883" s="26" t="s">
        <v>1189</v>
      </c>
      <c r="J883" s="46">
        <v>2</v>
      </c>
      <c r="K883" s="46">
        <v>0</v>
      </c>
      <c r="L883" s="136"/>
      <c r="M883" s="137" t="s">
        <v>22</v>
      </c>
      <c r="N883" s="138"/>
      <c r="O883" s="138"/>
      <c r="P883" s="138"/>
      <c r="Q883" s="138"/>
      <c r="R883" s="138"/>
      <c r="S883" s="138"/>
      <c r="T883" s="138"/>
      <c r="U883" s="138"/>
    </row>
    <row r="884" spans="1:22" s="26" customFormat="1" ht="15" customHeight="1" x14ac:dyDescent="0.2">
      <c r="A884" s="28">
        <v>41528.629629629628</v>
      </c>
      <c r="B884" s="29" t="s">
        <v>16</v>
      </c>
      <c r="C884" s="29" t="s">
        <v>532</v>
      </c>
      <c r="D884" s="30">
        <v>41487</v>
      </c>
      <c r="E884" s="29" t="s">
        <v>1964</v>
      </c>
      <c r="F884" s="29" t="s">
        <v>1965</v>
      </c>
      <c r="G884" s="29" t="s">
        <v>42</v>
      </c>
      <c r="H884" s="29" t="s">
        <v>1966</v>
      </c>
      <c r="I884" s="29"/>
      <c r="J884" s="116">
        <v>1</v>
      </c>
      <c r="K884" s="116">
        <v>12</v>
      </c>
      <c r="L884" s="139"/>
      <c r="M884" s="140" t="s">
        <v>22</v>
      </c>
      <c r="N884" s="141"/>
      <c r="O884" s="141"/>
      <c r="P884" s="141"/>
      <c r="Q884" s="141"/>
      <c r="R884" s="141"/>
      <c r="S884" s="141"/>
      <c r="T884" s="141"/>
      <c r="U884" s="141"/>
      <c r="V884" s="29"/>
    </row>
    <row r="885" spans="1:22" s="26" customFormat="1" ht="15" customHeight="1" x14ac:dyDescent="0.2">
      <c r="A885" s="28">
        <v>41528.632361111115</v>
      </c>
      <c r="B885" s="29" t="s">
        <v>16</v>
      </c>
      <c r="C885" s="29" t="s">
        <v>532</v>
      </c>
      <c r="D885" s="30">
        <v>41487</v>
      </c>
      <c r="E885" s="29" t="s">
        <v>1967</v>
      </c>
      <c r="F885" s="29" t="s">
        <v>1968</v>
      </c>
      <c r="G885" s="29" t="s">
        <v>26</v>
      </c>
      <c r="H885" s="29" t="s">
        <v>1969</v>
      </c>
      <c r="I885" s="29"/>
      <c r="J885" s="116">
        <v>1</v>
      </c>
      <c r="K885" s="116">
        <v>0</v>
      </c>
      <c r="L885" s="139"/>
      <c r="M885" s="140" t="s">
        <v>22</v>
      </c>
      <c r="N885" s="141"/>
      <c r="O885" s="141"/>
      <c r="P885" s="141"/>
      <c r="Q885" s="141"/>
      <c r="R885" s="141"/>
      <c r="S885" s="141"/>
      <c r="T885" s="141"/>
      <c r="U885" s="141"/>
      <c r="V885" s="29"/>
    </row>
    <row r="886" spans="1:22" s="26" customFormat="1" ht="15" customHeight="1" x14ac:dyDescent="0.2">
      <c r="A886" s="28">
        <v>41528.634687500002</v>
      </c>
      <c r="B886" s="29" t="s">
        <v>16</v>
      </c>
      <c r="C886" s="29" t="s">
        <v>532</v>
      </c>
      <c r="D886" s="30">
        <v>41487</v>
      </c>
      <c r="E886" s="29" t="s">
        <v>1970</v>
      </c>
      <c r="F886" s="29" t="s">
        <v>1971</v>
      </c>
      <c r="G886" s="29" t="s">
        <v>26</v>
      </c>
      <c r="H886" s="29" t="s">
        <v>1972</v>
      </c>
      <c r="I886" s="29"/>
      <c r="J886" s="116">
        <v>1</v>
      </c>
      <c r="K886" s="116">
        <v>0</v>
      </c>
      <c r="L886" s="139"/>
      <c r="M886" s="140" t="s">
        <v>22</v>
      </c>
      <c r="N886" s="141"/>
      <c r="O886" s="141"/>
      <c r="P886" s="141"/>
      <c r="Q886" s="141"/>
      <c r="R886" s="141"/>
      <c r="S886" s="141"/>
      <c r="T886" s="141"/>
      <c r="U886" s="141"/>
      <c r="V886" s="29"/>
    </row>
    <row r="887" spans="1:22" s="26" customFormat="1" ht="15" customHeight="1" x14ac:dyDescent="0.2">
      <c r="A887" s="28">
        <v>41528.636435185188</v>
      </c>
      <c r="B887" s="29" t="s">
        <v>16</v>
      </c>
      <c r="C887" s="29" t="s">
        <v>532</v>
      </c>
      <c r="D887" s="30">
        <v>41487</v>
      </c>
      <c r="E887" s="29" t="s">
        <v>1973</v>
      </c>
      <c r="F887" s="29" t="s">
        <v>1974</v>
      </c>
      <c r="G887" s="29" t="s">
        <v>26</v>
      </c>
      <c r="H887" s="29" t="s">
        <v>1975</v>
      </c>
      <c r="I887" s="29"/>
      <c r="J887" s="116">
        <v>1</v>
      </c>
      <c r="K887" s="116">
        <v>13</v>
      </c>
      <c r="L887" s="139"/>
      <c r="M887" s="140" t="s">
        <v>22</v>
      </c>
      <c r="N887" s="141"/>
      <c r="O887" s="141"/>
      <c r="P887" s="141"/>
      <c r="Q887" s="141"/>
      <c r="R887" s="141"/>
      <c r="S887" s="141"/>
      <c r="T887" s="141"/>
      <c r="U887" s="141"/>
      <c r="V887" s="29"/>
    </row>
    <row r="888" spans="1:22" s="26" customFormat="1" ht="15" customHeight="1" x14ac:dyDescent="0.2">
      <c r="A888" s="28">
        <v>41528.639004629629</v>
      </c>
      <c r="B888" s="29" t="s">
        <v>16</v>
      </c>
      <c r="C888" s="29" t="s">
        <v>532</v>
      </c>
      <c r="D888" s="30">
        <v>41487</v>
      </c>
      <c r="E888" s="29" t="s">
        <v>1976</v>
      </c>
      <c r="F888" s="29" t="s">
        <v>1977</v>
      </c>
      <c r="G888" s="29" t="s">
        <v>26</v>
      </c>
      <c r="H888" s="29" t="s">
        <v>1969</v>
      </c>
      <c r="I888" s="29"/>
      <c r="J888" s="116">
        <v>1</v>
      </c>
      <c r="K888" s="116">
        <v>3</v>
      </c>
      <c r="L888" s="139"/>
      <c r="M888" s="140" t="s">
        <v>22</v>
      </c>
      <c r="N888" s="141"/>
      <c r="O888" s="141"/>
      <c r="P888" s="141"/>
      <c r="Q888" s="141"/>
      <c r="R888" s="141"/>
      <c r="S888" s="141"/>
      <c r="T888" s="141"/>
      <c r="U888" s="141"/>
      <c r="V888" s="29"/>
    </row>
    <row r="889" spans="1:22" s="26" customFormat="1" ht="15" customHeight="1" x14ac:dyDescent="0.2">
      <c r="A889" s="28">
        <v>41528.641747685186</v>
      </c>
      <c r="B889" s="29" t="s">
        <v>16</v>
      </c>
      <c r="C889" s="29" t="s">
        <v>532</v>
      </c>
      <c r="D889" s="30">
        <v>41487</v>
      </c>
      <c r="E889" s="29" t="s">
        <v>1978</v>
      </c>
      <c r="F889" s="29" t="s">
        <v>1979</v>
      </c>
      <c r="G889" s="29" t="s">
        <v>26</v>
      </c>
      <c r="H889" s="29" t="s">
        <v>1980</v>
      </c>
      <c r="I889" s="29"/>
      <c r="J889" s="116">
        <v>1</v>
      </c>
      <c r="K889" s="116">
        <v>0</v>
      </c>
      <c r="L889" s="139"/>
      <c r="M889" s="140" t="s">
        <v>22</v>
      </c>
      <c r="N889" s="141"/>
      <c r="O889" s="141"/>
      <c r="P889" s="141"/>
      <c r="Q889" s="141"/>
      <c r="R889" s="141"/>
      <c r="S889" s="141"/>
      <c r="T889" s="141"/>
      <c r="U889" s="141"/>
      <c r="V889" s="29"/>
    </row>
    <row r="890" spans="1:22" s="26" customFormat="1" ht="15" customHeight="1" x14ac:dyDescent="0.2">
      <c r="A890" s="28">
        <v>41528.647974537038</v>
      </c>
      <c r="B890" s="29" t="s">
        <v>16</v>
      </c>
      <c r="C890" s="29" t="s">
        <v>532</v>
      </c>
      <c r="D890" s="30">
        <v>41487</v>
      </c>
      <c r="E890" s="29" t="s">
        <v>1981</v>
      </c>
      <c r="F890" s="29" t="s">
        <v>1982</v>
      </c>
      <c r="G890" s="29" t="s">
        <v>26</v>
      </c>
      <c r="H890" s="29" t="s">
        <v>1975</v>
      </c>
      <c r="I890" s="29"/>
      <c r="J890" s="116">
        <v>1</v>
      </c>
      <c r="K890" s="116">
        <v>0</v>
      </c>
      <c r="L890" s="139"/>
      <c r="M890" s="140" t="s">
        <v>22</v>
      </c>
      <c r="N890" s="141"/>
      <c r="O890" s="141"/>
      <c r="P890" s="141"/>
      <c r="Q890" s="141"/>
      <c r="R890" s="141"/>
      <c r="S890" s="141"/>
      <c r="T890" s="141"/>
      <c r="U890" s="141"/>
      <c r="V890" s="29"/>
    </row>
    <row r="891" spans="1:22" s="26" customFormat="1" ht="15" customHeight="1" x14ac:dyDescent="0.2">
      <c r="A891" s="28">
        <v>41528.651064814818</v>
      </c>
      <c r="B891" s="29" t="s">
        <v>16</v>
      </c>
      <c r="C891" s="29" t="s">
        <v>532</v>
      </c>
      <c r="D891" s="30">
        <v>41487</v>
      </c>
      <c r="E891" s="29" t="s">
        <v>1983</v>
      </c>
      <c r="F891" s="43">
        <v>41495</v>
      </c>
      <c r="G891" s="29" t="s">
        <v>26</v>
      </c>
      <c r="H891" s="29" t="s">
        <v>1984</v>
      </c>
      <c r="I891" s="29"/>
      <c r="J891" s="116">
        <v>1</v>
      </c>
      <c r="K891" s="116">
        <v>0</v>
      </c>
      <c r="L891" s="139"/>
      <c r="M891" s="140" t="s">
        <v>22</v>
      </c>
      <c r="N891" s="141"/>
      <c r="O891" s="141"/>
      <c r="P891" s="141"/>
      <c r="Q891" s="141"/>
      <c r="R891" s="141"/>
      <c r="S891" s="141"/>
      <c r="T891" s="141"/>
      <c r="U891" s="141"/>
      <c r="V891" s="29"/>
    </row>
    <row r="892" spans="1:22" s="26" customFormat="1" ht="15" customHeight="1" x14ac:dyDescent="0.2">
      <c r="A892" s="28">
        <v>41528.652708333335</v>
      </c>
      <c r="B892" s="29" t="s">
        <v>16</v>
      </c>
      <c r="C892" s="29" t="s">
        <v>532</v>
      </c>
      <c r="D892" s="30">
        <v>41487</v>
      </c>
      <c r="E892" s="29" t="s">
        <v>1985</v>
      </c>
      <c r="F892" s="29" t="s">
        <v>1986</v>
      </c>
      <c r="G892" s="29" t="s">
        <v>26</v>
      </c>
      <c r="H892" s="29" t="s">
        <v>1980</v>
      </c>
      <c r="I892" s="29"/>
      <c r="J892" s="116">
        <v>1</v>
      </c>
      <c r="K892" s="116">
        <v>0</v>
      </c>
      <c r="L892" s="139"/>
      <c r="M892" s="140" t="s">
        <v>22</v>
      </c>
      <c r="N892" s="141"/>
      <c r="O892" s="141"/>
      <c r="P892" s="141"/>
      <c r="Q892" s="141"/>
      <c r="R892" s="141"/>
      <c r="S892" s="141"/>
      <c r="T892" s="141"/>
      <c r="U892" s="141"/>
      <c r="V892" s="29"/>
    </row>
    <row r="893" spans="1:22" s="26" customFormat="1" ht="15" customHeight="1" x14ac:dyDescent="0.2">
      <c r="A893" s="28">
        <v>41528.655462962961</v>
      </c>
      <c r="B893" s="29" t="s">
        <v>16</v>
      </c>
      <c r="C893" s="29" t="s">
        <v>532</v>
      </c>
      <c r="D893" s="30">
        <v>41487</v>
      </c>
      <c r="E893" s="29" t="s">
        <v>1981</v>
      </c>
      <c r="F893" s="29" t="s">
        <v>1982</v>
      </c>
      <c r="G893" s="29" t="s">
        <v>26</v>
      </c>
      <c r="H893" s="29" t="s">
        <v>1975</v>
      </c>
      <c r="I893" s="29"/>
      <c r="J893" s="116">
        <v>1</v>
      </c>
      <c r="K893" s="116">
        <v>6</v>
      </c>
      <c r="L893" s="139"/>
      <c r="M893" s="140" t="s">
        <v>22</v>
      </c>
      <c r="N893" s="141"/>
      <c r="O893" s="141"/>
      <c r="P893" s="141"/>
      <c r="Q893" s="141"/>
      <c r="R893" s="141"/>
      <c r="S893" s="141"/>
      <c r="T893" s="141"/>
      <c r="U893" s="141"/>
      <c r="V893" s="29"/>
    </row>
    <row r="894" spans="1:22" s="26" customFormat="1" ht="15" customHeight="1" x14ac:dyDescent="0.2">
      <c r="A894" s="28">
        <v>41528.656712962962</v>
      </c>
      <c r="B894" s="29" t="s">
        <v>16</v>
      </c>
      <c r="C894" s="29" t="s">
        <v>532</v>
      </c>
      <c r="D894" s="30">
        <v>41487</v>
      </c>
      <c r="E894" s="29" t="s">
        <v>1987</v>
      </c>
      <c r="F894" s="43">
        <v>41495</v>
      </c>
      <c r="G894" s="29" t="s">
        <v>26</v>
      </c>
      <c r="H894" s="29" t="s">
        <v>1969</v>
      </c>
      <c r="I894" s="29"/>
      <c r="J894" s="116">
        <v>1</v>
      </c>
      <c r="K894" s="116">
        <v>0</v>
      </c>
      <c r="L894" s="139"/>
      <c r="M894" s="140" t="s">
        <v>44</v>
      </c>
      <c r="N894" s="141"/>
      <c r="O894" s="141"/>
      <c r="P894" s="141"/>
      <c r="Q894" s="141"/>
      <c r="R894" s="141"/>
      <c r="S894" s="141"/>
      <c r="T894" s="141"/>
      <c r="U894" s="141"/>
      <c r="V894" s="29"/>
    </row>
    <row r="895" spans="1:22" s="26" customFormat="1" ht="15" customHeight="1" x14ac:dyDescent="0.2">
      <c r="A895" s="28">
        <v>41528.664212962962</v>
      </c>
      <c r="B895" s="29" t="s">
        <v>16</v>
      </c>
      <c r="C895" s="29" t="s">
        <v>532</v>
      </c>
      <c r="D895" s="30">
        <v>41487</v>
      </c>
      <c r="E895" s="29" t="s">
        <v>1988</v>
      </c>
      <c r="F895" s="29" t="s">
        <v>1989</v>
      </c>
      <c r="G895" s="29" t="s">
        <v>42</v>
      </c>
      <c r="H895" s="29" t="s">
        <v>1990</v>
      </c>
      <c r="I895" s="29"/>
      <c r="J895" s="116">
        <v>1</v>
      </c>
      <c r="K895" s="116">
        <v>45</v>
      </c>
      <c r="L895" s="139">
        <v>225</v>
      </c>
      <c r="M895" s="140" t="s">
        <v>22</v>
      </c>
      <c r="N895" s="141"/>
      <c r="O895" s="141"/>
      <c r="P895" s="141"/>
      <c r="Q895" s="141"/>
      <c r="R895" s="141"/>
      <c r="S895" s="141"/>
      <c r="T895" s="141"/>
      <c r="U895" s="141"/>
      <c r="V895" s="29"/>
    </row>
    <row r="896" spans="1:22" s="26" customFormat="1" ht="15" customHeight="1" x14ac:dyDescent="0.2">
      <c r="A896" s="28">
        <v>41528.66915509259</v>
      </c>
      <c r="B896" s="29" t="s">
        <v>16</v>
      </c>
      <c r="C896" s="29" t="s">
        <v>532</v>
      </c>
      <c r="D896" s="30">
        <v>41487</v>
      </c>
      <c r="E896" s="29" t="s">
        <v>1991</v>
      </c>
      <c r="F896" s="29" t="s">
        <v>1992</v>
      </c>
      <c r="G896" s="29" t="s">
        <v>156</v>
      </c>
      <c r="H896" s="29" t="s">
        <v>1993</v>
      </c>
      <c r="I896" s="29"/>
      <c r="J896" s="116">
        <v>1</v>
      </c>
      <c r="K896" s="116">
        <v>300</v>
      </c>
      <c r="L896" s="139"/>
      <c r="M896" s="140" t="s">
        <v>22</v>
      </c>
      <c r="N896" s="141"/>
      <c r="O896" s="141"/>
      <c r="P896" s="141"/>
      <c r="Q896" s="141"/>
      <c r="R896" s="141"/>
      <c r="S896" s="141"/>
      <c r="T896" s="141"/>
      <c r="U896" s="141"/>
      <c r="V896" s="29"/>
    </row>
    <row r="897" spans="1:22" s="26" customFormat="1" ht="15" customHeight="1" x14ac:dyDescent="0.2">
      <c r="A897" s="28">
        <v>41528.67260416667</v>
      </c>
      <c r="B897" s="29" t="s">
        <v>16</v>
      </c>
      <c r="C897" s="29" t="s">
        <v>532</v>
      </c>
      <c r="D897" s="30">
        <v>41487</v>
      </c>
      <c r="E897" s="29" t="s">
        <v>1994</v>
      </c>
      <c r="F897" s="29" t="s">
        <v>1995</v>
      </c>
      <c r="G897" s="29" t="s">
        <v>26</v>
      </c>
      <c r="H897" s="29" t="s">
        <v>1996</v>
      </c>
      <c r="I897" s="29"/>
      <c r="J897" s="116">
        <v>6</v>
      </c>
      <c r="K897" s="116">
        <v>30</v>
      </c>
      <c r="L897" s="139"/>
      <c r="M897" s="140" t="s">
        <v>22</v>
      </c>
      <c r="N897" s="141"/>
      <c r="O897" s="141"/>
      <c r="P897" s="141"/>
      <c r="Q897" s="141"/>
      <c r="R897" s="141"/>
      <c r="S897" s="141"/>
      <c r="T897" s="141"/>
      <c r="U897" s="141"/>
      <c r="V897" s="29"/>
    </row>
    <row r="898" spans="1:22" s="26" customFormat="1" ht="15" customHeight="1" x14ac:dyDescent="0.2">
      <c r="A898" s="28">
        <v>41528.673703703702</v>
      </c>
      <c r="B898" s="29" t="s">
        <v>16</v>
      </c>
      <c r="C898" s="29" t="s">
        <v>532</v>
      </c>
      <c r="D898" s="30">
        <v>41487</v>
      </c>
      <c r="E898" s="29" t="s">
        <v>1997</v>
      </c>
      <c r="F898" s="29" t="s">
        <v>1995</v>
      </c>
      <c r="G898" s="29" t="s">
        <v>26</v>
      </c>
      <c r="H898" s="29" t="s">
        <v>1996</v>
      </c>
      <c r="I898" s="29"/>
      <c r="J898" s="116">
        <v>8</v>
      </c>
      <c r="K898" s="116">
        <v>100</v>
      </c>
      <c r="L898" s="139"/>
      <c r="M898" s="140" t="s">
        <v>22</v>
      </c>
      <c r="N898" s="141"/>
      <c r="O898" s="141"/>
      <c r="P898" s="141"/>
      <c r="Q898" s="141"/>
      <c r="R898" s="141"/>
      <c r="S898" s="141"/>
      <c r="T898" s="141"/>
      <c r="U898" s="141"/>
      <c r="V898" s="29"/>
    </row>
    <row r="899" spans="1:22" s="26" customFormat="1" ht="15" customHeight="1" x14ac:dyDescent="0.2">
      <c r="A899" s="28">
        <v>41528.67491898148</v>
      </c>
      <c r="B899" s="29" t="s">
        <v>16</v>
      </c>
      <c r="C899" s="29" t="s">
        <v>532</v>
      </c>
      <c r="D899" s="30">
        <v>41487</v>
      </c>
      <c r="E899" s="29" t="s">
        <v>1997</v>
      </c>
      <c r="F899" s="29" t="s">
        <v>1995</v>
      </c>
      <c r="G899" s="29" t="s">
        <v>26</v>
      </c>
      <c r="H899" s="29" t="s">
        <v>1998</v>
      </c>
      <c r="I899" s="29"/>
      <c r="J899" s="116">
        <v>8</v>
      </c>
      <c r="K899" s="116">
        <v>100</v>
      </c>
      <c r="L899" s="139"/>
      <c r="M899" s="140" t="s">
        <v>22</v>
      </c>
      <c r="N899" s="141"/>
      <c r="O899" s="141"/>
      <c r="P899" s="141"/>
      <c r="Q899" s="141"/>
      <c r="R899" s="141"/>
      <c r="S899" s="141"/>
      <c r="T899" s="141"/>
      <c r="U899" s="141"/>
      <c r="V899" s="29"/>
    </row>
    <row r="900" spans="1:22" s="26" customFormat="1" ht="15" customHeight="1" x14ac:dyDescent="0.2">
      <c r="A900" s="28">
        <v>41528.676770833335</v>
      </c>
      <c r="B900" s="29" t="s">
        <v>16</v>
      </c>
      <c r="C900" s="29" t="s">
        <v>532</v>
      </c>
      <c r="D900" s="30">
        <v>41487</v>
      </c>
      <c r="E900" s="29" t="s">
        <v>1999</v>
      </c>
      <c r="F900" s="29" t="s">
        <v>1995</v>
      </c>
      <c r="G900" s="29" t="s">
        <v>26</v>
      </c>
      <c r="H900" s="29" t="s">
        <v>1996</v>
      </c>
      <c r="I900" s="29"/>
      <c r="J900" s="116">
        <v>8</v>
      </c>
      <c r="K900" s="116">
        <v>100</v>
      </c>
      <c r="L900" s="139"/>
      <c r="M900" s="140" t="s">
        <v>22</v>
      </c>
      <c r="N900" s="141"/>
      <c r="O900" s="141"/>
      <c r="P900" s="141"/>
      <c r="Q900" s="141"/>
      <c r="R900" s="141"/>
      <c r="S900" s="141"/>
      <c r="T900" s="141"/>
      <c r="U900" s="141"/>
      <c r="V900" s="29"/>
    </row>
    <row r="901" spans="1:22" s="26" customFormat="1" ht="15" customHeight="1" x14ac:dyDescent="0.2">
      <c r="A901" s="28">
        <v>41528.677928240744</v>
      </c>
      <c r="B901" s="29" t="s">
        <v>16</v>
      </c>
      <c r="C901" s="29" t="s">
        <v>532</v>
      </c>
      <c r="D901" s="30">
        <v>41487</v>
      </c>
      <c r="E901" s="29" t="s">
        <v>537</v>
      </c>
      <c r="F901" s="29" t="s">
        <v>1995</v>
      </c>
      <c r="G901" s="29" t="s">
        <v>26</v>
      </c>
      <c r="H901" s="29" t="s">
        <v>1996</v>
      </c>
      <c r="I901" s="29"/>
      <c r="J901" s="116">
        <v>8</v>
      </c>
      <c r="K901" s="116">
        <v>100</v>
      </c>
      <c r="L901" s="139"/>
      <c r="M901" s="140" t="s">
        <v>22</v>
      </c>
      <c r="N901" s="141"/>
      <c r="O901" s="141"/>
      <c r="P901" s="141"/>
      <c r="Q901" s="141"/>
      <c r="R901" s="141"/>
      <c r="S901" s="141"/>
      <c r="T901" s="141"/>
      <c r="U901" s="141"/>
      <c r="V901" s="29"/>
    </row>
    <row r="902" spans="1:22" s="26" customFormat="1" ht="15" customHeight="1" x14ac:dyDescent="0.2">
      <c r="A902" s="28">
        <v>41528.67895833333</v>
      </c>
      <c r="B902" s="29" t="s">
        <v>16</v>
      </c>
      <c r="C902" s="29" t="s">
        <v>532</v>
      </c>
      <c r="D902" s="30">
        <v>41487</v>
      </c>
      <c r="E902" s="29" t="s">
        <v>1997</v>
      </c>
      <c r="F902" s="29" t="s">
        <v>1995</v>
      </c>
      <c r="G902" s="29" t="s">
        <v>26</v>
      </c>
      <c r="H902" s="29" t="s">
        <v>1996</v>
      </c>
      <c r="I902" s="29"/>
      <c r="J902" s="116">
        <v>8</v>
      </c>
      <c r="K902" s="116">
        <v>100</v>
      </c>
      <c r="L902" s="139"/>
      <c r="M902" s="140" t="s">
        <v>22</v>
      </c>
      <c r="N902" s="141"/>
      <c r="O902" s="141"/>
      <c r="P902" s="141"/>
      <c r="Q902" s="141"/>
      <c r="R902" s="141"/>
      <c r="S902" s="141"/>
      <c r="T902" s="141"/>
      <c r="U902" s="141"/>
      <c r="V902" s="29"/>
    </row>
    <row r="903" spans="1:22" s="26" customFormat="1" ht="15" customHeight="1" x14ac:dyDescent="0.2">
      <c r="A903" s="32">
        <v>41556.448495370372</v>
      </c>
      <c r="B903" s="26" t="s">
        <v>16</v>
      </c>
      <c r="C903" s="26" t="s">
        <v>532</v>
      </c>
      <c r="D903" s="30">
        <v>41518</v>
      </c>
      <c r="E903" s="26" t="s">
        <v>2606</v>
      </c>
      <c r="F903" s="26" t="s">
        <v>2607</v>
      </c>
      <c r="G903" s="26" t="s">
        <v>42</v>
      </c>
      <c r="H903" s="26" t="s">
        <v>2608</v>
      </c>
      <c r="J903" s="46">
        <v>1</v>
      </c>
      <c r="K903" s="46">
        <v>40</v>
      </c>
      <c r="L903" s="136"/>
      <c r="M903" s="137" t="s">
        <v>44</v>
      </c>
      <c r="N903" s="138">
        <v>120</v>
      </c>
      <c r="O903" s="138">
        <v>50</v>
      </c>
      <c r="P903" s="138"/>
      <c r="Q903" s="138">
        <v>45</v>
      </c>
      <c r="R903" s="138"/>
      <c r="S903" s="138"/>
      <c r="T903" s="138"/>
      <c r="U903" s="138"/>
    </row>
    <row r="904" spans="1:22" s="26" customFormat="1" ht="15" customHeight="1" x14ac:dyDescent="0.2">
      <c r="A904" s="32">
        <v>41556.450497685182</v>
      </c>
      <c r="B904" s="26" t="s">
        <v>16</v>
      </c>
      <c r="C904" s="26" t="s">
        <v>532</v>
      </c>
      <c r="D904" s="30">
        <v>41518</v>
      </c>
      <c r="E904" s="26" t="s">
        <v>2609</v>
      </c>
      <c r="F904" s="26" t="s">
        <v>2610</v>
      </c>
      <c r="G904" s="26" t="s">
        <v>42</v>
      </c>
      <c r="H904" s="26" t="s">
        <v>2608</v>
      </c>
      <c r="J904" s="46">
        <v>1</v>
      </c>
      <c r="K904" s="46">
        <v>25</v>
      </c>
      <c r="L904" s="136">
        <v>75</v>
      </c>
      <c r="M904" s="137" t="s">
        <v>44</v>
      </c>
      <c r="N904" s="138">
        <v>75</v>
      </c>
      <c r="O904" s="138">
        <v>15</v>
      </c>
      <c r="P904" s="138"/>
      <c r="Q904" s="138">
        <v>45</v>
      </c>
      <c r="R904" s="138"/>
      <c r="S904" s="138"/>
      <c r="T904" s="138"/>
      <c r="U904" s="138"/>
    </row>
    <row r="905" spans="1:22" s="26" customFormat="1" ht="15" customHeight="1" x14ac:dyDescent="0.2">
      <c r="A905" s="32">
        <v>41556.452175925922</v>
      </c>
      <c r="B905" s="26" t="s">
        <v>16</v>
      </c>
      <c r="C905" s="26" t="s">
        <v>532</v>
      </c>
      <c r="D905" s="30">
        <v>41518</v>
      </c>
      <c r="E905" s="26" t="s">
        <v>2611</v>
      </c>
      <c r="F905" s="26" t="s">
        <v>2612</v>
      </c>
      <c r="G905" s="26" t="s">
        <v>20</v>
      </c>
      <c r="H905" s="26" t="s">
        <v>2613</v>
      </c>
      <c r="J905" s="46">
        <v>1</v>
      </c>
      <c r="K905" s="46">
        <v>35</v>
      </c>
      <c r="L905" s="136">
        <v>105</v>
      </c>
      <c r="M905" s="137" t="s">
        <v>44</v>
      </c>
      <c r="N905" s="138">
        <v>105</v>
      </c>
      <c r="O905" s="138">
        <v>15</v>
      </c>
      <c r="P905" s="138"/>
      <c r="Q905" s="138"/>
      <c r="R905" s="138"/>
      <c r="S905" s="138"/>
      <c r="T905" s="138"/>
      <c r="U905" s="138"/>
    </row>
    <row r="906" spans="1:22" s="26" customFormat="1" ht="15" customHeight="1" x14ac:dyDescent="0.2">
      <c r="A906" s="32">
        <v>41556.453321759262</v>
      </c>
      <c r="B906" s="26" t="s">
        <v>16</v>
      </c>
      <c r="C906" s="26" t="s">
        <v>532</v>
      </c>
      <c r="D906" s="30">
        <v>41518</v>
      </c>
      <c r="E906" s="26" t="s">
        <v>2614</v>
      </c>
      <c r="F906" s="26" t="s">
        <v>2615</v>
      </c>
      <c r="G906" s="26" t="s">
        <v>20</v>
      </c>
      <c r="H906" s="26" t="s">
        <v>2613</v>
      </c>
      <c r="J906" s="115">
        <v>1</v>
      </c>
      <c r="K906" s="115">
        <v>0</v>
      </c>
      <c r="L906" s="136"/>
      <c r="M906" s="137" t="s">
        <v>22</v>
      </c>
      <c r="N906" s="138"/>
      <c r="O906" s="138"/>
      <c r="P906" s="138"/>
      <c r="Q906" s="138"/>
      <c r="R906" s="138"/>
      <c r="S906" s="138"/>
      <c r="T906" s="138"/>
      <c r="U906" s="138"/>
    </row>
    <row r="907" spans="1:22" s="26" customFormat="1" ht="15" customHeight="1" x14ac:dyDescent="0.2">
      <c r="A907" s="32">
        <v>41556.454895833333</v>
      </c>
      <c r="B907" s="26" t="s">
        <v>16</v>
      </c>
      <c r="C907" s="26" t="s">
        <v>532</v>
      </c>
      <c r="D907" s="30">
        <v>41518</v>
      </c>
      <c r="E907" s="26" t="s">
        <v>2616</v>
      </c>
      <c r="F907" s="26" t="s">
        <v>2617</v>
      </c>
      <c r="G907" s="26" t="s">
        <v>42</v>
      </c>
      <c r="H907" s="26" t="s">
        <v>2613</v>
      </c>
      <c r="J907" s="46">
        <v>1</v>
      </c>
      <c r="K907" s="46">
        <v>40</v>
      </c>
      <c r="L907" s="136">
        <v>150</v>
      </c>
      <c r="M907" s="137" t="s">
        <v>44</v>
      </c>
      <c r="N907" s="138">
        <v>150</v>
      </c>
      <c r="O907" s="138">
        <v>15</v>
      </c>
      <c r="P907" s="138"/>
      <c r="Q907" s="138"/>
      <c r="R907" s="138"/>
      <c r="S907" s="138"/>
      <c r="T907" s="138"/>
      <c r="U907" s="138"/>
    </row>
    <row r="908" spans="1:22" s="26" customFormat="1" ht="15" customHeight="1" x14ac:dyDescent="0.2">
      <c r="A908" s="32">
        <v>41556.456516203703</v>
      </c>
      <c r="B908" s="26" t="s">
        <v>16</v>
      </c>
      <c r="C908" s="26" t="s">
        <v>532</v>
      </c>
      <c r="D908" s="30">
        <v>41518</v>
      </c>
      <c r="E908" s="26" t="s">
        <v>2618</v>
      </c>
      <c r="F908" s="26" t="s">
        <v>2619</v>
      </c>
      <c r="G908" s="26" t="s">
        <v>20</v>
      </c>
      <c r="H908" s="26" t="s">
        <v>2613</v>
      </c>
      <c r="J908" s="46">
        <v>1</v>
      </c>
      <c r="K908" s="46">
        <v>85</v>
      </c>
      <c r="L908" s="136">
        <v>255</v>
      </c>
      <c r="M908" s="137" t="s">
        <v>44</v>
      </c>
      <c r="N908" s="138">
        <v>255</v>
      </c>
      <c r="O908" s="138">
        <v>10</v>
      </c>
      <c r="P908" s="138"/>
      <c r="Q908" s="138"/>
      <c r="R908" s="138"/>
      <c r="S908" s="138"/>
      <c r="T908" s="138"/>
      <c r="U908" s="138"/>
    </row>
    <row r="909" spans="1:22" s="26" customFormat="1" ht="15" customHeight="1" x14ac:dyDescent="0.2">
      <c r="A909" s="32">
        <v>41556.459386574075</v>
      </c>
      <c r="B909" s="26" t="s">
        <v>16</v>
      </c>
      <c r="C909" s="26" t="s">
        <v>532</v>
      </c>
      <c r="D909" s="30">
        <v>41518</v>
      </c>
      <c r="E909" s="26" t="s">
        <v>2621</v>
      </c>
      <c r="F909" s="26" t="s">
        <v>2622</v>
      </c>
      <c r="G909" s="26" t="s">
        <v>156</v>
      </c>
      <c r="H909" s="26" t="s">
        <v>2623</v>
      </c>
      <c r="J909" s="46">
        <v>1</v>
      </c>
      <c r="K909" s="46">
        <v>130</v>
      </c>
      <c r="L909" s="136"/>
      <c r="M909" s="137" t="s">
        <v>22</v>
      </c>
      <c r="N909" s="138"/>
      <c r="O909" s="138"/>
      <c r="P909" s="138"/>
      <c r="Q909" s="138"/>
      <c r="R909" s="138"/>
      <c r="S909" s="138"/>
      <c r="T909" s="138"/>
      <c r="U909" s="138"/>
    </row>
    <row r="910" spans="1:22" s="26" customFormat="1" ht="15" customHeight="1" x14ac:dyDescent="0.2">
      <c r="A910" s="32">
        <v>41556.460416666669</v>
      </c>
      <c r="B910" s="26" t="s">
        <v>16</v>
      </c>
      <c r="C910" s="26" t="s">
        <v>532</v>
      </c>
      <c r="D910" s="30">
        <v>41518</v>
      </c>
      <c r="E910" s="26" t="s">
        <v>543</v>
      </c>
      <c r="F910" s="26" t="s">
        <v>2608</v>
      </c>
      <c r="G910" s="26" t="s">
        <v>26</v>
      </c>
      <c r="H910" s="26" t="s">
        <v>2608</v>
      </c>
      <c r="J910" s="46">
        <v>8</v>
      </c>
      <c r="K910" s="46">
        <v>100</v>
      </c>
      <c r="L910" s="136"/>
      <c r="M910" s="137" t="s">
        <v>22</v>
      </c>
      <c r="N910" s="138"/>
      <c r="O910" s="138"/>
      <c r="P910" s="138"/>
      <c r="Q910" s="138"/>
      <c r="R910" s="138"/>
      <c r="S910" s="138"/>
      <c r="T910" s="138"/>
      <c r="U910" s="138"/>
    </row>
    <row r="911" spans="1:22" s="26" customFormat="1" ht="15" customHeight="1" x14ac:dyDescent="0.2">
      <c r="A911" s="32">
        <v>41556.46130787037</v>
      </c>
      <c r="B911" s="26" t="s">
        <v>16</v>
      </c>
      <c r="C911" s="26" t="s">
        <v>532</v>
      </c>
      <c r="D911" s="30">
        <v>41518</v>
      </c>
      <c r="E911" s="26" t="s">
        <v>1997</v>
      </c>
      <c r="F911" s="26" t="s">
        <v>2608</v>
      </c>
      <c r="G911" s="26" t="s">
        <v>26</v>
      </c>
      <c r="H911" s="26" t="s">
        <v>2608</v>
      </c>
      <c r="J911" s="46">
        <v>8</v>
      </c>
      <c r="K911" s="46">
        <v>100</v>
      </c>
      <c r="L911" s="136"/>
      <c r="M911" s="137" t="s">
        <v>22</v>
      </c>
      <c r="N911" s="138"/>
      <c r="O911" s="138"/>
      <c r="P911" s="138"/>
      <c r="Q911" s="138"/>
      <c r="R911" s="138"/>
      <c r="S911" s="138"/>
      <c r="T911" s="138"/>
      <c r="U911" s="138"/>
    </row>
    <row r="912" spans="1:22" s="26" customFormat="1" ht="15" customHeight="1" x14ac:dyDescent="0.2">
      <c r="A912" s="32">
        <v>41556.462037037039</v>
      </c>
      <c r="B912" s="26" t="s">
        <v>16</v>
      </c>
      <c r="C912" s="26" t="s">
        <v>532</v>
      </c>
      <c r="D912" s="30">
        <v>41518</v>
      </c>
      <c r="E912" s="26" t="s">
        <v>2624</v>
      </c>
      <c r="F912" s="26" t="s">
        <v>2608</v>
      </c>
      <c r="G912" s="26" t="s">
        <v>26</v>
      </c>
      <c r="H912" s="26" t="s">
        <v>2608</v>
      </c>
      <c r="J912" s="46">
        <v>1</v>
      </c>
      <c r="K912" s="46">
        <v>100</v>
      </c>
      <c r="L912" s="136"/>
      <c r="M912" s="137" t="s">
        <v>22</v>
      </c>
      <c r="N912" s="138"/>
      <c r="O912" s="138"/>
      <c r="P912" s="138"/>
      <c r="Q912" s="138"/>
      <c r="R912" s="138"/>
      <c r="S912" s="138"/>
      <c r="T912" s="138"/>
      <c r="U912" s="138"/>
    </row>
    <row r="913" spans="1:22" s="26" customFormat="1" ht="15" customHeight="1" x14ac:dyDescent="0.2">
      <c r="A913" s="32">
        <v>41556.463252314818</v>
      </c>
      <c r="B913" s="26" t="s">
        <v>16</v>
      </c>
      <c r="C913" s="26" t="s">
        <v>532</v>
      </c>
      <c r="D913" s="30">
        <v>41518</v>
      </c>
      <c r="E913" s="26" t="s">
        <v>543</v>
      </c>
      <c r="F913" s="26" t="s">
        <v>2608</v>
      </c>
      <c r="G913" s="26" t="s">
        <v>26</v>
      </c>
      <c r="H913" s="26" t="s">
        <v>2608</v>
      </c>
      <c r="J913" s="46">
        <v>8</v>
      </c>
      <c r="K913" s="46">
        <v>100</v>
      </c>
      <c r="L913" s="136"/>
      <c r="M913" s="137" t="s">
        <v>22</v>
      </c>
      <c r="N913" s="138"/>
      <c r="O913" s="138"/>
      <c r="P913" s="138"/>
      <c r="Q913" s="138"/>
      <c r="R913" s="138"/>
      <c r="S913" s="138"/>
      <c r="T913" s="138"/>
      <c r="U913" s="138"/>
    </row>
    <row r="914" spans="1:22" s="26" customFormat="1" ht="15" customHeight="1" x14ac:dyDescent="0.2">
      <c r="A914" s="48">
        <v>41613.687743055598</v>
      </c>
      <c r="B914" s="49" t="s">
        <v>16</v>
      </c>
      <c r="C914" s="50" t="s">
        <v>532</v>
      </c>
      <c r="D914" s="67">
        <v>41579</v>
      </c>
      <c r="E914" s="50" t="s">
        <v>3347</v>
      </c>
      <c r="F914" s="50" t="s">
        <v>3348</v>
      </c>
      <c r="G914" s="49" t="s">
        <v>42</v>
      </c>
      <c r="H914" s="50" t="s">
        <v>2608</v>
      </c>
      <c r="I914" s="50" t="s">
        <v>2986</v>
      </c>
      <c r="J914" s="117">
        <v>1</v>
      </c>
      <c r="K914" s="117">
        <v>15</v>
      </c>
      <c r="L914" s="142">
        <v>75</v>
      </c>
      <c r="M914" s="143" t="s">
        <v>22</v>
      </c>
      <c r="N914" s="144"/>
      <c r="O914" s="144"/>
      <c r="P914" s="144"/>
      <c r="Q914" s="144"/>
      <c r="R914" s="144"/>
      <c r="S914" s="144"/>
      <c r="T914" s="144"/>
      <c r="U914" s="144"/>
      <c r="V914" s="50"/>
    </row>
    <row r="915" spans="1:22" s="26" customFormat="1" ht="15" customHeight="1" x14ac:dyDescent="0.2">
      <c r="A915" s="48">
        <v>41613.689108796301</v>
      </c>
      <c r="B915" s="49" t="s">
        <v>16</v>
      </c>
      <c r="C915" s="50" t="s">
        <v>532</v>
      </c>
      <c r="D915" s="67">
        <v>41579</v>
      </c>
      <c r="E915" s="50" t="s">
        <v>2606</v>
      </c>
      <c r="F915" s="50" t="s">
        <v>3349</v>
      </c>
      <c r="G915" s="49" t="s">
        <v>42</v>
      </c>
      <c r="H915" s="50" t="s">
        <v>2608</v>
      </c>
      <c r="I915" s="50" t="s">
        <v>2986</v>
      </c>
      <c r="J915" s="117">
        <v>1</v>
      </c>
      <c r="K915" s="117">
        <v>25</v>
      </c>
      <c r="L915" s="142">
        <v>75</v>
      </c>
      <c r="M915" s="143" t="s">
        <v>22</v>
      </c>
      <c r="N915" s="144"/>
      <c r="O915" s="144"/>
      <c r="P915" s="144"/>
      <c r="Q915" s="144"/>
      <c r="R915" s="144"/>
      <c r="S915" s="144"/>
      <c r="T915" s="144"/>
      <c r="U915" s="144"/>
      <c r="V915" s="50"/>
    </row>
    <row r="916" spans="1:22" s="26" customFormat="1" ht="15" customHeight="1" x14ac:dyDescent="0.2">
      <c r="A916" s="48">
        <v>41613.690787036998</v>
      </c>
      <c r="B916" s="49" t="s">
        <v>16</v>
      </c>
      <c r="C916" s="50" t="s">
        <v>532</v>
      </c>
      <c r="D916" s="67">
        <v>41579</v>
      </c>
      <c r="E916" s="50" t="s">
        <v>3350</v>
      </c>
      <c r="F916" s="50" t="s">
        <v>3351</v>
      </c>
      <c r="G916" s="49" t="s">
        <v>20</v>
      </c>
      <c r="H916" s="50" t="s">
        <v>2608</v>
      </c>
      <c r="I916" s="50" t="s">
        <v>2986</v>
      </c>
      <c r="J916" s="117">
        <v>1</v>
      </c>
      <c r="K916" s="117">
        <v>20</v>
      </c>
      <c r="L916" s="142">
        <v>60</v>
      </c>
      <c r="M916" s="143" t="s">
        <v>22</v>
      </c>
      <c r="N916" s="144"/>
      <c r="O916" s="144"/>
      <c r="P916" s="144"/>
      <c r="Q916" s="144"/>
      <c r="R916" s="144"/>
      <c r="S916" s="144"/>
      <c r="T916" s="144"/>
      <c r="U916" s="144"/>
      <c r="V916" s="50"/>
    </row>
    <row r="917" spans="1:22" s="26" customFormat="1" ht="15" customHeight="1" x14ac:dyDescent="0.2">
      <c r="A917" s="48">
        <v>41613.692141203697</v>
      </c>
      <c r="B917" s="49" t="s">
        <v>16</v>
      </c>
      <c r="C917" s="50" t="s">
        <v>532</v>
      </c>
      <c r="D917" s="67">
        <v>41579</v>
      </c>
      <c r="E917" s="50" t="s">
        <v>1988</v>
      </c>
      <c r="F917" s="50" t="s">
        <v>3352</v>
      </c>
      <c r="G917" s="49" t="s">
        <v>42</v>
      </c>
      <c r="H917" s="50" t="s">
        <v>2608</v>
      </c>
      <c r="I917" s="50" t="s">
        <v>2986</v>
      </c>
      <c r="J917" s="117">
        <v>1</v>
      </c>
      <c r="K917" s="117">
        <v>40</v>
      </c>
      <c r="L917" s="142">
        <v>200</v>
      </c>
      <c r="M917" s="143" t="s">
        <v>22</v>
      </c>
      <c r="N917" s="144"/>
      <c r="O917" s="144"/>
      <c r="P917" s="144"/>
      <c r="Q917" s="144"/>
      <c r="R917" s="144"/>
      <c r="S917" s="144"/>
      <c r="T917" s="144"/>
      <c r="U917" s="144"/>
      <c r="V917" s="50"/>
    </row>
    <row r="918" spans="1:22" s="26" customFormat="1" ht="15" customHeight="1" x14ac:dyDescent="0.2">
      <c r="A918" s="48">
        <v>41613.693888888898</v>
      </c>
      <c r="B918" s="49" t="s">
        <v>16</v>
      </c>
      <c r="C918" s="50" t="s">
        <v>532</v>
      </c>
      <c r="D918" s="67">
        <v>41579</v>
      </c>
      <c r="E918" s="50" t="s">
        <v>3353</v>
      </c>
      <c r="F918" s="50" t="s">
        <v>3354</v>
      </c>
      <c r="G918" s="49" t="s">
        <v>20</v>
      </c>
      <c r="H918" s="50" t="s">
        <v>2608</v>
      </c>
      <c r="I918" s="50" t="s">
        <v>2986</v>
      </c>
      <c r="J918" s="117">
        <v>1</v>
      </c>
      <c r="K918" s="117">
        <v>125</v>
      </c>
      <c r="L918" s="142">
        <v>375</v>
      </c>
      <c r="M918" s="143" t="s">
        <v>22</v>
      </c>
      <c r="N918" s="144"/>
      <c r="O918" s="144"/>
      <c r="P918" s="144"/>
      <c r="Q918" s="144"/>
      <c r="R918" s="144"/>
      <c r="S918" s="144"/>
      <c r="T918" s="144"/>
      <c r="U918" s="144"/>
      <c r="V918" s="50"/>
    </row>
    <row r="919" spans="1:22" s="26" customFormat="1" ht="15" customHeight="1" x14ac:dyDescent="0.2">
      <c r="A919" s="48">
        <v>41613.695787037002</v>
      </c>
      <c r="B919" s="49" t="s">
        <v>16</v>
      </c>
      <c r="C919" s="50" t="s">
        <v>532</v>
      </c>
      <c r="D919" s="67">
        <v>41579</v>
      </c>
      <c r="E919" s="50" t="s">
        <v>3355</v>
      </c>
      <c r="F919" s="50" t="s">
        <v>3356</v>
      </c>
      <c r="G919" s="49" t="s">
        <v>42</v>
      </c>
      <c r="H919" s="50" t="s">
        <v>2608</v>
      </c>
      <c r="I919" s="50" t="s">
        <v>2986</v>
      </c>
      <c r="J919" s="117">
        <v>5</v>
      </c>
      <c r="K919" s="117">
        <v>40</v>
      </c>
      <c r="L919" s="142">
        <v>200</v>
      </c>
      <c r="M919" s="143" t="s">
        <v>22</v>
      </c>
      <c r="N919" s="144"/>
      <c r="O919" s="144"/>
      <c r="P919" s="144"/>
      <c r="Q919" s="144"/>
      <c r="R919" s="144"/>
      <c r="S919" s="144"/>
      <c r="T919" s="144"/>
      <c r="U919" s="144"/>
      <c r="V919" s="50"/>
    </row>
    <row r="920" spans="1:22" s="26" customFormat="1" ht="15" customHeight="1" x14ac:dyDescent="0.2">
      <c r="A920" s="48">
        <v>41613.697337963</v>
      </c>
      <c r="B920" s="49" t="s">
        <v>16</v>
      </c>
      <c r="C920" s="50" t="s">
        <v>532</v>
      </c>
      <c r="D920" s="67">
        <v>41579</v>
      </c>
      <c r="E920" s="50" t="s">
        <v>3357</v>
      </c>
      <c r="F920" s="50" t="s">
        <v>3358</v>
      </c>
      <c r="G920" s="49" t="s">
        <v>60</v>
      </c>
      <c r="H920" s="50" t="s">
        <v>3359</v>
      </c>
      <c r="I920" s="50" t="s">
        <v>2986</v>
      </c>
      <c r="J920" s="117">
        <v>1</v>
      </c>
      <c r="K920" s="117">
        <v>5</v>
      </c>
      <c r="L920" s="142"/>
      <c r="M920" s="143" t="s">
        <v>22</v>
      </c>
      <c r="N920" s="144"/>
      <c r="O920" s="144"/>
      <c r="P920" s="144"/>
      <c r="Q920" s="144"/>
      <c r="R920" s="144"/>
      <c r="S920" s="144"/>
      <c r="T920" s="144"/>
      <c r="U920" s="144"/>
      <c r="V920" s="50"/>
    </row>
    <row r="921" spans="1:22" s="26" customFormat="1" ht="15" customHeight="1" x14ac:dyDescent="0.2">
      <c r="A921" s="48">
        <v>41613.699560185203</v>
      </c>
      <c r="B921" s="49" t="s">
        <v>16</v>
      </c>
      <c r="C921" s="50" t="s">
        <v>532</v>
      </c>
      <c r="D921" s="67">
        <v>41579</v>
      </c>
      <c r="E921" s="50" t="s">
        <v>537</v>
      </c>
      <c r="F921" s="50" t="s">
        <v>3360</v>
      </c>
      <c r="G921" s="49" t="s">
        <v>26</v>
      </c>
      <c r="H921" s="50" t="s">
        <v>2608</v>
      </c>
      <c r="I921" s="50" t="s">
        <v>2986</v>
      </c>
      <c r="J921" s="117">
        <v>5</v>
      </c>
      <c r="K921" s="117">
        <v>25</v>
      </c>
      <c r="L921" s="142"/>
      <c r="M921" s="143" t="s">
        <v>22</v>
      </c>
      <c r="N921" s="144"/>
      <c r="O921" s="144"/>
      <c r="P921" s="144"/>
      <c r="Q921" s="144"/>
      <c r="R921" s="144"/>
      <c r="S921" s="144"/>
      <c r="T921" s="144"/>
      <c r="U921" s="144"/>
      <c r="V921" s="50"/>
    </row>
    <row r="922" spans="1:22" s="26" customFormat="1" ht="15" customHeight="1" x14ac:dyDescent="0.2">
      <c r="A922" s="48">
        <v>41613.7011458333</v>
      </c>
      <c r="B922" s="49" t="s">
        <v>16</v>
      </c>
      <c r="C922" s="50" t="s">
        <v>532</v>
      </c>
      <c r="D922" s="67">
        <v>41579</v>
      </c>
      <c r="E922" s="50" t="s">
        <v>537</v>
      </c>
      <c r="F922" s="50" t="s">
        <v>2922</v>
      </c>
      <c r="G922" s="49" t="s">
        <v>26</v>
      </c>
      <c r="H922" s="50" t="s">
        <v>2608</v>
      </c>
      <c r="I922" s="50" t="s">
        <v>2986</v>
      </c>
      <c r="J922" s="117">
        <v>8</v>
      </c>
      <c r="K922" s="117">
        <v>50</v>
      </c>
      <c r="L922" s="142"/>
      <c r="M922" s="143" t="s">
        <v>22</v>
      </c>
      <c r="N922" s="144"/>
      <c r="O922" s="144"/>
      <c r="P922" s="144"/>
      <c r="Q922" s="144"/>
      <c r="R922" s="144"/>
      <c r="S922" s="144"/>
      <c r="T922" s="144"/>
      <c r="U922" s="144"/>
      <c r="V922" s="50"/>
    </row>
    <row r="923" spans="1:22" s="26" customFormat="1" ht="15" customHeight="1" x14ac:dyDescent="0.2">
      <c r="A923" s="48">
        <v>41613.702141203699</v>
      </c>
      <c r="B923" s="49" t="s">
        <v>16</v>
      </c>
      <c r="C923" s="50" t="s">
        <v>532</v>
      </c>
      <c r="D923" s="67">
        <v>41579</v>
      </c>
      <c r="E923" s="50" t="s">
        <v>537</v>
      </c>
      <c r="F923" s="50" t="s">
        <v>2922</v>
      </c>
      <c r="G923" s="49" t="s">
        <v>26</v>
      </c>
      <c r="H923" s="50" t="s">
        <v>2608</v>
      </c>
      <c r="I923" s="50" t="s">
        <v>2986</v>
      </c>
      <c r="J923" s="117">
        <v>8</v>
      </c>
      <c r="K923" s="117">
        <v>50</v>
      </c>
      <c r="L923" s="142"/>
      <c r="M923" s="143" t="s">
        <v>22</v>
      </c>
      <c r="N923" s="144"/>
      <c r="O923" s="144"/>
      <c r="P923" s="144"/>
      <c r="Q923" s="144"/>
      <c r="R923" s="144"/>
      <c r="S923" s="144"/>
      <c r="T923" s="144"/>
      <c r="U923" s="144"/>
      <c r="V923" s="50"/>
    </row>
    <row r="924" spans="1:22" s="26" customFormat="1" ht="15" customHeight="1" x14ac:dyDescent="0.2">
      <c r="A924" s="48">
        <v>41613.703067129602</v>
      </c>
      <c r="B924" s="49" t="s">
        <v>16</v>
      </c>
      <c r="C924" s="50" t="s">
        <v>532</v>
      </c>
      <c r="D924" s="67">
        <v>41579</v>
      </c>
      <c r="E924" s="50" t="s">
        <v>2624</v>
      </c>
      <c r="F924" s="50" t="s">
        <v>2922</v>
      </c>
      <c r="G924" s="49" t="s">
        <v>26</v>
      </c>
      <c r="H924" s="50" t="s">
        <v>2608</v>
      </c>
      <c r="I924" s="50" t="s">
        <v>2986</v>
      </c>
      <c r="J924" s="117">
        <v>8</v>
      </c>
      <c r="K924" s="117">
        <v>50</v>
      </c>
      <c r="L924" s="142"/>
      <c r="M924" s="143" t="s">
        <v>22</v>
      </c>
      <c r="N924" s="144"/>
      <c r="O924" s="144"/>
      <c r="P924" s="144"/>
      <c r="Q924" s="144"/>
      <c r="R924" s="144"/>
      <c r="S924" s="144"/>
      <c r="T924" s="144"/>
      <c r="U924" s="144"/>
      <c r="V924" s="50"/>
    </row>
    <row r="925" spans="1:22" s="26" customFormat="1" ht="15" customHeight="1" x14ac:dyDescent="0.2">
      <c r="A925" s="48">
        <v>41613.703969907401</v>
      </c>
      <c r="B925" s="49" t="s">
        <v>16</v>
      </c>
      <c r="C925" s="50" t="s">
        <v>532</v>
      </c>
      <c r="D925" s="67">
        <v>41579</v>
      </c>
      <c r="E925" s="50" t="s">
        <v>537</v>
      </c>
      <c r="F925" s="50" t="s">
        <v>2922</v>
      </c>
      <c r="G925" s="49" t="s">
        <v>26</v>
      </c>
      <c r="H925" s="50" t="s">
        <v>2608</v>
      </c>
      <c r="I925" s="50" t="s">
        <v>2986</v>
      </c>
      <c r="J925" s="117">
        <v>8</v>
      </c>
      <c r="K925" s="117">
        <v>50</v>
      </c>
      <c r="L925" s="142"/>
      <c r="M925" s="143" t="s">
        <v>22</v>
      </c>
      <c r="N925" s="144"/>
      <c r="O925" s="144"/>
      <c r="P925" s="144"/>
      <c r="Q925" s="144"/>
      <c r="R925" s="144"/>
      <c r="S925" s="144"/>
      <c r="T925" s="144"/>
      <c r="U925" s="144"/>
      <c r="V925" s="50"/>
    </row>
    <row r="926" spans="1:22" s="26" customFormat="1" ht="15" customHeight="1" x14ac:dyDescent="0.2">
      <c r="A926" s="32">
        <v>41649.626192129632</v>
      </c>
      <c r="B926" s="26" t="s">
        <v>16</v>
      </c>
      <c r="C926" s="26" t="s">
        <v>532</v>
      </c>
      <c r="D926" s="68">
        <v>41609</v>
      </c>
      <c r="E926" s="26" t="s">
        <v>4101</v>
      </c>
      <c r="F926" s="26" t="s">
        <v>4102</v>
      </c>
      <c r="G926" s="26" t="s">
        <v>20</v>
      </c>
      <c r="H926" s="26" t="s">
        <v>2608</v>
      </c>
      <c r="I926" s="26" t="s">
        <v>2986</v>
      </c>
      <c r="J926" s="46">
        <v>0</v>
      </c>
      <c r="K926" s="46">
        <v>0</v>
      </c>
      <c r="L926" s="136"/>
      <c r="M926" s="137" t="s">
        <v>22</v>
      </c>
      <c r="N926" s="138"/>
      <c r="O926" s="138"/>
      <c r="P926" s="138"/>
      <c r="Q926" s="138"/>
      <c r="R926" s="138"/>
      <c r="S926" s="138"/>
      <c r="T926" s="138"/>
      <c r="U926" s="138"/>
      <c r="V926" s="34" t="s">
        <v>4117</v>
      </c>
    </row>
    <row r="927" spans="1:22" s="26" customFormat="1" ht="15" customHeight="1" x14ac:dyDescent="0.2">
      <c r="A927" s="32">
        <v>41649.629513888889</v>
      </c>
      <c r="B927" s="26" t="s">
        <v>16</v>
      </c>
      <c r="C927" s="26" t="s">
        <v>532</v>
      </c>
      <c r="D927" s="68">
        <v>41609</v>
      </c>
      <c r="E927" s="26" t="s">
        <v>4103</v>
      </c>
      <c r="F927" s="26" t="s">
        <v>4104</v>
      </c>
      <c r="G927" s="34" t="s">
        <v>156</v>
      </c>
      <c r="H927" s="26" t="s">
        <v>4105</v>
      </c>
      <c r="I927" s="26" t="s">
        <v>4106</v>
      </c>
      <c r="J927" s="46">
        <v>1</v>
      </c>
      <c r="K927" s="46">
        <v>300</v>
      </c>
      <c r="L927" s="136">
        <v>1800</v>
      </c>
      <c r="M927" s="137" t="s">
        <v>22</v>
      </c>
      <c r="N927" s="138"/>
      <c r="O927" s="138"/>
      <c r="P927" s="138"/>
      <c r="Q927" s="138"/>
      <c r="R927" s="138"/>
      <c r="S927" s="138"/>
      <c r="T927" s="138"/>
      <c r="U927" s="138">
        <v>300</v>
      </c>
    </row>
    <row r="928" spans="1:22" s="26" customFormat="1" ht="15" customHeight="1" x14ac:dyDescent="0.2">
      <c r="A928" s="32">
        <v>41649.63144675926</v>
      </c>
      <c r="B928" s="26" t="s">
        <v>16</v>
      </c>
      <c r="C928" s="26" t="s">
        <v>532</v>
      </c>
      <c r="D928" s="68">
        <v>41609</v>
      </c>
      <c r="E928" s="26" t="s">
        <v>4107</v>
      </c>
      <c r="F928" s="26" t="s">
        <v>4108</v>
      </c>
      <c r="G928" s="26" t="s">
        <v>26</v>
      </c>
      <c r="H928" s="26" t="s">
        <v>4109</v>
      </c>
      <c r="I928" s="26" t="s">
        <v>2986</v>
      </c>
      <c r="J928" s="46">
        <v>4</v>
      </c>
      <c r="K928" s="46">
        <v>18</v>
      </c>
      <c r="L928" s="136"/>
      <c r="M928" s="137" t="s">
        <v>22</v>
      </c>
      <c r="N928" s="138"/>
      <c r="O928" s="138"/>
      <c r="P928" s="138"/>
      <c r="Q928" s="138"/>
      <c r="R928" s="138"/>
      <c r="S928" s="138"/>
      <c r="T928" s="138"/>
      <c r="U928" s="138"/>
    </row>
    <row r="929" spans="1:25" s="26" customFormat="1" ht="15" customHeight="1" x14ac:dyDescent="0.2">
      <c r="A929" s="32">
        <v>41649.635937500003</v>
      </c>
      <c r="B929" s="26" t="s">
        <v>16</v>
      </c>
      <c r="C929" s="26" t="s">
        <v>532</v>
      </c>
      <c r="D929" s="68">
        <v>41609</v>
      </c>
      <c r="E929" s="26" t="s">
        <v>537</v>
      </c>
      <c r="F929" s="26" t="s">
        <v>4109</v>
      </c>
      <c r="G929" s="26" t="s">
        <v>26</v>
      </c>
      <c r="H929" s="26" t="s">
        <v>2608</v>
      </c>
      <c r="I929" s="26" t="s">
        <v>2986</v>
      </c>
      <c r="J929" s="46">
        <v>8</v>
      </c>
      <c r="K929" s="46">
        <v>15</v>
      </c>
      <c r="L929" s="136"/>
      <c r="M929" s="137" t="s">
        <v>22</v>
      </c>
      <c r="N929" s="138"/>
      <c r="O929" s="138"/>
      <c r="P929" s="138"/>
      <c r="Q929" s="138"/>
      <c r="R929" s="138"/>
      <c r="S929" s="138"/>
      <c r="T929" s="138"/>
      <c r="U929" s="138"/>
    </row>
    <row r="930" spans="1:25" s="26" customFormat="1" ht="15" customHeight="1" x14ac:dyDescent="0.2">
      <c r="A930" s="32">
        <v>41649.63722222222</v>
      </c>
      <c r="B930" s="26" t="s">
        <v>16</v>
      </c>
      <c r="C930" s="26" t="s">
        <v>532</v>
      </c>
      <c r="D930" s="68">
        <v>41609</v>
      </c>
      <c r="E930" s="26" t="s">
        <v>537</v>
      </c>
      <c r="F930" s="26" t="s">
        <v>4109</v>
      </c>
      <c r="G930" s="26" t="s">
        <v>26</v>
      </c>
      <c r="I930" s="26" t="s">
        <v>2986</v>
      </c>
      <c r="J930" s="46">
        <v>8</v>
      </c>
      <c r="K930" s="46">
        <v>20</v>
      </c>
      <c r="L930" s="136"/>
      <c r="M930" s="137" t="s">
        <v>22</v>
      </c>
      <c r="N930" s="138"/>
      <c r="O930" s="138"/>
      <c r="P930" s="138"/>
      <c r="Q930" s="138"/>
      <c r="R930" s="138"/>
      <c r="S930" s="138"/>
      <c r="T930" s="138"/>
      <c r="U930" s="138"/>
    </row>
    <row r="931" spans="1:25" s="26" customFormat="1" ht="15" customHeight="1" x14ac:dyDescent="0.2">
      <c r="A931" s="32">
        <v>41649.639085648145</v>
      </c>
      <c r="B931" s="26" t="s">
        <v>16</v>
      </c>
      <c r="C931" s="26" t="s">
        <v>532</v>
      </c>
      <c r="D931" s="68">
        <v>41609</v>
      </c>
      <c r="E931" s="26" t="s">
        <v>537</v>
      </c>
      <c r="F931" s="26" t="s">
        <v>4109</v>
      </c>
      <c r="G931" s="26" t="s">
        <v>26</v>
      </c>
      <c r="H931" s="26" t="s">
        <v>2608</v>
      </c>
      <c r="I931" s="26" t="s">
        <v>2986</v>
      </c>
      <c r="J931" s="46">
        <v>8</v>
      </c>
      <c r="K931" s="46">
        <v>10</v>
      </c>
      <c r="L931" s="136"/>
      <c r="M931" s="137" t="s">
        <v>22</v>
      </c>
      <c r="N931" s="138"/>
      <c r="O931" s="138"/>
      <c r="P931" s="138"/>
      <c r="Q931" s="138"/>
      <c r="R931" s="138"/>
      <c r="S931" s="138"/>
      <c r="T931" s="138"/>
      <c r="U931" s="138"/>
    </row>
    <row r="932" spans="1:25" s="26" customFormat="1" ht="15" customHeight="1" x14ac:dyDescent="0.2">
      <c r="A932" s="32">
        <v>41649.640196759261</v>
      </c>
      <c r="B932" s="26" t="s">
        <v>16</v>
      </c>
      <c r="C932" s="26" t="s">
        <v>532</v>
      </c>
      <c r="D932" s="68">
        <v>41609</v>
      </c>
      <c r="E932" s="26" t="s">
        <v>537</v>
      </c>
      <c r="F932" s="26" t="s">
        <v>4109</v>
      </c>
      <c r="G932" s="26" t="s">
        <v>26</v>
      </c>
      <c r="H932" s="26" t="s">
        <v>2608</v>
      </c>
      <c r="I932" s="26" t="s">
        <v>2986</v>
      </c>
      <c r="J932" s="46">
        <v>3</v>
      </c>
      <c r="K932" s="46">
        <v>5</v>
      </c>
      <c r="L932" s="136"/>
      <c r="M932" s="137" t="s">
        <v>22</v>
      </c>
      <c r="N932" s="138"/>
      <c r="O932" s="138"/>
      <c r="P932" s="138"/>
      <c r="Q932" s="138"/>
      <c r="R932" s="138"/>
      <c r="S932" s="138"/>
      <c r="T932" s="138"/>
      <c r="U932" s="138"/>
    </row>
    <row r="933" spans="1:25" s="26" customFormat="1" ht="15" customHeight="1" x14ac:dyDescent="0.2">
      <c r="A933" s="32">
        <v>41649.641377314816</v>
      </c>
      <c r="B933" s="26" t="s">
        <v>16</v>
      </c>
      <c r="C933" s="26" t="s">
        <v>532</v>
      </c>
      <c r="D933" s="68">
        <v>41609</v>
      </c>
      <c r="E933" s="26" t="s">
        <v>4110</v>
      </c>
      <c r="F933" s="26" t="s">
        <v>4109</v>
      </c>
      <c r="G933" s="26" t="s">
        <v>26</v>
      </c>
      <c r="H933" s="26" t="s">
        <v>2608</v>
      </c>
      <c r="I933" s="26" t="s">
        <v>2986</v>
      </c>
      <c r="J933" s="46">
        <v>1</v>
      </c>
      <c r="K933" s="46">
        <v>0</v>
      </c>
      <c r="L933" s="136"/>
      <c r="M933" s="137" t="s">
        <v>22</v>
      </c>
      <c r="N933" s="138"/>
      <c r="O933" s="138"/>
      <c r="P933" s="138"/>
      <c r="Q933" s="138"/>
      <c r="R933" s="138"/>
      <c r="S933" s="138"/>
      <c r="T933" s="138"/>
      <c r="U933" s="138"/>
    </row>
    <row r="934" spans="1:25" s="26" customFormat="1" ht="15" customHeight="1" x14ac:dyDescent="0.2">
      <c r="A934" s="55">
        <v>41678.475648148102</v>
      </c>
      <c r="B934" s="52" t="s">
        <v>16</v>
      </c>
      <c r="C934" s="52" t="s">
        <v>532</v>
      </c>
      <c r="D934" s="69">
        <v>41640</v>
      </c>
      <c r="E934" s="52" t="s">
        <v>4458</v>
      </c>
      <c r="F934" s="52" t="s">
        <v>4459</v>
      </c>
      <c r="G934" s="52" t="s">
        <v>351</v>
      </c>
      <c r="H934" s="52" t="s">
        <v>4460</v>
      </c>
      <c r="I934" s="52" t="s">
        <v>2986</v>
      </c>
      <c r="J934" s="95">
        <v>1</v>
      </c>
      <c r="K934" s="118">
        <v>25</v>
      </c>
      <c r="L934" s="148"/>
      <c r="M934" s="146" t="s">
        <v>22</v>
      </c>
      <c r="N934" s="147"/>
      <c r="O934" s="147"/>
      <c r="P934" s="147"/>
      <c r="Q934" s="147"/>
      <c r="R934" s="147"/>
      <c r="S934" s="147"/>
      <c r="T934" s="147"/>
      <c r="U934" s="149"/>
      <c r="V934" s="52"/>
      <c r="W934" s="52"/>
      <c r="X934" s="52"/>
      <c r="Y934" s="52"/>
    </row>
    <row r="935" spans="1:25" s="26" customFormat="1" ht="15" customHeight="1" x14ac:dyDescent="0.2">
      <c r="A935" s="55">
        <v>41678.492314814801</v>
      </c>
      <c r="B935" s="52" t="s">
        <v>16</v>
      </c>
      <c r="C935" s="52" t="s">
        <v>532</v>
      </c>
      <c r="D935" s="69">
        <v>41640</v>
      </c>
      <c r="E935" s="52" t="s">
        <v>4461</v>
      </c>
      <c r="F935" s="52" t="s">
        <v>4462</v>
      </c>
      <c r="G935" s="52" t="s">
        <v>156</v>
      </c>
      <c r="H935" s="56" t="s">
        <v>4463</v>
      </c>
      <c r="I935" s="52" t="s">
        <v>2986</v>
      </c>
      <c r="J935" s="95">
        <v>1</v>
      </c>
      <c r="K935" s="118">
        <v>458</v>
      </c>
      <c r="L935" s="148"/>
      <c r="M935" s="146" t="s">
        <v>22</v>
      </c>
      <c r="N935" s="147"/>
      <c r="O935" s="147"/>
      <c r="P935" s="147"/>
      <c r="Q935" s="147"/>
      <c r="R935" s="147"/>
      <c r="S935" s="147"/>
      <c r="T935" s="147"/>
      <c r="U935" s="149"/>
      <c r="V935" s="52"/>
      <c r="W935" s="52"/>
      <c r="X935" s="52"/>
      <c r="Y935" s="52"/>
    </row>
    <row r="936" spans="1:25" s="26" customFormat="1" ht="15" customHeight="1" x14ac:dyDescent="0.2">
      <c r="A936" s="55">
        <v>41678.496504629598</v>
      </c>
      <c r="B936" s="52" t="s">
        <v>16</v>
      </c>
      <c r="C936" s="52" t="s">
        <v>532</v>
      </c>
      <c r="D936" s="69">
        <v>41640</v>
      </c>
      <c r="E936" s="52" t="s">
        <v>537</v>
      </c>
      <c r="F936" s="52" t="s">
        <v>2608</v>
      </c>
      <c r="G936" s="52" t="s">
        <v>26</v>
      </c>
      <c r="H936" s="52" t="s">
        <v>2608</v>
      </c>
      <c r="I936" s="52" t="s">
        <v>2986</v>
      </c>
      <c r="J936" s="95">
        <v>8</v>
      </c>
      <c r="K936" s="118">
        <v>25</v>
      </c>
      <c r="L936" s="148"/>
      <c r="M936" s="146" t="s">
        <v>22</v>
      </c>
      <c r="N936" s="147"/>
      <c r="O936" s="147"/>
      <c r="P936" s="147"/>
      <c r="Q936" s="147"/>
      <c r="R936" s="147"/>
      <c r="S936" s="147"/>
      <c r="T936" s="147"/>
      <c r="U936" s="149"/>
      <c r="V936" s="52"/>
      <c r="W936" s="52"/>
      <c r="X936" s="52"/>
      <c r="Y936" s="52"/>
    </row>
    <row r="937" spans="1:25" s="26" customFormat="1" ht="15" customHeight="1" x14ac:dyDescent="0.2">
      <c r="A937" s="55">
        <v>41678.497395833299</v>
      </c>
      <c r="B937" s="52" t="s">
        <v>16</v>
      </c>
      <c r="C937" s="52" t="s">
        <v>532</v>
      </c>
      <c r="D937" s="69">
        <v>41640</v>
      </c>
      <c r="E937" s="52" t="s">
        <v>537</v>
      </c>
      <c r="F937" s="52" t="s">
        <v>2608</v>
      </c>
      <c r="G937" s="52" t="s">
        <v>26</v>
      </c>
      <c r="H937" s="52" t="s">
        <v>2608</v>
      </c>
      <c r="I937" s="52" t="s">
        <v>2986</v>
      </c>
      <c r="J937" s="95">
        <v>8</v>
      </c>
      <c r="K937" s="118">
        <v>25</v>
      </c>
      <c r="L937" s="148"/>
      <c r="M937" s="146" t="s">
        <v>22</v>
      </c>
      <c r="N937" s="147"/>
      <c r="O937" s="147"/>
      <c r="P937" s="147"/>
      <c r="Q937" s="147"/>
      <c r="R937" s="147"/>
      <c r="S937" s="147"/>
      <c r="T937" s="147"/>
      <c r="U937" s="149"/>
      <c r="V937" s="52"/>
      <c r="W937" s="52"/>
      <c r="X937" s="52"/>
      <c r="Y937" s="52"/>
    </row>
    <row r="938" spans="1:25" s="26" customFormat="1" ht="15" customHeight="1" x14ac:dyDescent="0.2">
      <c r="A938" s="55">
        <v>41678.4988310185</v>
      </c>
      <c r="B938" s="52" t="s">
        <v>16</v>
      </c>
      <c r="C938" s="52" t="s">
        <v>532</v>
      </c>
      <c r="D938" s="69">
        <v>41640</v>
      </c>
      <c r="E938" s="52" t="s">
        <v>4464</v>
      </c>
      <c r="F938" s="52" t="s">
        <v>2608</v>
      </c>
      <c r="G938" s="52" t="s">
        <v>26</v>
      </c>
      <c r="H938" s="52" t="s">
        <v>2608</v>
      </c>
      <c r="I938" s="52" t="s">
        <v>2986</v>
      </c>
      <c r="J938" s="95">
        <v>4</v>
      </c>
      <c r="K938" s="118">
        <v>10</v>
      </c>
      <c r="L938" s="148"/>
      <c r="M938" s="146" t="s">
        <v>22</v>
      </c>
      <c r="N938" s="147"/>
      <c r="O938" s="147"/>
      <c r="P938" s="147"/>
      <c r="Q938" s="147"/>
      <c r="R938" s="147"/>
      <c r="S938" s="147"/>
      <c r="T938" s="147"/>
      <c r="U938" s="149"/>
      <c r="V938" s="52"/>
      <c r="W938" s="52"/>
      <c r="X938" s="52"/>
      <c r="Y938" s="52"/>
    </row>
    <row r="939" spans="1:25" s="26" customFormat="1" ht="15" customHeight="1" x14ac:dyDescent="0.2">
      <c r="A939" s="32">
        <v>41709.636377314811</v>
      </c>
      <c r="B939" s="26" t="s">
        <v>16</v>
      </c>
      <c r="C939" s="26" t="s">
        <v>532</v>
      </c>
      <c r="D939" s="33">
        <v>41671</v>
      </c>
      <c r="E939" s="26" t="s">
        <v>5133</v>
      </c>
      <c r="F939" s="26" t="s">
        <v>5134</v>
      </c>
      <c r="G939" s="26" t="s">
        <v>20</v>
      </c>
      <c r="H939" s="26" t="s">
        <v>5135</v>
      </c>
      <c r="I939" s="26" t="s">
        <v>2986</v>
      </c>
      <c r="J939" s="46">
        <v>1</v>
      </c>
      <c r="K939" s="46">
        <v>15</v>
      </c>
      <c r="L939" s="136">
        <v>90</v>
      </c>
      <c r="M939" s="137" t="s">
        <v>22</v>
      </c>
      <c r="N939" s="138"/>
      <c r="O939" s="138"/>
      <c r="P939" s="138"/>
      <c r="Q939" s="138"/>
      <c r="R939" s="138"/>
      <c r="S939" s="138"/>
      <c r="T939" s="138"/>
      <c r="U939" s="138"/>
    </row>
    <row r="940" spans="1:25" s="26" customFormat="1" ht="15" customHeight="1" x14ac:dyDescent="0.2">
      <c r="A940" s="32">
        <v>41709.644166666665</v>
      </c>
      <c r="B940" s="26" t="s">
        <v>16</v>
      </c>
      <c r="C940" s="26" t="s">
        <v>532</v>
      </c>
      <c r="D940" s="33">
        <v>41671</v>
      </c>
      <c r="E940" s="26" t="s">
        <v>5137</v>
      </c>
      <c r="F940" s="26" t="s">
        <v>5138</v>
      </c>
      <c r="G940" s="26" t="s">
        <v>42</v>
      </c>
      <c r="H940" s="26" t="s">
        <v>2608</v>
      </c>
      <c r="I940" s="26" t="s">
        <v>2986</v>
      </c>
      <c r="J940" s="46">
        <v>1</v>
      </c>
      <c r="K940" s="46">
        <v>10</v>
      </c>
      <c r="L940" s="136">
        <v>75</v>
      </c>
      <c r="M940" s="137" t="s">
        <v>22</v>
      </c>
      <c r="N940" s="138"/>
      <c r="O940" s="138"/>
      <c r="P940" s="138"/>
      <c r="Q940" s="138"/>
      <c r="R940" s="138"/>
      <c r="S940" s="138"/>
      <c r="T940" s="138"/>
      <c r="U940" s="138"/>
    </row>
    <row r="941" spans="1:25" s="26" customFormat="1" ht="15" customHeight="1" x14ac:dyDescent="0.2">
      <c r="A941" s="32">
        <v>41709.645358796297</v>
      </c>
      <c r="B941" s="26" t="s">
        <v>16</v>
      </c>
      <c r="C941" s="26" t="s">
        <v>532</v>
      </c>
      <c r="D941" s="33">
        <v>41671</v>
      </c>
      <c r="E941" s="26" t="s">
        <v>5139</v>
      </c>
      <c r="F941" s="26" t="s">
        <v>5140</v>
      </c>
      <c r="G941" s="26" t="s">
        <v>156</v>
      </c>
      <c r="H941" s="26" t="s">
        <v>5141</v>
      </c>
      <c r="I941" s="26" t="s">
        <v>3001</v>
      </c>
      <c r="J941" s="46">
        <v>1</v>
      </c>
      <c r="K941" s="46">
        <v>132</v>
      </c>
      <c r="L941" s="136"/>
      <c r="M941" s="137" t="s">
        <v>22</v>
      </c>
      <c r="N941" s="138"/>
      <c r="O941" s="138"/>
      <c r="P941" s="138"/>
      <c r="Q941" s="138"/>
      <c r="R941" s="138"/>
      <c r="S941" s="138"/>
      <c r="T941" s="138"/>
      <c r="U941" s="138"/>
    </row>
    <row r="942" spans="1:25" s="26" customFormat="1" ht="15" customHeight="1" x14ac:dyDescent="0.2">
      <c r="A942" s="32">
        <v>41709.652303240742</v>
      </c>
      <c r="B942" s="26" t="s">
        <v>16</v>
      </c>
      <c r="C942" s="26" t="s">
        <v>532</v>
      </c>
      <c r="D942" s="33">
        <v>41671</v>
      </c>
      <c r="E942" s="26" t="s">
        <v>5142</v>
      </c>
      <c r="F942" s="26" t="s">
        <v>5143</v>
      </c>
      <c r="G942" s="26" t="s">
        <v>351</v>
      </c>
      <c r="H942" s="26" t="s">
        <v>5144</v>
      </c>
      <c r="I942" s="26" t="s">
        <v>2986</v>
      </c>
      <c r="J942" s="46">
        <v>1</v>
      </c>
      <c r="K942" s="46">
        <v>944</v>
      </c>
      <c r="L942" s="136"/>
      <c r="M942" s="137" t="s">
        <v>22</v>
      </c>
      <c r="N942" s="138"/>
      <c r="O942" s="138"/>
      <c r="P942" s="138"/>
      <c r="Q942" s="138"/>
      <c r="R942" s="138"/>
      <c r="S942" s="138"/>
      <c r="T942" s="138"/>
      <c r="U942" s="138"/>
    </row>
    <row r="943" spans="1:25" s="26" customFormat="1" ht="15" customHeight="1" x14ac:dyDescent="0.2">
      <c r="A943" s="32">
        <v>41709.656956018516</v>
      </c>
      <c r="B943" s="26" t="s">
        <v>16</v>
      </c>
      <c r="C943" s="26" t="s">
        <v>532</v>
      </c>
      <c r="D943" s="33">
        <v>41671</v>
      </c>
      <c r="E943" s="26" t="s">
        <v>5145</v>
      </c>
      <c r="F943" s="26" t="s">
        <v>5146</v>
      </c>
      <c r="G943" s="26" t="s">
        <v>26</v>
      </c>
      <c r="H943" s="26" t="s">
        <v>576</v>
      </c>
      <c r="I943" s="26" t="s">
        <v>3001</v>
      </c>
      <c r="J943" s="46">
        <v>1</v>
      </c>
      <c r="K943" s="46">
        <v>60</v>
      </c>
      <c r="L943" s="136">
        <v>390</v>
      </c>
      <c r="M943" s="137" t="s">
        <v>22</v>
      </c>
      <c r="N943" s="138"/>
      <c r="O943" s="138"/>
      <c r="P943" s="138"/>
      <c r="Q943" s="138"/>
      <c r="R943" s="138"/>
      <c r="S943" s="138"/>
      <c r="T943" s="138"/>
      <c r="U943" s="138"/>
    </row>
    <row r="944" spans="1:25" s="26" customFormat="1" ht="15" customHeight="1" x14ac:dyDescent="0.2">
      <c r="A944" s="32">
        <v>41709.658321759256</v>
      </c>
      <c r="B944" s="26" t="s">
        <v>16</v>
      </c>
      <c r="C944" s="26" t="s">
        <v>532</v>
      </c>
      <c r="D944" s="33">
        <v>41671</v>
      </c>
      <c r="E944" s="26" t="s">
        <v>5147</v>
      </c>
      <c r="F944" s="26" t="s">
        <v>2608</v>
      </c>
      <c r="G944" s="26" t="s">
        <v>26</v>
      </c>
      <c r="H944" s="26" t="s">
        <v>2608</v>
      </c>
      <c r="I944" s="26" t="s">
        <v>2986</v>
      </c>
      <c r="J944" s="46">
        <v>4</v>
      </c>
      <c r="K944" s="46">
        <v>25</v>
      </c>
      <c r="L944" s="136"/>
      <c r="M944" s="137" t="s">
        <v>22</v>
      </c>
      <c r="N944" s="138"/>
      <c r="O944" s="138"/>
      <c r="P944" s="138"/>
      <c r="Q944" s="138"/>
      <c r="R944" s="138"/>
      <c r="S944" s="138"/>
      <c r="T944" s="138"/>
      <c r="U944" s="138"/>
    </row>
    <row r="945" spans="1:21" s="26" customFormat="1" ht="15" customHeight="1" x14ac:dyDescent="0.2">
      <c r="A945" s="32">
        <v>41709.684907407405</v>
      </c>
      <c r="B945" s="26" t="s">
        <v>16</v>
      </c>
      <c r="C945" s="26" t="s">
        <v>532</v>
      </c>
      <c r="D945" s="33">
        <v>41671</v>
      </c>
      <c r="E945" s="26" t="s">
        <v>537</v>
      </c>
      <c r="F945" s="26" t="s">
        <v>2608</v>
      </c>
      <c r="G945" s="26" t="s">
        <v>26</v>
      </c>
      <c r="H945" s="26" t="s">
        <v>2608</v>
      </c>
      <c r="I945" s="26" t="s">
        <v>2986</v>
      </c>
      <c r="J945" s="46">
        <v>8</v>
      </c>
      <c r="K945" s="46">
        <v>45</v>
      </c>
      <c r="L945" s="136"/>
      <c r="M945" s="137" t="s">
        <v>22</v>
      </c>
      <c r="N945" s="138"/>
      <c r="O945" s="138"/>
      <c r="P945" s="138"/>
      <c r="Q945" s="138"/>
      <c r="R945" s="138"/>
      <c r="S945" s="138"/>
      <c r="T945" s="138"/>
      <c r="U945" s="138"/>
    </row>
    <row r="946" spans="1:21" s="26" customFormat="1" ht="15" customHeight="1" x14ac:dyDescent="0.2">
      <c r="A946" s="32">
        <v>41709.685960648145</v>
      </c>
      <c r="B946" s="26" t="s">
        <v>16</v>
      </c>
      <c r="C946" s="26" t="s">
        <v>532</v>
      </c>
      <c r="D946" s="33">
        <v>41671</v>
      </c>
      <c r="E946" s="26" t="s">
        <v>537</v>
      </c>
      <c r="F946" s="26" t="s">
        <v>2608</v>
      </c>
      <c r="G946" s="26" t="s">
        <v>26</v>
      </c>
      <c r="H946" s="26" t="s">
        <v>2608</v>
      </c>
      <c r="I946" s="26" t="s">
        <v>2986</v>
      </c>
      <c r="J946" s="46">
        <v>8</v>
      </c>
      <c r="K946" s="46">
        <v>45</v>
      </c>
      <c r="L946" s="136"/>
      <c r="M946" s="137" t="s">
        <v>22</v>
      </c>
      <c r="N946" s="138"/>
      <c r="O946" s="138"/>
      <c r="P946" s="138"/>
      <c r="Q946" s="138"/>
      <c r="R946" s="138"/>
      <c r="S946" s="138"/>
      <c r="T946" s="138"/>
      <c r="U946" s="138"/>
    </row>
    <row r="947" spans="1:21" s="26" customFormat="1" ht="15" customHeight="1" x14ac:dyDescent="0.2">
      <c r="A947" s="32">
        <v>41709.686805555553</v>
      </c>
      <c r="B947" s="26" t="s">
        <v>16</v>
      </c>
      <c r="C947" s="26" t="s">
        <v>532</v>
      </c>
      <c r="D947" s="33">
        <v>41671</v>
      </c>
      <c r="E947" s="26" t="s">
        <v>537</v>
      </c>
      <c r="F947" s="26" t="s">
        <v>2608</v>
      </c>
      <c r="G947" s="26" t="s">
        <v>26</v>
      </c>
      <c r="H947" s="26" t="s">
        <v>2608</v>
      </c>
      <c r="I947" s="26" t="s">
        <v>2986</v>
      </c>
      <c r="J947" s="46">
        <v>8</v>
      </c>
      <c r="K947" s="46">
        <v>45</v>
      </c>
      <c r="L947" s="136"/>
      <c r="M947" s="137" t="s">
        <v>22</v>
      </c>
      <c r="N947" s="138"/>
      <c r="O947" s="138"/>
      <c r="P947" s="138"/>
      <c r="Q947" s="138"/>
      <c r="R947" s="138"/>
      <c r="S947" s="138"/>
      <c r="T947" s="138"/>
      <c r="U947" s="138"/>
    </row>
    <row r="948" spans="1:21" s="26" customFormat="1" ht="15" customHeight="1" x14ac:dyDescent="0.2">
      <c r="A948" s="32">
        <v>41709.687662037039</v>
      </c>
      <c r="B948" s="26" t="s">
        <v>16</v>
      </c>
      <c r="C948" s="26" t="s">
        <v>532</v>
      </c>
      <c r="D948" s="33">
        <v>41671</v>
      </c>
      <c r="E948" s="26" t="s">
        <v>537</v>
      </c>
      <c r="F948" s="26" t="s">
        <v>2608</v>
      </c>
      <c r="G948" s="26" t="s">
        <v>26</v>
      </c>
      <c r="H948" s="26" t="s">
        <v>2608</v>
      </c>
      <c r="I948" s="26" t="s">
        <v>2986</v>
      </c>
      <c r="J948" s="46">
        <v>8</v>
      </c>
      <c r="K948" s="46">
        <v>45</v>
      </c>
      <c r="L948" s="136"/>
      <c r="M948" s="137" t="s">
        <v>22</v>
      </c>
      <c r="N948" s="138"/>
      <c r="O948" s="138"/>
      <c r="P948" s="138"/>
      <c r="Q948" s="138"/>
      <c r="R948" s="138"/>
      <c r="S948" s="138"/>
      <c r="T948" s="138"/>
      <c r="U948" s="138"/>
    </row>
    <row r="949" spans="1:21" s="26" customFormat="1" ht="15" customHeight="1" x14ac:dyDescent="0.2">
      <c r="A949" s="32">
        <v>41709.638032407405</v>
      </c>
      <c r="B949" s="26" t="s">
        <v>16</v>
      </c>
      <c r="C949" s="26" t="s">
        <v>532</v>
      </c>
      <c r="D949" s="33">
        <v>41699</v>
      </c>
      <c r="E949" s="26" t="s">
        <v>5136</v>
      </c>
      <c r="F949" s="26" t="s">
        <v>6074</v>
      </c>
      <c r="G949" s="26" t="s">
        <v>20</v>
      </c>
      <c r="H949" s="26" t="s">
        <v>2608</v>
      </c>
      <c r="I949" s="26" t="s">
        <v>2986</v>
      </c>
      <c r="J949" s="46">
        <v>1</v>
      </c>
      <c r="K949" s="46">
        <v>76</v>
      </c>
      <c r="L949" s="136"/>
      <c r="M949" s="137" t="s">
        <v>22</v>
      </c>
      <c r="N949" s="138"/>
      <c r="O949" s="138"/>
      <c r="P949" s="138"/>
      <c r="Q949" s="138"/>
      <c r="R949" s="138"/>
      <c r="S949" s="138"/>
      <c r="T949" s="138"/>
      <c r="U949" s="138"/>
    </row>
    <row r="950" spans="1:21" s="26" customFormat="1" ht="15" customHeight="1" x14ac:dyDescent="0.2">
      <c r="A950" s="32">
        <v>41740.348877314813</v>
      </c>
      <c r="B950" s="26" t="s">
        <v>16</v>
      </c>
      <c r="C950" s="26" t="s">
        <v>532</v>
      </c>
      <c r="D950" s="33">
        <v>41699</v>
      </c>
      <c r="E950" s="26" t="s">
        <v>5900</v>
      </c>
      <c r="F950" s="26" t="s">
        <v>5901</v>
      </c>
      <c r="G950" s="26" t="s">
        <v>60</v>
      </c>
      <c r="H950" s="26" t="s">
        <v>2922</v>
      </c>
      <c r="I950" s="26" t="s">
        <v>2986</v>
      </c>
      <c r="J950" s="46">
        <v>1</v>
      </c>
      <c r="K950" s="46">
        <v>6</v>
      </c>
      <c r="L950" s="136"/>
      <c r="M950" s="137" t="s">
        <v>22</v>
      </c>
      <c r="N950" s="138"/>
      <c r="O950" s="138"/>
      <c r="P950" s="138"/>
      <c r="Q950" s="138"/>
      <c r="R950" s="138"/>
      <c r="S950" s="138"/>
      <c r="T950" s="138"/>
      <c r="U950" s="138"/>
    </row>
    <row r="951" spans="1:21" s="26" customFormat="1" ht="15" customHeight="1" x14ac:dyDescent="0.2">
      <c r="A951" s="32">
        <v>41740.351412037038</v>
      </c>
      <c r="B951" s="26" t="s">
        <v>16</v>
      </c>
      <c r="C951" s="26" t="s">
        <v>532</v>
      </c>
      <c r="D951" s="33">
        <v>41699</v>
      </c>
      <c r="E951" s="26" t="s">
        <v>5902</v>
      </c>
      <c r="F951" s="26" t="s">
        <v>5903</v>
      </c>
      <c r="G951" s="26" t="s">
        <v>20</v>
      </c>
      <c r="H951" s="26" t="s">
        <v>2608</v>
      </c>
      <c r="I951" s="26" t="s">
        <v>2986</v>
      </c>
      <c r="J951" s="46">
        <v>1</v>
      </c>
      <c r="K951" s="46">
        <v>0</v>
      </c>
      <c r="L951" s="136"/>
      <c r="M951" s="137" t="s">
        <v>22</v>
      </c>
      <c r="N951" s="138"/>
      <c r="O951" s="138"/>
      <c r="P951" s="138"/>
      <c r="Q951" s="138"/>
      <c r="R951" s="138"/>
      <c r="S951" s="138"/>
      <c r="T951" s="138"/>
      <c r="U951" s="138"/>
    </row>
    <row r="952" spans="1:21" s="26" customFormat="1" ht="15" customHeight="1" x14ac:dyDescent="0.2">
      <c r="A952" s="32">
        <v>41740.352569444447</v>
      </c>
      <c r="B952" s="26" t="s">
        <v>16</v>
      </c>
      <c r="C952" s="26" t="s">
        <v>532</v>
      </c>
      <c r="D952" s="33">
        <v>41699</v>
      </c>
      <c r="E952" s="26" t="s">
        <v>5904</v>
      </c>
      <c r="F952" s="26" t="s">
        <v>5905</v>
      </c>
      <c r="G952" s="26" t="s">
        <v>20</v>
      </c>
      <c r="H952" s="26" t="s">
        <v>2608</v>
      </c>
      <c r="I952" s="26" t="s">
        <v>2986</v>
      </c>
      <c r="J952" s="46">
        <v>1</v>
      </c>
      <c r="K952" s="46">
        <v>10</v>
      </c>
      <c r="L952" s="136"/>
      <c r="M952" s="137" t="s">
        <v>22</v>
      </c>
      <c r="N952" s="138"/>
      <c r="O952" s="138"/>
      <c r="P952" s="138"/>
      <c r="Q952" s="138"/>
      <c r="R952" s="138"/>
      <c r="S952" s="138"/>
      <c r="T952" s="138"/>
      <c r="U952" s="138"/>
    </row>
    <row r="953" spans="1:21" s="26" customFormat="1" ht="15" customHeight="1" x14ac:dyDescent="0.2">
      <c r="A953" s="32">
        <v>41740.353912037041</v>
      </c>
      <c r="B953" s="26" t="s">
        <v>16</v>
      </c>
      <c r="C953" s="26" t="s">
        <v>532</v>
      </c>
      <c r="D953" s="33">
        <v>41699</v>
      </c>
      <c r="E953" s="26" t="s">
        <v>2606</v>
      </c>
      <c r="F953" s="26" t="s">
        <v>2608</v>
      </c>
      <c r="G953" s="26" t="s">
        <v>42</v>
      </c>
      <c r="H953" s="26" t="s">
        <v>2608</v>
      </c>
      <c r="I953" s="26" t="s">
        <v>2986</v>
      </c>
      <c r="J953" s="46">
        <v>1</v>
      </c>
      <c r="K953" s="46">
        <v>50</v>
      </c>
      <c r="L953" s="136"/>
      <c r="M953" s="137" t="s">
        <v>22</v>
      </c>
      <c r="N953" s="138"/>
      <c r="O953" s="138"/>
      <c r="P953" s="138"/>
      <c r="Q953" s="138"/>
      <c r="R953" s="138"/>
      <c r="S953" s="138"/>
      <c r="T953" s="138"/>
      <c r="U953" s="138"/>
    </row>
    <row r="954" spans="1:21" s="26" customFormat="1" ht="15" customHeight="1" x14ac:dyDescent="0.2">
      <c r="A954" s="32">
        <v>41740.35491898148</v>
      </c>
      <c r="B954" s="26" t="s">
        <v>16</v>
      </c>
      <c r="C954" s="26" t="s">
        <v>532</v>
      </c>
      <c r="D954" s="33">
        <v>41699</v>
      </c>
      <c r="E954" s="26" t="s">
        <v>5906</v>
      </c>
      <c r="F954" s="26" t="s">
        <v>5907</v>
      </c>
      <c r="G954" s="26" t="s">
        <v>42</v>
      </c>
      <c r="I954" s="26" t="s">
        <v>2986</v>
      </c>
      <c r="J954" s="46">
        <v>1</v>
      </c>
      <c r="K954" s="46">
        <v>50</v>
      </c>
      <c r="L954" s="136"/>
      <c r="M954" s="137" t="s">
        <v>22</v>
      </c>
      <c r="N954" s="138"/>
      <c r="O954" s="138"/>
      <c r="P954" s="138"/>
      <c r="Q954" s="138"/>
      <c r="R954" s="138"/>
      <c r="S954" s="138"/>
      <c r="T954" s="138"/>
      <c r="U954" s="138"/>
    </row>
    <row r="955" spans="1:21" s="26" customFormat="1" ht="15" customHeight="1" x14ac:dyDescent="0.2">
      <c r="A955" s="32">
        <v>41740.358460648145</v>
      </c>
      <c r="B955" s="26" t="s">
        <v>16</v>
      </c>
      <c r="C955" s="26" t="s">
        <v>532</v>
      </c>
      <c r="D955" s="33">
        <v>41699</v>
      </c>
      <c r="E955" s="26" t="s">
        <v>1987</v>
      </c>
      <c r="F955" s="26" t="s">
        <v>5908</v>
      </c>
      <c r="G955" s="26" t="s">
        <v>42</v>
      </c>
      <c r="H955" s="26" t="s">
        <v>5909</v>
      </c>
      <c r="I955" s="26" t="s">
        <v>2986</v>
      </c>
      <c r="J955" s="46">
        <v>1</v>
      </c>
      <c r="K955" s="46">
        <v>30</v>
      </c>
      <c r="L955" s="136"/>
      <c r="M955" s="137" t="s">
        <v>22</v>
      </c>
      <c r="N955" s="138"/>
      <c r="O955" s="138"/>
      <c r="P955" s="138"/>
      <c r="Q955" s="138"/>
      <c r="R955" s="138"/>
      <c r="S955" s="138"/>
      <c r="T955" s="138"/>
      <c r="U955" s="138"/>
    </row>
    <row r="956" spans="1:21" s="26" customFormat="1" ht="15" customHeight="1" x14ac:dyDescent="0.2">
      <c r="A956" s="32">
        <v>41740.359826388885</v>
      </c>
      <c r="B956" s="26" t="s">
        <v>16</v>
      </c>
      <c r="C956" s="26" t="s">
        <v>532</v>
      </c>
      <c r="D956" s="33">
        <v>41699</v>
      </c>
      <c r="E956" s="26" t="s">
        <v>3355</v>
      </c>
      <c r="G956" s="26" t="s">
        <v>42</v>
      </c>
      <c r="H956" s="26" t="s">
        <v>2608</v>
      </c>
      <c r="I956" s="26" t="s">
        <v>2986</v>
      </c>
      <c r="J956" s="46">
        <v>1</v>
      </c>
      <c r="K956" s="46">
        <v>15</v>
      </c>
      <c r="L956" s="136"/>
      <c r="M956" s="137" t="s">
        <v>22</v>
      </c>
      <c r="N956" s="138"/>
      <c r="O956" s="138"/>
      <c r="P956" s="138"/>
      <c r="Q956" s="138"/>
      <c r="R956" s="138"/>
      <c r="S956" s="138"/>
      <c r="T956" s="138"/>
      <c r="U956" s="138"/>
    </row>
    <row r="957" spans="1:21" s="26" customFormat="1" ht="15" customHeight="1" x14ac:dyDescent="0.2">
      <c r="A957" s="32">
        <v>41740.361145833333</v>
      </c>
      <c r="B957" s="26" t="s">
        <v>16</v>
      </c>
      <c r="C957" s="26" t="s">
        <v>532</v>
      </c>
      <c r="D957" s="33">
        <v>41699</v>
      </c>
      <c r="E957" s="26" t="s">
        <v>5910</v>
      </c>
      <c r="F957" s="26" t="s">
        <v>2608</v>
      </c>
      <c r="G957" s="26" t="s">
        <v>42</v>
      </c>
      <c r="H957" s="26" t="s">
        <v>2608</v>
      </c>
      <c r="I957" s="26" t="s">
        <v>2986</v>
      </c>
      <c r="J957" s="46">
        <v>1</v>
      </c>
      <c r="K957" s="46">
        <v>25</v>
      </c>
      <c r="L957" s="136"/>
      <c r="M957" s="137" t="s">
        <v>22</v>
      </c>
      <c r="N957" s="138"/>
      <c r="O957" s="138"/>
      <c r="P957" s="138"/>
      <c r="Q957" s="138"/>
      <c r="R957" s="138"/>
      <c r="S957" s="138"/>
      <c r="T957" s="138"/>
      <c r="U957" s="138"/>
    </row>
    <row r="958" spans="1:21" s="26" customFormat="1" ht="15" customHeight="1" x14ac:dyDescent="0.2">
      <c r="A958" s="32">
        <v>41740.362974537034</v>
      </c>
      <c r="B958" s="26" t="s">
        <v>16</v>
      </c>
      <c r="C958" s="26" t="s">
        <v>532</v>
      </c>
      <c r="D958" s="33">
        <v>41699</v>
      </c>
      <c r="E958" s="26" t="s">
        <v>3355</v>
      </c>
      <c r="F958" s="26" t="s">
        <v>1989</v>
      </c>
      <c r="G958" s="26" t="s">
        <v>42</v>
      </c>
      <c r="I958" s="26" t="s">
        <v>2986</v>
      </c>
      <c r="J958" s="46">
        <v>1</v>
      </c>
      <c r="K958" s="46">
        <v>50</v>
      </c>
      <c r="L958" s="136"/>
      <c r="M958" s="137" t="s">
        <v>22</v>
      </c>
      <c r="N958" s="138"/>
      <c r="O958" s="138"/>
      <c r="P958" s="138"/>
      <c r="Q958" s="138"/>
      <c r="R958" s="138"/>
      <c r="S958" s="138"/>
      <c r="T958" s="138"/>
      <c r="U958" s="138"/>
    </row>
    <row r="959" spans="1:21" s="26" customFormat="1" ht="15" customHeight="1" x14ac:dyDescent="0.2">
      <c r="A959" s="32">
        <v>41740.363865740743</v>
      </c>
      <c r="B959" s="26" t="s">
        <v>16</v>
      </c>
      <c r="C959" s="26" t="s">
        <v>532</v>
      </c>
      <c r="D959" s="33">
        <v>41699</v>
      </c>
      <c r="E959" s="26" t="s">
        <v>5911</v>
      </c>
      <c r="F959" s="26" t="s">
        <v>5912</v>
      </c>
      <c r="G959" s="26" t="s">
        <v>42</v>
      </c>
      <c r="I959" s="26" t="s">
        <v>2986</v>
      </c>
      <c r="J959" s="46">
        <v>1</v>
      </c>
      <c r="K959" s="46">
        <v>25</v>
      </c>
      <c r="L959" s="136"/>
      <c r="M959" s="137" t="s">
        <v>22</v>
      </c>
      <c r="N959" s="138"/>
      <c r="O959" s="138"/>
      <c r="P959" s="138"/>
      <c r="Q959" s="138"/>
      <c r="R959" s="138"/>
      <c r="S959" s="138"/>
      <c r="T959" s="138"/>
      <c r="U959" s="138"/>
    </row>
    <row r="960" spans="1:21" s="26" customFormat="1" ht="15" customHeight="1" x14ac:dyDescent="0.2">
      <c r="A960" s="32">
        <v>41740.364895833336</v>
      </c>
      <c r="B960" s="26" t="s">
        <v>16</v>
      </c>
      <c r="C960" s="26" t="s">
        <v>532</v>
      </c>
      <c r="D960" s="33">
        <v>41699</v>
      </c>
      <c r="E960" s="26" t="s">
        <v>5913</v>
      </c>
      <c r="F960" s="26" t="s">
        <v>2608</v>
      </c>
      <c r="G960" s="26" t="s">
        <v>20</v>
      </c>
      <c r="I960" s="26" t="s">
        <v>2986</v>
      </c>
      <c r="J960" s="46">
        <v>1</v>
      </c>
      <c r="K960" s="46">
        <v>75</v>
      </c>
      <c r="L960" s="136"/>
      <c r="M960" s="137" t="s">
        <v>22</v>
      </c>
      <c r="N960" s="138"/>
      <c r="O960" s="138"/>
      <c r="P960" s="138"/>
      <c r="Q960" s="138"/>
      <c r="R960" s="138"/>
      <c r="S960" s="138"/>
      <c r="T960" s="138"/>
      <c r="U960" s="138"/>
    </row>
    <row r="961" spans="1:25" s="26" customFormat="1" ht="15" customHeight="1" x14ac:dyDescent="0.2">
      <c r="A961" s="32">
        <v>41740.366863425923</v>
      </c>
      <c r="B961" s="26" t="s">
        <v>16</v>
      </c>
      <c r="C961" s="26" t="s">
        <v>532</v>
      </c>
      <c r="D961" s="33">
        <v>41699</v>
      </c>
      <c r="E961" s="26" t="s">
        <v>5914</v>
      </c>
      <c r="F961" s="26" t="s">
        <v>5915</v>
      </c>
      <c r="G961" s="26" t="s">
        <v>156</v>
      </c>
      <c r="I961" s="26" t="s">
        <v>2986</v>
      </c>
      <c r="J961" s="46">
        <v>1</v>
      </c>
      <c r="K961" s="46">
        <v>53</v>
      </c>
      <c r="L961" s="136">
        <v>371</v>
      </c>
      <c r="M961" s="137" t="s">
        <v>22</v>
      </c>
      <c r="N961" s="138"/>
      <c r="O961" s="138"/>
      <c r="P961" s="138"/>
      <c r="Q961" s="138"/>
      <c r="R961" s="138"/>
      <c r="S961" s="138"/>
      <c r="T961" s="138"/>
      <c r="U961" s="138"/>
    </row>
    <row r="962" spans="1:25" s="26" customFormat="1" ht="15" customHeight="1" x14ac:dyDescent="0.2">
      <c r="A962" s="32">
        <v>41740.36891203704</v>
      </c>
      <c r="B962" s="26" t="s">
        <v>16</v>
      </c>
      <c r="C962" s="26" t="s">
        <v>532</v>
      </c>
      <c r="D962" s="33">
        <v>41699</v>
      </c>
      <c r="E962" s="26" t="s">
        <v>537</v>
      </c>
      <c r="F962" s="26" t="s">
        <v>2608</v>
      </c>
      <c r="G962" s="26" t="s">
        <v>26</v>
      </c>
      <c r="H962" s="26" t="s">
        <v>2608</v>
      </c>
      <c r="I962" s="26" t="s">
        <v>2986</v>
      </c>
      <c r="J962" s="46">
        <v>1</v>
      </c>
      <c r="K962" s="46">
        <v>70</v>
      </c>
      <c r="L962" s="136"/>
      <c r="M962" s="137" t="s">
        <v>22</v>
      </c>
      <c r="N962" s="138"/>
      <c r="O962" s="138"/>
      <c r="P962" s="138"/>
      <c r="Q962" s="138"/>
      <c r="R962" s="138"/>
      <c r="S962" s="138"/>
      <c r="T962" s="138"/>
      <c r="U962" s="138"/>
    </row>
    <row r="963" spans="1:25" s="26" customFormat="1" ht="15" customHeight="1" x14ac:dyDescent="0.2">
      <c r="A963" s="32">
        <v>41740.369745370372</v>
      </c>
      <c r="B963" s="26" t="s">
        <v>16</v>
      </c>
      <c r="C963" s="26" t="s">
        <v>532</v>
      </c>
      <c r="D963" s="33">
        <v>41699</v>
      </c>
      <c r="E963" s="26" t="s">
        <v>537</v>
      </c>
      <c r="F963" s="26" t="s">
        <v>2608</v>
      </c>
      <c r="G963" s="26" t="s">
        <v>26</v>
      </c>
      <c r="H963" s="26" t="s">
        <v>5917</v>
      </c>
      <c r="I963" s="26" t="s">
        <v>2986</v>
      </c>
      <c r="J963" s="46">
        <v>8</v>
      </c>
      <c r="K963" s="46">
        <v>70</v>
      </c>
      <c r="L963" s="136"/>
      <c r="M963" s="137" t="s">
        <v>22</v>
      </c>
      <c r="N963" s="138"/>
      <c r="O963" s="138"/>
      <c r="P963" s="138"/>
      <c r="Q963" s="138"/>
      <c r="R963" s="138"/>
      <c r="S963" s="138"/>
      <c r="T963" s="138"/>
      <c r="U963" s="138"/>
    </row>
    <row r="964" spans="1:25" s="26" customFormat="1" ht="15" customHeight="1" x14ac:dyDescent="0.2">
      <c r="A964" s="32">
        <v>41740.370439814818</v>
      </c>
      <c r="B964" s="26" t="s">
        <v>16</v>
      </c>
      <c r="C964" s="26" t="s">
        <v>532</v>
      </c>
      <c r="D964" s="33">
        <v>41699</v>
      </c>
      <c r="E964" s="26" t="s">
        <v>537</v>
      </c>
      <c r="F964" s="26" t="s">
        <v>2608</v>
      </c>
      <c r="G964" s="26" t="s">
        <v>26</v>
      </c>
      <c r="H964" s="26" t="s">
        <v>2608</v>
      </c>
      <c r="I964" s="26" t="s">
        <v>2986</v>
      </c>
      <c r="J964" s="46">
        <v>8</v>
      </c>
      <c r="K964" s="46">
        <v>70</v>
      </c>
      <c r="L964" s="136"/>
      <c r="M964" s="137" t="s">
        <v>22</v>
      </c>
      <c r="N964" s="138"/>
      <c r="O964" s="138"/>
      <c r="P964" s="138"/>
      <c r="Q964" s="138"/>
      <c r="R964" s="138"/>
      <c r="S964" s="138"/>
      <c r="T964" s="138"/>
      <c r="U964" s="138"/>
    </row>
    <row r="965" spans="1:25" s="26" customFormat="1" ht="15" customHeight="1" x14ac:dyDescent="0.2">
      <c r="A965" s="32">
        <v>41740.371238425927</v>
      </c>
      <c r="B965" s="26" t="s">
        <v>16</v>
      </c>
      <c r="C965" s="26" t="s">
        <v>532</v>
      </c>
      <c r="D965" s="33">
        <v>41699</v>
      </c>
      <c r="E965" s="26" t="s">
        <v>537</v>
      </c>
      <c r="F965" s="26" t="s">
        <v>2608</v>
      </c>
      <c r="G965" s="26" t="s">
        <v>26</v>
      </c>
      <c r="H965" s="26" t="s">
        <v>2608</v>
      </c>
      <c r="I965" s="26" t="s">
        <v>2986</v>
      </c>
      <c r="J965" s="46">
        <v>8</v>
      </c>
      <c r="K965" s="46">
        <v>70</v>
      </c>
      <c r="L965" s="136"/>
      <c r="M965" s="137" t="s">
        <v>22</v>
      </c>
      <c r="N965" s="138"/>
      <c r="O965" s="138"/>
      <c r="P965" s="138"/>
      <c r="Q965" s="138"/>
      <c r="R965" s="138"/>
      <c r="S965" s="138"/>
      <c r="T965" s="138"/>
      <c r="U965" s="138"/>
    </row>
    <row r="966" spans="1:25" s="26" customFormat="1" ht="15" customHeight="1" x14ac:dyDescent="0.2">
      <c r="A966" s="32">
        <v>41740.372129629628</v>
      </c>
      <c r="B966" s="26" t="s">
        <v>16</v>
      </c>
      <c r="C966" s="26" t="s">
        <v>532</v>
      </c>
      <c r="D966" s="33">
        <v>41699</v>
      </c>
      <c r="E966" s="26" t="s">
        <v>537</v>
      </c>
      <c r="F966" s="26" t="s">
        <v>2608</v>
      </c>
      <c r="G966" s="26" t="s">
        <v>26</v>
      </c>
      <c r="H966" s="26" t="s">
        <v>2608</v>
      </c>
      <c r="I966" s="26" t="s">
        <v>2986</v>
      </c>
      <c r="J966" s="46">
        <v>8</v>
      </c>
      <c r="K966" s="46">
        <v>70</v>
      </c>
      <c r="L966" s="136"/>
      <c r="M966" s="137" t="s">
        <v>22</v>
      </c>
      <c r="N966" s="138"/>
      <c r="O966" s="138"/>
      <c r="P966" s="138"/>
      <c r="Q966" s="138"/>
      <c r="R966" s="138"/>
      <c r="S966" s="138"/>
      <c r="T966" s="138"/>
      <c r="U966" s="138"/>
    </row>
    <row r="967" spans="1:25" s="26" customFormat="1" ht="15" customHeight="1" x14ac:dyDescent="0.2">
      <c r="A967" s="32">
        <v>41740.367928240739</v>
      </c>
      <c r="B967" s="26" t="s">
        <v>16</v>
      </c>
      <c r="C967" s="26" t="s">
        <v>532</v>
      </c>
      <c r="D967" s="33">
        <v>41671</v>
      </c>
      <c r="E967" s="26" t="s">
        <v>5147</v>
      </c>
      <c r="F967" s="26" t="s">
        <v>5916</v>
      </c>
      <c r="G967" s="26" t="s">
        <v>26</v>
      </c>
      <c r="I967" s="26" t="s">
        <v>2986</v>
      </c>
      <c r="J967" s="46">
        <v>4</v>
      </c>
      <c r="K967" s="46">
        <v>35</v>
      </c>
      <c r="L967" s="136"/>
      <c r="M967" s="137" t="s">
        <v>22</v>
      </c>
      <c r="N967" s="138"/>
      <c r="O967" s="138"/>
      <c r="P967" s="138"/>
      <c r="Q967" s="138"/>
      <c r="R967" s="138"/>
      <c r="S967" s="138"/>
      <c r="T967" s="138"/>
      <c r="U967" s="138"/>
    </row>
    <row r="968" spans="1:25" s="26" customFormat="1" ht="15" customHeight="1" x14ac:dyDescent="0.2">
      <c r="A968" s="55">
        <v>41765.4789930556</v>
      </c>
      <c r="B968" s="52" t="s">
        <v>16</v>
      </c>
      <c r="C968" s="52" t="s">
        <v>532</v>
      </c>
      <c r="D968" s="88" t="s">
        <v>6076</v>
      </c>
      <c r="E968" s="52" t="s">
        <v>6423</v>
      </c>
      <c r="F968" s="52" t="s">
        <v>6424</v>
      </c>
      <c r="G968" s="52" t="s">
        <v>20</v>
      </c>
      <c r="H968" s="52" t="s">
        <v>6425</v>
      </c>
      <c r="I968" s="52" t="s">
        <v>2986</v>
      </c>
      <c r="J968" s="95">
        <v>1</v>
      </c>
      <c r="K968" s="95">
        <v>40</v>
      </c>
      <c r="L968" s="149">
        <v>120</v>
      </c>
      <c r="M968" s="146" t="s">
        <v>22</v>
      </c>
      <c r="N968" s="149"/>
      <c r="O968" s="149"/>
      <c r="P968" s="149"/>
      <c r="Q968" s="149"/>
      <c r="R968" s="149"/>
      <c r="S968" s="149"/>
      <c r="T968" s="149"/>
      <c r="U968" s="149"/>
      <c r="V968" s="52"/>
    </row>
    <row r="969" spans="1:25" s="26" customFormat="1" ht="15" customHeight="1" x14ac:dyDescent="0.2">
      <c r="A969" s="55">
        <v>41765.480682870402</v>
      </c>
      <c r="B969" s="52" t="s">
        <v>16</v>
      </c>
      <c r="C969" s="52" t="s">
        <v>532</v>
      </c>
      <c r="D969" s="88" t="s">
        <v>6076</v>
      </c>
      <c r="E969" s="52" t="s">
        <v>6426</v>
      </c>
      <c r="F969" s="52" t="s">
        <v>6427</v>
      </c>
      <c r="G969" s="52" t="s">
        <v>20</v>
      </c>
      <c r="H969" s="52" t="s">
        <v>6428</v>
      </c>
      <c r="I969" s="52" t="s">
        <v>6429</v>
      </c>
      <c r="J969" s="95">
        <v>1</v>
      </c>
      <c r="K969" s="95">
        <v>30</v>
      </c>
      <c r="L969" s="149">
        <v>90</v>
      </c>
      <c r="M969" s="146" t="s">
        <v>22</v>
      </c>
      <c r="N969" s="149"/>
      <c r="O969" s="149"/>
      <c r="P969" s="149"/>
      <c r="Q969" s="149"/>
      <c r="R969" s="149"/>
      <c r="S969" s="149"/>
      <c r="T969" s="149"/>
      <c r="U969" s="149"/>
      <c r="V969" s="52"/>
    </row>
    <row r="970" spans="1:25" s="26" customFormat="1" ht="15" customHeight="1" x14ac:dyDescent="0.2">
      <c r="A970" s="55">
        <v>41765.484861111101</v>
      </c>
      <c r="B970" s="52" t="s">
        <v>16</v>
      </c>
      <c r="C970" s="52" t="s">
        <v>532</v>
      </c>
      <c r="D970" s="88" t="s">
        <v>6076</v>
      </c>
      <c r="E970" s="52" t="s">
        <v>1988</v>
      </c>
      <c r="F970" s="52" t="s">
        <v>6430</v>
      </c>
      <c r="G970" s="52" t="s">
        <v>42</v>
      </c>
      <c r="H970" s="52" t="s">
        <v>6431</v>
      </c>
      <c r="I970" s="52" t="s">
        <v>2986</v>
      </c>
      <c r="J970" s="95">
        <v>1</v>
      </c>
      <c r="K970" s="95">
        <v>60</v>
      </c>
      <c r="L970" s="149">
        <v>360</v>
      </c>
      <c r="M970" s="146" t="s">
        <v>22</v>
      </c>
      <c r="N970" s="149"/>
      <c r="O970" s="149"/>
      <c r="P970" s="149"/>
      <c r="Q970" s="149"/>
      <c r="R970" s="149"/>
      <c r="S970" s="149"/>
      <c r="T970" s="149"/>
      <c r="U970" s="149"/>
      <c r="V970" s="52"/>
    </row>
    <row r="971" spans="1:25" s="26" customFormat="1" ht="15" customHeight="1" x14ac:dyDescent="0.2">
      <c r="A971" s="55">
        <v>41765.486597222203</v>
      </c>
      <c r="B971" s="52" t="s">
        <v>16</v>
      </c>
      <c r="C971" s="52" t="s">
        <v>532</v>
      </c>
      <c r="D971" s="88" t="s">
        <v>6076</v>
      </c>
      <c r="E971" s="52" t="s">
        <v>6432</v>
      </c>
      <c r="F971" s="52" t="s">
        <v>6433</v>
      </c>
      <c r="G971" s="52" t="s">
        <v>20</v>
      </c>
      <c r="H971" s="52" t="s">
        <v>6434</v>
      </c>
      <c r="I971" s="52" t="s">
        <v>2986</v>
      </c>
      <c r="J971" s="95">
        <v>1</v>
      </c>
      <c r="K971" s="95">
        <v>30</v>
      </c>
      <c r="L971" s="149">
        <v>90</v>
      </c>
      <c r="M971" s="146" t="s">
        <v>22</v>
      </c>
      <c r="N971" s="149"/>
      <c r="O971" s="149"/>
      <c r="P971" s="149"/>
      <c r="Q971" s="149"/>
      <c r="R971" s="149"/>
      <c r="S971" s="149"/>
      <c r="T971" s="149"/>
      <c r="U971" s="149"/>
      <c r="V971" s="52"/>
    </row>
    <row r="972" spans="1:25" s="26" customFormat="1" ht="15" customHeight="1" x14ac:dyDescent="0.2">
      <c r="A972" s="55">
        <v>41765.488414351799</v>
      </c>
      <c r="B972" s="52" t="s">
        <v>16</v>
      </c>
      <c r="C972" s="52" t="s">
        <v>532</v>
      </c>
      <c r="D972" s="88" t="s">
        <v>6076</v>
      </c>
      <c r="E972" s="52" t="s">
        <v>6435</v>
      </c>
      <c r="F972" s="52" t="s">
        <v>5903</v>
      </c>
      <c r="G972" s="52" t="s">
        <v>20</v>
      </c>
      <c r="H972" s="52" t="s">
        <v>6436</v>
      </c>
      <c r="I972" s="52" t="s">
        <v>2986</v>
      </c>
      <c r="J972" s="95">
        <v>1</v>
      </c>
      <c r="K972" s="95">
        <v>25</v>
      </c>
      <c r="L972" s="149">
        <v>75</v>
      </c>
      <c r="M972" s="146" t="s">
        <v>22</v>
      </c>
      <c r="N972" s="149"/>
      <c r="O972" s="149"/>
      <c r="P972" s="149"/>
      <c r="Q972" s="149"/>
      <c r="R972" s="149"/>
      <c r="S972" s="149"/>
      <c r="T972" s="149"/>
      <c r="U972" s="149"/>
      <c r="V972" s="52"/>
    </row>
    <row r="973" spans="1:25" s="26" customFormat="1" ht="15" customHeight="1" x14ac:dyDescent="0.2">
      <c r="A973" s="93">
        <v>41765.489722222199</v>
      </c>
      <c r="B973" s="89" t="s">
        <v>16</v>
      </c>
      <c r="C973" s="52" t="s">
        <v>532</v>
      </c>
      <c r="D973" s="87" t="s">
        <v>6076</v>
      </c>
      <c r="E973" s="89" t="s">
        <v>6437</v>
      </c>
      <c r="F973" s="89" t="s">
        <v>6438</v>
      </c>
      <c r="G973" s="89" t="s">
        <v>156</v>
      </c>
      <c r="H973" s="89" t="s">
        <v>6439</v>
      </c>
      <c r="I973" s="89" t="s">
        <v>3001</v>
      </c>
      <c r="J973" s="95">
        <v>1</v>
      </c>
      <c r="K973" s="95">
        <v>75</v>
      </c>
      <c r="L973" s="149"/>
      <c r="M973" s="146" t="s">
        <v>22</v>
      </c>
      <c r="N973" s="149"/>
      <c r="O973" s="149"/>
      <c r="P973" s="149"/>
      <c r="Q973" s="149"/>
      <c r="R973" s="149"/>
      <c r="S973" s="149"/>
      <c r="T973" s="149"/>
      <c r="U973" s="149"/>
      <c r="V973" s="89"/>
      <c r="W973" s="91"/>
      <c r="X973" s="91"/>
      <c r="Y973" s="91"/>
    </row>
    <row r="974" spans="1:25" s="26" customFormat="1" ht="15" customHeight="1" x14ac:dyDescent="0.2">
      <c r="A974" s="93">
        <v>41765.490949074097</v>
      </c>
      <c r="B974" s="89" t="s">
        <v>16</v>
      </c>
      <c r="C974" s="52" t="s">
        <v>532</v>
      </c>
      <c r="D974" s="87" t="s">
        <v>6076</v>
      </c>
      <c r="E974" s="89" t="s">
        <v>6440</v>
      </c>
      <c r="F974" s="89" t="s">
        <v>6441</v>
      </c>
      <c r="G974" s="89" t="s">
        <v>26</v>
      </c>
      <c r="H974" s="89" t="s">
        <v>6442</v>
      </c>
      <c r="I974" s="89" t="s">
        <v>3001</v>
      </c>
      <c r="J974" s="95">
        <v>1</v>
      </c>
      <c r="K974" s="95">
        <v>1</v>
      </c>
      <c r="L974" s="149">
        <v>10</v>
      </c>
      <c r="M974" s="146" t="s">
        <v>22</v>
      </c>
      <c r="N974" s="149"/>
      <c r="O974" s="149"/>
      <c r="P974" s="149"/>
      <c r="Q974" s="149"/>
      <c r="R974" s="149"/>
      <c r="S974" s="149"/>
      <c r="T974" s="149"/>
      <c r="U974" s="149"/>
      <c r="V974" s="89"/>
      <c r="W974" s="91"/>
      <c r="X974" s="91"/>
      <c r="Y974" s="91"/>
    </row>
    <row r="975" spans="1:25" s="26" customFormat="1" ht="15" customHeight="1" x14ac:dyDescent="0.2">
      <c r="A975" s="93">
        <v>41765.497314814798</v>
      </c>
      <c r="B975" s="89" t="s">
        <v>16</v>
      </c>
      <c r="C975" s="52" t="s">
        <v>532</v>
      </c>
      <c r="D975" s="87" t="s">
        <v>6076</v>
      </c>
      <c r="E975" s="89" t="s">
        <v>537</v>
      </c>
      <c r="F975" s="89" t="s">
        <v>6443</v>
      </c>
      <c r="G975" s="89" t="s">
        <v>26</v>
      </c>
      <c r="H975" s="89" t="s">
        <v>6444</v>
      </c>
      <c r="I975" s="89" t="s">
        <v>2986</v>
      </c>
      <c r="J975" s="95">
        <v>8</v>
      </c>
      <c r="K975" s="95">
        <v>80</v>
      </c>
      <c r="L975" s="149"/>
      <c r="M975" s="146" t="s">
        <v>22</v>
      </c>
      <c r="N975" s="149"/>
      <c r="O975" s="149"/>
      <c r="P975" s="149"/>
      <c r="Q975" s="149"/>
      <c r="R975" s="149"/>
      <c r="S975" s="149"/>
      <c r="T975" s="149"/>
      <c r="U975" s="149"/>
      <c r="V975" s="89"/>
      <c r="W975" s="91"/>
      <c r="X975" s="91"/>
      <c r="Y975" s="91"/>
    </row>
    <row r="976" spans="1:25" s="26" customFormat="1" ht="15" customHeight="1" x14ac:dyDescent="0.2">
      <c r="A976" s="93">
        <v>41765.497430555602</v>
      </c>
      <c r="B976" s="89" t="s">
        <v>16</v>
      </c>
      <c r="C976" s="52" t="s">
        <v>532</v>
      </c>
      <c r="D976" s="87" t="s">
        <v>6076</v>
      </c>
      <c r="E976" s="89" t="s">
        <v>537</v>
      </c>
      <c r="F976" s="89" t="s">
        <v>6443</v>
      </c>
      <c r="G976" s="89" t="s">
        <v>26</v>
      </c>
      <c r="H976" s="89" t="s">
        <v>6444</v>
      </c>
      <c r="I976" s="89" t="s">
        <v>2986</v>
      </c>
      <c r="J976" s="95">
        <v>8</v>
      </c>
      <c r="K976" s="95">
        <v>80</v>
      </c>
      <c r="L976" s="149"/>
      <c r="M976" s="146" t="s">
        <v>22</v>
      </c>
      <c r="N976" s="149"/>
      <c r="O976" s="149"/>
      <c r="P976" s="149"/>
      <c r="Q976" s="149"/>
      <c r="R976" s="149"/>
      <c r="S976" s="149"/>
      <c r="T976" s="149"/>
      <c r="U976" s="149"/>
      <c r="V976" s="89"/>
      <c r="W976" s="91"/>
      <c r="X976" s="91"/>
      <c r="Y976" s="91"/>
    </row>
    <row r="977" spans="1:25" s="26" customFormat="1" ht="15" customHeight="1" x14ac:dyDescent="0.2">
      <c r="A977" s="93">
        <v>41765.499837962998</v>
      </c>
      <c r="B977" s="89" t="s">
        <v>16</v>
      </c>
      <c r="C977" s="52" t="s">
        <v>532</v>
      </c>
      <c r="D977" s="87" t="s">
        <v>6076</v>
      </c>
      <c r="E977" s="89" t="s">
        <v>6445</v>
      </c>
      <c r="F977" s="89" t="s">
        <v>6446</v>
      </c>
      <c r="G977" s="89" t="s">
        <v>26</v>
      </c>
      <c r="H977" s="89" t="s">
        <v>2608</v>
      </c>
      <c r="I977" s="89" t="s">
        <v>2986</v>
      </c>
      <c r="J977" s="95">
        <v>8</v>
      </c>
      <c r="K977" s="95">
        <v>80</v>
      </c>
      <c r="L977" s="149"/>
      <c r="M977" s="146" t="s">
        <v>22</v>
      </c>
      <c r="N977" s="149"/>
      <c r="O977" s="149"/>
      <c r="P977" s="149"/>
      <c r="Q977" s="149"/>
      <c r="R977" s="149"/>
      <c r="S977" s="149"/>
      <c r="T977" s="149"/>
      <c r="U977" s="149"/>
      <c r="V977" s="89"/>
      <c r="W977" s="91"/>
      <c r="X977" s="91"/>
      <c r="Y977" s="91"/>
    </row>
    <row r="978" spans="1:25" s="26" customFormat="1" ht="15" customHeight="1" x14ac:dyDescent="0.2">
      <c r="A978" s="93">
        <v>41765.501689814802</v>
      </c>
      <c r="B978" s="89" t="s">
        <v>16</v>
      </c>
      <c r="C978" s="52" t="s">
        <v>532</v>
      </c>
      <c r="D978" s="87" t="s">
        <v>6076</v>
      </c>
      <c r="E978" s="89" t="s">
        <v>543</v>
      </c>
      <c r="F978" s="89" t="s">
        <v>6447</v>
      </c>
      <c r="G978" s="89" t="s">
        <v>26</v>
      </c>
      <c r="H978" s="89" t="s">
        <v>1998</v>
      </c>
      <c r="I978" s="89" t="s">
        <v>2986</v>
      </c>
      <c r="J978" s="95">
        <v>8</v>
      </c>
      <c r="K978" s="95">
        <v>80</v>
      </c>
      <c r="L978" s="149"/>
      <c r="M978" s="146" t="s">
        <v>22</v>
      </c>
      <c r="N978" s="149"/>
      <c r="O978" s="149"/>
      <c r="P978" s="149"/>
      <c r="Q978" s="149"/>
      <c r="R978" s="149"/>
      <c r="S978" s="149"/>
      <c r="T978" s="149"/>
      <c r="U978" s="149"/>
      <c r="V978" s="89"/>
      <c r="W978" s="91"/>
      <c r="X978" s="91"/>
      <c r="Y978" s="91"/>
    </row>
    <row r="979" spans="1:25" s="26" customFormat="1" ht="15" customHeight="1" x14ac:dyDescent="0.2">
      <c r="A979" s="93">
        <v>41765.502766203703</v>
      </c>
      <c r="B979" s="89" t="s">
        <v>16</v>
      </c>
      <c r="C979" s="52" t="s">
        <v>532</v>
      </c>
      <c r="D979" s="87" t="s">
        <v>6076</v>
      </c>
      <c r="E979" s="89" t="s">
        <v>6448</v>
      </c>
      <c r="F979" s="89" t="s">
        <v>6447</v>
      </c>
      <c r="G979" s="89" t="s">
        <v>26</v>
      </c>
      <c r="H979" s="89" t="s">
        <v>1998</v>
      </c>
      <c r="I979" s="89" t="s">
        <v>2986</v>
      </c>
      <c r="J979" s="95">
        <v>8</v>
      </c>
      <c r="K979" s="95">
        <v>80</v>
      </c>
      <c r="L979" s="149"/>
      <c r="M979" s="146" t="s">
        <v>22</v>
      </c>
      <c r="N979" s="149"/>
      <c r="O979" s="149"/>
      <c r="P979" s="149"/>
      <c r="Q979" s="149"/>
      <c r="R979" s="149"/>
      <c r="S979" s="149"/>
      <c r="T979" s="149"/>
      <c r="U979" s="149"/>
      <c r="V979" s="89"/>
      <c r="W979" s="91"/>
      <c r="X979" s="91"/>
      <c r="Y979" s="91"/>
    </row>
    <row r="980" spans="1:25" s="26" customFormat="1" ht="15" customHeight="1" x14ac:dyDescent="0.2">
      <c r="A980" s="93">
        <v>41765.504270833299</v>
      </c>
      <c r="B980" s="89" t="s">
        <v>16</v>
      </c>
      <c r="C980" s="52" t="s">
        <v>532</v>
      </c>
      <c r="D980" s="87" t="s">
        <v>6076</v>
      </c>
      <c r="E980" s="89" t="s">
        <v>1997</v>
      </c>
      <c r="F980" s="89" t="s">
        <v>6447</v>
      </c>
      <c r="G980" s="89" t="s">
        <v>26</v>
      </c>
      <c r="H980" s="89" t="s">
        <v>1998</v>
      </c>
      <c r="I980" s="89" t="s">
        <v>2986</v>
      </c>
      <c r="J980" s="95">
        <v>8</v>
      </c>
      <c r="K980" s="95">
        <v>80</v>
      </c>
      <c r="L980" s="149"/>
      <c r="M980" s="146" t="s">
        <v>22</v>
      </c>
      <c r="N980" s="149"/>
      <c r="O980" s="149"/>
      <c r="P980" s="149"/>
      <c r="Q980" s="149"/>
      <c r="R980" s="149"/>
      <c r="S980" s="149"/>
      <c r="T980" s="149"/>
      <c r="U980" s="149"/>
      <c r="V980" s="89"/>
      <c r="W980" s="91"/>
      <c r="X980" s="91"/>
      <c r="Y980" s="91"/>
    </row>
    <row r="981" spans="1:25" s="26" customFormat="1" ht="15" customHeight="1" x14ac:dyDescent="0.2">
      <c r="A981" s="93">
        <v>41765.506064814799</v>
      </c>
      <c r="B981" s="89" t="s">
        <v>16</v>
      </c>
      <c r="C981" s="52" t="s">
        <v>532</v>
      </c>
      <c r="D981" s="87" t="s">
        <v>6076</v>
      </c>
      <c r="E981" s="89" t="s">
        <v>6449</v>
      </c>
      <c r="F981" s="89" t="s">
        <v>6450</v>
      </c>
      <c r="G981" s="89" t="s">
        <v>26</v>
      </c>
      <c r="H981" s="89"/>
      <c r="I981" s="89" t="s">
        <v>2986</v>
      </c>
      <c r="J981" s="95">
        <v>8</v>
      </c>
      <c r="K981" s="95">
        <v>80</v>
      </c>
      <c r="L981" s="149"/>
      <c r="M981" s="146" t="s">
        <v>22</v>
      </c>
      <c r="N981" s="149"/>
      <c r="O981" s="149"/>
      <c r="P981" s="149"/>
      <c r="Q981" s="149"/>
      <c r="R981" s="149"/>
      <c r="S981" s="149"/>
      <c r="T981" s="149"/>
      <c r="U981" s="149"/>
      <c r="V981" s="89"/>
      <c r="W981" s="91"/>
      <c r="X981" s="91"/>
      <c r="Y981" s="91"/>
    </row>
    <row r="982" spans="1:25" s="26" customFormat="1" ht="15" customHeight="1" x14ac:dyDescent="0.2">
      <c r="A982" s="93">
        <v>41765.507939814801</v>
      </c>
      <c r="B982" s="89" t="s">
        <v>16</v>
      </c>
      <c r="C982" s="52" t="s">
        <v>532</v>
      </c>
      <c r="D982" s="87" t="s">
        <v>6076</v>
      </c>
      <c r="E982" s="89" t="s">
        <v>543</v>
      </c>
      <c r="F982" s="89" t="s">
        <v>6450</v>
      </c>
      <c r="G982" s="89" t="s">
        <v>26</v>
      </c>
      <c r="H982" s="89" t="s">
        <v>1996</v>
      </c>
      <c r="I982" s="89" t="s">
        <v>2986</v>
      </c>
      <c r="J982" s="95">
        <v>2</v>
      </c>
      <c r="K982" s="95">
        <v>20</v>
      </c>
      <c r="L982" s="149"/>
      <c r="M982" s="146" t="s">
        <v>22</v>
      </c>
      <c r="N982" s="149"/>
      <c r="O982" s="149"/>
      <c r="P982" s="149"/>
      <c r="Q982" s="149"/>
      <c r="R982" s="149"/>
      <c r="S982" s="149"/>
      <c r="T982" s="149"/>
      <c r="U982" s="149"/>
      <c r="V982" s="89"/>
      <c r="W982" s="91"/>
      <c r="X982" s="91"/>
      <c r="Y982" s="91"/>
    </row>
    <row r="983" spans="1:25" s="26" customFormat="1" ht="15" customHeight="1" x14ac:dyDescent="0.2">
      <c r="A983" s="93">
        <v>41787.495868055601</v>
      </c>
      <c r="B983" s="89" t="s">
        <v>38</v>
      </c>
      <c r="C983" s="52" t="s">
        <v>39</v>
      </c>
      <c r="D983" s="87" t="s">
        <v>6224</v>
      </c>
      <c r="E983" s="89" t="s">
        <v>7013</v>
      </c>
      <c r="F983" s="89" t="s">
        <v>7014</v>
      </c>
      <c r="G983" s="89" t="s">
        <v>20</v>
      </c>
      <c r="H983" s="89" t="s">
        <v>43</v>
      </c>
      <c r="I983" s="89" t="s">
        <v>6294</v>
      </c>
      <c r="J983" s="95">
        <v>1</v>
      </c>
      <c r="K983" s="95">
        <v>40</v>
      </c>
      <c r="L983" s="150"/>
      <c r="M983" s="146" t="s">
        <v>44</v>
      </c>
      <c r="N983" s="149">
        <v>240</v>
      </c>
      <c r="O983" s="149"/>
      <c r="P983" s="149"/>
      <c r="Q983" s="149"/>
      <c r="R983" s="149"/>
      <c r="S983" s="149"/>
      <c r="T983" s="149"/>
      <c r="U983" s="149"/>
      <c r="V983" s="89"/>
      <c r="W983" s="91"/>
      <c r="X983" s="91"/>
      <c r="Y983" s="91"/>
    </row>
    <row r="984" spans="1:25" s="26" customFormat="1" ht="15" customHeight="1" x14ac:dyDescent="0.2">
      <c r="A984" s="93">
        <v>41788.400636574101</v>
      </c>
      <c r="B984" s="89" t="s">
        <v>152</v>
      </c>
      <c r="C984" s="52" t="s">
        <v>4143</v>
      </c>
      <c r="D984" s="87" t="s">
        <v>6224</v>
      </c>
      <c r="E984" s="89" t="s">
        <v>7015</v>
      </c>
      <c r="F984" s="89" t="s">
        <v>6361</v>
      </c>
      <c r="G984" s="89" t="s">
        <v>26</v>
      </c>
      <c r="H984" s="89" t="s">
        <v>7016</v>
      </c>
      <c r="I984" s="89" t="s">
        <v>3001</v>
      </c>
      <c r="J984" s="95">
        <v>1</v>
      </c>
      <c r="K984" s="95">
        <v>4</v>
      </c>
      <c r="L984" s="150">
        <v>12</v>
      </c>
      <c r="M984" s="146" t="s">
        <v>44</v>
      </c>
      <c r="N984" s="149"/>
      <c r="O984" s="149">
        <v>10</v>
      </c>
      <c r="P984" s="149"/>
      <c r="Q984" s="149"/>
      <c r="R984" s="149"/>
      <c r="S984" s="149"/>
      <c r="T984" s="149"/>
      <c r="U984" s="149"/>
      <c r="V984" s="89" t="s">
        <v>7017</v>
      </c>
      <c r="W984" s="91"/>
      <c r="X984" s="91"/>
      <c r="Y984" s="91"/>
    </row>
    <row r="985" spans="1:25" s="26" customFormat="1" ht="15" customHeight="1" x14ac:dyDescent="0.2">
      <c r="A985" s="93">
        <v>41788.414837962999</v>
      </c>
      <c r="B985" s="89" t="s">
        <v>152</v>
      </c>
      <c r="C985" s="52" t="s">
        <v>4143</v>
      </c>
      <c r="D985" s="87" t="s">
        <v>6224</v>
      </c>
      <c r="E985" s="89" t="s">
        <v>7018</v>
      </c>
      <c r="F985" s="89" t="s">
        <v>7019</v>
      </c>
      <c r="G985" s="89" t="s">
        <v>26</v>
      </c>
      <c r="H985" s="89" t="s">
        <v>7020</v>
      </c>
      <c r="I985" s="89" t="s">
        <v>3001</v>
      </c>
      <c r="J985" s="95">
        <v>1</v>
      </c>
      <c r="K985" s="95">
        <v>2</v>
      </c>
      <c r="L985" s="150">
        <v>10</v>
      </c>
      <c r="M985" s="146" t="s">
        <v>22</v>
      </c>
      <c r="N985" s="149"/>
      <c r="O985" s="149"/>
      <c r="P985" s="149"/>
      <c r="Q985" s="149"/>
      <c r="R985" s="149"/>
      <c r="S985" s="149"/>
      <c r="T985" s="149"/>
      <c r="U985" s="149"/>
      <c r="V985" s="89" t="s">
        <v>7021</v>
      </c>
      <c r="W985" s="91"/>
      <c r="X985" s="91"/>
      <c r="Y985" s="91"/>
    </row>
    <row r="986" spans="1:25" s="26" customFormat="1" ht="15" customHeight="1" x14ac:dyDescent="0.2">
      <c r="A986" s="93">
        <v>41788.4188194444</v>
      </c>
      <c r="B986" s="89" t="s">
        <v>152</v>
      </c>
      <c r="C986" s="52" t="s">
        <v>4143</v>
      </c>
      <c r="D986" s="87" t="s">
        <v>6224</v>
      </c>
      <c r="E986" s="89" t="s">
        <v>6132</v>
      </c>
      <c r="F986" s="89" t="s">
        <v>7022</v>
      </c>
      <c r="G986" s="89" t="s">
        <v>26</v>
      </c>
      <c r="H986" s="89" t="s">
        <v>7023</v>
      </c>
      <c r="I986" s="89" t="s">
        <v>3001</v>
      </c>
      <c r="J986" s="95">
        <v>1</v>
      </c>
      <c r="K986" s="95">
        <v>0</v>
      </c>
      <c r="L986" s="150"/>
      <c r="M986" s="146" t="s">
        <v>22</v>
      </c>
      <c r="N986" s="149"/>
      <c r="O986" s="149"/>
      <c r="P986" s="149"/>
      <c r="Q986" s="149"/>
      <c r="R986" s="149"/>
      <c r="S986" s="149"/>
      <c r="T986" s="149"/>
      <c r="U986" s="149"/>
      <c r="V986" s="89" t="s">
        <v>7024</v>
      </c>
      <c r="W986" s="91"/>
      <c r="X986" s="91"/>
      <c r="Y986" s="91"/>
    </row>
    <row r="987" spans="1:25" s="26" customFormat="1" ht="15" customHeight="1" x14ac:dyDescent="0.2">
      <c r="A987" s="93">
        <v>41788.420243055603</v>
      </c>
      <c r="B987" s="89" t="s">
        <v>152</v>
      </c>
      <c r="C987" s="52" t="s">
        <v>4143</v>
      </c>
      <c r="D987" s="87" t="s">
        <v>6224</v>
      </c>
      <c r="E987" s="89" t="s">
        <v>7025</v>
      </c>
      <c r="F987" s="89" t="s">
        <v>6356</v>
      </c>
      <c r="G987" s="89" t="s">
        <v>26</v>
      </c>
      <c r="H987" s="89" t="s">
        <v>6863</v>
      </c>
      <c r="I987" s="89" t="s">
        <v>3001</v>
      </c>
      <c r="J987" s="95">
        <v>1</v>
      </c>
      <c r="K987" s="95">
        <v>0</v>
      </c>
      <c r="L987" s="150"/>
      <c r="M987" s="146" t="s">
        <v>22</v>
      </c>
      <c r="N987" s="149"/>
      <c r="O987" s="149"/>
      <c r="P987" s="149"/>
      <c r="Q987" s="149"/>
      <c r="R987" s="149"/>
      <c r="S987" s="149"/>
      <c r="T987" s="149"/>
      <c r="U987" s="149"/>
      <c r="V987" s="89" t="s">
        <v>7026</v>
      </c>
      <c r="W987" s="91"/>
      <c r="X987" s="91"/>
      <c r="Y987" s="91"/>
    </row>
    <row r="988" spans="1:25" s="26" customFormat="1" ht="15" customHeight="1" x14ac:dyDescent="0.2">
      <c r="A988" s="93">
        <v>41788.430300925902</v>
      </c>
      <c r="B988" s="89" t="s">
        <v>152</v>
      </c>
      <c r="C988" s="52" t="s">
        <v>4143</v>
      </c>
      <c r="D988" s="87" t="s">
        <v>6224</v>
      </c>
      <c r="E988" s="89" t="s">
        <v>4846</v>
      </c>
      <c r="F988" s="89" t="s">
        <v>7027</v>
      </c>
      <c r="G988" s="89" t="s">
        <v>26</v>
      </c>
      <c r="H988" s="89" t="s">
        <v>7028</v>
      </c>
      <c r="I988" s="89" t="s">
        <v>3001</v>
      </c>
      <c r="J988" s="95">
        <v>1</v>
      </c>
      <c r="K988" s="95">
        <v>5</v>
      </c>
      <c r="L988" s="150">
        <v>10</v>
      </c>
      <c r="M988" s="146" t="s">
        <v>44</v>
      </c>
      <c r="N988" s="149"/>
      <c r="O988" s="149">
        <v>10</v>
      </c>
      <c r="P988" s="149">
        <v>12</v>
      </c>
      <c r="Q988" s="149"/>
      <c r="R988" s="149"/>
      <c r="S988" s="149"/>
      <c r="T988" s="149"/>
      <c r="U988" s="149"/>
      <c r="V988" s="89"/>
      <c r="W988" s="91"/>
      <c r="X988" s="91"/>
      <c r="Y988" s="91"/>
    </row>
    <row r="989" spans="1:25" s="26" customFormat="1" ht="15" customHeight="1" x14ac:dyDescent="0.2">
      <c r="A989" s="93">
        <v>41788.465520833299</v>
      </c>
      <c r="B989" s="89" t="s">
        <v>38</v>
      </c>
      <c r="C989" s="52" t="s">
        <v>1716</v>
      </c>
      <c r="D989" s="87" t="s">
        <v>6224</v>
      </c>
      <c r="E989" s="89" t="s">
        <v>7029</v>
      </c>
      <c r="F989" s="89" t="s">
        <v>7030</v>
      </c>
      <c r="G989" s="89" t="s">
        <v>26</v>
      </c>
      <c r="H989" s="89" t="s">
        <v>7031</v>
      </c>
      <c r="I989" s="89" t="s">
        <v>2812</v>
      </c>
      <c r="J989" s="95">
        <v>1</v>
      </c>
      <c r="K989" s="95">
        <v>54</v>
      </c>
      <c r="L989" s="150">
        <v>188.5</v>
      </c>
      <c r="M989" s="146" t="s">
        <v>44</v>
      </c>
      <c r="N989" s="149"/>
      <c r="O989" s="149"/>
      <c r="P989" s="149">
        <v>52.76</v>
      </c>
      <c r="Q989" s="149"/>
      <c r="R989" s="149"/>
      <c r="S989" s="149"/>
      <c r="T989" s="149"/>
      <c r="U989" s="149">
        <v>25.3</v>
      </c>
      <c r="V989" s="89"/>
      <c r="W989" s="91"/>
      <c r="X989" s="91"/>
      <c r="Y989" s="91"/>
    </row>
    <row r="990" spans="1:25" s="26" customFormat="1" ht="15" customHeight="1" x14ac:dyDescent="0.2">
      <c r="A990" s="93">
        <v>41788.467824074098</v>
      </c>
      <c r="B990" s="89" t="s">
        <v>38</v>
      </c>
      <c r="C990" s="52" t="s">
        <v>1716</v>
      </c>
      <c r="D990" s="87" t="s">
        <v>6224</v>
      </c>
      <c r="E990" s="89" t="s">
        <v>7032</v>
      </c>
      <c r="F990" s="89" t="s">
        <v>7033</v>
      </c>
      <c r="G990" s="89" t="s">
        <v>42</v>
      </c>
      <c r="H990" s="89" t="s">
        <v>7034</v>
      </c>
      <c r="I990" s="89" t="s">
        <v>2986</v>
      </c>
      <c r="J990" s="95">
        <v>1</v>
      </c>
      <c r="K990" s="95">
        <v>15</v>
      </c>
      <c r="L990" s="150">
        <v>10</v>
      </c>
      <c r="M990" s="146" t="s">
        <v>22</v>
      </c>
      <c r="N990" s="149"/>
      <c r="O990" s="149"/>
      <c r="P990" s="149"/>
      <c r="Q990" s="149"/>
      <c r="R990" s="149"/>
      <c r="S990" s="149"/>
      <c r="T990" s="149"/>
      <c r="U990" s="149"/>
      <c r="V990" s="89"/>
      <c r="W990" s="91"/>
      <c r="X990" s="91"/>
      <c r="Y990" s="91"/>
    </row>
    <row r="991" spans="1:25" s="26" customFormat="1" ht="15" customHeight="1" x14ac:dyDescent="0.2">
      <c r="A991" s="93">
        <v>41788.469039351898</v>
      </c>
      <c r="B991" s="89" t="s">
        <v>38</v>
      </c>
      <c r="C991" s="52" t="s">
        <v>1716</v>
      </c>
      <c r="D991" s="87" t="s">
        <v>6224</v>
      </c>
      <c r="E991" s="89" t="s">
        <v>7035</v>
      </c>
      <c r="F991" s="89" t="s">
        <v>5696</v>
      </c>
      <c r="G991" s="89" t="s">
        <v>26</v>
      </c>
      <c r="H991" s="89" t="s">
        <v>7036</v>
      </c>
      <c r="I991" s="89" t="s">
        <v>2986</v>
      </c>
      <c r="J991" s="95">
        <v>1</v>
      </c>
      <c r="K991" s="95">
        <v>6</v>
      </c>
      <c r="L991" s="150"/>
      <c r="M991" s="146" t="s">
        <v>22</v>
      </c>
      <c r="N991" s="149"/>
      <c r="O991" s="149"/>
      <c r="P991" s="149"/>
      <c r="Q991" s="149"/>
      <c r="R991" s="149"/>
      <c r="S991" s="149"/>
      <c r="T991" s="149"/>
      <c r="U991" s="149"/>
      <c r="V991" s="89"/>
      <c r="W991" s="91"/>
      <c r="X991" s="91"/>
      <c r="Y991" s="91"/>
    </row>
    <row r="992" spans="1:25" s="26" customFormat="1" ht="15" customHeight="1" x14ac:dyDescent="0.2">
      <c r="A992" s="93">
        <v>41788.470405092601</v>
      </c>
      <c r="B992" s="89" t="s">
        <v>38</v>
      </c>
      <c r="C992" s="52" t="s">
        <v>1716</v>
      </c>
      <c r="D992" s="87" t="s">
        <v>6224</v>
      </c>
      <c r="E992" s="89" t="s">
        <v>7037</v>
      </c>
      <c r="F992" s="89" t="s">
        <v>7038</v>
      </c>
      <c r="G992" s="89" t="s">
        <v>26</v>
      </c>
      <c r="H992" s="89" t="s">
        <v>7039</v>
      </c>
      <c r="I992" s="89" t="s">
        <v>2986</v>
      </c>
      <c r="J992" s="95">
        <v>1</v>
      </c>
      <c r="K992" s="95">
        <v>26</v>
      </c>
      <c r="L992" s="150"/>
      <c r="M992" s="146" t="s">
        <v>22</v>
      </c>
      <c r="N992" s="149"/>
      <c r="O992" s="149"/>
      <c r="P992" s="149"/>
      <c r="Q992" s="149"/>
      <c r="R992" s="149"/>
      <c r="S992" s="149"/>
      <c r="T992" s="149"/>
      <c r="U992" s="149"/>
      <c r="V992" s="89"/>
      <c r="W992" s="91"/>
      <c r="X992" s="91"/>
      <c r="Y992" s="91"/>
    </row>
    <row r="993" spans="1:25" s="26" customFormat="1" ht="15" customHeight="1" x14ac:dyDescent="0.2">
      <c r="A993" s="93">
        <v>41788.471932870401</v>
      </c>
      <c r="B993" s="89" t="s">
        <v>38</v>
      </c>
      <c r="C993" s="52" t="s">
        <v>1716</v>
      </c>
      <c r="D993" s="87" t="s">
        <v>6224</v>
      </c>
      <c r="E993" s="89" t="s">
        <v>7040</v>
      </c>
      <c r="F993" s="89" t="s">
        <v>7041</v>
      </c>
      <c r="G993" s="89" t="s">
        <v>26</v>
      </c>
      <c r="H993" s="89" t="s">
        <v>7042</v>
      </c>
      <c r="I993" s="89" t="s">
        <v>2986</v>
      </c>
      <c r="J993" s="95">
        <v>1</v>
      </c>
      <c r="K993" s="95">
        <v>68</v>
      </c>
      <c r="L993" s="150"/>
      <c r="M993" s="146" t="s">
        <v>22</v>
      </c>
      <c r="N993" s="149"/>
      <c r="O993" s="149"/>
      <c r="P993" s="149"/>
      <c r="Q993" s="149"/>
      <c r="R993" s="149"/>
      <c r="S993" s="149"/>
      <c r="T993" s="149"/>
      <c r="U993" s="149"/>
      <c r="V993" s="89"/>
      <c r="W993" s="91"/>
      <c r="X993" s="91"/>
      <c r="Y993" s="91"/>
    </row>
    <row r="994" spans="1:25" s="26" customFormat="1" ht="15" customHeight="1" x14ac:dyDescent="0.2">
      <c r="A994" s="93">
        <v>41788.472986111097</v>
      </c>
      <c r="B994" s="89" t="s">
        <v>38</v>
      </c>
      <c r="C994" s="52" t="s">
        <v>1716</v>
      </c>
      <c r="D994" s="87" t="s">
        <v>6224</v>
      </c>
      <c r="E994" s="89" t="s">
        <v>7043</v>
      </c>
      <c r="F994" s="89" t="s">
        <v>7041</v>
      </c>
      <c r="G994" s="89" t="s">
        <v>26</v>
      </c>
      <c r="H994" s="89" t="s">
        <v>7044</v>
      </c>
      <c r="I994" s="89" t="s">
        <v>2986</v>
      </c>
      <c r="J994" s="95">
        <v>1</v>
      </c>
      <c r="K994" s="95">
        <v>37</v>
      </c>
      <c r="L994" s="150"/>
      <c r="M994" s="146" t="s">
        <v>22</v>
      </c>
      <c r="N994" s="149"/>
      <c r="O994" s="149"/>
      <c r="P994" s="149"/>
      <c r="Q994" s="149"/>
      <c r="R994" s="149"/>
      <c r="S994" s="149"/>
      <c r="T994" s="149"/>
      <c r="U994" s="149"/>
      <c r="V994" s="89"/>
      <c r="W994" s="91"/>
      <c r="X994" s="91"/>
      <c r="Y994" s="91"/>
    </row>
    <row r="995" spans="1:25" s="26" customFormat="1" ht="15" customHeight="1" x14ac:dyDescent="0.2">
      <c r="A995" s="93">
        <v>41788.656863425902</v>
      </c>
      <c r="B995" s="89" t="s">
        <v>16</v>
      </c>
      <c r="C995" s="52" t="s">
        <v>23</v>
      </c>
      <c r="D995" s="87" t="s">
        <v>6224</v>
      </c>
      <c r="E995" s="89" t="s">
        <v>7045</v>
      </c>
      <c r="F995" s="89" t="s">
        <v>7046</v>
      </c>
      <c r="G995" s="89" t="s">
        <v>351</v>
      </c>
      <c r="H995" s="89" t="s">
        <v>7047</v>
      </c>
      <c r="I995" s="89" t="s">
        <v>2926</v>
      </c>
      <c r="J995" s="95">
        <v>1</v>
      </c>
      <c r="K995" s="95">
        <v>40</v>
      </c>
      <c r="L995" s="150"/>
      <c r="M995" s="146" t="s">
        <v>22</v>
      </c>
      <c r="N995" s="149"/>
      <c r="O995" s="149"/>
      <c r="P995" s="149"/>
      <c r="Q995" s="149"/>
      <c r="R995" s="149"/>
      <c r="S995" s="149"/>
      <c r="T995" s="149"/>
      <c r="U995" s="149"/>
      <c r="V995" s="89"/>
      <c r="W995" s="91"/>
      <c r="X995" s="91"/>
      <c r="Y995" s="91"/>
    </row>
    <row r="996" spans="1:25" s="26" customFormat="1" ht="15" customHeight="1" x14ac:dyDescent="0.2">
      <c r="A996" s="93">
        <v>41788.668182870402</v>
      </c>
      <c r="B996" s="89" t="s">
        <v>38</v>
      </c>
      <c r="C996" s="52" t="s">
        <v>39</v>
      </c>
      <c r="D996" s="87" t="s">
        <v>6224</v>
      </c>
      <c r="E996" s="89" t="s">
        <v>2096</v>
      </c>
      <c r="F996" s="89" t="s">
        <v>7048</v>
      </c>
      <c r="G996" s="89" t="s">
        <v>20</v>
      </c>
      <c r="H996" s="89" t="s">
        <v>43</v>
      </c>
      <c r="I996" s="89" t="s">
        <v>6294</v>
      </c>
      <c r="J996" s="95">
        <v>1</v>
      </c>
      <c r="K996" s="95">
        <v>110</v>
      </c>
      <c r="L996" s="150"/>
      <c r="M996" s="146" t="s">
        <v>44</v>
      </c>
      <c r="N996" s="149">
        <v>660</v>
      </c>
      <c r="O996" s="149"/>
      <c r="P996" s="149"/>
      <c r="Q996" s="149"/>
      <c r="R996" s="149"/>
      <c r="S996" s="149"/>
      <c r="T996" s="149"/>
      <c r="U996" s="149"/>
      <c r="V996" s="89"/>
      <c r="W996" s="91"/>
      <c r="X996" s="91"/>
      <c r="Y996" s="91"/>
    </row>
    <row r="997" spans="1:25" s="26" customFormat="1" ht="15" customHeight="1" x14ac:dyDescent="0.2">
      <c r="A997" s="93">
        <v>41788.6694907407</v>
      </c>
      <c r="B997" s="89" t="s">
        <v>38</v>
      </c>
      <c r="C997" s="52" t="s">
        <v>39</v>
      </c>
      <c r="D997" s="87" t="s">
        <v>6224</v>
      </c>
      <c r="E997" s="89" t="s">
        <v>3108</v>
      </c>
      <c r="F997" s="89" t="s">
        <v>7049</v>
      </c>
      <c r="G997" s="89" t="s">
        <v>20</v>
      </c>
      <c r="H997" s="89" t="s">
        <v>43</v>
      </c>
      <c r="I997" s="89" t="s">
        <v>6294</v>
      </c>
      <c r="J997" s="95">
        <v>1</v>
      </c>
      <c r="K997" s="95">
        <v>46</v>
      </c>
      <c r="L997" s="150"/>
      <c r="M997" s="146" t="s">
        <v>44</v>
      </c>
      <c r="N997" s="149">
        <v>264</v>
      </c>
      <c r="O997" s="149"/>
      <c r="P997" s="149">
        <v>170.4</v>
      </c>
      <c r="Q997" s="149"/>
      <c r="R997" s="149"/>
      <c r="S997" s="149"/>
      <c r="T997" s="149"/>
      <c r="U997" s="149"/>
      <c r="V997" s="89"/>
      <c r="W997" s="91"/>
      <c r="X997" s="91"/>
      <c r="Y997" s="91"/>
    </row>
    <row r="998" spans="1:25" s="26" customFormat="1" ht="15" customHeight="1" x14ac:dyDescent="0.2">
      <c r="A998" s="93">
        <v>41788.670532407399</v>
      </c>
      <c r="B998" s="89" t="s">
        <v>38</v>
      </c>
      <c r="C998" s="52" t="s">
        <v>39</v>
      </c>
      <c r="D998" s="87" t="s">
        <v>6224</v>
      </c>
      <c r="E998" s="89" t="s">
        <v>3836</v>
      </c>
      <c r="F998" s="89" t="s">
        <v>7050</v>
      </c>
      <c r="G998" s="89" t="s">
        <v>20</v>
      </c>
      <c r="H998" s="89" t="s">
        <v>43</v>
      </c>
      <c r="I998" s="89" t="s">
        <v>6294</v>
      </c>
      <c r="J998" s="95">
        <v>1</v>
      </c>
      <c r="K998" s="95">
        <v>75</v>
      </c>
      <c r="L998" s="150"/>
      <c r="M998" s="146" t="s">
        <v>44</v>
      </c>
      <c r="N998" s="149">
        <v>404.37</v>
      </c>
      <c r="O998" s="149"/>
      <c r="P998" s="149">
        <v>230.57</v>
      </c>
      <c r="Q998" s="149"/>
      <c r="R998" s="149"/>
      <c r="S998" s="149"/>
      <c r="T998" s="149"/>
      <c r="U998" s="149"/>
      <c r="V998" s="89"/>
      <c r="W998" s="91"/>
      <c r="X998" s="91"/>
      <c r="Y998" s="91"/>
    </row>
    <row r="999" spans="1:25" s="26" customFormat="1" ht="15" customHeight="1" x14ac:dyDescent="0.2">
      <c r="A999" s="93">
        <v>41788.675868055601</v>
      </c>
      <c r="B999" s="89" t="s">
        <v>38</v>
      </c>
      <c r="C999" s="52" t="s">
        <v>39</v>
      </c>
      <c r="D999" s="87" t="s">
        <v>6224</v>
      </c>
      <c r="E999" s="89" t="s">
        <v>3836</v>
      </c>
      <c r="F999" s="89" t="s">
        <v>7051</v>
      </c>
      <c r="G999" s="89" t="s">
        <v>42</v>
      </c>
      <c r="H999" s="89" t="s">
        <v>43</v>
      </c>
      <c r="I999" s="89" t="s">
        <v>6294</v>
      </c>
      <c r="J999" s="95">
        <v>1</v>
      </c>
      <c r="K999" s="95">
        <v>31</v>
      </c>
      <c r="L999" s="150"/>
      <c r="M999" s="146" t="s">
        <v>44</v>
      </c>
      <c r="N999" s="149">
        <v>279.27</v>
      </c>
      <c r="O999" s="149"/>
      <c r="P999" s="149">
        <v>244.2</v>
      </c>
      <c r="Q999" s="149"/>
      <c r="R999" s="149"/>
      <c r="S999" s="149"/>
      <c r="T999" s="149"/>
      <c r="U999" s="149"/>
      <c r="V999" s="89"/>
      <c r="W999" s="91"/>
      <c r="X999" s="91"/>
      <c r="Y999" s="91"/>
    </row>
    <row r="1000" spans="1:25" s="26" customFormat="1" ht="15" customHeight="1" x14ac:dyDescent="0.2">
      <c r="A1000" s="93">
        <v>41788.678182870397</v>
      </c>
      <c r="B1000" s="89" t="s">
        <v>38</v>
      </c>
      <c r="C1000" s="52" t="s">
        <v>39</v>
      </c>
      <c r="D1000" s="87" t="s">
        <v>6224</v>
      </c>
      <c r="E1000" s="89" t="s">
        <v>7052</v>
      </c>
      <c r="F1000" s="89" t="s">
        <v>7053</v>
      </c>
      <c r="G1000" s="89" t="s">
        <v>42</v>
      </c>
      <c r="H1000" s="89" t="s">
        <v>43</v>
      </c>
      <c r="I1000" s="89" t="s">
        <v>3001</v>
      </c>
      <c r="J1000" s="95">
        <v>1</v>
      </c>
      <c r="K1000" s="95">
        <v>18</v>
      </c>
      <c r="L1000" s="150"/>
      <c r="M1000" s="146" t="s">
        <v>44</v>
      </c>
      <c r="N1000" s="149">
        <v>175</v>
      </c>
      <c r="O1000" s="149"/>
      <c r="P1000" s="149"/>
      <c r="Q1000" s="149"/>
      <c r="R1000" s="149"/>
      <c r="S1000" s="149"/>
      <c r="T1000" s="149"/>
      <c r="U1000" s="149"/>
      <c r="V1000" s="89"/>
      <c r="W1000" s="91"/>
      <c r="X1000" s="91"/>
      <c r="Y1000" s="91"/>
    </row>
    <row r="1001" spans="1:25" s="26" customFormat="1" ht="15" customHeight="1" x14ac:dyDescent="0.2">
      <c r="A1001" s="37">
        <v>41487.725624999999</v>
      </c>
      <c r="B1001" s="26" t="s">
        <v>16</v>
      </c>
      <c r="C1001" s="26" t="s">
        <v>545</v>
      </c>
      <c r="D1001" s="33">
        <v>41456</v>
      </c>
      <c r="E1001" s="26" t="s">
        <v>546</v>
      </c>
      <c r="F1001" s="26" t="s">
        <v>547</v>
      </c>
      <c r="G1001" s="26" t="s">
        <v>156</v>
      </c>
      <c r="H1001" s="34" t="s">
        <v>548</v>
      </c>
      <c r="I1001" s="34"/>
      <c r="J1001" s="115">
        <v>1</v>
      </c>
      <c r="K1001" s="115">
        <v>304</v>
      </c>
      <c r="L1001" s="136"/>
      <c r="M1001" s="137" t="s">
        <v>44</v>
      </c>
      <c r="N1001" s="138">
        <v>500</v>
      </c>
      <c r="O1001" s="138"/>
      <c r="P1001" s="138">
        <v>465.27</v>
      </c>
      <c r="Q1001" s="138"/>
      <c r="R1001" s="138"/>
      <c r="S1001" s="138">
        <v>75</v>
      </c>
      <c r="T1001" s="138"/>
      <c r="U1001" s="138"/>
    </row>
    <row r="1002" spans="1:25" s="26" customFormat="1" ht="15" customHeight="1" x14ac:dyDescent="0.2">
      <c r="A1002" s="38">
        <v>41522.637546296297</v>
      </c>
      <c r="B1002" s="29" t="s">
        <v>16</v>
      </c>
      <c r="C1002" s="29" t="s">
        <v>545</v>
      </c>
      <c r="D1002" s="30">
        <v>41487</v>
      </c>
      <c r="E1002" s="31" t="s">
        <v>1708</v>
      </c>
      <c r="F1002" s="29" t="s">
        <v>1709</v>
      </c>
      <c r="G1002" s="29" t="s">
        <v>26</v>
      </c>
      <c r="H1002" s="29" t="s">
        <v>1710</v>
      </c>
      <c r="I1002" s="29"/>
      <c r="J1002" s="116">
        <v>2</v>
      </c>
      <c r="K1002" s="116">
        <v>23</v>
      </c>
      <c r="L1002" s="139"/>
      <c r="M1002" s="140" t="s">
        <v>44</v>
      </c>
      <c r="N1002" s="141">
        <v>80.5</v>
      </c>
      <c r="O1002" s="141"/>
      <c r="P1002" s="141">
        <v>14.98</v>
      </c>
      <c r="Q1002" s="141"/>
      <c r="R1002" s="141"/>
      <c r="S1002" s="141"/>
      <c r="T1002" s="141"/>
      <c r="U1002" s="141"/>
      <c r="V1002" s="29"/>
    </row>
    <row r="1003" spans="1:25" s="26" customFormat="1" ht="15" customHeight="1" x14ac:dyDescent="0.2">
      <c r="A1003" s="38">
        <v>41523.410081018519</v>
      </c>
      <c r="B1003" s="29" t="s">
        <v>16</v>
      </c>
      <c r="C1003" s="29" t="s">
        <v>545</v>
      </c>
      <c r="D1003" s="30">
        <v>41487</v>
      </c>
      <c r="E1003" s="31"/>
      <c r="F1003" s="29" t="s">
        <v>1711</v>
      </c>
      <c r="G1003" s="29" t="s">
        <v>42</v>
      </c>
      <c r="H1003" s="29" t="s">
        <v>1712</v>
      </c>
      <c r="I1003" s="29"/>
      <c r="J1003" s="116">
        <v>3</v>
      </c>
      <c r="K1003" s="116">
        <v>23</v>
      </c>
      <c r="L1003" s="139"/>
      <c r="M1003" s="140" t="s">
        <v>22</v>
      </c>
      <c r="N1003" s="141"/>
      <c r="O1003" s="141"/>
      <c r="P1003" s="141"/>
      <c r="Q1003" s="141"/>
      <c r="R1003" s="141"/>
      <c r="S1003" s="141"/>
      <c r="T1003" s="141"/>
      <c r="U1003" s="141"/>
      <c r="V1003" s="29"/>
    </row>
    <row r="1004" spans="1:25" s="26" customFormat="1" ht="15" customHeight="1" x14ac:dyDescent="0.2">
      <c r="A1004" s="32">
        <v>41558.426261574074</v>
      </c>
      <c r="B1004" s="26" t="s">
        <v>16</v>
      </c>
      <c r="C1004" s="26" t="s">
        <v>545</v>
      </c>
      <c r="D1004" s="30">
        <v>41518</v>
      </c>
      <c r="E1004" s="26" t="s">
        <v>2790</v>
      </c>
      <c r="F1004" s="26" t="s">
        <v>2315</v>
      </c>
      <c r="G1004" s="26" t="s">
        <v>156</v>
      </c>
      <c r="H1004" s="26" t="s">
        <v>2791</v>
      </c>
      <c r="J1004" s="115">
        <v>1</v>
      </c>
      <c r="K1004" s="115">
        <v>91</v>
      </c>
      <c r="L1004" s="136"/>
      <c r="M1004" s="137" t="s">
        <v>22</v>
      </c>
      <c r="N1004" s="138"/>
      <c r="O1004" s="138"/>
      <c r="P1004" s="138"/>
      <c r="Q1004" s="138"/>
      <c r="R1004" s="138"/>
      <c r="S1004" s="138"/>
      <c r="T1004" s="138"/>
      <c r="U1004" s="138"/>
    </row>
    <row r="1005" spans="1:25" s="26" customFormat="1" ht="15" customHeight="1" x14ac:dyDescent="0.2">
      <c r="A1005" s="32">
        <v>41558.428865740738</v>
      </c>
      <c r="B1005" s="26" t="s">
        <v>16</v>
      </c>
      <c r="C1005" s="26" t="s">
        <v>545</v>
      </c>
      <c r="D1005" s="30">
        <v>41518</v>
      </c>
      <c r="E1005" s="26" t="s">
        <v>2008</v>
      </c>
      <c r="F1005" s="26" t="s">
        <v>2792</v>
      </c>
      <c r="G1005" s="26" t="s">
        <v>351</v>
      </c>
      <c r="H1005" s="26" t="s">
        <v>2793</v>
      </c>
      <c r="J1005" s="46">
        <v>1</v>
      </c>
      <c r="K1005" s="46">
        <v>300</v>
      </c>
      <c r="L1005" s="136"/>
      <c r="M1005" s="137" t="s">
        <v>22</v>
      </c>
      <c r="N1005" s="138"/>
      <c r="O1005" s="138"/>
      <c r="P1005" s="138"/>
      <c r="Q1005" s="138"/>
      <c r="R1005" s="138"/>
      <c r="S1005" s="138"/>
      <c r="T1005" s="138"/>
      <c r="U1005" s="138"/>
    </row>
    <row r="1006" spans="1:25" s="26" customFormat="1" ht="15" customHeight="1" x14ac:dyDescent="0.2">
      <c r="A1006" s="48">
        <v>41608.461770833303</v>
      </c>
      <c r="B1006" s="49" t="s">
        <v>16</v>
      </c>
      <c r="C1006" s="50" t="s">
        <v>545</v>
      </c>
      <c r="D1006" s="67">
        <v>41579</v>
      </c>
      <c r="E1006" s="50" t="s">
        <v>3146</v>
      </c>
      <c r="F1006" s="50" t="s">
        <v>3147</v>
      </c>
      <c r="G1006" s="49" t="s">
        <v>20</v>
      </c>
      <c r="H1006" s="50" t="s">
        <v>3148</v>
      </c>
      <c r="I1006" s="50" t="s">
        <v>3149</v>
      </c>
      <c r="J1006" s="117">
        <v>5</v>
      </c>
      <c r="K1006" s="117">
        <v>25</v>
      </c>
      <c r="L1006" s="142"/>
      <c r="M1006" s="143" t="s">
        <v>44</v>
      </c>
      <c r="N1006" s="144">
        <v>57.5</v>
      </c>
      <c r="O1006" s="144"/>
      <c r="P1006" s="144">
        <v>103.53</v>
      </c>
      <c r="Q1006" s="144"/>
      <c r="R1006" s="144"/>
      <c r="S1006" s="144"/>
      <c r="T1006" s="144"/>
      <c r="U1006" s="144"/>
      <c r="V1006" s="50"/>
    </row>
    <row r="1007" spans="1:25" s="26" customFormat="1" ht="15" customHeight="1" x14ac:dyDescent="0.2">
      <c r="A1007" s="48">
        <v>41608.463900463001</v>
      </c>
      <c r="B1007" s="49" t="s">
        <v>16</v>
      </c>
      <c r="C1007" s="50" t="s">
        <v>545</v>
      </c>
      <c r="D1007" s="67">
        <v>41579</v>
      </c>
      <c r="E1007" s="50" t="s">
        <v>3150</v>
      </c>
      <c r="F1007" s="50" t="s">
        <v>3151</v>
      </c>
      <c r="G1007" s="49" t="s">
        <v>42</v>
      </c>
      <c r="H1007" s="50" t="s">
        <v>3152</v>
      </c>
      <c r="I1007" s="50" t="s">
        <v>3153</v>
      </c>
      <c r="J1007" s="117">
        <v>1</v>
      </c>
      <c r="K1007" s="117">
        <v>24</v>
      </c>
      <c r="L1007" s="142"/>
      <c r="M1007" s="143" t="s">
        <v>22</v>
      </c>
      <c r="N1007" s="144"/>
      <c r="O1007" s="144"/>
      <c r="P1007" s="144"/>
      <c r="Q1007" s="144"/>
      <c r="R1007" s="144"/>
      <c r="S1007" s="144"/>
      <c r="T1007" s="144"/>
      <c r="U1007" s="144"/>
      <c r="V1007" s="50"/>
    </row>
    <row r="1008" spans="1:25" s="26" customFormat="1" ht="15" customHeight="1" x14ac:dyDescent="0.2">
      <c r="A1008" s="48">
        <v>41608.466921296298</v>
      </c>
      <c r="B1008" s="49" t="s">
        <v>16</v>
      </c>
      <c r="C1008" s="50" t="s">
        <v>545</v>
      </c>
      <c r="D1008" s="67">
        <v>41579</v>
      </c>
      <c r="E1008" s="50" t="s">
        <v>3154</v>
      </c>
      <c r="F1008" s="50" t="s">
        <v>3155</v>
      </c>
      <c r="G1008" s="49" t="s">
        <v>20</v>
      </c>
      <c r="H1008" s="50" t="s">
        <v>3156</v>
      </c>
      <c r="I1008" s="50" t="s">
        <v>3153</v>
      </c>
      <c r="J1008" s="117">
        <v>14</v>
      </c>
      <c r="K1008" s="117">
        <v>770</v>
      </c>
      <c r="L1008" s="142"/>
      <c r="M1008" s="143" t="s">
        <v>44</v>
      </c>
      <c r="N1008" s="144"/>
      <c r="O1008" s="144"/>
      <c r="P1008" s="144">
        <v>198.51</v>
      </c>
      <c r="Q1008" s="144"/>
      <c r="R1008" s="144"/>
      <c r="S1008" s="144"/>
      <c r="T1008" s="144"/>
      <c r="U1008" s="144"/>
      <c r="V1008" s="50" t="s">
        <v>3157</v>
      </c>
    </row>
    <row r="1009" spans="1:25" s="26" customFormat="1" ht="15" customHeight="1" x14ac:dyDescent="0.2">
      <c r="A1009" s="48">
        <v>41608.469525462999</v>
      </c>
      <c r="B1009" s="49" t="s">
        <v>16</v>
      </c>
      <c r="C1009" s="50" t="s">
        <v>545</v>
      </c>
      <c r="D1009" s="67">
        <v>41579</v>
      </c>
      <c r="E1009" s="50" t="s">
        <v>3158</v>
      </c>
      <c r="F1009" s="50" t="s">
        <v>3159</v>
      </c>
      <c r="G1009" s="49" t="s">
        <v>156</v>
      </c>
      <c r="H1009" s="50" t="s">
        <v>3160</v>
      </c>
      <c r="I1009" s="50" t="s">
        <v>3153</v>
      </c>
      <c r="J1009" s="117">
        <v>1</v>
      </c>
      <c r="K1009" s="117">
        <v>217</v>
      </c>
      <c r="L1009" s="142"/>
      <c r="M1009" s="143" t="s">
        <v>44</v>
      </c>
      <c r="N1009" s="144">
        <v>602</v>
      </c>
      <c r="O1009" s="144"/>
      <c r="P1009" s="144">
        <v>410.97</v>
      </c>
      <c r="Q1009" s="144"/>
      <c r="R1009" s="144"/>
      <c r="S1009" s="144">
        <v>56.25</v>
      </c>
      <c r="T1009" s="144"/>
      <c r="U1009" s="144"/>
      <c r="V1009" s="50"/>
    </row>
    <row r="1010" spans="1:25" s="26" customFormat="1" ht="15" customHeight="1" x14ac:dyDescent="0.2">
      <c r="A1010" s="32">
        <v>41641.557500000003</v>
      </c>
      <c r="B1010" s="26" t="s">
        <v>16</v>
      </c>
      <c r="C1010" s="26" t="s">
        <v>545</v>
      </c>
      <c r="D1010" s="68">
        <v>41609</v>
      </c>
      <c r="E1010" s="26" t="s">
        <v>3886</v>
      </c>
      <c r="F1010" s="26" t="s">
        <v>3887</v>
      </c>
      <c r="G1010" s="26" t="s">
        <v>156</v>
      </c>
      <c r="H1010" s="26" t="s">
        <v>3888</v>
      </c>
      <c r="I1010" s="26" t="s">
        <v>2812</v>
      </c>
      <c r="J1010" s="46">
        <v>1</v>
      </c>
      <c r="K1010" s="46">
        <v>79</v>
      </c>
      <c r="L1010" s="136"/>
      <c r="M1010" s="137" t="s">
        <v>44</v>
      </c>
      <c r="N1010" s="138">
        <v>309</v>
      </c>
      <c r="O1010" s="138"/>
      <c r="P1010" s="138">
        <v>27.66</v>
      </c>
      <c r="Q1010" s="138"/>
      <c r="R1010" s="138"/>
      <c r="S1010" s="138"/>
      <c r="T1010" s="138"/>
      <c r="U1010" s="138"/>
      <c r="V1010" s="26" t="s">
        <v>3889</v>
      </c>
    </row>
    <row r="1011" spans="1:25" s="26" customFormat="1" ht="15" customHeight="1" x14ac:dyDescent="0.2">
      <c r="A1011" s="55">
        <v>41671.439143518503</v>
      </c>
      <c r="B1011" s="52" t="s">
        <v>16</v>
      </c>
      <c r="C1011" s="52" t="s">
        <v>545</v>
      </c>
      <c r="D1011" s="69">
        <v>41640</v>
      </c>
      <c r="E1011" s="52" t="s">
        <v>3760</v>
      </c>
      <c r="F1011" s="52" t="s">
        <v>4285</v>
      </c>
      <c r="G1011" s="52" t="s">
        <v>156</v>
      </c>
      <c r="H1011" s="52" t="s">
        <v>4286</v>
      </c>
      <c r="I1011" s="52" t="s">
        <v>2986</v>
      </c>
      <c r="J1011" s="95">
        <v>1</v>
      </c>
      <c r="K1011" s="118">
        <v>26</v>
      </c>
      <c r="L1011" s="148"/>
      <c r="M1011" s="146" t="s">
        <v>44</v>
      </c>
      <c r="N1011" s="147">
        <v>68</v>
      </c>
      <c r="O1011" s="147"/>
      <c r="P1011" s="147">
        <v>13.01</v>
      </c>
      <c r="Q1011" s="147"/>
      <c r="R1011" s="147"/>
      <c r="S1011" s="147"/>
      <c r="T1011" s="147"/>
      <c r="U1011" s="149"/>
      <c r="V1011" s="52"/>
      <c r="W1011" s="52"/>
      <c r="X1011" s="52"/>
      <c r="Y1011" s="52"/>
    </row>
    <row r="1012" spans="1:25" s="26" customFormat="1" ht="15" customHeight="1" x14ac:dyDescent="0.2">
      <c r="A1012" s="32">
        <v>41699.512303240743</v>
      </c>
      <c r="B1012" s="26" t="s">
        <v>16</v>
      </c>
      <c r="C1012" s="26" t="s">
        <v>545</v>
      </c>
      <c r="D1012" s="33">
        <v>41671</v>
      </c>
      <c r="E1012" s="26" t="s">
        <v>4749</v>
      </c>
      <c r="F1012" s="26" t="s">
        <v>4750</v>
      </c>
      <c r="G1012" s="26" t="s">
        <v>26</v>
      </c>
      <c r="H1012" s="26" t="s">
        <v>4751</v>
      </c>
      <c r="I1012" s="26" t="s">
        <v>2812</v>
      </c>
      <c r="J1012" s="46">
        <v>1</v>
      </c>
      <c r="K1012" s="46">
        <v>80</v>
      </c>
      <c r="L1012" s="136"/>
      <c r="M1012" s="137" t="s">
        <v>44</v>
      </c>
      <c r="N1012" s="138"/>
      <c r="O1012" s="138"/>
      <c r="P1012" s="138">
        <v>104.37</v>
      </c>
      <c r="Q1012" s="138"/>
      <c r="R1012" s="138"/>
      <c r="S1012" s="138"/>
      <c r="T1012" s="138"/>
      <c r="U1012" s="138"/>
    </row>
    <row r="1013" spans="1:25" s="26" customFormat="1" ht="15" customHeight="1" x14ac:dyDescent="0.2">
      <c r="A1013" s="32">
        <v>41699.5156712963</v>
      </c>
      <c r="B1013" s="26" t="s">
        <v>16</v>
      </c>
      <c r="C1013" s="26" t="s">
        <v>545</v>
      </c>
      <c r="D1013" s="33">
        <v>41671</v>
      </c>
      <c r="E1013" s="26" t="s">
        <v>4752</v>
      </c>
      <c r="F1013" s="26" t="s">
        <v>4753</v>
      </c>
      <c r="G1013" s="26" t="s">
        <v>351</v>
      </c>
      <c r="H1013" s="26" t="s">
        <v>4754</v>
      </c>
      <c r="I1013" s="26" t="s">
        <v>2812</v>
      </c>
      <c r="J1013" s="46">
        <v>18</v>
      </c>
      <c r="K1013" s="46">
        <v>3600</v>
      </c>
      <c r="L1013" s="136"/>
      <c r="M1013" s="137" t="s">
        <v>22</v>
      </c>
      <c r="N1013" s="138"/>
      <c r="O1013" s="138"/>
      <c r="P1013" s="138"/>
      <c r="Q1013" s="138"/>
      <c r="R1013" s="138"/>
      <c r="S1013" s="138"/>
      <c r="T1013" s="138"/>
      <c r="U1013" s="138"/>
    </row>
    <row r="1014" spans="1:25" s="26" customFormat="1" ht="15" customHeight="1" x14ac:dyDescent="0.2">
      <c r="A1014" s="32">
        <v>41703.566504629627</v>
      </c>
      <c r="B1014" s="26" t="s">
        <v>16</v>
      </c>
      <c r="C1014" s="26" t="s">
        <v>545</v>
      </c>
      <c r="D1014" s="33">
        <v>41671</v>
      </c>
      <c r="E1014" s="26" t="s">
        <v>2827</v>
      </c>
      <c r="F1014" s="26" t="s">
        <v>4750</v>
      </c>
      <c r="G1014" s="26" t="s">
        <v>156</v>
      </c>
      <c r="H1014" s="26" t="s">
        <v>4936</v>
      </c>
      <c r="I1014" s="26" t="s">
        <v>2925</v>
      </c>
      <c r="J1014" s="46">
        <v>1</v>
      </c>
      <c r="K1014" s="46">
        <v>80</v>
      </c>
      <c r="L1014" s="136"/>
      <c r="M1014" s="137" t="s">
        <v>22</v>
      </c>
      <c r="N1014" s="138"/>
      <c r="O1014" s="138"/>
      <c r="P1014" s="138"/>
      <c r="Q1014" s="138"/>
      <c r="R1014" s="138"/>
      <c r="S1014" s="138"/>
      <c r="T1014" s="138"/>
      <c r="U1014" s="138"/>
    </row>
    <row r="1015" spans="1:25" s="26" customFormat="1" ht="15" customHeight="1" x14ac:dyDescent="0.2">
      <c r="A1015" s="55">
        <v>41760.664386574099</v>
      </c>
      <c r="B1015" s="52" t="s">
        <v>16</v>
      </c>
      <c r="C1015" s="52" t="s">
        <v>545</v>
      </c>
      <c r="D1015" s="88" t="s">
        <v>6076</v>
      </c>
      <c r="E1015" s="52" t="s">
        <v>6230</v>
      </c>
      <c r="F1015" s="52" t="s">
        <v>6231</v>
      </c>
      <c r="G1015" s="52" t="s">
        <v>20</v>
      </c>
      <c r="H1015" s="52" t="s">
        <v>6232</v>
      </c>
      <c r="I1015" s="52" t="s">
        <v>3153</v>
      </c>
      <c r="J1015" s="95">
        <v>16</v>
      </c>
      <c r="K1015" s="95">
        <v>114</v>
      </c>
      <c r="L1015" s="149"/>
      <c r="M1015" s="146" t="s">
        <v>44</v>
      </c>
      <c r="N1015" s="149">
        <v>262.5</v>
      </c>
      <c r="O1015" s="149"/>
      <c r="P1015" s="149">
        <v>370.97</v>
      </c>
      <c r="Q1015" s="149"/>
      <c r="R1015" s="149"/>
      <c r="S1015" s="149"/>
      <c r="T1015" s="149"/>
      <c r="U1015" s="149"/>
      <c r="V1015" s="52"/>
    </row>
    <row r="1016" spans="1:25" s="26" customFormat="1" ht="15" customHeight="1" x14ac:dyDescent="0.2">
      <c r="A1016" s="55">
        <v>41760.666319444397</v>
      </c>
      <c r="B1016" s="52" t="s">
        <v>16</v>
      </c>
      <c r="C1016" s="52" t="s">
        <v>545</v>
      </c>
      <c r="D1016" s="88" t="s">
        <v>6076</v>
      </c>
      <c r="E1016" s="52" t="s">
        <v>6233</v>
      </c>
      <c r="F1016" s="52" t="s">
        <v>6234</v>
      </c>
      <c r="G1016" s="52" t="s">
        <v>20</v>
      </c>
      <c r="H1016" s="52" t="s">
        <v>6232</v>
      </c>
      <c r="I1016" s="52" t="s">
        <v>3153</v>
      </c>
      <c r="J1016" s="95">
        <v>16</v>
      </c>
      <c r="K1016" s="95">
        <v>118</v>
      </c>
      <c r="L1016" s="149"/>
      <c r="M1016" s="146" t="s">
        <v>44</v>
      </c>
      <c r="N1016" s="149">
        <v>292</v>
      </c>
      <c r="O1016" s="149"/>
      <c r="P1016" s="149">
        <v>982.22</v>
      </c>
      <c r="Q1016" s="149"/>
      <c r="R1016" s="149"/>
      <c r="S1016" s="149"/>
      <c r="T1016" s="149"/>
      <c r="U1016" s="149"/>
      <c r="V1016" s="52"/>
    </row>
    <row r="1017" spans="1:25" s="26" customFormat="1" ht="15" customHeight="1" x14ac:dyDescent="0.2">
      <c r="A1017" s="55">
        <v>41767.641620370399</v>
      </c>
      <c r="B1017" s="52" t="s">
        <v>16</v>
      </c>
      <c r="C1017" s="52" t="s">
        <v>545</v>
      </c>
      <c r="D1017" s="88" t="s">
        <v>6076</v>
      </c>
      <c r="E1017" s="52" t="s">
        <v>1215</v>
      </c>
      <c r="F1017" s="52" t="s">
        <v>6483</v>
      </c>
      <c r="G1017" s="52" t="s">
        <v>20</v>
      </c>
      <c r="H1017" s="52" t="s">
        <v>6484</v>
      </c>
      <c r="I1017" s="52" t="s">
        <v>2925</v>
      </c>
      <c r="J1017" s="95">
        <v>16</v>
      </c>
      <c r="K1017" s="95">
        <v>114</v>
      </c>
      <c r="L1017" s="149"/>
      <c r="M1017" s="146" t="s">
        <v>22</v>
      </c>
      <c r="N1017" s="149"/>
      <c r="O1017" s="149"/>
      <c r="P1017" s="149"/>
      <c r="Q1017" s="149"/>
      <c r="R1017" s="149"/>
      <c r="S1017" s="149"/>
      <c r="T1017" s="149"/>
      <c r="U1017" s="149"/>
      <c r="V1017" s="52"/>
    </row>
    <row r="1018" spans="1:25" s="26" customFormat="1" ht="15" customHeight="1" x14ac:dyDescent="0.2">
      <c r="A1018" s="55">
        <v>41767.642766203702</v>
      </c>
      <c r="B1018" s="52" t="s">
        <v>16</v>
      </c>
      <c r="C1018" s="52" t="s">
        <v>545</v>
      </c>
      <c r="D1018" s="88" t="s">
        <v>6076</v>
      </c>
      <c r="E1018" s="52" t="s">
        <v>1215</v>
      </c>
      <c r="F1018" s="52" t="s">
        <v>6485</v>
      </c>
      <c r="G1018" s="52" t="s">
        <v>20</v>
      </c>
      <c r="H1018" s="52" t="s">
        <v>6486</v>
      </c>
      <c r="I1018" s="52" t="s">
        <v>2925</v>
      </c>
      <c r="J1018" s="95">
        <v>16</v>
      </c>
      <c r="K1018" s="95">
        <v>118</v>
      </c>
      <c r="L1018" s="149"/>
      <c r="M1018" s="146" t="s">
        <v>22</v>
      </c>
      <c r="N1018" s="149"/>
      <c r="O1018" s="149"/>
      <c r="P1018" s="149"/>
      <c r="Q1018" s="149"/>
      <c r="R1018" s="149"/>
      <c r="S1018" s="149"/>
      <c r="T1018" s="149"/>
      <c r="U1018" s="149"/>
      <c r="V1018" s="52"/>
    </row>
    <row r="1019" spans="1:25" s="26" customFormat="1" ht="15" customHeight="1" x14ac:dyDescent="0.2">
      <c r="A1019" s="93">
        <v>41788.6793287037</v>
      </c>
      <c r="B1019" s="89" t="s">
        <v>38</v>
      </c>
      <c r="C1019" s="52" t="s">
        <v>39</v>
      </c>
      <c r="D1019" s="87" t="s">
        <v>6224</v>
      </c>
      <c r="E1019" s="89" t="s">
        <v>6418</v>
      </c>
      <c r="F1019" s="89" t="s">
        <v>6413</v>
      </c>
      <c r="G1019" s="89" t="s">
        <v>20</v>
      </c>
      <c r="H1019" s="89" t="s">
        <v>43</v>
      </c>
      <c r="I1019" s="89" t="s">
        <v>6294</v>
      </c>
      <c r="J1019" s="95">
        <v>1</v>
      </c>
      <c r="K1019" s="95">
        <v>113</v>
      </c>
      <c r="L1019" s="150"/>
      <c r="M1019" s="146" t="s">
        <v>44</v>
      </c>
      <c r="N1019" s="149">
        <v>610.34</v>
      </c>
      <c r="O1019" s="149"/>
      <c r="P1019" s="149">
        <v>125</v>
      </c>
      <c r="Q1019" s="149"/>
      <c r="R1019" s="149"/>
      <c r="S1019" s="149"/>
      <c r="T1019" s="149"/>
      <c r="U1019" s="149"/>
      <c r="V1019" s="89"/>
      <c r="W1019" s="91"/>
      <c r="X1019" s="91"/>
      <c r="Y1019" s="91"/>
    </row>
    <row r="1020" spans="1:25" s="26" customFormat="1" ht="15" customHeight="1" x14ac:dyDescent="0.2">
      <c r="A1020" s="93">
        <v>41788.6804050926</v>
      </c>
      <c r="B1020" s="89" t="s">
        <v>38</v>
      </c>
      <c r="C1020" s="52" t="s">
        <v>39</v>
      </c>
      <c r="D1020" s="87" t="s">
        <v>6224</v>
      </c>
      <c r="E1020" s="89" t="s">
        <v>3808</v>
      </c>
      <c r="F1020" s="89" t="s">
        <v>6413</v>
      </c>
      <c r="G1020" s="89" t="s">
        <v>20</v>
      </c>
      <c r="H1020" s="89" t="s">
        <v>43</v>
      </c>
      <c r="I1020" s="89" t="s">
        <v>6294</v>
      </c>
      <c r="J1020" s="95">
        <v>1</v>
      </c>
      <c r="K1020" s="95">
        <v>146</v>
      </c>
      <c r="L1020" s="150"/>
      <c r="M1020" s="146" t="s">
        <v>44</v>
      </c>
      <c r="N1020" s="149">
        <v>760.58</v>
      </c>
      <c r="O1020" s="149"/>
      <c r="P1020" s="149"/>
      <c r="Q1020" s="149"/>
      <c r="R1020" s="149"/>
      <c r="S1020" s="149"/>
      <c r="T1020" s="149"/>
      <c r="U1020" s="149"/>
      <c r="V1020" s="89"/>
      <c r="W1020" s="91"/>
      <c r="X1020" s="91"/>
      <c r="Y1020" s="91"/>
    </row>
    <row r="1021" spans="1:25" s="26" customFormat="1" ht="15" customHeight="1" x14ac:dyDescent="0.2">
      <c r="A1021" s="37">
        <v>41464.665937500002</v>
      </c>
      <c r="B1021" s="26" t="s">
        <v>152</v>
      </c>
      <c r="C1021" s="26" t="s">
        <v>153</v>
      </c>
      <c r="D1021" s="33">
        <v>41456</v>
      </c>
      <c r="E1021" s="26" t="s">
        <v>154</v>
      </c>
      <c r="F1021" s="26" t="s">
        <v>155</v>
      </c>
      <c r="G1021" s="26" t="s">
        <v>156</v>
      </c>
      <c r="H1021" s="26" t="s">
        <v>1278</v>
      </c>
      <c r="J1021" s="115">
        <v>1</v>
      </c>
      <c r="K1021" s="115">
        <v>81</v>
      </c>
      <c r="L1021" s="136"/>
      <c r="M1021" s="137" t="s">
        <v>22</v>
      </c>
      <c r="N1021" s="138"/>
      <c r="O1021" s="138"/>
      <c r="P1021" s="138"/>
      <c r="Q1021" s="138"/>
      <c r="R1021" s="138"/>
      <c r="S1021" s="138"/>
      <c r="T1021" s="138"/>
      <c r="U1021" s="138"/>
      <c r="V1021" s="26" t="s">
        <v>157</v>
      </c>
    </row>
    <row r="1022" spans="1:25" s="26" customFormat="1" ht="15" customHeight="1" x14ac:dyDescent="0.2">
      <c r="A1022" s="37">
        <v>41470.3531365741</v>
      </c>
      <c r="B1022" s="26" t="s">
        <v>152</v>
      </c>
      <c r="C1022" s="26" t="s">
        <v>153</v>
      </c>
      <c r="D1022" s="33">
        <v>41456</v>
      </c>
      <c r="E1022" s="26" t="s">
        <v>200</v>
      </c>
      <c r="F1022" s="26" t="s">
        <v>201</v>
      </c>
      <c r="G1022" s="26" t="s">
        <v>156</v>
      </c>
      <c r="H1022" s="26" t="s">
        <v>202</v>
      </c>
      <c r="J1022" s="115">
        <v>1</v>
      </c>
      <c r="K1022" s="115">
        <v>529</v>
      </c>
      <c r="L1022" s="136"/>
      <c r="M1022" s="137" t="s">
        <v>22</v>
      </c>
      <c r="N1022" s="138"/>
      <c r="O1022" s="138"/>
      <c r="P1022" s="138"/>
      <c r="Q1022" s="138"/>
      <c r="R1022" s="138"/>
      <c r="S1022" s="138"/>
      <c r="T1022" s="138"/>
      <c r="U1022" s="138"/>
      <c r="V1022" s="26" t="s">
        <v>203</v>
      </c>
    </row>
    <row r="1023" spans="1:25" s="26" customFormat="1" ht="15" customHeight="1" x14ac:dyDescent="0.2">
      <c r="A1023" s="37">
        <v>41475.560717592598</v>
      </c>
      <c r="B1023" s="26" t="s">
        <v>152</v>
      </c>
      <c r="C1023" s="26" t="s">
        <v>153</v>
      </c>
      <c r="D1023" s="33">
        <v>41456</v>
      </c>
      <c r="E1023" s="26" t="s">
        <v>258</v>
      </c>
      <c r="F1023" s="26" t="s">
        <v>259</v>
      </c>
      <c r="G1023" s="26" t="s">
        <v>26</v>
      </c>
      <c r="H1023" s="26" t="s">
        <v>259</v>
      </c>
      <c r="J1023" s="115">
        <v>1</v>
      </c>
      <c r="K1023" s="115">
        <v>20</v>
      </c>
      <c r="L1023" s="136">
        <v>689</v>
      </c>
      <c r="M1023" s="137" t="s">
        <v>44</v>
      </c>
      <c r="N1023" s="138"/>
      <c r="O1023" s="138">
        <v>15</v>
      </c>
      <c r="P1023" s="138"/>
      <c r="Q1023" s="138">
        <v>348</v>
      </c>
      <c r="R1023" s="138"/>
      <c r="S1023" s="138"/>
      <c r="T1023" s="138"/>
      <c r="U1023" s="138"/>
      <c r="V1023" s="26" t="s">
        <v>260</v>
      </c>
    </row>
    <row r="1024" spans="1:25" s="26" customFormat="1" ht="15" customHeight="1" x14ac:dyDescent="0.2">
      <c r="A1024" s="37">
        <v>41476.537881944401</v>
      </c>
      <c r="B1024" s="26" t="s">
        <v>152</v>
      </c>
      <c r="C1024" s="26" t="s">
        <v>153</v>
      </c>
      <c r="D1024" s="33">
        <v>41456</v>
      </c>
      <c r="E1024" s="26" t="s">
        <v>269</v>
      </c>
      <c r="F1024" s="26" t="s">
        <v>270</v>
      </c>
      <c r="G1024" s="26" t="s">
        <v>26</v>
      </c>
      <c r="H1024" s="26" t="s">
        <v>271</v>
      </c>
      <c r="J1024" s="115">
        <v>2</v>
      </c>
      <c r="K1024" s="115">
        <v>27</v>
      </c>
      <c r="L1024" s="136"/>
      <c r="M1024" s="137" t="s">
        <v>44</v>
      </c>
      <c r="N1024" s="138"/>
      <c r="O1024" s="138">
        <v>25</v>
      </c>
      <c r="P1024" s="138">
        <v>136</v>
      </c>
      <c r="Q1024" s="138">
        <v>70</v>
      </c>
      <c r="R1024" s="138"/>
      <c r="S1024" s="138"/>
      <c r="T1024" s="138"/>
      <c r="U1024" s="138"/>
    </row>
    <row r="1025" spans="1:22" s="26" customFormat="1" ht="15" customHeight="1" x14ac:dyDescent="0.2">
      <c r="A1025" s="37">
        <v>41485.349571759303</v>
      </c>
      <c r="B1025" s="26" t="s">
        <v>152</v>
      </c>
      <c r="C1025" s="26" t="s">
        <v>153</v>
      </c>
      <c r="D1025" s="33">
        <v>41456</v>
      </c>
      <c r="E1025" s="26" t="s">
        <v>353</v>
      </c>
      <c r="F1025" s="26" t="s">
        <v>354</v>
      </c>
      <c r="G1025" s="26" t="s">
        <v>42</v>
      </c>
      <c r="H1025" s="26" t="s">
        <v>355</v>
      </c>
      <c r="J1025" s="115">
        <v>3</v>
      </c>
      <c r="K1025" s="115">
        <v>98</v>
      </c>
      <c r="L1025" s="136"/>
      <c r="M1025" s="137" t="s">
        <v>44</v>
      </c>
      <c r="N1025" s="138"/>
      <c r="O1025" s="138">
        <v>115</v>
      </c>
      <c r="P1025" s="138"/>
      <c r="Q1025" s="138"/>
      <c r="R1025" s="138"/>
      <c r="S1025" s="138"/>
      <c r="T1025" s="138">
        <v>40</v>
      </c>
      <c r="U1025" s="138"/>
      <c r="V1025" s="26" t="s">
        <v>356</v>
      </c>
    </row>
    <row r="1026" spans="1:22" s="26" customFormat="1" ht="15" customHeight="1" x14ac:dyDescent="0.2">
      <c r="A1026" s="37">
        <v>41485.3516550926</v>
      </c>
      <c r="B1026" s="26" t="s">
        <v>152</v>
      </c>
      <c r="C1026" s="26" t="s">
        <v>153</v>
      </c>
      <c r="D1026" s="33">
        <v>41456</v>
      </c>
      <c r="E1026" s="26" t="s">
        <v>357</v>
      </c>
      <c r="F1026" s="26" t="s">
        <v>358</v>
      </c>
      <c r="G1026" s="26" t="s">
        <v>42</v>
      </c>
      <c r="H1026" s="26" t="s">
        <v>359</v>
      </c>
      <c r="J1026" s="115">
        <v>1</v>
      </c>
      <c r="K1026" s="115">
        <v>14</v>
      </c>
      <c r="L1026" s="136"/>
      <c r="M1026" s="137" t="s">
        <v>44</v>
      </c>
      <c r="N1026" s="138"/>
      <c r="O1026" s="138">
        <v>15</v>
      </c>
      <c r="P1026" s="138"/>
      <c r="Q1026" s="138">
        <v>50</v>
      </c>
      <c r="R1026" s="138"/>
      <c r="S1026" s="138"/>
      <c r="T1026" s="138"/>
      <c r="U1026" s="138"/>
      <c r="V1026" s="26" t="s">
        <v>360</v>
      </c>
    </row>
    <row r="1027" spans="1:22" s="26" customFormat="1" ht="15" customHeight="1" x14ac:dyDescent="0.2">
      <c r="A1027" s="37">
        <v>41485.517164351899</v>
      </c>
      <c r="B1027" s="26" t="s">
        <v>152</v>
      </c>
      <c r="C1027" s="26" t="s">
        <v>153</v>
      </c>
      <c r="D1027" s="33">
        <v>41456</v>
      </c>
      <c r="E1027" s="26" t="s">
        <v>364</v>
      </c>
      <c r="F1027" s="26" t="s">
        <v>365</v>
      </c>
      <c r="G1027" s="26" t="s">
        <v>26</v>
      </c>
      <c r="H1027" s="26" t="s">
        <v>366</v>
      </c>
      <c r="J1027" s="115">
        <v>3</v>
      </c>
      <c r="K1027" s="115">
        <v>114</v>
      </c>
      <c r="L1027" s="136"/>
      <c r="M1027" s="137" t="s">
        <v>22</v>
      </c>
      <c r="N1027" s="138"/>
      <c r="O1027" s="138"/>
      <c r="P1027" s="138"/>
      <c r="Q1027" s="138"/>
      <c r="R1027" s="138"/>
      <c r="S1027" s="138"/>
      <c r="T1027" s="138"/>
      <c r="U1027" s="138"/>
    </row>
    <row r="1028" spans="1:22" s="26" customFormat="1" ht="15" customHeight="1" x14ac:dyDescent="0.2">
      <c r="A1028" s="37">
        <v>41485.519004629597</v>
      </c>
      <c r="B1028" s="26" t="s">
        <v>152</v>
      </c>
      <c r="C1028" s="26" t="s">
        <v>153</v>
      </c>
      <c r="D1028" s="33">
        <v>41456</v>
      </c>
      <c r="E1028" s="26" t="s">
        <v>367</v>
      </c>
      <c r="F1028" s="26" t="s">
        <v>368</v>
      </c>
      <c r="G1028" s="26" t="s">
        <v>26</v>
      </c>
      <c r="H1028" s="26" t="s">
        <v>369</v>
      </c>
      <c r="J1028" s="115">
        <v>3</v>
      </c>
      <c r="K1028" s="115">
        <v>103</v>
      </c>
      <c r="L1028" s="136"/>
      <c r="M1028" s="137" t="s">
        <v>22</v>
      </c>
      <c r="N1028" s="138"/>
      <c r="O1028" s="138"/>
      <c r="P1028" s="138"/>
      <c r="Q1028" s="138"/>
      <c r="R1028" s="138"/>
      <c r="S1028" s="138"/>
      <c r="T1028" s="138"/>
      <c r="U1028" s="138"/>
    </row>
    <row r="1029" spans="1:22" s="26" customFormat="1" ht="15" customHeight="1" x14ac:dyDescent="0.2">
      <c r="A1029" s="37">
        <v>41485.5211921296</v>
      </c>
      <c r="B1029" s="26" t="s">
        <v>152</v>
      </c>
      <c r="C1029" s="26" t="s">
        <v>153</v>
      </c>
      <c r="D1029" s="33">
        <v>41456</v>
      </c>
      <c r="E1029" s="26" t="s">
        <v>370</v>
      </c>
      <c r="F1029" s="26" t="s">
        <v>344</v>
      </c>
      <c r="G1029" s="26" t="s">
        <v>26</v>
      </c>
      <c r="H1029" s="26" t="s">
        <v>371</v>
      </c>
      <c r="J1029" s="115">
        <v>2</v>
      </c>
      <c r="K1029" s="115">
        <v>45</v>
      </c>
      <c r="L1029" s="136"/>
      <c r="M1029" s="137" t="s">
        <v>22</v>
      </c>
      <c r="N1029" s="138"/>
      <c r="O1029" s="138"/>
      <c r="P1029" s="138"/>
      <c r="Q1029" s="138"/>
      <c r="R1029" s="138"/>
      <c r="S1029" s="138"/>
      <c r="T1029" s="138"/>
      <c r="U1029" s="138"/>
    </row>
    <row r="1030" spans="1:22" s="26" customFormat="1" ht="15" customHeight="1" x14ac:dyDescent="0.2">
      <c r="A1030" s="37">
        <v>41485.522685185198</v>
      </c>
      <c r="B1030" s="26" t="s">
        <v>152</v>
      </c>
      <c r="C1030" s="26" t="s">
        <v>153</v>
      </c>
      <c r="D1030" s="33">
        <v>41456</v>
      </c>
      <c r="E1030" s="26" t="s">
        <v>372</v>
      </c>
      <c r="F1030" s="26" t="s">
        <v>373</v>
      </c>
      <c r="G1030" s="26" t="s">
        <v>26</v>
      </c>
      <c r="H1030" s="26" t="s">
        <v>374</v>
      </c>
      <c r="J1030" s="115">
        <v>11</v>
      </c>
      <c r="K1030" s="115">
        <v>511</v>
      </c>
      <c r="L1030" s="136"/>
      <c r="M1030" s="137" t="s">
        <v>22</v>
      </c>
      <c r="N1030" s="138"/>
      <c r="O1030" s="138"/>
      <c r="P1030" s="138"/>
      <c r="Q1030" s="138"/>
      <c r="R1030" s="138"/>
      <c r="S1030" s="138"/>
      <c r="T1030" s="138"/>
      <c r="U1030" s="138"/>
    </row>
    <row r="1031" spans="1:22" s="26" customFormat="1" ht="15" customHeight="1" x14ac:dyDescent="0.2">
      <c r="A1031" s="37">
        <v>41485.524259259299</v>
      </c>
      <c r="B1031" s="26" t="s">
        <v>152</v>
      </c>
      <c r="C1031" s="26" t="s">
        <v>153</v>
      </c>
      <c r="D1031" s="33">
        <v>41456</v>
      </c>
      <c r="E1031" s="26" t="s">
        <v>375</v>
      </c>
      <c r="F1031" s="26" t="s">
        <v>376</v>
      </c>
      <c r="G1031" s="26" t="s">
        <v>26</v>
      </c>
      <c r="H1031" s="26" t="s">
        <v>377</v>
      </c>
      <c r="J1031" s="115">
        <v>1</v>
      </c>
      <c r="K1031" s="115">
        <v>2</v>
      </c>
      <c r="L1031" s="136"/>
      <c r="M1031" s="137" t="s">
        <v>22</v>
      </c>
      <c r="N1031" s="138"/>
      <c r="O1031" s="138"/>
      <c r="P1031" s="138"/>
      <c r="Q1031" s="138"/>
      <c r="R1031" s="138"/>
      <c r="S1031" s="138"/>
      <c r="T1031" s="138"/>
      <c r="U1031" s="138"/>
    </row>
    <row r="1032" spans="1:22" s="26" customFormat="1" ht="15" customHeight="1" x14ac:dyDescent="0.2">
      <c r="A1032" s="37">
        <v>41485.525949074101</v>
      </c>
      <c r="B1032" s="26" t="s">
        <v>152</v>
      </c>
      <c r="C1032" s="26" t="s">
        <v>153</v>
      </c>
      <c r="D1032" s="33">
        <v>41456</v>
      </c>
      <c r="E1032" s="26" t="s">
        <v>158</v>
      </c>
      <c r="F1032" s="26" t="s">
        <v>378</v>
      </c>
      <c r="G1032" s="26" t="s">
        <v>26</v>
      </c>
      <c r="H1032" s="26" t="s">
        <v>379</v>
      </c>
      <c r="J1032" s="115">
        <v>4</v>
      </c>
      <c r="K1032" s="115">
        <v>46</v>
      </c>
      <c r="L1032" s="136"/>
      <c r="M1032" s="137" t="s">
        <v>22</v>
      </c>
      <c r="N1032" s="138"/>
      <c r="O1032" s="138"/>
      <c r="P1032" s="138"/>
      <c r="Q1032" s="138"/>
      <c r="R1032" s="138"/>
      <c r="S1032" s="138"/>
      <c r="T1032" s="138"/>
      <c r="U1032" s="138"/>
    </row>
    <row r="1033" spans="1:22" s="26" customFormat="1" ht="15" customHeight="1" x14ac:dyDescent="0.2">
      <c r="A1033" s="37">
        <v>41485.527303240699</v>
      </c>
      <c r="B1033" s="26" t="s">
        <v>152</v>
      </c>
      <c r="C1033" s="26" t="s">
        <v>153</v>
      </c>
      <c r="D1033" s="33">
        <v>41456</v>
      </c>
      <c r="E1033" s="26" t="s">
        <v>380</v>
      </c>
      <c r="F1033" s="26" t="s">
        <v>381</v>
      </c>
      <c r="G1033" s="26" t="s">
        <v>26</v>
      </c>
      <c r="H1033" s="26" t="s">
        <v>382</v>
      </c>
      <c r="J1033" s="115">
        <v>2</v>
      </c>
      <c r="K1033" s="115">
        <v>10</v>
      </c>
      <c r="L1033" s="136"/>
      <c r="M1033" s="137" t="s">
        <v>22</v>
      </c>
      <c r="N1033" s="138"/>
      <c r="O1033" s="138"/>
      <c r="P1033" s="138"/>
      <c r="Q1033" s="138"/>
      <c r="R1033" s="138"/>
      <c r="S1033" s="138"/>
      <c r="T1033" s="138"/>
      <c r="U1033" s="138"/>
    </row>
    <row r="1034" spans="1:22" s="26" customFormat="1" ht="15" customHeight="1" x14ac:dyDescent="0.2">
      <c r="A1034" s="37">
        <v>41485.529641203699</v>
      </c>
      <c r="B1034" s="26" t="s">
        <v>152</v>
      </c>
      <c r="C1034" s="26" t="s">
        <v>153</v>
      </c>
      <c r="D1034" s="33">
        <v>41456</v>
      </c>
      <c r="E1034" s="26" t="s">
        <v>383</v>
      </c>
      <c r="F1034" s="26" t="s">
        <v>384</v>
      </c>
      <c r="G1034" s="26" t="s">
        <v>26</v>
      </c>
      <c r="H1034" s="26" t="s">
        <v>385</v>
      </c>
      <c r="J1034" s="115">
        <v>2</v>
      </c>
      <c r="K1034" s="115">
        <v>83</v>
      </c>
      <c r="L1034" s="136"/>
      <c r="M1034" s="137" t="s">
        <v>22</v>
      </c>
      <c r="N1034" s="138"/>
      <c r="O1034" s="138"/>
      <c r="P1034" s="138"/>
      <c r="Q1034" s="138"/>
      <c r="R1034" s="138"/>
      <c r="S1034" s="138"/>
      <c r="T1034" s="138"/>
      <c r="U1034" s="138"/>
    </row>
    <row r="1035" spans="1:22" s="26" customFormat="1" ht="15" customHeight="1" x14ac:dyDescent="0.2">
      <c r="A1035" s="37">
        <v>41485.5311111111</v>
      </c>
      <c r="B1035" s="26" t="s">
        <v>152</v>
      </c>
      <c r="C1035" s="26" t="s">
        <v>153</v>
      </c>
      <c r="D1035" s="33">
        <v>41456</v>
      </c>
      <c r="E1035" s="26" t="s">
        <v>386</v>
      </c>
      <c r="F1035" s="26" t="s">
        <v>387</v>
      </c>
      <c r="G1035" s="26" t="s">
        <v>26</v>
      </c>
      <c r="H1035" s="26" t="s">
        <v>388</v>
      </c>
      <c r="J1035" s="115">
        <v>2</v>
      </c>
      <c r="K1035" s="115">
        <v>51</v>
      </c>
      <c r="L1035" s="136"/>
      <c r="M1035" s="137" t="s">
        <v>22</v>
      </c>
      <c r="N1035" s="138"/>
      <c r="O1035" s="138"/>
      <c r="P1035" s="138"/>
      <c r="Q1035" s="138"/>
      <c r="R1035" s="138"/>
      <c r="S1035" s="138"/>
      <c r="T1035" s="138"/>
      <c r="U1035" s="138"/>
    </row>
    <row r="1036" spans="1:22" s="26" customFormat="1" ht="15" customHeight="1" x14ac:dyDescent="0.2">
      <c r="A1036" s="37">
        <v>41485.5327777778</v>
      </c>
      <c r="B1036" s="26" t="s">
        <v>152</v>
      </c>
      <c r="C1036" s="26" t="s">
        <v>153</v>
      </c>
      <c r="D1036" s="33">
        <v>41456</v>
      </c>
      <c r="E1036" s="26" t="s">
        <v>389</v>
      </c>
      <c r="F1036" s="26" t="s">
        <v>390</v>
      </c>
      <c r="G1036" s="26" t="s">
        <v>26</v>
      </c>
      <c r="H1036" s="26" t="s">
        <v>391</v>
      </c>
      <c r="J1036" s="115">
        <v>3</v>
      </c>
      <c r="K1036" s="115">
        <v>10</v>
      </c>
      <c r="L1036" s="136">
        <v>70</v>
      </c>
      <c r="M1036" s="137" t="s">
        <v>22</v>
      </c>
      <c r="N1036" s="138"/>
      <c r="O1036" s="138"/>
      <c r="P1036" s="138"/>
      <c r="Q1036" s="138"/>
      <c r="R1036" s="138"/>
      <c r="S1036" s="138"/>
      <c r="T1036" s="138"/>
      <c r="U1036" s="138"/>
    </row>
    <row r="1037" spans="1:22" s="26" customFormat="1" ht="15" customHeight="1" x14ac:dyDescent="0.2">
      <c r="A1037" s="37">
        <v>41485.534166666701</v>
      </c>
      <c r="B1037" s="26" t="s">
        <v>152</v>
      </c>
      <c r="C1037" s="26" t="s">
        <v>153</v>
      </c>
      <c r="D1037" s="33">
        <v>41456</v>
      </c>
      <c r="E1037" s="26" t="s">
        <v>392</v>
      </c>
      <c r="F1037" s="26" t="s">
        <v>393</v>
      </c>
      <c r="G1037" s="26" t="s">
        <v>26</v>
      </c>
      <c r="H1037" s="26" t="s">
        <v>394</v>
      </c>
      <c r="J1037" s="115">
        <v>20</v>
      </c>
      <c r="K1037" s="115">
        <v>3</v>
      </c>
      <c r="L1037" s="136"/>
      <c r="M1037" s="137" t="s">
        <v>22</v>
      </c>
      <c r="N1037" s="138"/>
      <c r="O1037" s="138"/>
      <c r="P1037" s="138"/>
      <c r="Q1037" s="138"/>
      <c r="R1037" s="138"/>
      <c r="S1037" s="138"/>
      <c r="T1037" s="138"/>
      <c r="U1037" s="138"/>
    </row>
    <row r="1038" spans="1:22" s="26" customFormat="1" ht="15" customHeight="1" x14ac:dyDescent="0.2">
      <c r="A1038" s="37">
        <v>41485.535856481503</v>
      </c>
      <c r="B1038" s="26" t="s">
        <v>152</v>
      </c>
      <c r="C1038" s="26" t="s">
        <v>153</v>
      </c>
      <c r="D1038" s="33">
        <v>41456</v>
      </c>
      <c r="E1038" s="26" t="s">
        <v>372</v>
      </c>
      <c r="F1038" s="26" t="s">
        <v>395</v>
      </c>
      <c r="G1038" s="26" t="s">
        <v>26</v>
      </c>
      <c r="H1038" s="26" t="s">
        <v>396</v>
      </c>
      <c r="J1038" s="115">
        <v>2</v>
      </c>
      <c r="K1038" s="115">
        <v>10</v>
      </c>
      <c r="L1038" s="136">
        <v>100</v>
      </c>
      <c r="M1038" s="137" t="s">
        <v>44</v>
      </c>
      <c r="N1038" s="138"/>
      <c r="O1038" s="138">
        <v>15</v>
      </c>
      <c r="P1038" s="138"/>
      <c r="Q1038" s="138"/>
      <c r="R1038" s="138"/>
      <c r="S1038" s="138"/>
      <c r="T1038" s="138"/>
      <c r="U1038" s="138"/>
    </row>
    <row r="1039" spans="1:22" s="26" customFormat="1" ht="15" customHeight="1" x14ac:dyDescent="0.2">
      <c r="A1039" s="37">
        <v>41485.537673611099</v>
      </c>
      <c r="B1039" s="26" t="s">
        <v>152</v>
      </c>
      <c r="C1039" s="26" t="s">
        <v>153</v>
      </c>
      <c r="D1039" s="33">
        <v>41456</v>
      </c>
      <c r="E1039" s="26" t="s">
        <v>375</v>
      </c>
      <c r="F1039" s="26" t="s">
        <v>397</v>
      </c>
      <c r="G1039" s="26" t="s">
        <v>26</v>
      </c>
      <c r="H1039" s="26" t="s">
        <v>398</v>
      </c>
      <c r="J1039" s="115">
        <v>1</v>
      </c>
      <c r="K1039" s="115">
        <v>5</v>
      </c>
      <c r="L1039" s="136"/>
      <c r="M1039" s="137" t="s">
        <v>22</v>
      </c>
      <c r="N1039" s="138"/>
      <c r="O1039" s="138"/>
      <c r="P1039" s="138"/>
      <c r="Q1039" s="138"/>
      <c r="R1039" s="138"/>
      <c r="S1039" s="138"/>
      <c r="T1039" s="138"/>
      <c r="U1039" s="138"/>
    </row>
    <row r="1040" spans="1:22" s="26" customFormat="1" ht="15" customHeight="1" x14ac:dyDescent="0.2">
      <c r="A1040" s="37">
        <v>41489.3594675926</v>
      </c>
      <c r="B1040" s="26" t="s">
        <v>152</v>
      </c>
      <c r="C1040" s="26" t="s">
        <v>153</v>
      </c>
      <c r="D1040" s="33">
        <v>41456</v>
      </c>
      <c r="E1040" s="26" t="s">
        <v>675</v>
      </c>
      <c r="F1040" s="26" t="s">
        <v>120</v>
      </c>
      <c r="G1040" s="26" t="s">
        <v>26</v>
      </c>
      <c r="H1040" s="26" t="s">
        <v>676</v>
      </c>
      <c r="J1040" s="115">
        <v>1</v>
      </c>
      <c r="K1040" s="115">
        <v>14</v>
      </c>
      <c r="L1040" s="136"/>
      <c r="M1040" s="137" t="s">
        <v>22</v>
      </c>
      <c r="N1040" s="138"/>
      <c r="O1040" s="138"/>
      <c r="P1040" s="138"/>
      <c r="Q1040" s="138"/>
      <c r="R1040" s="138"/>
      <c r="S1040" s="138"/>
      <c r="T1040" s="138"/>
      <c r="U1040" s="138"/>
      <c r="V1040" s="26" t="s">
        <v>677</v>
      </c>
    </row>
    <row r="1041" spans="1:25" s="26" customFormat="1" ht="15" customHeight="1" x14ac:dyDescent="0.2">
      <c r="A1041" s="37">
        <v>41492.668067129598</v>
      </c>
      <c r="B1041" s="26" t="s">
        <v>152</v>
      </c>
      <c r="C1041" s="26" t="s">
        <v>153</v>
      </c>
      <c r="D1041" s="33">
        <v>41456</v>
      </c>
      <c r="E1041" s="26" t="s">
        <v>813</v>
      </c>
      <c r="F1041" s="26" t="s">
        <v>814</v>
      </c>
      <c r="G1041" s="26" t="s">
        <v>26</v>
      </c>
      <c r="H1041" s="26" t="s">
        <v>815</v>
      </c>
      <c r="J1041" s="115">
        <v>1</v>
      </c>
      <c r="K1041" s="115">
        <v>6</v>
      </c>
      <c r="L1041" s="136"/>
      <c r="M1041" s="137" t="s">
        <v>22</v>
      </c>
      <c r="N1041" s="138"/>
      <c r="O1041" s="138"/>
      <c r="P1041" s="138"/>
      <c r="Q1041" s="138"/>
      <c r="R1041" s="138"/>
      <c r="S1041" s="138"/>
      <c r="T1041" s="138"/>
      <c r="U1041" s="138"/>
      <c r="V1041" s="26" t="s">
        <v>816</v>
      </c>
    </row>
    <row r="1042" spans="1:25" s="26" customFormat="1" ht="15" customHeight="1" x14ac:dyDescent="0.2">
      <c r="A1042" s="38">
        <v>41496.634756944448</v>
      </c>
      <c r="B1042" s="29" t="s">
        <v>152</v>
      </c>
      <c r="C1042" s="29" t="s">
        <v>153</v>
      </c>
      <c r="D1042" s="30">
        <v>41487</v>
      </c>
      <c r="E1042" s="29" t="s">
        <v>813</v>
      </c>
      <c r="F1042" s="29" t="s">
        <v>1332</v>
      </c>
      <c r="G1042" s="29" t="s">
        <v>26</v>
      </c>
      <c r="H1042" s="39" t="s">
        <v>1340</v>
      </c>
      <c r="I1042" s="39"/>
      <c r="J1042" s="116">
        <v>1</v>
      </c>
      <c r="K1042" s="116">
        <v>17</v>
      </c>
      <c r="L1042" s="139"/>
      <c r="M1042" s="140" t="s">
        <v>22</v>
      </c>
      <c r="N1042" s="141"/>
      <c r="O1042" s="141"/>
      <c r="P1042" s="141"/>
      <c r="Q1042" s="141"/>
      <c r="R1042" s="141"/>
      <c r="S1042" s="141"/>
      <c r="T1042" s="141"/>
      <c r="U1042" s="141"/>
      <c r="V1042" s="29" t="s">
        <v>1333</v>
      </c>
    </row>
    <row r="1043" spans="1:25" s="26" customFormat="1" ht="15" customHeight="1" x14ac:dyDescent="0.2">
      <c r="A1043" s="38">
        <v>41500.700150462966</v>
      </c>
      <c r="B1043" s="29" t="s">
        <v>152</v>
      </c>
      <c r="C1043" s="29" t="s">
        <v>153</v>
      </c>
      <c r="D1043" s="30">
        <v>41487</v>
      </c>
      <c r="E1043" s="31" t="s">
        <v>1361</v>
      </c>
      <c r="F1043" s="29" t="s">
        <v>1362</v>
      </c>
      <c r="G1043" s="29" t="s">
        <v>42</v>
      </c>
      <c r="H1043" s="29" t="s">
        <v>1363</v>
      </c>
      <c r="I1043" s="29"/>
      <c r="J1043" s="116">
        <v>4</v>
      </c>
      <c r="K1043" s="116">
        <v>24</v>
      </c>
      <c r="L1043" s="139"/>
      <c r="M1043" s="140" t="s">
        <v>22</v>
      </c>
      <c r="N1043" s="141"/>
      <c r="O1043" s="141"/>
      <c r="P1043" s="141"/>
      <c r="Q1043" s="141"/>
      <c r="R1043" s="141"/>
      <c r="S1043" s="141"/>
      <c r="T1043" s="141"/>
      <c r="U1043" s="141"/>
      <c r="V1043" s="29" t="s">
        <v>1364</v>
      </c>
    </row>
    <row r="1044" spans="1:25" s="26" customFormat="1" ht="15" customHeight="1" x14ac:dyDescent="0.2">
      <c r="A1044" s="38">
        <v>41510.359837962962</v>
      </c>
      <c r="B1044" s="29" t="s">
        <v>152</v>
      </c>
      <c r="C1044" s="29" t="s">
        <v>153</v>
      </c>
      <c r="D1044" s="30">
        <v>41487</v>
      </c>
      <c r="E1044" s="31" t="s">
        <v>675</v>
      </c>
      <c r="F1044" s="29" t="s">
        <v>1404</v>
      </c>
      <c r="G1044" s="29" t="s">
        <v>26</v>
      </c>
      <c r="H1044" s="29" t="s">
        <v>1405</v>
      </c>
      <c r="I1044" s="29"/>
      <c r="J1044" s="116">
        <v>1</v>
      </c>
      <c r="K1044" s="116">
        <v>25</v>
      </c>
      <c r="L1044" s="139"/>
      <c r="M1044" s="140" t="s">
        <v>22</v>
      </c>
      <c r="N1044" s="141"/>
      <c r="O1044" s="141"/>
      <c r="P1044" s="141"/>
      <c r="Q1044" s="141"/>
      <c r="R1044" s="141"/>
      <c r="S1044" s="141"/>
      <c r="T1044" s="141"/>
      <c r="U1044" s="141"/>
      <c r="V1044" s="29" t="s">
        <v>1406</v>
      </c>
    </row>
    <row r="1045" spans="1:25" s="26" customFormat="1" ht="15" customHeight="1" x14ac:dyDescent="0.2">
      <c r="A1045" s="38">
        <v>41513.34710648148</v>
      </c>
      <c r="B1045" s="29" t="s">
        <v>152</v>
      </c>
      <c r="C1045" s="29" t="s">
        <v>153</v>
      </c>
      <c r="D1045" s="30">
        <v>41487</v>
      </c>
      <c r="E1045" s="31" t="s">
        <v>431</v>
      </c>
      <c r="F1045" s="29" t="s">
        <v>1413</v>
      </c>
      <c r="G1045" s="29" t="s">
        <v>26</v>
      </c>
      <c r="H1045" s="29" t="s">
        <v>1414</v>
      </c>
      <c r="I1045" s="29"/>
      <c r="J1045" s="116">
        <v>1</v>
      </c>
      <c r="K1045" s="116">
        <v>24</v>
      </c>
      <c r="L1045" s="139">
        <v>70</v>
      </c>
      <c r="M1045" s="140" t="s">
        <v>22</v>
      </c>
      <c r="N1045" s="141"/>
      <c r="O1045" s="141"/>
      <c r="P1045" s="141"/>
      <c r="Q1045" s="141"/>
      <c r="R1045" s="141"/>
      <c r="S1045" s="141"/>
      <c r="T1045" s="141"/>
      <c r="U1045" s="141">
        <v>40</v>
      </c>
      <c r="V1045" s="29" t="s">
        <v>1415</v>
      </c>
    </row>
    <row r="1046" spans="1:25" s="26" customFormat="1" ht="15" customHeight="1" x14ac:dyDescent="0.2">
      <c r="A1046" s="38">
        <v>41517.368715277778</v>
      </c>
      <c r="B1046" s="29" t="s">
        <v>152</v>
      </c>
      <c r="C1046" s="29" t="s">
        <v>153</v>
      </c>
      <c r="D1046" s="30">
        <v>41487</v>
      </c>
      <c r="E1046" s="31" t="s">
        <v>367</v>
      </c>
      <c r="F1046" s="29" t="s">
        <v>368</v>
      </c>
      <c r="G1046" s="29" t="s">
        <v>26</v>
      </c>
      <c r="H1046" s="29" t="s">
        <v>1448</v>
      </c>
      <c r="I1046" s="29"/>
      <c r="J1046" s="116">
        <v>5</v>
      </c>
      <c r="K1046" s="116">
        <v>171</v>
      </c>
      <c r="L1046" s="139"/>
      <c r="M1046" s="140" t="s">
        <v>22</v>
      </c>
      <c r="N1046" s="141"/>
      <c r="O1046" s="141"/>
      <c r="P1046" s="141"/>
      <c r="Q1046" s="141"/>
      <c r="R1046" s="141"/>
      <c r="S1046" s="141"/>
      <c r="T1046" s="141"/>
      <c r="U1046" s="141"/>
      <c r="V1046" s="29"/>
    </row>
    <row r="1047" spans="1:25" s="26" customFormat="1" ht="15" customHeight="1" x14ac:dyDescent="0.2">
      <c r="A1047" s="38">
        <v>41517.369722222225</v>
      </c>
      <c r="B1047" s="29" t="s">
        <v>152</v>
      </c>
      <c r="C1047" s="29" t="s">
        <v>153</v>
      </c>
      <c r="D1047" s="30">
        <v>41487</v>
      </c>
      <c r="E1047" s="31" t="s">
        <v>372</v>
      </c>
      <c r="F1047" s="29" t="s">
        <v>373</v>
      </c>
      <c r="G1047" s="29" t="s">
        <v>26</v>
      </c>
      <c r="H1047" s="29" t="s">
        <v>374</v>
      </c>
      <c r="I1047" s="29"/>
      <c r="J1047" s="116">
        <v>8</v>
      </c>
      <c r="K1047" s="116">
        <v>563</v>
      </c>
      <c r="L1047" s="139"/>
      <c r="M1047" s="140" t="s">
        <v>22</v>
      </c>
      <c r="N1047" s="141"/>
      <c r="O1047" s="141"/>
      <c r="P1047" s="141"/>
      <c r="Q1047" s="141"/>
      <c r="R1047" s="141"/>
      <c r="S1047" s="141"/>
      <c r="T1047" s="141"/>
      <c r="U1047" s="141"/>
      <c r="V1047" s="29"/>
    </row>
    <row r="1048" spans="1:25" s="26" customFormat="1" ht="15" customHeight="1" x14ac:dyDescent="0.2">
      <c r="A1048" s="38">
        <v>41517.371145833335</v>
      </c>
      <c r="B1048" s="29" t="s">
        <v>152</v>
      </c>
      <c r="C1048" s="29" t="s">
        <v>153</v>
      </c>
      <c r="D1048" s="30">
        <v>41487</v>
      </c>
      <c r="E1048" s="31" t="s">
        <v>364</v>
      </c>
      <c r="F1048" s="29" t="s">
        <v>365</v>
      </c>
      <c r="G1048" s="29" t="s">
        <v>26</v>
      </c>
      <c r="H1048" s="29" t="s">
        <v>1449</v>
      </c>
      <c r="I1048" s="29"/>
      <c r="J1048" s="116">
        <v>5</v>
      </c>
      <c r="K1048" s="116">
        <v>195</v>
      </c>
      <c r="L1048" s="139"/>
      <c r="M1048" s="140" t="s">
        <v>22</v>
      </c>
      <c r="N1048" s="141"/>
      <c r="O1048" s="141"/>
      <c r="P1048" s="141"/>
      <c r="Q1048" s="141"/>
      <c r="R1048" s="141"/>
      <c r="S1048" s="141"/>
      <c r="T1048" s="141"/>
      <c r="U1048" s="141"/>
      <c r="V1048" s="29"/>
    </row>
    <row r="1049" spans="1:25" s="26" customFormat="1" ht="15" customHeight="1" x14ac:dyDescent="0.2">
      <c r="A1049" s="38">
        <v>41517.37228009259</v>
      </c>
      <c r="B1049" s="29" t="s">
        <v>152</v>
      </c>
      <c r="C1049" s="29" t="s">
        <v>153</v>
      </c>
      <c r="D1049" s="30">
        <v>41487</v>
      </c>
      <c r="E1049" s="31" t="s">
        <v>380</v>
      </c>
      <c r="F1049" s="29" t="s">
        <v>381</v>
      </c>
      <c r="G1049" s="29" t="s">
        <v>26</v>
      </c>
      <c r="H1049" s="39" t="s">
        <v>382</v>
      </c>
      <c r="I1049" s="39"/>
      <c r="J1049" s="116">
        <v>4</v>
      </c>
      <c r="K1049" s="116">
        <v>36</v>
      </c>
      <c r="L1049" s="139"/>
      <c r="M1049" s="140" t="s">
        <v>22</v>
      </c>
      <c r="N1049" s="141"/>
      <c r="O1049" s="141"/>
      <c r="P1049" s="141"/>
      <c r="Q1049" s="141"/>
      <c r="R1049" s="141"/>
      <c r="S1049" s="141"/>
      <c r="T1049" s="141"/>
      <c r="U1049" s="141"/>
      <c r="V1049" s="29"/>
    </row>
    <row r="1050" spans="1:25" s="26" customFormat="1" ht="15" customHeight="1" x14ac:dyDescent="0.2">
      <c r="A1050" s="38">
        <v>41517.373391203706</v>
      </c>
      <c r="B1050" s="29" t="s">
        <v>152</v>
      </c>
      <c r="C1050" s="29" t="s">
        <v>153</v>
      </c>
      <c r="D1050" s="30">
        <v>41487</v>
      </c>
      <c r="E1050" s="31" t="s">
        <v>158</v>
      </c>
      <c r="F1050" s="29" t="s">
        <v>378</v>
      </c>
      <c r="G1050" s="29" t="s">
        <v>26</v>
      </c>
      <c r="H1050" s="29" t="s">
        <v>379</v>
      </c>
      <c r="I1050" s="29"/>
      <c r="J1050" s="116">
        <v>4</v>
      </c>
      <c r="K1050" s="116">
        <v>61</v>
      </c>
      <c r="L1050" s="139"/>
      <c r="M1050" s="140" t="s">
        <v>22</v>
      </c>
      <c r="N1050" s="141"/>
      <c r="O1050" s="141"/>
      <c r="P1050" s="141"/>
      <c r="Q1050" s="141"/>
      <c r="R1050" s="141"/>
      <c r="S1050" s="141"/>
      <c r="T1050" s="141"/>
      <c r="U1050" s="141"/>
      <c r="V1050" s="29"/>
    </row>
    <row r="1051" spans="1:25" s="26" customFormat="1" ht="15" customHeight="1" x14ac:dyDescent="0.2">
      <c r="A1051" s="38">
        <v>41517.374861111108</v>
      </c>
      <c r="B1051" s="29" t="s">
        <v>152</v>
      </c>
      <c r="C1051" s="29" t="s">
        <v>153</v>
      </c>
      <c r="D1051" s="30">
        <v>41487</v>
      </c>
      <c r="E1051" s="31" t="s">
        <v>1450</v>
      </c>
      <c r="F1051" s="29" t="s">
        <v>1451</v>
      </c>
      <c r="G1051" s="29" t="s">
        <v>26</v>
      </c>
      <c r="H1051" s="29" t="s">
        <v>1452</v>
      </c>
      <c r="I1051" s="29"/>
      <c r="J1051" s="116">
        <v>5</v>
      </c>
      <c r="K1051" s="116">
        <v>11</v>
      </c>
      <c r="L1051" s="139"/>
      <c r="M1051" s="140" t="s">
        <v>22</v>
      </c>
      <c r="N1051" s="141"/>
      <c r="O1051" s="141"/>
      <c r="P1051" s="141"/>
      <c r="Q1051" s="141"/>
      <c r="R1051" s="141"/>
      <c r="S1051" s="141"/>
      <c r="T1051" s="141"/>
      <c r="U1051" s="141"/>
      <c r="V1051" s="29"/>
    </row>
    <row r="1052" spans="1:25" s="26" customFormat="1" ht="15" customHeight="1" x14ac:dyDescent="0.2">
      <c r="A1052" s="38">
        <v>41517.37641203704</v>
      </c>
      <c r="B1052" s="29" t="s">
        <v>152</v>
      </c>
      <c r="C1052" s="29" t="s">
        <v>153</v>
      </c>
      <c r="D1052" s="30">
        <v>41487</v>
      </c>
      <c r="E1052" s="31" t="s">
        <v>372</v>
      </c>
      <c r="F1052" s="29" t="s">
        <v>395</v>
      </c>
      <c r="G1052" s="29" t="s">
        <v>26</v>
      </c>
      <c r="H1052" s="29" t="s">
        <v>396</v>
      </c>
      <c r="I1052" s="29"/>
      <c r="J1052" s="116">
        <v>1</v>
      </c>
      <c r="K1052" s="116">
        <v>4</v>
      </c>
      <c r="L1052" s="139">
        <v>50</v>
      </c>
      <c r="M1052" s="140" t="s">
        <v>44</v>
      </c>
      <c r="N1052" s="141"/>
      <c r="O1052" s="141">
        <v>5</v>
      </c>
      <c r="P1052" s="141"/>
      <c r="Q1052" s="141"/>
      <c r="R1052" s="141"/>
      <c r="S1052" s="141"/>
      <c r="T1052" s="141"/>
      <c r="U1052" s="141"/>
      <c r="V1052" s="29"/>
    </row>
    <row r="1053" spans="1:25" s="26" customFormat="1" ht="15" customHeight="1" x14ac:dyDescent="0.2">
      <c r="A1053" s="38">
        <v>41517.394513888888</v>
      </c>
      <c r="B1053" s="29" t="s">
        <v>152</v>
      </c>
      <c r="C1053" s="29" t="s">
        <v>153</v>
      </c>
      <c r="D1053" s="30">
        <v>41487</v>
      </c>
      <c r="E1053" s="31" t="s">
        <v>357</v>
      </c>
      <c r="F1053" s="29" t="s">
        <v>390</v>
      </c>
      <c r="G1053" s="29" t="s">
        <v>26</v>
      </c>
      <c r="H1053" s="39" t="s">
        <v>1453</v>
      </c>
      <c r="I1053" s="39"/>
      <c r="J1053" s="116">
        <v>2</v>
      </c>
      <c r="K1053" s="116">
        <v>22</v>
      </c>
      <c r="L1053" s="139">
        <v>220</v>
      </c>
      <c r="M1053" s="140" t="s">
        <v>22</v>
      </c>
      <c r="N1053" s="141"/>
      <c r="O1053" s="141"/>
      <c r="P1053" s="141"/>
      <c r="Q1053" s="141"/>
      <c r="R1053" s="141"/>
      <c r="S1053" s="141"/>
      <c r="T1053" s="141"/>
      <c r="U1053" s="141"/>
      <c r="V1053" s="29"/>
    </row>
    <row r="1054" spans="1:25" s="26" customFormat="1" ht="15" customHeight="1" x14ac:dyDescent="0.2">
      <c r="A1054" s="38">
        <v>41517.460995370369</v>
      </c>
      <c r="B1054" s="29" t="s">
        <v>152</v>
      </c>
      <c r="C1054" s="29" t="s">
        <v>153</v>
      </c>
      <c r="D1054" s="30">
        <v>41487</v>
      </c>
      <c r="E1054" s="31" t="s">
        <v>370</v>
      </c>
      <c r="F1054" s="29" t="s">
        <v>344</v>
      </c>
      <c r="G1054" s="29" t="s">
        <v>26</v>
      </c>
      <c r="H1054" s="29" t="s">
        <v>1457</v>
      </c>
      <c r="I1054" s="29"/>
      <c r="J1054" s="116">
        <v>5</v>
      </c>
      <c r="K1054" s="116">
        <v>109</v>
      </c>
      <c r="L1054" s="139"/>
      <c r="M1054" s="140" t="s">
        <v>22</v>
      </c>
      <c r="N1054" s="141"/>
      <c r="O1054" s="141"/>
      <c r="P1054" s="141"/>
      <c r="Q1054" s="141"/>
      <c r="R1054" s="141"/>
      <c r="S1054" s="141"/>
      <c r="T1054" s="141"/>
      <c r="U1054" s="141"/>
      <c r="V1054" s="29"/>
    </row>
    <row r="1055" spans="1:25" s="26" customFormat="1" ht="15" customHeight="1" x14ac:dyDescent="0.2">
      <c r="A1055" s="38">
        <v>41517.628032407411</v>
      </c>
      <c r="B1055" s="29" t="s">
        <v>152</v>
      </c>
      <c r="C1055" s="29" t="s">
        <v>153</v>
      </c>
      <c r="D1055" s="30">
        <v>41487</v>
      </c>
      <c r="E1055" s="31" t="s">
        <v>386</v>
      </c>
      <c r="F1055" s="29" t="s">
        <v>1458</v>
      </c>
      <c r="G1055" s="29" t="s">
        <v>26</v>
      </c>
      <c r="H1055" s="29" t="s">
        <v>1459</v>
      </c>
      <c r="I1055" s="29"/>
      <c r="J1055" s="116">
        <v>5</v>
      </c>
      <c r="K1055" s="116">
        <v>82</v>
      </c>
      <c r="L1055" s="139"/>
      <c r="M1055" s="140" t="s">
        <v>22</v>
      </c>
      <c r="N1055" s="141"/>
      <c r="O1055" s="141"/>
      <c r="P1055" s="141"/>
      <c r="Q1055" s="141"/>
      <c r="R1055" s="141"/>
      <c r="S1055" s="141"/>
      <c r="T1055" s="141"/>
      <c r="U1055" s="141"/>
      <c r="V1055" s="29"/>
    </row>
    <row r="1056" spans="1:25" s="26" customFormat="1" ht="15" customHeight="1" x14ac:dyDescent="0.2">
      <c r="A1056" s="38">
        <v>41517.632418981484</v>
      </c>
      <c r="B1056" s="29" t="s">
        <v>152</v>
      </c>
      <c r="C1056" s="29" t="s">
        <v>153</v>
      </c>
      <c r="D1056" s="30">
        <v>41487</v>
      </c>
      <c r="E1056" s="31" t="s">
        <v>386</v>
      </c>
      <c r="F1056" s="29" t="s">
        <v>387</v>
      </c>
      <c r="G1056" s="29" t="s">
        <v>26</v>
      </c>
      <c r="H1056" s="29" t="s">
        <v>388</v>
      </c>
      <c r="I1056" s="29"/>
      <c r="J1056" s="116">
        <v>6</v>
      </c>
      <c r="K1056" s="116">
        <v>216</v>
      </c>
      <c r="L1056" s="139"/>
      <c r="M1056" s="140" t="s">
        <v>22</v>
      </c>
      <c r="N1056" s="141"/>
      <c r="O1056" s="141"/>
      <c r="P1056" s="141"/>
      <c r="Q1056" s="141"/>
      <c r="R1056" s="141"/>
      <c r="S1056" s="141"/>
      <c r="T1056" s="141"/>
      <c r="U1056" s="141"/>
      <c r="V1056" s="29"/>
      <c r="W1056" s="57"/>
      <c r="X1056" s="57"/>
      <c r="Y1056" s="57"/>
    </row>
    <row r="1057" spans="1:25" s="26" customFormat="1" ht="15" customHeight="1" x14ac:dyDescent="0.2">
      <c r="A1057" s="38">
        <v>41517.633576388886</v>
      </c>
      <c r="B1057" s="29" t="s">
        <v>152</v>
      </c>
      <c r="C1057" s="29" t="s">
        <v>153</v>
      </c>
      <c r="D1057" s="30">
        <v>41487</v>
      </c>
      <c r="E1057" s="31" t="s">
        <v>154</v>
      </c>
      <c r="F1057" s="29" t="s">
        <v>1460</v>
      </c>
      <c r="G1057" s="29" t="s">
        <v>26</v>
      </c>
      <c r="H1057" s="29" t="s">
        <v>1461</v>
      </c>
      <c r="I1057" s="29"/>
      <c r="J1057" s="116">
        <v>1</v>
      </c>
      <c r="K1057" s="116">
        <v>33</v>
      </c>
      <c r="L1057" s="139"/>
      <c r="M1057" s="140" t="s">
        <v>22</v>
      </c>
      <c r="N1057" s="141"/>
      <c r="O1057" s="141"/>
      <c r="P1057" s="141"/>
      <c r="Q1057" s="141"/>
      <c r="R1057" s="141"/>
      <c r="S1057" s="141"/>
      <c r="T1057" s="141"/>
      <c r="U1057" s="141"/>
      <c r="V1057" s="29"/>
      <c r="W1057" s="57"/>
      <c r="X1057" s="57"/>
      <c r="Y1057" s="57"/>
    </row>
    <row r="1058" spans="1:25" s="26" customFormat="1" ht="15" customHeight="1" x14ac:dyDescent="0.2">
      <c r="A1058" s="38">
        <v>41520.353321759256</v>
      </c>
      <c r="B1058" s="29" t="s">
        <v>152</v>
      </c>
      <c r="C1058" s="29" t="s">
        <v>153</v>
      </c>
      <c r="D1058" s="30">
        <v>41487</v>
      </c>
      <c r="E1058" s="31" t="s">
        <v>383</v>
      </c>
      <c r="F1058" s="29" t="s">
        <v>384</v>
      </c>
      <c r="G1058" s="29" t="s">
        <v>26</v>
      </c>
      <c r="H1058" s="29" t="s">
        <v>385</v>
      </c>
      <c r="I1058" s="29"/>
      <c r="J1058" s="116">
        <v>3</v>
      </c>
      <c r="K1058" s="116">
        <v>98</v>
      </c>
      <c r="L1058" s="139"/>
      <c r="M1058" s="140" t="s">
        <v>22</v>
      </c>
      <c r="N1058" s="141"/>
      <c r="O1058" s="141"/>
      <c r="P1058" s="141"/>
      <c r="Q1058" s="141"/>
      <c r="R1058" s="141"/>
      <c r="S1058" s="141"/>
      <c r="T1058" s="141"/>
      <c r="U1058" s="141"/>
      <c r="V1058" s="29"/>
      <c r="W1058" s="57"/>
      <c r="X1058" s="57"/>
      <c r="Y1058" s="57"/>
    </row>
    <row r="1059" spans="1:25" s="26" customFormat="1" ht="15" customHeight="1" x14ac:dyDescent="0.2">
      <c r="A1059" s="38">
        <v>41520.354884259257</v>
      </c>
      <c r="B1059" s="29" t="s">
        <v>152</v>
      </c>
      <c r="C1059" s="29" t="s">
        <v>153</v>
      </c>
      <c r="D1059" s="30">
        <v>41487</v>
      </c>
      <c r="E1059" s="31" t="s">
        <v>1520</v>
      </c>
      <c r="F1059" s="29" t="s">
        <v>1521</v>
      </c>
      <c r="G1059" s="29" t="s">
        <v>26</v>
      </c>
      <c r="H1059" s="29" t="s">
        <v>1522</v>
      </c>
      <c r="I1059" s="29"/>
      <c r="J1059" s="116">
        <v>1</v>
      </c>
      <c r="K1059" s="116">
        <v>40</v>
      </c>
      <c r="L1059" s="139"/>
      <c r="M1059" s="140" t="s">
        <v>22</v>
      </c>
      <c r="N1059" s="141"/>
      <c r="O1059" s="141"/>
      <c r="P1059" s="141"/>
      <c r="Q1059" s="141"/>
      <c r="R1059" s="141"/>
      <c r="S1059" s="141"/>
      <c r="T1059" s="141"/>
      <c r="U1059" s="141"/>
      <c r="V1059" s="29"/>
      <c r="W1059" s="57"/>
      <c r="X1059" s="57"/>
      <c r="Y1059" s="57"/>
    </row>
    <row r="1060" spans="1:25" s="26" customFormat="1" ht="15" customHeight="1" x14ac:dyDescent="0.2">
      <c r="A1060" s="32">
        <v>41548.391585648147</v>
      </c>
      <c r="B1060" s="26" t="s">
        <v>152</v>
      </c>
      <c r="C1060" s="26" t="s">
        <v>153</v>
      </c>
      <c r="D1060" s="30">
        <v>41518</v>
      </c>
      <c r="E1060" s="26" t="s">
        <v>2270</v>
      </c>
      <c r="F1060" s="26" t="s">
        <v>2271</v>
      </c>
      <c r="G1060" s="26" t="s">
        <v>26</v>
      </c>
      <c r="H1060" s="26" t="s">
        <v>368</v>
      </c>
      <c r="J1060" s="46">
        <v>3</v>
      </c>
      <c r="K1060" s="46">
        <v>75</v>
      </c>
      <c r="L1060" s="136"/>
      <c r="M1060" s="137" t="s">
        <v>22</v>
      </c>
      <c r="N1060" s="138"/>
      <c r="O1060" s="138"/>
      <c r="P1060" s="138"/>
      <c r="Q1060" s="138"/>
      <c r="R1060" s="138"/>
      <c r="S1060" s="138"/>
      <c r="T1060" s="138"/>
      <c r="U1060" s="138"/>
      <c r="V1060" s="26" t="s">
        <v>2272</v>
      </c>
    </row>
    <row r="1061" spans="1:25" s="26" customFormat="1" ht="15" customHeight="1" x14ac:dyDescent="0.2">
      <c r="A1061" s="32">
        <v>41548.393263888887</v>
      </c>
      <c r="B1061" s="26" t="s">
        <v>152</v>
      </c>
      <c r="C1061" s="26" t="s">
        <v>153</v>
      </c>
      <c r="D1061" s="30">
        <v>41518</v>
      </c>
      <c r="E1061" s="26" t="s">
        <v>370</v>
      </c>
      <c r="F1061" s="26" t="s">
        <v>344</v>
      </c>
      <c r="G1061" s="26" t="s">
        <v>26</v>
      </c>
      <c r="H1061" s="26" t="s">
        <v>2273</v>
      </c>
      <c r="J1061" s="46">
        <v>2</v>
      </c>
      <c r="K1061" s="46">
        <v>18</v>
      </c>
      <c r="L1061" s="136"/>
      <c r="M1061" s="137" t="s">
        <v>22</v>
      </c>
      <c r="N1061" s="138"/>
      <c r="O1061" s="138"/>
      <c r="P1061" s="138"/>
      <c r="Q1061" s="138"/>
      <c r="R1061" s="138"/>
      <c r="S1061" s="138"/>
      <c r="T1061" s="138"/>
      <c r="U1061" s="138"/>
    </row>
    <row r="1062" spans="1:25" s="26" customFormat="1" ht="15" customHeight="1" x14ac:dyDescent="0.2">
      <c r="A1062" s="32">
        <v>41548.39439814815</v>
      </c>
      <c r="B1062" s="26" t="s">
        <v>152</v>
      </c>
      <c r="C1062" s="26" t="s">
        <v>153</v>
      </c>
      <c r="D1062" s="30">
        <v>41518</v>
      </c>
      <c r="E1062" s="26" t="s">
        <v>372</v>
      </c>
      <c r="F1062" s="26" t="s">
        <v>373</v>
      </c>
      <c r="G1062" s="26" t="s">
        <v>26</v>
      </c>
      <c r="H1062" s="26" t="s">
        <v>2274</v>
      </c>
      <c r="J1062" s="46">
        <v>5</v>
      </c>
      <c r="K1062" s="46">
        <v>335</v>
      </c>
      <c r="L1062" s="136"/>
      <c r="M1062" s="137" t="s">
        <v>22</v>
      </c>
      <c r="N1062" s="138"/>
      <c r="O1062" s="138"/>
      <c r="P1062" s="138"/>
      <c r="Q1062" s="138"/>
      <c r="R1062" s="138"/>
      <c r="S1062" s="138"/>
      <c r="T1062" s="138"/>
      <c r="U1062" s="138"/>
    </row>
    <row r="1063" spans="1:25" s="26" customFormat="1" ht="15" customHeight="1" x14ac:dyDescent="0.2">
      <c r="A1063" s="32">
        <v>41548.395937499998</v>
      </c>
      <c r="B1063" s="26" t="s">
        <v>152</v>
      </c>
      <c r="C1063" s="26" t="s">
        <v>153</v>
      </c>
      <c r="D1063" s="30">
        <v>41518</v>
      </c>
      <c r="E1063" s="26" t="s">
        <v>386</v>
      </c>
      <c r="F1063" s="26" t="s">
        <v>2275</v>
      </c>
      <c r="G1063" s="26" t="s">
        <v>26</v>
      </c>
      <c r="H1063" s="26" t="s">
        <v>2276</v>
      </c>
      <c r="J1063" s="46">
        <v>2</v>
      </c>
      <c r="K1063" s="46">
        <v>15</v>
      </c>
      <c r="L1063" s="136"/>
      <c r="M1063" s="137" t="s">
        <v>22</v>
      </c>
      <c r="N1063" s="138"/>
      <c r="O1063" s="138"/>
      <c r="P1063" s="138"/>
      <c r="Q1063" s="138"/>
      <c r="R1063" s="138"/>
      <c r="S1063" s="138"/>
      <c r="T1063" s="138"/>
      <c r="U1063" s="138"/>
    </row>
    <row r="1064" spans="1:25" s="26" customFormat="1" ht="15" customHeight="1" x14ac:dyDescent="0.2">
      <c r="A1064" s="32">
        <v>41548.397858796299</v>
      </c>
      <c r="B1064" s="26" t="s">
        <v>152</v>
      </c>
      <c r="C1064" s="26" t="s">
        <v>153</v>
      </c>
      <c r="D1064" s="30">
        <v>41518</v>
      </c>
      <c r="E1064" s="26" t="s">
        <v>2277</v>
      </c>
      <c r="F1064" s="26" t="s">
        <v>378</v>
      </c>
      <c r="G1064" s="26" t="s">
        <v>26</v>
      </c>
      <c r="H1064" s="26" t="s">
        <v>2278</v>
      </c>
      <c r="J1064" s="46">
        <v>3</v>
      </c>
      <c r="K1064" s="46">
        <v>57</v>
      </c>
      <c r="L1064" s="136"/>
      <c r="M1064" s="137" t="s">
        <v>22</v>
      </c>
      <c r="N1064" s="138"/>
      <c r="O1064" s="138"/>
      <c r="P1064" s="138"/>
      <c r="Q1064" s="138"/>
      <c r="R1064" s="138"/>
      <c r="S1064" s="138"/>
      <c r="T1064" s="138"/>
      <c r="U1064" s="138"/>
    </row>
    <row r="1065" spans="1:25" s="26" customFormat="1" ht="15" customHeight="1" x14ac:dyDescent="0.2">
      <c r="A1065" s="32">
        <v>41548.399212962962</v>
      </c>
      <c r="B1065" s="26" t="s">
        <v>152</v>
      </c>
      <c r="C1065" s="26" t="s">
        <v>153</v>
      </c>
      <c r="D1065" s="30">
        <v>41518</v>
      </c>
      <c r="E1065" s="26" t="s">
        <v>380</v>
      </c>
      <c r="F1065" s="26" t="s">
        <v>2279</v>
      </c>
      <c r="G1065" s="26" t="s">
        <v>26</v>
      </c>
      <c r="H1065" s="26" t="s">
        <v>2280</v>
      </c>
      <c r="J1065" s="46">
        <v>5</v>
      </c>
      <c r="K1065" s="46">
        <v>64</v>
      </c>
      <c r="L1065" s="136"/>
      <c r="M1065" s="137" t="s">
        <v>22</v>
      </c>
      <c r="N1065" s="138"/>
      <c r="O1065" s="138"/>
      <c r="P1065" s="138"/>
      <c r="Q1065" s="138"/>
      <c r="R1065" s="138"/>
      <c r="S1065" s="138"/>
      <c r="T1065" s="138"/>
      <c r="U1065" s="138"/>
    </row>
    <row r="1066" spans="1:25" s="26" customFormat="1" ht="15" customHeight="1" x14ac:dyDescent="0.2">
      <c r="A1066" s="32">
        <v>41548.400520833333</v>
      </c>
      <c r="B1066" s="26" t="s">
        <v>152</v>
      </c>
      <c r="C1066" s="26" t="s">
        <v>153</v>
      </c>
      <c r="D1066" s="30">
        <v>41518</v>
      </c>
      <c r="E1066" s="26" t="s">
        <v>2281</v>
      </c>
      <c r="F1066" s="26" t="s">
        <v>1920</v>
      </c>
      <c r="G1066" s="26" t="s">
        <v>26</v>
      </c>
      <c r="H1066" s="26" t="s">
        <v>2282</v>
      </c>
      <c r="J1066" s="46">
        <v>3</v>
      </c>
      <c r="K1066" s="46">
        <v>105</v>
      </c>
      <c r="L1066" s="136"/>
      <c r="M1066" s="137" t="s">
        <v>22</v>
      </c>
      <c r="N1066" s="138"/>
      <c r="O1066" s="138"/>
      <c r="P1066" s="138"/>
      <c r="Q1066" s="138"/>
      <c r="R1066" s="138"/>
      <c r="S1066" s="138"/>
      <c r="T1066" s="138"/>
      <c r="U1066" s="138"/>
    </row>
    <row r="1067" spans="1:25" s="26" customFormat="1" ht="15" customHeight="1" x14ac:dyDescent="0.2">
      <c r="A1067" s="32">
        <v>41548.40185185185</v>
      </c>
      <c r="B1067" s="26" t="s">
        <v>152</v>
      </c>
      <c r="C1067" s="26" t="s">
        <v>153</v>
      </c>
      <c r="D1067" s="30">
        <v>41518</v>
      </c>
      <c r="E1067" s="26" t="s">
        <v>386</v>
      </c>
      <c r="F1067" s="26" t="s">
        <v>2283</v>
      </c>
      <c r="G1067" s="26" t="s">
        <v>26</v>
      </c>
      <c r="H1067" s="26" t="s">
        <v>2284</v>
      </c>
      <c r="J1067" s="46">
        <v>2</v>
      </c>
      <c r="K1067" s="46">
        <v>40</v>
      </c>
      <c r="L1067" s="136"/>
      <c r="M1067" s="137" t="s">
        <v>22</v>
      </c>
      <c r="N1067" s="138"/>
      <c r="O1067" s="138"/>
      <c r="P1067" s="138"/>
      <c r="Q1067" s="138"/>
      <c r="R1067" s="138"/>
      <c r="S1067" s="138"/>
      <c r="T1067" s="138"/>
      <c r="U1067" s="138"/>
    </row>
    <row r="1068" spans="1:25" s="26" customFormat="1" ht="15" customHeight="1" x14ac:dyDescent="0.2">
      <c r="A1068" s="32">
        <v>41548.403437499997</v>
      </c>
      <c r="B1068" s="26" t="s">
        <v>152</v>
      </c>
      <c r="C1068" s="26" t="s">
        <v>153</v>
      </c>
      <c r="D1068" s="30">
        <v>41518</v>
      </c>
      <c r="E1068" s="26" t="s">
        <v>2285</v>
      </c>
      <c r="F1068" s="26" t="s">
        <v>2286</v>
      </c>
      <c r="G1068" s="26" t="s">
        <v>26</v>
      </c>
      <c r="H1068" s="26" t="s">
        <v>2287</v>
      </c>
      <c r="J1068" s="46">
        <v>1</v>
      </c>
      <c r="K1068" s="46">
        <v>2</v>
      </c>
      <c r="L1068" s="136">
        <v>20</v>
      </c>
      <c r="M1068" s="137" t="s">
        <v>22</v>
      </c>
      <c r="N1068" s="138"/>
      <c r="O1068" s="138"/>
      <c r="P1068" s="138"/>
      <c r="Q1068" s="138"/>
      <c r="R1068" s="138"/>
      <c r="S1068" s="138"/>
      <c r="T1068" s="138"/>
      <c r="U1068" s="138"/>
    </row>
    <row r="1069" spans="1:25" s="26" customFormat="1" ht="15" customHeight="1" x14ac:dyDescent="0.2">
      <c r="A1069" s="32">
        <v>41548.40452546296</v>
      </c>
      <c r="B1069" s="26" t="s">
        <v>152</v>
      </c>
      <c r="C1069" s="26" t="s">
        <v>153</v>
      </c>
      <c r="D1069" s="30">
        <v>41518</v>
      </c>
      <c r="E1069" s="26" t="s">
        <v>2288</v>
      </c>
      <c r="F1069" s="26" t="s">
        <v>2289</v>
      </c>
      <c r="G1069" s="26" t="s">
        <v>26</v>
      </c>
      <c r="H1069" s="26" t="s">
        <v>2290</v>
      </c>
      <c r="J1069" s="46">
        <v>3</v>
      </c>
      <c r="K1069" s="46">
        <v>28</v>
      </c>
      <c r="L1069" s="136"/>
      <c r="M1069" s="137" t="s">
        <v>22</v>
      </c>
      <c r="N1069" s="138"/>
      <c r="O1069" s="138"/>
      <c r="P1069" s="138"/>
      <c r="Q1069" s="138"/>
      <c r="R1069" s="138"/>
      <c r="S1069" s="138"/>
      <c r="T1069" s="138"/>
      <c r="U1069" s="138"/>
    </row>
    <row r="1070" spans="1:25" s="26" customFormat="1" ht="15" customHeight="1" x14ac:dyDescent="0.2">
      <c r="A1070" s="32">
        <v>41548.40662037037</v>
      </c>
      <c r="B1070" s="26" t="s">
        <v>152</v>
      </c>
      <c r="C1070" s="26" t="s">
        <v>153</v>
      </c>
      <c r="D1070" s="30">
        <v>41518</v>
      </c>
      <c r="E1070" s="26" t="s">
        <v>372</v>
      </c>
      <c r="F1070" s="26" t="s">
        <v>2291</v>
      </c>
      <c r="G1070" s="26" t="s">
        <v>26</v>
      </c>
      <c r="H1070" s="26" t="s">
        <v>2292</v>
      </c>
      <c r="J1070" s="46">
        <v>3</v>
      </c>
      <c r="K1070" s="46">
        <v>11</v>
      </c>
      <c r="L1070" s="136">
        <v>150</v>
      </c>
      <c r="M1070" s="137" t="s">
        <v>44</v>
      </c>
      <c r="N1070" s="138"/>
      <c r="O1070" s="138">
        <v>15</v>
      </c>
      <c r="P1070" s="138"/>
      <c r="Q1070" s="138"/>
      <c r="R1070" s="138"/>
      <c r="S1070" s="138"/>
      <c r="T1070" s="138"/>
      <c r="U1070" s="138"/>
    </row>
    <row r="1071" spans="1:25" s="26" customFormat="1" ht="15" customHeight="1" x14ac:dyDescent="0.2">
      <c r="A1071" s="32">
        <v>41548.408217592594</v>
      </c>
      <c r="B1071" s="26" t="s">
        <v>152</v>
      </c>
      <c r="C1071" s="26" t="s">
        <v>153</v>
      </c>
      <c r="D1071" s="30">
        <v>41518</v>
      </c>
      <c r="E1071" s="26" t="s">
        <v>2293</v>
      </c>
      <c r="F1071" s="26" t="s">
        <v>2257</v>
      </c>
      <c r="G1071" s="26" t="s">
        <v>26</v>
      </c>
      <c r="H1071" s="26" t="s">
        <v>2294</v>
      </c>
      <c r="J1071" s="46">
        <v>1</v>
      </c>
      <c r="K1071" s="46">
        <v>28</v>
      </c>
      <c r="L1071" s="136"/>
      <c r="M1071" s="137" t="s">
        <v>22</v>
      </c>
      <c r="N1071" s="138"/>
      <c r="O1071" s="138"/>
      <c r="P1071" s="138"/>
      <c r="Q1071" s="138"/>
      <c r="R1071" s="138"/>
      <c r="S1071" s="138"/>
      <c r="T1071" s="138"/>
      <c r="U1071" s="138"/>
    </row>
    <row r="1072" spans="1:25" s="26" customFormat="1" ht="15" customHeight="1" x14ac:dyDescent="0.2">
      <c r="A1072" s="32">
        <v>41548.410034722219</v>
      </c>
      <c r="B1072" s="26" t="s">
        <v>152</v>
      </c>
      <c r="C1072" s="26" t="s">
        <v>153</v>
      </c>
      <c r="D1072" s="30">
        <v>41518</v>
      </c>
      <c r="E1072" s="26" t="s">
        <v>2295</v>
      </c>
      <c r="F1072" s="26" t="s">
        <v>2296</v>
      </c>
      <c r="G1072" s="26" t="s">
        <v>26</v>
      </c>
      <c r="H1072" s="26" t="s">
        <v>2297</v>
      </c>
      <c r="J1072" s="46">
        <v>1</v>
      </c>
      <c r="K1072" s="46">
        <v>7</v>
      </c>
      <c r="L1072" s="136"/>
      <c r="M1072" s="137" t="s">
        <v>22</v>
      </c>
      <c r="N1072" s="138"/>
      <c r="O1072" s="138"/>
      <c r="P1072" s="138"/>
      <c r="Q1072" s="138"/>
      <c r="R1072" s="138"/>
      <c r="S1072" s="138"/>
      <c r="T1072" s="138"/>
      <c r="U1072" s="138"/>
    </row>
    <row r="1073" spans="1:25" s="26" customFormat="1" ht="15" customHeight="1" x14ac:dyDescent="0.2">
      <c r="A1073" s="48">
        <v>41617.887395833299</v>
      </c>
      <c r="B1073" s="49" t="s">
        <v>152</v>
      </c>
      <c r="C1073" s="50" t="s">
        <v>153</v>
      </c>
      <c r="D1073" s="67">
        <v>41579</v>
      </c>
      <c r="E1073" s="50" t="s">
        <v>3596</v>
      </c>
      <c r="F1073" s="50" t="s">
        <v>3597</v>
      </c>
      <c r="G1073" s="49" t="s">
        <v>26</v>
      </c>
      <c r="H1073" s="50" t="s">
        <v>3598</v>
      </c>
      <c r="I1073" s="50" t="s">
        <v>3599</v>
      </c>
      <c r="J1073" s="117">
        <v>2</v>
      </c>
      <c r="K1073" s="117">
        <v>46</v>
      </c>
      <c r="L1073" s="142"/>
      <c r="M1073" s="143" t="s">
        <v>22</v>
      </c>
      <c r="N1073" s="144"/>
      <c r="O1073" s="144"/>
      <c r="P1073" s="144"/>
      <c r="Q1073" s="144"/>
      <c r="R1073" s="144"/>
      <c r="S1073" s="144"/>
      <c r="T1073" s="144"/>
      <c r="U1073" s="144"/>
      <c r="V1073" s="50" t="s">
        <v>3600</v>
      </c>
    </row>
    <row r="1074" spans="1:25" s="26" customFormat="1" ht="15" customHeight="1" x14ac:dyDescent="0.2">
      <c r="A1074" s="48">
        <v>41617.889212962997</v>
      </c>
      <c r="B1074" s="49" t="s">
        <v>152</v>
      </c>
      <c r="C1074" s="50" t="s">
        <v>153</v>
      </c>
      <c r="D1074" s="67">
        <v>41579</v>
      </c>
      <c r="E1074" s="50" t="s">
        <v>3596</v>
      </c>
      <c r="F1074" s="50" t="s">
        <v>3601</v>
      </c>
      <c r="G1074" s="49" t="s">
        <v>26</v>
      </c>
      <c r="H1074" s="50" t="s">
        <v>3602</v>
      </c>
      <c r="I1074" s="50" t="s">
        <v>3599</v>
      </c>
      <c r="J1074" s="117">
        <v>2</v>
      </c>
      <c r="K1074" s="117">
        <v>53</v>
      </c>
      <c r="L1074" s="142"/>
      <c r="M1074" s="143" t="s">
        <v>22</v>
      </c>
      <c r="N1074" s="144"/>
      <c r="O1074" s="144"/>
      <c r="P1074" s="144"/>
      <c r="Q1074" s="144"/>
      <c r="R1074" s="144"/>
      <c r="S1074" s="144"/>
      <c r="T1074" s="144"/>
      <c r="U1074" s="144"/>
      <c r="V1074" s="50" t="s">
        <v>3603</v>
      </c>
    </row>
    <row r="1075" spans="1:25" s="26" customFormat="1" ht="15" customHeight="1" x14ac:dyDescent="0.2">
      <c r="A1075" s="48">
        <v>41617.890798611101</v>
      </c>
      <c r="B1075" s="49" t="s">
        <v>152</v>
      </c>
      <c r="C1075" s="50" t="s">
        <v>153</v>
      </c>
      <c r="D1075" s="67">
        <v>41579</v>
      </c>
      <c r="E1075" s="50" t="s">
        <v>3604</v>
      </c>
      <c r="F1075" s="50" t="s">
        <v>344</v>
      </c>
      <c r="G1075" s="49" t="s">
        <v>26</v>
      </c>
      <c r="H1075" s="50" t="s">
        <v>3605</v>
      </c>
      <c r="I1075" s="50" t="s">
        <v>3599</v>
      </c>
      <c r="J1075" s="117">
        <v>2</v>
      </c>
      <c r="K1075" s="117">
        <v>61</v>
      </c>
      <c r="L1075" s="142"/>
      <c r="M1075" s="143" t="s">
        <v>22</v>
      </c>
      <c r="N1075" s="144"/>
      <c r="O1075" s="144"/>
      <c r="P1075" s="144"/>
      <c r="Q1075" s="144"/>
      <c r="R1075" s="144"/>
      <c r="S1075" s="144"/>
      <c r="T1075" s="144"/>
      <c r="U1075" s="144"/>
      <c r="V1075" s="50" t="s">
        <v>3606</v>
      </c>
    </row>
    <row r="1076" spans="1:25" s="26" customFormat="1" ht="15" customHeight="1" x14ac:dyDescent="0.2">
      <c r="A1076" s="48">
        <v>41617.893819444398</v>
      </c>
      <c r="B1076" s="49" t="s">
        <v>152</v>
      </c>
      <c r="C1076" s="50" t="s">
        <v>153</v>
      </c>
      <c r="D1076" s="67">
        <v>41579</v>
      </c>
      <c r="E1076" s="50" t="s">
        <v>3607</v>
      </c>
      <c r="F1076" s="50" t="s">
        <v>373</v>
      </c>
      <c r="G1076" s="49" t="s">
        <v>26</v>
      </c>
      <c r="H1076" s="50" t="s">
        <v>3608</v>
      </c>
      <c r="I1076" s="50" t="s">
        <v>3599</v>
      </c>
      <c r="J1076" s="117">
        <v>7</v>
      </c>
      <c r="K1076" s="117">
        <v>403</v>
      </c>
      <c r="L1076" s="142"/>
      <c r="M1076" s="143" t="s">
        <v>22</v>
      </c>
      <c r="N1076" s="144"/>
      <c r="O1076" s="144"/>
      <c r="P1076" s="144"/>
      <c r="Q1076" s="144"/>
      <c r="R1076" s="144"/>
      <c r="S1076" s="144"/>
      <c r="T1076" s="144"/>
      <c r="U1076" s="144"/>
      <c r="V1076" s="50" t="s">
        <v>3609</v>
      </c>
    </row>
    <row r="1077" spans="1:25" s="26" customFormat="1" ht="15" customHeight="1" x14ac:dyDescent="0.2">
      <c r="A1077" s="48">
        <v>41617.895856481497</v>
      </c>
      <c r="B1077" s="49" t="s">
        <v>152</v>
      </c>
      <c r="C1077" s="50" t="s">
        <v>153</v>
      </c>
      <c r="D1077" s="67">
        <v>41579</v>
      </c>
      <c r="E1077" s="50" t="s">
        <v>3610</v>
      </c>
      <c r="F1077" s="50" t="s">
        <v>3611</v>
      </c>
      <c r="G1077" s="49" t="s">
        <v>26</v>
      </c>
      <c r="H1077" s="50" t="s">
        <v>3612</v>
      </c>
      <c r="I1077" s="50" t="s">
        <v>3599</v>
      </c>
      <c r="J1077" s="117">
        <v>4</v>
      </c>
      <c r="K1077" s="117">
        <v>142</v>
      </c>
      <c r="L1077" s="142"/>
      <c r="M1077" s="143" t="s">
        <v>22</v>
      </c>
      <c r="N1077" s="144"/>
      <c r="O1077" s="144"/>
      <c r="P1077" s="144"/>
      <c r="Q1077" s="144"/>
      <c r="R1077" s="144"/>
      <c r="S1077" s="144"/>
      <c r="T1077" s="144"/>
      <c r="U1077" s="144"/>
      <c r="V1077" s="50" t="s">
        <v>3613</v>
      </c>
    </row>
    <row r="1078" spans="1:25" s="26" customFormat="1" ht="15" customHeight="1" x14ac:dyDescent="0.2">
      <c r="A1078" s="48">
        <v>41617.897974537002</v>
      </c>
      <c r="B1078" s="49" t="s">
        <v>152</v>
      </c>
      <c r="C1078" s="50" t="s">
        <v>153</v>
      </c>
      <c r="D1078" s="67">
        <v>41579</v>
      </c>
      <c r="E1078" s="50" t="s">
        <v>3614</v>
      </c>
      <c r="F1078" s="50" t="s">
        <v>3615</v>
      </c>
      <c r="G1078" s="49" t="s">
        <v>26</v>
      </c>
      <c r="H1078" s="50" t="s">
        <v>3616</v>
      </c>
      <c r="I1078" s="50" t="s">
        <v>2812</v>
      </c>
      <c r="J1078" s="117">
        <v>1</v>
      </c>
      <c r="K1078" s="117">
        <v>8</v>
      </c>
      <c r="L1078" s="142"/>
      <c r="M1078" s="143" t="s">
        <v>22</v>
      </c>
      <c r="N1078" s="144"/>
      <c r="O1078" s="144"/>
      <c r="P1078" s="144"/>
      <c r="Q1078" s="144"/>
      <c r="R1078" s="144"/>
      <c r="S1078" s="144"/>
      <c r="T1078" s="144"/>
      <c r="U1078" s="144"/>
      <c r="V1078" s="50" t="s">
        <v>3617</v>
      </c>
    </row>
    <row r="1079" spans="1:25" s="26" customFormat="1" ht="15" customHeight="1" x14ac:dyDescent="0.2">
      <c r="A1079" s="48">
        <v>41617.8999652778</v>
      </c>
      <c r="B1079" s="49" t="s">
        <v>152</v>
      </c>
      <c r="C1079" s="50" t="s">
        <v>153</v>
      </c>
      <c r="D1079" s="67">
        <v>41579</v>
      </c>
      <c r="E1079" s="50" t="s">
        <v>3618</v>
      </c>
      <c r="F1079" s="50" t="s">
        <v>3619</v>
      </c>
      <c r="G1079" s="49" t="s">
        <v>26</v>
      </c>
      <c r="H1079" s="50" t="s">
        <v>3620</v>
      </c>
      <c r="I1079" s="50" t="s">
        <v>3599</v>
      </c>
      <c r="J1079" s="117">
        <v>2</v>
      </c>
      <c r="K1079" s="117">
        <v>48</v>
      </c>
      <c r="L1079" s="142"/>
      <c r="M1079" s="143" t="s">
        <v>22</v>
      </c>
      <c r="N1079" s="144"/>
      <c r="O1079" s="144"/>
      <c r="P1079" s="144"/>
      <c r="Q1079" s="144"/>
      <c r="R1079" s="144"/>
      <c r="S1079" s="144"/>
      <c r="T1079" s="144"/>
      <c r="U1079" s="144"/>
      <c r="V1079" s="50" t="s">
        <v>3613</v>
      </c>
    </row>
    <row r="1080" spans="1:25" s="26" customFormat="1" ht="15" customHeight="1" x14ac:dyDescent="0.2">
      <c r="A1080" s="32">
        <v>41646.739212962966</v>
      </c>
      <c r="B1080" s="26" t="s">
        <v>152</v>
      </c>
      <c r="C1080" s="26" t="s">
        <v>153</v>
      </c>
      <c r="D1080" s="68">
        <v>41609</v>
      </c>
      <c r="E1080" s="26" t="s">
        <v>4010</v>
      </c>
      <c r="F1080" s="26" t="s">
        <v>373</v>
      </c>
      <c r="G1080" s="26" t="s">
        <v>26</v>
      </c>
      <c r="I1080" s="26" t="s">
        <v>3599</v>
      </c>
      <c r="J1080" s="46">
        <v>5</v>
      </c>
      <c r="K1080" s="46">
        <v>53</v>
      </c>
      <c r="L1080" s="136"/>
      <c r="M1080" s="137" t="s">
        <v>22</v>
      </c>
      <c r="N1080" s="138"/>
      <c r="O1080" s="138"/>
      <c r="P1080" s="138"/>
      <c r="Q1080" s="138"/>
      <c r="R1080" s="138"/>
      <c r="S1080" s="138"/>
      <c r="T1080" s="138"/>
      <c r="U1080" s="138"/>
      <c r="V1080" s="26" t="s">
        <v>4011</v>
      </c>
    </row>
    <row r="1081" spans="1:25" s="26" customFormat="1" ht="15" customHeight="1" x14ac:dyDescent="0.2">
      <c r="A1081" s="55">
        <v>41667.703101851897</v>
      </c>
      <c r="B1081" s="52" t="s">
        <v>152</v>
      </c>
      <c r="C1081" s="52" t="s">
        <v>153</v>
      </c>
      <c r="D1081" s="69">
        <v>41640</v>
      </c>
      <c r="E1081" s="52" t="s">
        <v>4267</v>
      </c>
      <c r="F1081" s="52" t="s">
        <v>4268</v>
      </c>
      <c r="G1081" s="52" t="s">
        <v>156</v>
      </c>
      <c r="H1081" s="52" t="s">
        <v>4269</v>
      </c>
      <c r="I1081" s="52" t="s">
        <v>3599</v>
      </c>
      <c r="J1081" s="95">
        <v>1</v>
      </c>
      <c r="K1081" s="118">
        <v>123</v>
      </c>
      <c r="L1081" s="148"/>
      <c r="M1081" s="146" t="s">
        <v>44</v>
      </c>
      <c r="N1081" s="147"/>
      <c r="O1081" s="147">
        <v>165</v>
      </c>
      <c r="P1081" s="147"/>
      <c r="Q1081" s="147"/>
      <c r="R1081" s="147"/>
      <c r="S1081" s="147">
        <v>70</v>
      </c>
      <c r="T1081" s="147"/>
      <c r="U1081" s="149">
        <v>150</v>
      </c>
      <c r="V1081" s="52" t="s">
        <v>4270</v>
      </c>
      <c r="W1081" s="52"/>
      <c r="X1081" s="52"/>
      <c r="Y1081" s="52"/>
    </row>
    <row r="1082" spans="1:25" s="26" customFormat="1" ht="15" customHeight="1" x14ac:dyDescent="0.2">
      <c r="A1082" s="55">
        <v>41667.7046990741</v>
      </c>
      <c r="B1082" s="52" t="s">
        <v>152</v>
      </c>
      <c r="C1082" s="52" t="s">
        <v>153</v>
      </c>
      <c r="D1082" s="69">
        <v>41640</v>
      </c>
      <c r="E1082" s="52" t="s">
        <v>4271</v>
      </c>
      <c r="F1082" s="52" t="s">
        <v>4272</v>
      </c>
      <c r="G1082" s="52" t="s">
        <v>26</v>
      </c>
      <c r="H1082" s="52" t="s">
        <v>4273</v>
      </c>
      <c r="I1082" s="52" t="s">
        <v>3599</v>
      </c>
      <c r="J1082" s="95">
        <v>1</v>
      </c>
      <c r="K1082" s="118">
        <v>12</v>
      </c>
      <c r="L1082" s="148"/>
      <c r="M1082" s="146" t="s">
        <v>22</v>
      </c>
      <c r="N1082" s="147"/>
      <c r="O1082" s="147"/>
      <c r="P1082" s="147"/>
      <c r="Q1082" s="147"/>
      <c r="R1082" s="147"/>
      <c r="S1082" s="147"/>
      <c r="T1082" s="147"/>
      <c r="U1082" s="149"/>
      <c r="V1082" s="52" t="s">
        <v>4274</v>
      </c>
      <c r="W1082" s="52"/>
      <c r="X1082" s="52"/>
      <c r="Y1082" s="52"/>
    </row>
    <row r="1083" spans="1:25" s="26" customFormat="1" ht="15" customHeight="1" x14ac:dyDescent="0.2">
      <c r="A1083" s="55">
        <v>41673.410694444399</v>
      </c>
      <c r="B1083" s="52" t="s">
        <v>152</v>
      </c>
      <c r="C1083" s="52" t="s">
        <v>153</v>
      </c>
      <c r="D1083" s="69">
        <v>41640</v>
      </c>
      <c r="E1083" s="52" t="s">
        <v>3607</v>
      </c>
      <c r="F1083" s="52" t="s">
        <v>26</v>
      </c>
      <c r="G1083" s="52" t="s">
        <v>26</v>
      </c>
      <c r="H1083" s="52" t="s">
        <v>4357</v>
      </c>
      <c r="I1083" s="52" t="s">
        <v>3599</v>
      </c>
      <c r="J1083" s="95">
        <v>1</v>
      </c>
      <c r="K1083" s="118">
        <v>12</v>
      </c>
      <c r="L1083" s="148"/>
      <c r="M1083" s="146" t="s">
        <v>22</v>
      </c>
      <c r="N1083" s="147"/>
      <c r="O1083" s="147"/>
      <c r="P1083" s="147"/>
      <c r="Q1083" s="147"/>
      <c r="R1083" s="147"/>
      <c r="S1083" s="147"/>
      <c r="T1083" s="147"/>
      <c r="U1083" s="149"/>
      <c r="V1083" s="52" t="s">
        <v>4358</v>
      </c>
      <c r="W1083" s="52"/>
      <c r="X1083" s="52"/>
      <c r="Y1083" s="52"/>
    </row>
    <row r="1084" spans="1:25" s="26" customFormat="1" ht="15" customHeight="1" x14ac:dyDescent="0.2">
      <c r="A1084" s="55">
        <v>41673.412557870397</v>
      </c>
      <c r="B1084" s="52" t="s">
        <v>152</v>
      </c>
      <c r="C1084" s="52" t="s">
        <v>153</v>
      </c>
      <c r="D1084" s="69">
        <v>41640</v>
      </c>
      <c r="E1084" s="52"/>
      <c r="F1084" s="52" t="s">
        <v>26</v>
      </c>
      <c r="G1084" s="52" t="s">
        <v>26</v>
      </c>
      <c r="H1084" s="56" t="s">
        <v>4359</v>
      </c>
      <c r="I1084" s="52" t="s">
        <v>3599</v>
      </c>
      <c r="J1084" s="95"/>
      <c r="K1084" s="118">
        <v>57</v>
      </c>
      <c r="L1084" s="148"/>
      <c r="M1084" s="146" t="s">
        <v>22</v>
      </c>
      <c r="N1084" s="147"/>
      <c r="O1084" s="147"/>
      <c r="P1084" s="147"/>
      <c r="Q1084" s="147"/>
      <c r="R1084" s="147"/>
      <c r="S1084" s="147"/>
      <c r="T1084" s="147"/>
      <c r="U1084" s="149"/>
      <c r="V1084" s="52" t="s">
        <v>4360</v>
      </c>
      <c r="W1084" s="52"/>
      <c r="X1084" s="52"/>
      <c r="Y1084" s="52"/>
    </row>
    <row r="1085" spans="1:25" s="26" customFormat="1" ht="15" customHeight="1" x14ac:dyDescent="0.2">
      <c r="A1085" s="32">
        <v>41698.712523148148</v>
      </c>
      <c r="B1085" s="26" t="s">
        <v>152</v>
      </c>
      <c r="C1085" s="26" t="s">
        <v>153</v>
      </c>
      <c r="D1085" s="33">
        <v>41671</v>
      </c>
      <c r="E1085" s="26" t="s">
        <v>4709</v>
      </c>
      <c r="F1085" s="26" t="s">
        <v>26</v>
      </c>
      <c r="G1085" s="26" t="s">
        <v>26</v>
      </c>
      <c r="H1085" s="26" t="s">
        <v>4710</v>
      </c>
      <c r="I1085" s="26" t="s">
        <v>3599</v>
      </c>
      <c r="J1085" s="46">
        <v>1</v>
      </c>
      <c r="K1085" s="46">
        <v>52</v>
      </c>
      <c r="L1085" s="136"/>
      <c r="M1085" s="137" t="s">
        <v>44</v>
      </c>
      <c r="N1085" s="138"/>
      <c r="O1085" s="138">
        <v>110</v>
      </c>
      <c r="P1085" s="138"/>
      <c r="Q1085" s="138"/>
      <c r="R1085" s="138"/>
      <c r="S1085" s="138">
        <v>70</v>
      </c>
      <c r="T1085" s="138"/>
      <c r="U1085" s="138"/>
      <c r="V1085" s="26" t="s">
        <v>4711</v>
      </c>
    </row>
    <row r="1086" spans="1:25" s="26" customFormat="1" ht="15" customHeight="1" x14ac:dyDescent="0.2">
      <c r="A1086" s="32">
        <v>41698.716180555559</v>
      </c>
      <c r="B1086" s="26" t="s">
        <v>152</v>
      </c>
      <c r="C1086" s="26" t="s">
        <v>153</v>
      </c>
      <c r="D1086" s="33">
        <v>41671</v>
      </c>
      <c r="E1086" s="26" t="s">
        <v>3607</v>
      </c>
      <c r="F1086" s="26" t="s">
        <v>26</v>
      </c>
      <c r="G1086" s="26" t="s">
        <v>26</v>
      </c>
      <c r="H1086" s="26" t="s">
        <v>4712</v>
      </c>
      <c r="I1086" s="26" t="s">
        <v>3599</v>
      </c>
      <c r="J1086" s="46">
        <v>8</v>
      </c>
      <c r="K1086" s="46">
        <v>97</v>
      </c>
      <c r="L1086" s="136"/>
      <c r="M1086" s="137" t="s">
        <v>22</v>
      </c>
      <c r="N1086" s="138"/>
      <c r="O1086" s="138"/>
      <c r="P1086" s="138"/>
      <c r="Q1086" s="138"/>
      <c r="R1086" s="138"/>
      <c r="S1086" s="138"/>
      <c r="T1086" s="138"/>
      <c r="U1086" s="138"/>
      <c r="V1086" s="26" t="s">
        <v>4713</v>
      </c>
    </row>
    <row r="1087" spans="1:25" s="26" customFormat="1" ht="15" customHeight="1" x14ac:dyDescent="0.2">
      <c r="A1087" s="32">
        <v>41735.656168981484</v>
      </c>
      <c r="B1087" s="26" t="s">
        <v>152</v>
      </c>
      <c r="C1087" s="26" t="s">
        <v>153</v>
      </c>
      <c r="D1087" s="33">
        <v>41699</v>
      </c>
      <c r="E1087" s="26" t="s">
        <v>5725</v>
      </c>
      <c r="F1087" s="26" t="s">
        <v>5726</v>
      </c>
      <c r="G1087" s="26" t="s">
        <v>26</v>
      </c>
      <c r="H1087" s="26" t="s">
        <v>5727</v>
      </c>
      <c r="I1087" s="26" t="s">
        <v>3001</v>
      </c>
      <c r="J1087" s="46">
        <v>1</v>
      </c>
      <c r="K1087" s="46">
        <v>9</v>
      </c>
      <c r="L1087" s="136">
        <v>27</v>
      </c>
      <c r="M1087" s="137" t="s">
        <v>22</v>
      </c>
      <c r="N1087" s="138"/>
      <c r="O1087" s="138"/>
      <c r="P1087" s="138"/>
      <c r="Q1087" s="138"/>
      <c r="R1087" s="138"/>
      <c r="S1087" s="138"/>
      <c r="T1087" s="138"/>
      <c r="U1087" s="138"/>
    </row>
    <row r="1088" spans="1:25" s="26" customFormat="1" ht="15" customHeight="1" x14ac:dyDescent="0.2">
      <c r="A1088" s="32">
        <v>41735.65730324074</v>
      </c>
      <c r="B1088" s="26" t="s">
        <v>152</v>
      </c>
      <c r="C1088" s="26" t="s">
        <v>153</v>
      </c>
      <c r="D1088" s="33">
        <v>41699</v>
      </c>
      <c r="F1088" s="26" t="s">
        <v>373</v>
      </c>
      <c r="G1088" s="26" t="s">
        <v>26</v>
      </c>
      <c r="H1088" s="26" t="s">
        <v>5728</v>
      </c>
      <c r="I1088" s="26" t="s">
        <v>3001</v>
      </c>
      <c r="J1088" s="46">
        <v>15</v>
      </c>
      <c r="K1088" s="46">
        <v>103</v>
      </c>
      <c r="L1088" s="136"/>
      <c r="M1088" s="137" t="s">
        <v>22</v>
      </c>
      <c r="N1088" s="138"/>
      <c r="O1088" s="138"/>
      <c r="P1088" s="138"/>
      <c r="Q1088" s="138"/>
      <c r="R1088" s="138"/>
      <c r="S1088" s="138"/>
      <c r="T1088" s="138"/>
      <c r="U1088" s="138"/>
    </row>
    <row r="1089" spans="1:25" s="26" customFormat="1" ht="15" customHeight="1" x14ac:dyDescent="0.2">
      <c r="A1089" s="32">
        <v>41735.658449074072</v>
      </c>
      <c r="B1089" s="26" t="s">
        <v>152</v>
      </c>
      <c r="C1089" s="26" t="s">
        <v>153</v>
      </c>
      <c r="D1089" s="33">
        <v>41699</v>
      </c>
      <c r="E1089" s="26" t="s">
        <v>5729</v>
      </c>
      <c r="F1089" s="26" t="s">
        <v>5730</v>
      </c>
      <c r="G1089" s="26" t="s">
        <v>26</v>
      </c>
      <c r="H1089" s="26" t="s">
        <v>5731</v>
      </c>
      <c r="I1089" s="26" t="s">
        <v>2986</v>
      </c>
      <c r="J1089" s="46">
        <v>1</v>
      </c>
      <c r="K1089" s="46">
        <v>13</v>
      </c>
      <c r="L1089" s="136"/>
      <c r="M1089" s="137" t="s">
        <v>22</v>
      </c>
      <c r="N1089" s="138"/>
      <c r="O1089" s="138"/>
      <c r="P1089" s="138"/>
      <c r="Q1089" s="138"/>
      <c r="R1089" s="138"/>
      <c r="S1089" s="138"/>
      <c r="T1089" s="138"/>
      <c r="U1089" s="138"/>
    </row>
    <row r="1090" spans="1:25" s="26" customFormat="1" ht="15" customHeight="1" x14ac:dyDescent="0.2">
      <c r="A1090" s="32">
        <v>41735.659490740742</v>
      </c>
      <c r="B1090" s="26" t="s">
        <v>152</v>
      </c>
      <c r="C1090" s="26" t="s">
        <v>153</v>
      </c>
      <c r="D1090" s="33">
        <v>41699</v>
      </c>
      <c r="E1090" s="26" t="s">
        <v>5729</v>
      </c>
      <c r="F1090" s="26" t="s">
        <v>5732</v>
      </c>
      <c r="G1090" s="26" t="s">
        <v>26</v>
      </c>
      <c r="H1090" s="26" t="s">
        <v>5733</v>
      </c>
      <c r="I1090" s="26" t="s">
        <v>2986</v>
      </c>
      <c r="J1090" s="46">
        <v>1</v>
      </c>
      <c r="K1090" s="46">
        <v>28</v>
      </c>
      <c r="L1090" s="136"/>
      <c r="M1090" s="137" t="s">
        <v>22</v>
      </c>
      <c r="N1090" s="138"/>
      <c r="O1090" s="138"/>
      <c r="P1090" s="138"/>
      <c r="Q1090" s="138"/>
      <c r="R1090" s="138"/>
      <c r="S1090" s="138"/>
      <c r="T1090" s="138"/>
      <c r="U1090" s="138"/>
    </row>
    <row r="1091" spans="1:25" s="26" customFormat="1" ht="15" customHeight="1" x14ac:dyDescent="0.2">
      <c r="A1091" s="32">
        <v>41735.670567129629</v>
      </c>
      <c r="B1091" s="26" t="s">
        <v>152</v>
      </c>
      <c r="C1091" s="26" t="s">
        <v>153</v>
      </c>
      <c r="D1091" s="33">
        <v>41699</v>
      </c>
      <c r="E1091" s="26" t="s">
        <v>5738</v>
      </c>
      <c r="F1091" s="26" t="s">
        <v>5739</v>
      </c>
      <c r="G1091" s="26" t="s">
        <v>26</v>
      </c>
      <c r="H1091" s="26" t="s">
        <v>5740</v>
      </c>
      <c r="I1091" s="26" t="s">
        <v>2812</v>
      </c>
      <c r="J1091" s="46">
        <v>1</v>
      </c>
      <c r="K1091" s="46">
        <v>14</v>
      </c>
      <c r="L1091" s="136"/>
      <c r="M1091" s="137" t="s">
        <v>22</v>
      </c>
      <c r="N1091" s="138"/>
      <c r="O1091" s="138"/>
      <c r="P1091" s="138"/>
      <c r="Q1091" s="138"/>
      <c r="R1091" s="138"/>
      <c r="S1091" s="138"/>
      <c r="T1091" s="138"/>
      <c r="U1091" s="138"/>
    </row>
    <row r="1092" spans="1:25" s="26" customFormat="1" ht="15" customHeight="1" x14ac:dyDescent="0.2">
      <c r="A1092" s="32">
        <v>41735.672835648147</v>
      </c>
      <c r="B1092" s="26" t="s">
        <v>152</v>
      </c>
      <c r="C1092" s="26" t="s">
        <v>153</v>
      </c>
      <c r="D1092" s="33">
        <v>41699</v>
      </c>
      <c r="E1092" s="26" t="s">
        <v>5741</v>
      </c>
      <c r="F1092" s="26" t="s">
        <v>5742</v>
      </c>
      <c r="G1092" s="26" t="s">
        <v>42</v>
      </c>
      <c r="H1092" s="26" t="s">
        <v>5743</v>
      </c>
      <c r="I1092" s="26" t="s">
        <v>2986</v>
      </c>
      <c r="J1092" s="46">
        <v>1</v>
      </c>
      <c r="K1092" s="46">
        <v>68</v>
      </c>
      <c r="L1092" s="136"/>
      <c r="M1092" s="137" t="s">
        <v>22</v>
      </c>
      <c r="N1092" s="138"/>
      <c r="O1092" s="138"/>
      <c r="P1092" s="138"/>
      <c r="Q1092" s="138"/>
      <c r="R1092" s="138"/>
      <c r="S1092" s="138"/>
      <c r="T1092" s="138"/>
      <c r="U1092" s="138"/>
    </row>
    <row r="1093" spans="1:25" s="26" customFormat="1" ht="15" customHeight="1" x14ac:dyDescent="0.2">
      <c r="A1093" s="32">
        <v>41735.675937499997</v>
      </c>
      <c r="B1093" s="26" t="s">
        <v>152</v>
      </c>
      <c r="C1093" s="26" t="s">
        <v>153</v>
      </c>
      <c r="D1093" s="33">
        <v>41699</v>
      </c>
      <c r="E1093" s="26" t="s">
        <v>5741</v>
      </c>
      <c r="F1093" s="26" t="s">
        <v>5744</v>
      </c>
      <c r="G1093" s="26" t="s">
        <v>26</v>
      </c>
      <c r="H1093" s="26" t="s">
        <v>5745</v>
      </c>
      <c r="I1093" s="26" t="s">
        <v>2986</v>
      </c>
      <c r="J1093" s="46">
        <v>1</v>
      </c>
      <c r="K1093" s="46">
        <v>4</v>
      </c>
      <c r="L1093" s="136">
        <v>12</v>
      </c>
      <c r="M1093" s="137" t="s">
        <v>22</v>
      </c>
      <c r="N1093" s="138"/>
      <c r="O1093" s="138"/>
      <c r="P1093" s="138"/>
      <c r="Q1093" s="138"/>
      <c r="R1093" s="138"/>
      <c r="S1093" s="138"/>
      <c r="T1093" s="138"/>
      <c r="U1093" s="138"/>
    </row>
    <row r="1094" spans="1:25" s="26" customFormat="1" ht="15" customHeight="1" x14ac:dyDescent="0.2">
      <c r="A1094" s="32">
        <v>41735.674328703702</v>
      </c>
      <c r="B1094" s="26" t="s">
        <v>152</v>
      </c>
      <c r="C1094" s="26" t="s">
        <v>153</v>
      </c>
      <c r="D1094" s="33">
        <v>41699</v>
      </c>
      <c r="E1094" s="26" t="s">
        <v>5741</v>
      </c>
      <c r="F1094" s="26" t="s">
        <v>5746</v>
      </c>
      <c r="G1094" s="26" t="s">
        <v>42</v>
      </c>
      <c r="H1094" s="26" t="s">
        <v>5747</v>
      </c>
      <c r="I1094" s="26" t="s">
        <v>3001</v>
      </c>
      <c r="J1094" s="46">
        <v>1</v>
      </c>
      <c r="K1094" s="46">
        <v>68</v>
      </c>
      <c r="L1094" s="136"/>
      <c r="M1094" s="137" t="s">
        <v>22</v>
      </c>
      <c r="N1094" s="138"/>
      <c r="O1094" s="138"/>
      <c r="P1094" s="138"/>
      <c r="Q1094" s="138"/>
      <c r="R1094" s="138"/>
      <c r="S1094" s="138"/>
      <c r="T1094" s="138"/>
      <c r="U1094" s="138"/>
    </row>
    <row r="1095" spans="1:25" s="26" customFormat="1" ht="15" customHeight="1" x14ac:dyDescent="0.2">
      <c r="A1095" s="32">
        <v>41735.679097222222</v>
      </c>
      <c r="B1095" s="26" t="s">
        <v>152</v>
      </c>
      <c r="C1095" s="26" t="s">
        <v>153</v>
      </c>
      <c r="D1095" s="33">
        <v>41699</v>
      </c>
      <c r="E1095" s="26" t="s">
        <v>5751</v>
      </c>
      <c r="F1095" s="26" t="s">
        <v>5752</v>
      </c>
      <c r="G1095" s="26" t="s">
        <v>26</v>
      </c>
      <c r="H1095" s="26" t="s">
        <v>5753</v>
      </c>
      <c r="I1095" s="26" t="s">
        <v>3001</v>
      </c>
      <c r="J1095" s="46">
        <v>1</v>
      </c>
      <c r="K1095" s="46">
        <v>8</v>
      </c>
      <c r="L1095" s="136">
        <v>24</v>
      </c>
      <c r="M1095" s="137" t="s">
        <v>22</v>
      </c>
      <c r="N1095" s="138"/>
      <c r="O1095" s="138"/>
      <c r="P1095" s="138"/>
      <c r="Q1095" s="138"/>
      <c r="R1095" s="138"/>
      <c r="S1095" s="138"/>
      <c r="T1095" s="138"/>
      <c r="U1095" s="138"/>
    </row>
    <row r="1096" spans="1:25" s="26" customFormat="1" ht="15" customHeight="1" x14ac:dyDescent="0.2">
      <c r="A1096" s="55">
        <v>41769.543877314798</v>
      </c>
      <c r="B1096" s="52" t="s">
        <v>152</v>
      </c>
      <c r="C1096" s="52" t="s">
        <v>153</v>
      </c>
      <c r="D1096" s="88" t="s">
        <v>6076</v>
      </c>
      <c r="E1096" s="52" t="s">
        <v>6729</v>
      </c>
      <c r="F1096" s="52" t="s">
        <v>6730</v>
      </c>
      <c r="G1096" s="52" t="s">
        <v>42</v>
      </c>
      <c r="H1096" s="52" t="s">
        <v>6731</v>
      </c>
      <c r="I1096" s="52" t="s">
        <v>2986</v>
      </c>
      <c r="J1096" s="95">
        <v>1</v>
      </c>
      <c r="K1096" s="95">
        <v>15</v>
      </c>
      <c r="L1096" s="149"/>
      <c r="M1096" s="146" t="s">
        <v>22</v>
      </c>
      <c r="N1096" s="149"/>
      <c r="O1096" s="149"/>
      <c r="P1096" s="149"/>
      <c r="Q1096" s="149"/>
      <c r="R1096" s="149"/>
      <c r="S1096" s="149"/>
      <c r="T1096" s="149"/>
      <c r="U1096" s="149"/>
      <c r="V1096" s="52" t="s">
        <v>6732</v>
      </c>
    </row>
    <row r="1097" spans="1:25" s="26" customFormat="1" ht="15" customHeight="1" x14ac:dyDescent="0.2">
      <c r="A1097" s="93">
        <v>41769.644571759301</v>
      </c>
      <c r="B1097" s="89" t="s">
        <v>152</v>
      </c>
      <c r="C1097" s="52" t="s">
        <v>153</v>
      </c>
      <c r="D1097" s="87" t="s">
        <v>6076</v>
      </c>
      <c r="E1097" s="89" t="s">
        <v>598</v>
      </c>
      <c r="F1097" s="89" t="s">
        <v>344</v>
      </c>
      <c r="G1097" s="89" t="s">
        <v>26</v>
      </c>
      <c r="H1097" s="89" t="s">
        <v>6733</v>
      </c>
      <c r="I1097" s="89" t="s">
        <v>3001</v>
      </c>
      <c r="J1097" s="95">
        <v>3</v>
      </c>
      <c r="K1097" s="95">
        <v>22</v>
      </c>
      <c r="L1097" s="149">
        <v>22</v>
      </c>
      <c r="M1097" s="146" t="s">
        <v>22</v>
      </c>
      <c r="N1097" s="149"/>
      <c r="O1097" s="149"/>
      <c r="P1097" s="149"/>
      <c r="Q1097" s="149"/>
      <c r="R1097" s="149"/>
      <c r="S1097" s="149"/>
      <c r="T1097" s="149"/>
      <c r="U1097" s="149"/>
      <c r="V1097" s="89"/>
      <c r="W1097" s="91"/>
      <c r="X1097" s="91"/>
      <c r="Y1097" s="91"/>
    </row>
    <row r="1098" spans="1:25" s="26" customFormat="1" ht="15" customHeight="1" x14ac:dyDescent="0.2">
      <c r="A1098" s="93">
        <v>41769.646249999998</v>
      </c>
      <c r="B1098" s="89" t="s">
        <v>152</v>
      </c>
      <c r="C1098" s="52" t="s">
        <v>153</v>
      </c>
      <c r="D1098" s="87" t="s">
        <v>6076</v>
      </c>
      <c r="E1098" s="89" t="s">
        <v>6734</v>
      </c>
      <c r="F1098" s="89" t="s">
        <v>373</v>
      </c>
      <c r="G1098" s="89" t="s">
        <v>26</v>
      </c>
      <c r="H1098" s="89" t="s">
        <v>6735</v>
      </c>
      <c r="I1098" s="89" t="s">
        <v>3001</v>
      </c>
      <c r="J1098" s="95">
        <v>5</v>
      </c>
      <c r="K1098" s="95">
        <v>446</v>
      </c>
      <c r="L1098" s="149"/>
      <c r="M1098" s="146" t="s">
        <v>22</v>
      </c>
      <c r="N1098" s="149"/>
      <c r="O1098" s="149"/>
      <c r="P1098" s="149"/>
      <c r="Q1098" s="149"/>
      <c r="R1098" s="149"/>
      <c r="S1098" s="149"/>
      <c r="T1098" s="149"/>
      <c r="U1098" s="149"/>
      <c r="V1098" s="89"/>
      <c r="W1098" s="91"/>
      <c r="X1098" s="91"/>
      <c r="Y1098" s="91"/>
    </row>
    <row r="1099" spans="1:25" s="26" customFormat="1" ht="15" customHeight="1" x14ac:dyDescent="0.2">
      <c r="A1099" s="93">
        <v>41769.648622685199</v>
      </c>
      <c r="B1099" s="89" t="s">
        <v>152</v>
      </c>
      <c r="C1099" s="52" t="s">
        <v>153</v>
      </c>
      <c r="D1099" s="87" t="s">
        <v>6076</v>
      </c>
      <c r="E1099" s="89" t="s">
        <v>6736</v>
      </c>
      <c r="F1099" s="89" t="s">
        <v>2275</v>
      </c>
      <c r="G1099" s="89" t="s">
        <v>26</v>
      </c>
      <c r="H1099" s="89" t="s">
        <v>6737</v>
      </c>
      <c r="I1099" s="89" t="s">
        <v>3001</v>
      </c>
      <c r="J1099" s="95">
        <v>1</v>
      </c>
      <c r="K1099" s="95">
        <v>12</v>
      </c>
      <c r="L1099" s="149">
        <v>36</v>
      </c>
      <c r="M1099" s="146" t="s">
        <v>22</v>
      </c>
      <c r="N1099" s="149"/>
      <c r="O1099" s="149"/>
      <c r="P1099" s="149"/>
      <c r="Q1099" s="149"/>
      <c r="R1099" s="149"/>
      <c r="S1099" s="149"/>
      <c r="T1099" s="149"/>
      <c r="U1099" s="149"/>
      <c r="V1099" s="89"/>
      <c r="W1099" s="91"/>
      <c r="X1099" s="91"/>
      <c r="Y1099" s="91"/>
    </row>
    <row r="1100" spans="1:25" s="26" customFormat="1" ht="15" customHeight="1" x14ac:dyDescent="0.2">
      <c r="A1100" s="93">
        <v>41769.650243055599</v>
      </c>
      <c r="B1100" s="89" t="s">
        <v>152</v>
      </c>
      <c r="C1100" s="52" t="s">
        <v>153</v>
      </c>
      <c r="D1100" s="87" t="s">
        <v>6076</v>
      </c>
      <c r="E1100" s="89" t="s">
        <v>1890</v>
      </c>
      <c r="F1100" s="89" t="s">
        <v>6738</v>
      </c>
      <c r="G1100" s="89" t="s">
        <v>26</v>
      </c>
      <c r="H1100" s="89" t="s">
        <v>6739</v>
      </c>
      <c r="I1100" s="89" t="s">
        <v>3001</v>
      </c>
      <c r="J1100" s="95">
        <v>3</v>
      </c>
      <c r="K1100" s="95">
        <v>47</v>
      </c>
      <c r="L1100" s="149">
        <v>141</v>
      </c>
      <c r="M1100" s="146" t="s">
        <v>22</v>
      </c>
      <c r="N1100" s="149"/>
      <c r="O1100" s="149"/>
      <c r="P1100" s="149"/>
      <c r="Q1100" s="149"/>
      <c r="R1100" s="149"/>
      <c r="S1100" s="149"/>
      <c r="T1100" s="149"/>
      <c r="U1100" s="149"/>
      <c r="V1100" s="89"/>
      <c r="W1100" s="91"/>
      <c r="X1100" s="91"/>
      <c r="Y1100" s="91"/>
    </row>
    <row r="1101" spans="1:25" s="26" customFormat="1" ht="15" customHeight="1" x14ac:dyDescent="0.2">
      <c r="A1101" s="93">
        <v>41769.651435185202</v>
      </c>
      <c r="B1101" s="89" t="s">
        <v>152</v>
      </c>
      <c r="C1101" s="52" t="s">
        <v>153</v>
      </c>
      <c r="D1101" s="87" t="s">
        <v>6076</v>
      </c>
      <c r="E1101" s="89" t="s">
        <v>6740</v>
      </c>
      <c r="F1101" s="89" t="s">
        <v>1920</v>
      </c>
      <c r="G1101" s="89" t="s">
        <v>26</v>
      </c>
      <c r="H1101" s="89" t="s">
        <v>6741</v>
      </c>
      <c r="I1101" s="89" t="s">
        <v>2986</v>
      </c>
      <c r="J1101" s="95">
        <v>3</v>
      </c>
      <c r="K1101" s="95">
        <v>23</v>
      </c>
      <c r="L1101" s="149">
        <v>69</v>
      </c>
      <c r="M1101" s="146" t="s">
        <v>22</v>
      </c>
      <c r="N1101" s="149"/>
      <c r="O1101" s="149"/>
      <c r="P1101" s="149"/>
      <c r="Q1101" s="149"/>
      <c r="R1101" s="149"/>
      <c r="S1101" s="149"/>
      <c r="T1101" s="149"/>
      <c r="U1101" s="149"/>
      <c r="V1101" s="89"/>
      <c r="W1101" s="91"/>
      <c r="X1101" s="91"/>
      <c r="Y1101" s="91"/>
    </row>
    <row r="1102" spans="1:25" s="26" customFormat="1" ht="15" customHeight="1" x14ac:dyDescent="0.2">
      <c r="A1102" s="93">
        <v>41769.656782407401</v>
      </c>
      <c r="B1102" s="89" t="s">
        <v>152</v>
      </c>
      <c r="C1102" s="52" t="s">
        <v>153</v>
      </c>
      <c r="D1102" s="87" t="s">
        <v>6076</v>
      </c>
      <c r="E1102" s="89" t="s">
        <v>6742</v>
      </c>
      <c r="F1102" s="89" t="s">
        <v>6743</v>
      </c>
      <c r="G1102" s="89" t="s">
        <v>26</v>
      </c>
      <c r="H1102" s="89" t="s">
        <v>6744</v>
      </c>
      <c r="I1102" s="89" t="s">
        <v>2986</v>
      </c>
      <c r="J1102" s="95">
        <v>3</v>
      </c>
      <c r="K1102" s="95">
        <v>27</v>
      </c>
      <c r="L1102" s="149">
        <v>81</v>
      </c>
      <c r="M1102" s="146" t="s">
        <v>22</v>
      </c>
      <c r="N1102" s="149"/>
      <c r="O1102" s="149"/>
      <c r="P1102" s="149"/>
      <c r="Q1102" s="149"/>
      <c r="R1102" s="149"/>
      <c r="S1102" s="149"/>
      <c r="T1102" s="149"/>
      <c r="U1102" s="149"/>
      <c r="V1102" s="89"/>
      <c r="W1102" s="91"/>
      <c r="X1102" s="91"/>
      <c r="Y1102" s="91"/>
    </row>
    <row r="1103" spans="1:25" s="26" customFormat="1" ht="15" customHeight="1" x14ac:dyDescent="0.2">
      <c r="A1103" s="93">
        <v>41769.662905092599</v>
      </c>
      <c r="B1103" s="89" t="s">
        <v>152</v>
      </c>
      <c r="C1103" s="52" t="s">
        <v>153</v>
      </c>
      <c r="D1103" s="87" t="s">
        <v>6076</v>
      </c>
      <c r="E1103" s="89" t="s">
        <v>526</v>
      </c>
      <c r="F1103" s="89" t="s">
        <v>6745</v>
      </c>
      <c r="G1103" s="89" t="s">
        <v>26</v>
      </c>
      <c r="H1103" s="89" t="s">
        <v>6745</v>
      </c>
      <c r="I1103" s="89" t="s">
        <v>2986</v>
      </c>
      <c r="J1103" s="95">
        <v>1</v>
      </c>
      <c r="K1103" s="95">
        <v>158</v>
      </c>
      <c r="L1103" s="149"/>
      <c r="M1103" s="146" t="s">
        <v>44</v>
      </c>
      <c r="N1103" s="149"/>
      <c r="O1103" s="149">
        <v>200</v>
      </c>
      <c r="P1103" s="149"/>
      <c r="Q1103" s="149"/>
      <c r="R1103" s="149"/>
      <c r="S1103" s="149"/>
      <c r="T1103" s="149"/>
      <c r="U1103" s="149"/>
      <c r="V1103" s="89"/>
      <c r="W1103" s="91"/>
      <c r="X1103" s="91"/>
      <c r="Y1103" s="91"/>
    </row>
    <row r="1104" spans="1:25" s="26" customFormat="1" ht="15" customHeight="1" x14ac:dyDescent="0.2">
      <c r="A1104" s="93">
        <v>41788.681226851899</v>
      </c>
      <c r="B1104" s="89" t="s">
        <v>38</v>
      </c>
      <c r="C1104" s="52" t="s">
        <v>39</v>
      </c>
      <c r="D1104" s="87" t="s">
        <v>6224</v>
      </c>
      <c r="E1104" s="89" t="s">
        <v>3848</v>
      </c>
      <c r="F1104" s="89" t="s">
        <v>7054</v>
      </c>
      <c r="G1104" s="89" t="s">
        <v>20</v>
      </c>
      <c r="H1104" s="89" t="s">
        <v>43</v>
      </c>
      <c r="I1104" s="89" t="s">
        <v>6294</v>
      </c>
      <c r="J1104" s="95">
        <v>1</v>
      </c>
      <c r="K1104" s="95">
        <v>82</v>
      </c>
      <c r="L1104" s="150"/>
      <c r="M1104" s="146" t="s">
        <v>44</v>
      </c>
      <c r="N1104" s="149">
        <v>537</v>
      </c>
      <c r="O1104" s="149"/>
      <c r="P1104" s="149"/>
      <c r="Q1104" s="149"/>
      <c r="R1104" s="149"/>
      <c r="S1104" s="149"/>
      <c r="T1104" s="149"/>
      <c r="U1104" s="149"/>
      <c r="V1104" s="89"/>
      <c r="W1104" s="91"/>
      <c r="X1104" s="91"/>
      <c r="Y1104" s="91"/>
    </row>
    <row r="1105" spans="1:25" s="26" customFormat="1" ht="15" customHeight="1" x14ac:dyDescent="0.2">
      <c r="A1105" s="93">
        <v>41789.612222222197</v>
      </c>
      <c r="B1105" s="89" t="s">
        <v>16</v>
      </c>
      <c r="C1105" s="52" t="s">
        <v>83</v>
      </c>
      <c r="D1105" s="87" t="s">
        <v>6224</v>
      </c>
      <c r="E1105" s="89" t="s">
        <v>7055</v>
      </c>
      <c r="F1105" s="89" t="s">
        <v>931</v>
      </c>
      <c r="G1105" s="89" t="s">
        <v>26</v>
      </c>
      <c r="H1105" s="89" t="s">
        <v>5696</v>
      </c>
      <c r="I1105" s="89" t="s">
        <v>2925</v>
      </c>
      <c r="J1105" s="95">
        <v>1</v>
      </c>
      <c r="K1105" s="95">
        <v>10</v>
      </c>
      <c r="L1105" s="150">
        <v>5</v>
      </c>
      <c r="M1105" s="146" t="s">
        <v>22</v>
      </c>
      <c r="N1105" s="149"/>
      <c r="O1105" s="149"/>
      <c r="P1105" s="149"/>
      <c r="Q1105" s="149"/>
      <c r="R1105" s="149"/>
      <c r="S1105" s="149"/>
      <c r="T1105" s="149"/>
      <c r="U1105" s="149">
        <v>29</v>
      </c>
      <c r="V1105" s="89"/>
      <c r="W1105" s="91"/>
      <c r="X1105" s="91"/>
      <c r="Y1105" s="91"/>
    </row>
    <row r="1106" spans="1:25" s="26" customFormat="1" ht="15" customHeight="1" x14ac:dyDescent="0.2">
      <c r="A1106" s="93">
        <v>41789.613576388903</v>
      </c>
      <c r="B1106" s="89" t="s">
        <v>16</v>
      </c>
      <c r="C1106" s="52" t="s">
        <v>83</v>
      </c>
      <c r="D1106" s="87" t="s">
        <v>6224</v>
      </c>
      <c r="E1106" s="89" t="s">
        <v>1773</v>
      </c>
      <c r="F1106" s="89" t="s">
        <v>7056</v>
      </c>
      <c r="G1106" s="89" t="s">
        <v>26</v>
      </c>
      <c r="H1106" s="89" t="s">
        <v>21</v>
      </c>
      <c r="I1106" s="89" t="s">
        <v>2925</v>
      </c>
      <c r="J1106" s="95">
        <v>1</v>
      </c>
      <c r="K1106" s="95">
        <v>5</v>
      </c>
      <c r="L1106" s="150"/>
      <c r="M1106" s="146" t="s">
        <v>22</v>
      </c>
      <c r="N1106" s="149"/>
      <c r="O1106" s="149"/>
      <c r="P1106" s="149"/>
      <c r="Q1106" s="149"/>
      <c r="R1106" s="149"/>
      <c r="S1106" s="149"/>
      <c r="T1106" s="149"/>
      <c r="U1106" s="149"/>
      <c r="V1106" s="89"/>
      <c r="W1106" s="91"/>
      <c r="X1106" s="91"/>
      <c r="Y1106" s="91"/>
    </row>
    <row r="1107" spans="1:25" s="26" customFormat="1" ht="15" customHeight="1" x14ac:dyDescent="0.2">
      <c r="A1107" s="93">
        <v>41789.614432870403</v>
      </c>
      <c r="B1107" s="89" t="s">
        <v>16</v>
      </c>
      <c r="C1107" s="52" t="s">
        <v>83</v>
      </c>
      <c r="D1107" s="87" t="s">
        <v>6224</v>
      </c>
      <c r="E1107" s="89" t="s">
        <v>2491</v>
      </c>
      <c r="F1107" s="89" t="s">
        <v>7057</v>
      </c>
      <c r="G1107" s="89" t="s">
        <v>26</v>
      </c>
      <c r="H1107" s="89" t="s">
        <v>7058</v>
      </c>
      <c r="I1107" s="89" t="s">
        <v>2812</v>
      </c>
      <c r="J1107" s="95">
        <v>1</v>
      </c>
      <c r="K1107" s="95">
        <v>45</v>
      </c>
      <c r="L1107" s="150"/>
      <c r="M1107" s="146" t="s">
        <v>22</v>
      </c>
      <c r="N1107" s="149"/>
      <c r="O1107" s="149"/>
      <c r="P1107" s="149"/>
      <c r="Q1107" s="149"/>
      <c r="R1107" s="149"/>
      <c r="S1107" s="149"/>
      <c r="T1107" s="149"/>
      <c r="U1107" s="149"/>
      <c r="V1107" s="89"/>
      <c r="W1107" s="91"/>
      <c r="X1107" s="91"/>
      <c r="Y1107" s="91"/>
    </row>
    <row r="1108" spans="1:25" s="26" customFormat="1" ht="15" customHeight="1" x14ac:dyDescent="0.2">
      <c r="A1108" s="93">
        <v>41789.616168981498</v>
      </c>
      <c r="B1108" s="89" t="s">
        <v>16</v>
      </c>
      <c r="C1108" s="52" t="s">
        <v>83</v>
      </c>
      <c r="D1108" s="87" t="s">
        <v>6224</v>
      </c>
      <c r="E1108" s="89" t="s">
        <v>7059</v>
      </c>
      <c r="F1108" s="89" t="s">
        <v>292</v>
      </c>
      <c r="G1108" s="89" t="s">
        <v>26</v>
      </c>
      <c r="H1108" s="89" t="s">
        <v>283</v>
      </c>
      <c r="I1108" s="89" t="s">
        <v>2925</v>
      </c>
      <c r="J1108" s="95">
        <v>1</v>
      </c>
      <c r="K1108" s="95">
        <v>75</v>
      </c>
      <c r="L1108" s="150">
        <v>24</v>
      </c>
      <c r="M1108" s="146" t="s">
        <v>44</v>
      </c>
      <c r="N1108" s="149"/>
      <c r="O1108" s="149"/>
      <c r="P1108" s="149">
        <v>15</v>
      </c>
      <c r="Q1108" s="149"/>
      <c r="R1108" s="149"/>
      <c r="S1108" s="149"/>
      <c r="T1108" s="149"/>
      <c r="U1108" s="149"/>
      <c r="V1108" s="89"/>
      <c r="W1108" s="91"/>
      <c r="X1108" s="91"/>
      <c r="Y1108" s="91"/>
    </row>
    <row r="1109" spans="1:25" s="26" customFormat="1" ht="15" customHeight="1" x14ac:dyDescent="0.2">
      <c r="A1109" s="93">
        <v>41789.617002314801</v>
      </c>
      <c r="B1109" s="89" t="s">
        <v>16</v>
      </c>
      <c r="C1109" s="52" t="s">
        <v>83</v>
      </c>
      <c r="D1109" s="87" t="s">
        <v>6224</v>
      </c>
      <c r="E1109" s="89" t="s">
        <v>7060</v>
      </c>
      <c r="F1109" s="89" t="s">
        <v>7061</v>
      </c>
      <c r="G1109" s="89" t="s">
        <v>26</v>
      </c>
      <c r="H1109" s="89" t="s">
        <v>7062</v>
      </c>
      <c r="I1109" s="89" t="s">
        <v>2925</v>
      </c>
      <c r="J1109" s="95">
        <v>1</v>
      </c>
      <c r="K1109" s="95">
        <v>15</v>
      </c>
      <c r="L1109" s="150"/>
      <c r="M1109" s="146" t="s">
        <v>22</v>
      </c>
      <c r="N1109" s="149"/>
      <c r="O1109" s="149"/>
      <c r="P1109" s="149"/>
      <c r="Q1109" s="149"/>
      <c r="R1109" s="149"/>
      <c r="S1109" s="149"/>
      <c r="T1109" s="149"/>
      <c r="U1109" s="149"/>
      <c r="V1109" s="89"/>
      <c r="W1109" s="91"/>
      <c r="X1109" s="91"/>
      <c r="Y1109" s="91"/>
    </row>
    <row r="1110" spans="1:25" s="26" customFormat="1" ht="15" customHeight="1" x14ac:dyDescent="0.2">
      <c r="A1110" s="93">
        <v>41789.617916666699</v>
      </c>
      <c r="B1110" s="89" t="s">
        <v>16</v>
      </c>
      <c r="C1110" s="52" t="s">
        <v>83</v>
      </c>
      <c r="D1110" s="87" t="s">
        <v>6224</v>
      </c>
      <c r="E1110" s="89" t="s">
        <v>7063</v>
      </c>
      <c r="F1110" s="89" t="s">
        <v>7064</v>
      </c>
      <c r="G1110" s="89" t="s">
        <v>26</v>
      </c>
      <c r="H1110" s="89" t="s">
        <v>7065</v>
      </c>
      <c r="I1110" s="89" t="s">
        <v>2925</v>
      </c>
      <c r="J1110" s="95">
        <v>1</v>
      </c>
      <c r="K1110" s="95">
        <v>6</v>
      </c>
      <c r="L1110" s="150"/>
      <c r="M1110" s="146" t="s">
        <v>22</v>
      </c>
      <c r="N1110" s="149"/>
      <c r="O1110" s="149"/>
      <c r="P1110" s="149"/>
      <c r="Q1110" s="149"/>
      <c r="R1110" s="149"/>
      <c r="S1110" s="149"/>
      <c r="T1110" s="149"/>
      <c r="U1110" s="149"/>
      <c r="V1110" s="89"/>
      <c r="W1110" s="91"/>
      <c r="X1110" s="91"/>
      <c r="Y1110" s="91"/>
    </row>
    <row r="1111" spans="1:25" s="26" customFormat="1" ht="15" customHeight="1" x14ac:dyDescent="0.2">
      <c r="A1111" s="93">
        <v>41790.701631944401</v>
      </c>
      <c r="B1111" s="89" t="s">
        <v>38</v>
      </c>
      <c r="C1111" s="52" t="s">
        <v>549</v>
      </c>
      <c r="D1111" s="87" t="s">
        <v>6224</v>
      </c>
      <c r="E1111" s="89" t="s">
        <v>7066</v>
      </c>
      <c r="F1111" s="89" t="s">
        <v>7067</v>
      </c>
      <c r="G1111" s="89" t="s">
        <v>26</v>
      </c>
      <c r="H1111" s="89" t="s">
        <v>7068</v>
      </c>
      <c r="I1111" s="89" t="s">
        <v>3265</v>
      </c>
      <c r="J1111" s="95">
        <v>1</v>
      </c>
      <c r="K1111" s="95">
        <v>85</v>
      </c>
      <c r="L1111" s="150">
        <v>235</v>
      </c>
      <c r="M1111" s="146" t="s">
        <v>44</v>
      </c>
      <c r="N1111" s="149"/>
      <c r="O1111" s="149">
        <v>25</v>
      </c>
      <c r="P1111" s="149"/>
      <c r="Q1111" s="149"/>
      <c r="R1111" s="149"/>
      <c r="S1111" s="149"/>
      <c r="T1111" s="149"/>
      <c r="U1111" s="149"/>
      <c r="V1111" s="89" t="s">
        <v>7069</v>
      </c>
      <c r="W1111" s="91"/>
      <c r="X1111" s="91"/>
      <c r="Y1111" s="91"/>
    </row>
    <row r="1112" spans="1:25" s="26" customFormat="1" ht="15" customHeight="1" x14ac:dyDescent="0.2">
      <c r="A1112" s="93">
        <v>41790.703657407401</v>
      </c>
      <c r="B1112" s="89" t="s">
        <v>38</v>
      </c>
      <c r="C1112" s="52" t="s">
        <v>549</v>
      </c>
      <c r="D1112" s="87" t="s">
        <v>6224</v>
      </c>
      <c r="E1112" s="89" t="s">
        <v>7066</v>
      </c>
      <c r="F1112" s="89" t="s">
        <v>7070</v>
      </c>
      <c r="G1112" s="89" t="s">
        <v>26</v>
      </c>
      <c r="H1112" s="89" t="s">
        <v>7071</v>
      </c>
      <c r="I1112" s="89" t="s">
        <v>3265</v>
      </c>
      <c r="J1112" s="95">
        <v>1</v>
      </c>
      <c r="K1112" s="95">
        <v>60</v>
      </c>
      <c r="L1112" s="150">
        <v>113</v>
      </c>
      <c r="M1112" s="146" t="s">
        <v>44</v>
      </c>
      <c r="N1112" s="149"/>
      <c r="O1112" s="149">
        <v>5</v>
      </c>
      <c r="P1112" s="149"/>
      <c r="Q1112" s="149"/>
      <c r="R1112" s="149"/>
      <c r="S1112" s="149"/>
      <c r="T1112" s="149"/>
      <c r="U1112" s="149"/>
      <c r="V1112" s="89" t="s">
        <v>7072</v>
      </c>
      <c r="W1112" s="91"/>
      <c r="X1112" s="91"/>
      <c r="Y1112" s="91"/>
    </row>
    <row r="1113" spans="1:25" s="26" customFormat="1" ht="15" customHeight="1" x14ac:dyDescent="0.2">
      <c r="A1113" s="93">
        <v>41790.705393518503</v>
      </c>
      <c r="B1113" s="89" t="s">
        <v>38</v>
      </c>
      <c r="C1113" s="52" t="s">
        <v>549</v>
      </c>
      <c r="D1113" s="87" t="s">
        <v>6224</v>
      </c>
      <c r="E1113" s="89" t="s">
        <v>7073</v>
      </c>
      <c r="F1113" s="89" t="s">
        <v>7074</v>
      </c>
      <c r="G1113" s="89" t="s">
        <v>26</v>
      </c>
      <c r="H1113" s="89" t="s">
        <v>7075</v>
      </c>
      <c r="I1113" s="89" t="s">
        <v>2812</v>
      </c>
      <c r="J1113" s="95">
        <v>1</v>
      </c>
      <c r="K1113" s="95">
        <v>33</v>
      </c>
      <c r="L1113" s="150"/>
      <c r="M1113" s="146" t="s">
        <v>22</v>
      </c>
      <c r="N1113" s="149"/>
      <c r="O1113" s="149"/>
      <c r="P1113" s="149"/>
      <c r="Q1113" s="149"/>
      <c r="R1113" s="149"/>
      <c r="S1113" s="149"/>
      <c r="T1113" s="149"/>
      <c r="U1113" s="149"/>
      <c r="V1113" s="89"/>
      <c r="W1113" s="91"/>
      <c r="X1113" s="91"/>
      <c r="Y1113" s="91"/>
    </row>
    <row r="1114" spans="1:25" s="26" customFormat="1" ht="15" customHeight="1" x14ac:dyDescent="0.2">
      <c r="A1114" s="93">
        <v>41790.706574074102</v>
      </c>
      <c r="B1114" s="89" t="s">
        <v>38</v>
      </c>
      <c r="C1114" s="52" t="s">
        <v>549</v>
      </c>
      <c r="D1114" s="87" t="s">
        <v>6224</v>
      </c>
      <c r="E1114" s="89" t="s">
        <v>3441</v>
      </c>
      <c r="F1114" s="89" t="s">
        <v>579</v>
      </c>
      <c r="G1114" s="89" t="s">
        <v>26</v>
      </c>
      <c r="H1114" s="89" t="s">
        <v>7076</v>
      </c>
      <c r="I1114" s="89" t="s">
        <v>2812</v>
      </c>
      <c r="J1114" s="95">
        <v>1</v>
      </c>
      <c r="K1114" s="95">
        <v>16</v>
      </c>
      <c r="L1114" s="150"/>
      <c r="M1114" s="146" t="s">
        <v>22</v>
      </c>
      <c r="N1114" s="149"/>
      <c r="O1114" s="149"/>
      <c r="P1114" s="149"/>
      <c r="Q1114" s="149"/>
      <c r="R1114" s="149"/>
      <c r="S1114" s="149"/>
      <c r="T1114" s="149"/>
      <c r="U1114" s="149"/>
      <c r="V1114" s="89"/>
      <c r="W1114" s="91"/>
      <c r="X1114" s="91"/>
      <c r="Y1114" s="91"/>
    </row>
    <row r="1115" spans="1:25" s="26" customFormat="1" ht="15" customHeight="1" x14ac:dyDescent="0.2">
      <c r="A1115" s="93">
        <v>41790.708622685197</v>
      </c>
      <c r="B1115" s="89" t="s">
        <v>38</v>
      </c>
      <c r="C1115" s="52" t="s">
        <v>549</v>
      </c>
      <c r="D1115" s="87" t="s">
        <v>6224</v>
      </c>
      <c r="E1115" s="89" t="s">
        <v>7077</v>
      </c>
      <c r="F1115" s="89" t="s">
        <v>555</v>
      </c>
      <c r="G1115" s="89" t="s">
        <v>26</v>
      </c>
      <c r="H1115" s="89" t="s">
        <v>7078</v>
      </c>
      <c r="I1115" s="89" t="s">
        <v>3001</v>
      </c>
      <c r="J1115" s="95">
        <v>5</v>
      </c>
      <c r="K1115" s="95">
        <v>117</v>
      </c>
      <c r="L1115" s="150">
        <v>292</v>
      </c>
      <c r="M1115" s="146" t="s">
        <v>44</v>
      </c>
      <c r="N1115" s="149"/>
      <c r="O1115" s="149">
        <v>5</v>
      </c>
      <c r="P1115" s="149"/>
      <c r="Q1115" s="149"/>
      <c r="R1115" s="149"/>
      <c r="S1115" s="149"/>
      <c r="T1115" s="149"/>
      <c r="U1115" s="149"/>
      <c r="V1115" s="89"/>
      <c r="W1115" s="91"/>
      <c r="X1115" s="91"/>
      <c r="Y1115" s="91"/>
    </row>
    <row r="1116" spans="1:25" s="26" customFormat="1" ht="15" customHeight="1" x14ac:dyDescent="0.2">
      <c r="A1116" s="93">
        <v>41790.709872685198</v>
      </c>
      <c r="B1116" s="89" t="s">
        <v>38</v>
      </c>
      <c r="C1116" s="52" t="s">
        <v>549</v>
      </c>
      <c r="D1116" s="87" t="s">
        <v>6224</v>
      </c>
      <c r="E1116" s="89" t="s">
        <v>6111</v>
      </c>
      <c r="F1116" s="89" t="s">
        <v>7079</v>
      </c>
      <c r="G1116" s="89" t="s">
        <v>26</v>
      </c>
      <c r="H1116" s="89" t="s">
        <v>7080</v>
      </c>
      <c r="I1116" s="89" t="s">
        <v>3001</v>
      </c>
      <c r="J1116" s="95">
        <v>3</v>
      </c>
      <c r="K1116" s="95">
        <v>6</v>
      </c>
      <c r="L1116" s="150"/>
      <c r="M1116" s="146" t="s">
        <v>22</v>
      </c>
      <c r="N1116" s="149"/>
      <c r="O1116" s="149"/>
      <c r="P1116" s="149"/>
      <c r="Q1116" s="149"/>
      <c r="R1116" s="149"/>
      <c r="S1116" s="149"/>
      <c r="T1116" s="149"/>
      <c r="U1116" s="149"/>
      <c r="V1116" s="89"/>
      <c r="W1116" s="91"/>
      <c r="X1116" s="91"/>
      <c r="Y1116" s="91"/>
    </row>
    <row r="1117" spans="1:25" s="26" customFormat="1" ht="15" customHeight="1" x14ac:dyDescent="0.2">
      <c r="A1117" s="93">
        <v>41790.713414351798</v>
      </c>
      <c r="B1117" s="89" t="s">
        <v>38</v>
      </c>
      <c r="C1117" s="52" t="s">
        <v>549</v>
      </c>
      <c r="D1117" s="87" t="s">
        <v>6224</v>
      </c>
      <c r="E1117" s="89" t="s">
        <v>7084</v>
      </c>
      <c r="F1117" s="89" t="s">
        <v>7085</v>
      </c>
      <c r="G1117" s="89" t="s">
        <v>20</v>
      </c>
      <c r="H1117" s="89" t="s">
        <v>7086</v>
      </c>
      <c r="I1117" s="89" t="s">
        <v>7087</v>
      </c>
      <c r="J1117" s="95">
        <v>4</v>
      </c>
      <c r="K1117" s="95">
        <v>53</v>
      </c>
      <c r="L1117" s="150">
        <v>265</v>
      </c>
      <c r="M1117" s="146" t="s">
        <v>44</v>
      </c>
      <c r="N1117" s="149"/>
      <c r="O1117" s="149">
        <v>15</v>
      </c>
      <c r="P1117" s="149"/>
      <c r="Q1117" s="149"/>
      <c r="R1117" s="149"/>
      <c r="S1117" s="149"/>
      <c r="T1117" s="149"/>
      <c r="U1117" s="149"/>
      <c r="V1117" s="89"/>
      <c r="W1117" s="91"/>
      <c r="X1117" s="91"/>
      <c r="Y1117" s="91"/>
    </row>
    <row r="1118" spans="1:25" s="26" customFormat="1" ht="15" customHeight="1" x14ac:dyDescent="0.2">
      <c r="A1118" s="37">
        <v>41484.440694444398</v>
      </c>
      <c r="B1118" s="26" t="s">
        <v>38</v>
      </c>
      <c r="C1118" s="26" t="s">
        <v>328</v>
      </c>
      <c r="D1118" s="33">
        <v>41456</v>
      </c>
      <c r="E1118" s="26" t="s">
        <v>329</v>
      </c>
      <c r="F1118" s="26" t="s">
        <v>330</v>
      </c>
      <c r="G1118" s="26" t="s">
        <v>26</v>
      </c>
      <c r="H1118" s="26" t="s">
        <v>331</v>
      </c>
      <c r="J1118" s="115">
        <v>1</v>
      </c>
      <c r="K1118" s="115">
        <v>0</v>
      </c>
      <c r="L1118" s="136"/>
      <c r="M1118" s="137" t="s">
        <v>22</v>
      </c>
      <c r="N1118" s="138"/>
      <c r="O1118" s="138"/>
      <c r="P1118" s="138"/>
      <c r="Q1118" s="138"/>
      <c r="R1118" s="138"/>
      <c r="S1118" s="138"/>
      <c r="T1118" s="138"/>
      <c r="U1118" s="138"/>
      <c r="V1118" s="26" t="s">
        <v>332</v>
      </c>
      <c r="W1118" s="57"/>
      <c r="X1118" s="57"/>
      <c r="Y1118" s="57"/>
    </row>
    <row r="1119" spans="1:25" s="26" customFormat="1" ht="15" customHeight="1" x14ac:dyDescent="0.2">
      <c r="A1119" s="37">
        <v>41484.441712963002</v>
      </c>
      <c r="B1119" s="26" t="s">
        <v>38</v>
      </c>
      <c r="C1119" s="26" t="s">
        <v>328</v>
      </c>
      <c r="D1119" s="33">
        <v>41456</v>
      </c>
      <c r="E1119" s="26" t="s">
        <v>333</v>
      </c>
      <c r="F1119" s="26" t="s">
        <v>334</v>
      </c>
      <c r="G1119" s="26" t="s">
        <v>20</v>
      </c>
      <c r="H1119" s="26" t="s">
        <v>335</v>
      </c>
      <c r="J1119" s="115">
        <v>1</v>
      </c>
      <c r="K1119" s="115">
        <v>6</v>
      </c>
      <c r="L1119" s="136">
        <v>37</v>
      </c>
      <c r="M1119" s="137" t="s">
        <v>22</v>
      </c>
      <c r="N1119" s="138"/>
      <c r="O1119" s="138"/>
      <c r="P1119" s="138"/>
      <c r="Q1119" s="138"/>
      <c r="R1119" s="138"/>
      <c r="S1119" s="138"/>
      <c r="T1119" s="138"/>
      <c r="U1119" s="138"/>
      <c r="W1119" s="57"/>
      <c r="X1119" s="57"/>
      <c r="Y1119" s="57"/>
    </row>
    <row r="1120" spans="1:25" s="26" customFormat="1" ht="15" customHeight="1" x14ac:dyDescent="0.2">
      <c r="A1120" s="37">
        <v>41484.442777777796</v>
      </c>
      <c r="B1120" s="26" t="s">
        <v>38</v>
      </c>
      <c r="C1120" s="26" t="s">
        <v>328</v>
      </c>
      <c r="D1120" s="33">
        <v>41456</v>
      </c>
      <c r="E1120" s="26" t="s">
        <v>336</v>
      </c>
      <c r="F1120" s="26" t="s">
        <v>337</v>
      </c>
      <c r="G1120" s="26" t="s">
        <v>26</v>
      </c>
      <c r="H1120" s="26" t="s">
        <v>338</v>
      </c>
      <c r="J1120" s="115">
        <v>1</v>
      </c>
      <c r="K1120" s="115">
        <v>0</v>
      </c>
      <c r="L1120" s="136"/>
      <c r="M1120" s="137" t="s">
        <v>22</v>
      </c>
      <c r="N1120" s="138"/>
      <c r="O1120" s="138"/>
      <c r="P1120" s="138"/>
      <c r="Q1120" s="138"/>
      <c r="R1120" s="138"/>
      <c r="S1120" s="138"/>
      <c r="T1120" s="138"/>
      <c r="U1120" s="138"/>
      <c r="V1120" s="26" t="s">
        <v>339</v>
      </c>
      <c r="W1120" s="57"/>
      <c r="X1120" s="57"/>
      <c r="Y1120" s="57"/>
    </row>
    <row r="1121" spans="1:25" s="26" customFormat="1" ht="15" customHeight="1" x14ac:dyDescent="0.2">
      <c r="A1121" s="37">
        <v>41484.443553240701</v>
      </c>
      <c r="B1121" s="26" t="s">
        <v>38</v>
      </c>
      <c r="C1121" s="26" t="s">
        <v>328</v>
      </c>
      <c r="D1121" s="33">
        <v>41456</v>
      </c>
      <c r="E1121" s="26" t="s">
        <v>340</v>
      </c>
      <c r="F1121" s="26" t="s">
        <v>341</v>
      </c>
      <c r="G1121" s="26" t="s">
        <v>26</v>
      </c>
      <c r="H1121" s="26" t="s">
        <v>342</v>
      </c>
      <c r="J1121" s="115">
        <v>1</v>
      </c>
      <c r="K1121" s="115">
        <v>8</v>
      </c>
      <c r="L1121" s="136">
        <v>30</v>
      </c>
      <c r="M1121" s="137" t="s">
        <v>22</v>
      </c>
      <c r="N1121" s="138"/>
      <c r="O1121" s="138"/>
      <c r="P1121" s="138"/>
      <c r="Q1121" s="138"/>
      <c r="R1121" s="138"/>
      <c r="S1121" s="138"/>
      <c r="T1121" s="138"/>
      <c r="U1121" s="138"/>
      <c r="W1121" s="57"/>
      <c r="X1121" s="57"/>
      <c r="Y1121" s="57"/>
    </row>
    <row r="1122" spans="1:25" s="26" customFormat="1" ht="15" customHeight="1" x14ac:dyDescent="0.2">
      <c r="A1122" s="37">
        <v>41484.4444560185</v>
      </c>
      <c r="B1122" s="26" t="s">
        <v>38</v>
      </c>
      <c r="C1122" s="26" t="s">
        <v>328</v>
      </c>
      <c r="D1122" s="33">
        <v>41456</v>
      </c>
      <c r="E1122" s="26" t="s">
        <v>343</v>
      </c>
      <c r="F1122" s="26" t="s">
        <v>344</v>
      </c>
      <c r="G1122" s="26" t="s">
        <v>26</v>
      </c>
      <c r="J1122" s="115">
        <v>1</v>
      </c>
      <c r="K1122" s="115">
        <v>5</v>
      </c>
      <c r="L1122" s="136">
        <v>10</v>
      </c>
      <c r="M1122" s="137" t="s">
        <v>22</v>
      </c>
      <c r="N1122" s="138"/>
      <c r="O1122" s="138"/>
      <c r="P1122" s="138"/>
      <c r="Q1122" s="138"/>
      <c r="R1122" s="138"/>
      <c r="S1122" s="138"/>
      <c r="T1122" s="138"/>
      <c r="U1122" s="138"/>
      <c r="V1122" s="26" t="s">
        <v>345</v>
      </c>
      <c r="W1122" s="57"/>
      <c r="X1122" s="57"/>
      <c r="Y1122" s="57"/>
    </row>
    <row r="1123" spans="1:25" s="26" customFormat="1" ht="15" customHeight="1" x14ac:dyDescent="0.2">
      <c r="A1123" s="37">
        <v>41484.444988425901</v>
      </c>
      <c r="B1123" s="26" t="s">
        <v>16</v>
      </c>
      <c r="C1123" s="26" t="s">
        <v>328</v>
      </c>
      <c r="D1123" s="33">
        <v>41456</v>
      </c>
      <c r="E1123" s="26" t="s">
        <v>346</v>
      </c>
      <c r="F1123" s="26" t="s">
        <v>337</v>
      </c>
      <c r="G1123" s="26" t="s">
        <v>26</v>
      </c>
      <c r="H1123" s="26" t="s">
        <v>347</v>
      </c>
      <c r="J1123" s="46">
        <v>1</v>
      </c>
      <c r="K1123" s="46">
        <v>0</v>
      </c>
      <c r="L1123" s="136"/>
      <c r="M1123" s="137" t="s">
        <v>22</v>
      </c>
      <c r="N1123" s="138"/>
      <c r="O1123" s="138"/>
      <c r="P1123" s="138"/>
      <c r="Q1123" s="138"/>
      <c r="R1123" s="138"/>
      <c r="S1123" s="138"/>
      <c r="T1123" s="138"/>
      <c r="U1123" s="138"/>
      <c r="V1123" s="26" t="s">
        <v>348</v>
      </c>
      <c r="W1123" s="57"/>
      <c r="X1123" s="57"/>
      <c r="Y1123" s="57"/>
    </row>
    <row r="1124" spans="1:25" s="26" customFormat="1" ht="15" customHeight="1" x14ac:dyDescent="0.2">
      <c r="A1124" s="37">
        <v>41484.445972222202</v>
      </c>
      <c r="B1124" s="26" t="s">
        <v>38</v>
      </c>
      <c r="C1124" s="26" t="s">
        <v>328</v>
      </c>
      <c r="D1124" s="33">
        <v>41456</v>
      </c>
      <c r="E1124" s="26" t="s">
        <v>349</v>
      </c>
      <c r="F1124" s="26" t="s">
        <v>350</v>
      </c>
      <c r="G1124" s="26" t="s">
        <v>351</v>
      </c>
      <c r="J1124" s="115">
        <v>1</v>
      </c>
      <c r="K1124" s="115">
        <v>150</v>
      </c>
      <c r="L1124" s="136"/>
      <c r="M1124" s="137" t="s">
        <v>22</v>
      </c>
      <c r="N1124" s="138"/>
      <c r="O1124" s="138"/>
      <c r="P1124" s="138"/>
      <c r="Q1124" s="138"/>
      <c r="R1124" s="138"/>
      <c r="S1124" s="138"/>
      <c r="T1124" s="138"/>
      <c r="U1124" s="138"/>
      <c r="V1124" s="26" t="s">
        <v>352</v>
      </c>
      <c r="W1124" s="57"/>
      <c r="X1124" s="57"/>
      <c r="Y1124" s="57"/>
    </row>
    <row r="1125" spans="1:25" s="26" customFormat="1" ht="15" customHeight="1" x14ac:dyDescent="0.2">
      <c r="A1125" s="38">
        <v>41520.42863425926</v>
      </c>
      <c r="B1125" s="29" t="s">
        <v>38</v>
      </c>
      <c r="C1125" s="29" t="s">
        <v>328</v>
      </c>
      <c r="D1125" s="30">
        <v>41487</v>
      </c>
      <c r="E1125" s="31" t="s">
        <v>1523</v>
      </c>
      <c r="F1125" s="29" t="s">
        <v>337</v>
      </c>
      <c r="G1125" s="29" t="s">
        <v>26</v>
      </c>
      <c r="H1125" s="29" t="s">
        <v>1524</v>
      </c>
      <c r="I1125" s="29"/>
      <c r="J1125" s="116">
        <v>1</v>
      </c>
      <c r="K1125" s="116">
        <v>13</v>
      </c>
      <c r="L1125" s="139">
        <v>195</v>
      </c>
      <c r="M1125" s="140" t="s">
        <v>22</v>
      </c>
      <c r="N1125" s="141"/>
      <c r="O1125" s="141"/>
      <c r="P1125" s="141"/>
      <c r="Q1125" s="141"/>
      <c r="R1125" s="141"/>
      <c r="S1125" s="141"/>
      <c r="T1125" s="141"/>
      <c r="U1125" s="141"/>
      <c r="V1125" s="29"/>
      <c r="W1125" s="57"/>
      <c r="X1125" s="57"/>
      <c r="Y1125" s="57"/>
    </row>
    <row r="1126" spans="1:25" s="26" customFormat="1" ht="15" customHeight="1" x14ac:dyDescent="0.2">
      <c r="A1126" s="38">
        <v>41520.429652777777</v>
      </c>
      <c r="B1126" s="29" t="s">
        <v>38</v>
      </c>
      <c r="C1126" s="29" t="s">
        <v>328</v>
      </c>
      <c r="D1126" s="30">
        <v>41487</v>
      </c>
      <c r="E1126" s="31" t="s">
        <v>1525</v>
      </c>
      <c r="F1126" s="29" t="s">
        <v>1526</v>
      </c>
      <c r="G1126" s="29" t="s">
        <v>26</v>
      </c>
      <c r="H1126" s="29" t="s">
        <v>1527</v>
      </c>
      <c r="I1126" s="29"/>
      <c r="J1126" s="116">
        <v>1</v>
      </c>
      <c r="K1126" s="116">
        <v>0</v>
      </c>
      <c r="L1126" s="139"/>
      <c r="M1126" s="140" t="s">
        <v>22</v>
      </c>
      <c r="N1126" s="141"/>
      <c r="O1126" s="141"/>
      <c r="P1126" s="141"/>
      <c r="Q1126" s="141"/>
      <c r="R1126" s="141"/>
      <c r="S1126" s="141"/>
      <c r="T1126" s="141"/>
      <c r="U1126" s="141"/>
      <c r="V1126" s="29" t="s">
        <v>1528</v>
      </c>
      <c r="W1126" s="57"/>
      <c r="X1126" s="57"/>
      <c r="Y1126" s="57"/>
    </row>
    <row r="1127" spans="1:25" s="26" customFormat="1" ht="15" customHeight="1" x14ac:dyDescent="0.2">
      <c r="A1127" s="38">
        <v>41520.430266203701</v>
      </c>
      <c r="B1127" s="29" t="s">
        <v>38</v>
      </c>
      <c r="C1127" s="29" t="s">
        <v>328</v>
      </c>
      <c r="D1127" s="30">
        <v>41487</v>
      </c>
      <c r="E1127" s="31" t="s">
        <v>1529</v>
      </c>
      <c r="F1127" s="29" t="s">
        <v>1530</v>
      </c>
      <c r="G1127" s="29" t="s">
        <v>26</v>
      </c>
      <c r="H1127" s="29" t="s">
        <v>1531</v>
      </c>
      <c r="I1127" s="29"/>
      <c r="J1127" s="116">
        <v>1</v>
      </c>
      <c r="K1127" s="116">
        <v>7</v>
      </c>
      <c r="L1127" s="139">
        <v>35</v>
      </c>
      <c r="M1127" s="140" t="s">
        <v>22</v>
      </c>
      <c r="N1127" s="141"/>
      <c r="O1127" s="141"/>
      <c r="P1127" s="141"/>
      <c r="Q1127" s="141"/>
      <c r="R1127" s="141"/>
      <c r="S1127" s="141"/>
      <c r="T1127" s="141"/>
      <c r="U1127" s="141"/>
      <c r="V1127" s="29"/>
      <c r="W1127" s="57"/>
      <c r="X1127" s="57"/>
      <c r="Y1127" s="57"/>
    </row>
    <row r="1128" spans="1:25" s="26" customFormat="1" ht="15" customHeight="1" x14ac:dyDescent="0.2">
      <c r="A1128" s="38">
        <v>41520.431064814817</v>
      </c>
      <c r="B1128" s="29" t="s">
        <v>38</v>
      </c>
      <c r="C1128" s="29" t="s">
        <v>328</v>
      </c>
      <c r="D1128" s="30">
        <v>41487</v>
      </c>
      <c r="E1128" s="31" t="s">
        <v>1532</v>
      </c>
      <c r="F1128" s="29" t="s">
        <v>1533</v>
      </c>
      <c r="G1128" s="29" t="s">
        <v>26</v>
      </c>
      <c r="H1128" s="29"/>
      <c r="I1128" s="29"/>
      <c r="J1128" s="116">
        <v>1</v>
      </c>
      <c r="K1128" s="116">
        <v>0</v>
      </c>
      <c r="L1128" s="139"/>
      <c r="M1128" s="140" t="s">
        <v>22</v>
      </c>
      <c r="N1128" s="141"/>
      <c r="O1128" s="141"/>
      <c r="P1128" s="141"/>
      <c r="Q1128" s="141"/>
      <c r="R1128" s="141"/>
      <c r="S1128" s="141"/>
      <c r="T1128" s="141"/>
      <c r="U1128" s="141"/>
      <c r="V1128" s="29" t="s">
        <v>1528</v>
      </c>
      <c r="W1128" s="57"/>
      <c r="X1128" s="57"/>
      <c r="Y1128" s="57"/>
    </row>
    <row r="1129" spans="1:25" s="26" customFormat="1" ht="15" customHeight="1" x14ac:dyDescent="0.2">
      <c r="A1129" s="38">
        <v>41520.431805555556</v>
      </c>
      <c r="B1129" s="29" t="s">
        <v>38</v>
      </c>
      <c r="C1129" s="29" t="s">
        <v>328</v>
      </c>
      <c r="D1129" s="30">
        <v>41487</v>
      </c>
      <c r="E1129" s="31" t="s">
        <v>1532</v>
      </c>
      <c r="F1129" s="29" t="s">
        <v>1533</v>
      </c>
      <c r="G1129" s="29" t="s">
        <v>26</v>
      </c>
      <c r="H1129" s="29" t="s">
        <v>1534</v>
      </c>
      <c r="I1129" s="29"/>
      <c r="J1129" s="116">
        <v>1</v>
      </c>
      <c r="K1129" s="116">
        <v>0</v>
      </c>
      <c r="L1129" s="139"/>
      <c r="M1129" s="140" t="s">
        <v>22</v>
      </c>
      <c r="N1129" s="141"/>
      <c r="O1129" s="141"/>
      <c r="P1129" s="141"/>
      <c r="Q1129" s="141"/>
      <c r="R1129" s="141"/>
      <c r="S1129" s="141"/>
      <c r="T1129" s="141"/>
      <c r="U1129" s="141"/>
      <c r="V1129" s="29" t="s">
        <v>1528</v>
      </c>
      <c r="W1129" s="57"/>
      <c r="X1129" s="57"/>
      <c r="Y1129" s="57"/>
    </row>
    <row r="1130" spans="1:25" s="26" customFormat="1" ht="15" customHeight="1" x14ac:dyDescent="0.2">
      <c r="A1130" s="38">
        <v>41520.432893518519</v>
      </c>
      <c r="B1130" s="29" t="s">
        <v>38</v>
      </c>
      <c r="C1130" s="29" t="s">
        <v>328</v>
      </c>
      <c r="D1130" s="30">
        <v>41487</v>
      </c>
      <c r="E1130" s="31" t="s">
        <v>1535</v>
      </c>
      <c r="F1130" s="29" t="s">
        <v>1536</v>
      </c>
      <c r="G1130" s="29" t="s">
        <v>26</v>
      </c>
      <c r="H1130" s="29" t="s">
        <v>1537</v>
      </c>
      <c r="I1130" s="29"/>
      <c r="J1130" s="116">
        <v>1</v>
      </c>
      <c r="K1130" s="116">
        <v>12</v>
      </c>
      <c r="L1130" s="139">
        <v>15</v>
      </c>
      <c r="M1130" s="140" t="s">
        <v>22</v>
      </c>
      <c r="N1130" s="141"/>
      <c r="O1130" s="141"/>
      <c r="P1130" s="141"/>
      <c r="Q1130" s="141"/>
      <c r="R1130" s="141"/>
      <c r="S1130" s="141"/>
      <c r="T1130" s="141"/>
      <c r="U1130" s="141"/>
      <c r="V1130" s="29"/>
      <c r="W1130" s="57"/>
      <c r="X1130" s="57"/>
      <c r="Y1130" s="57"/>
    </row>
    <row r="1131" spans="1:25" s="26" customFormat="1" ht="15" customHeight="1" x14ac:dyDescent="0.2">
      <c r="A1131" s="38">
        <v>41520.433634259258</v>
      </c>
      <c r="B1131" s="29" t="s">
        <v>38</v>
      </c>
      <c r="C1131" s="29" t="s">
        <v>328</v>
      </c>
      <c r="D1131" s="30">
        <v>41487</v>
      </c>
      <c r="E1131" s="31" t="s">
        <v>1523</v>
      </c>
      <c r="F1131" s="29" t="s">
        <v>1524</v>
      </c>
      <c r="G1131" s="29" t="s">
        <v>26</v>
      </c>
      <c r="H1131" s="29" t="s">
        <v>1524</v>
      </c>
      <c r="I1131" s="29"/>
      <c r="J1131" s="116">
        <v>1</v>
      </c>
      <c r="K1131" s="116">
        <v>0</v>
      </c>
      <c r="L1131" s="139"/>
      <c r="M1131" s="140" t="s">
        <v>22</v>
      </c>
      <c r="N1131" s="141"/>
      <c r="O1131" s="141"/>
      <c r="P1131" s="141"/>
      <c r="Q1131" s="141"/>
      <c r="R1131" s="141"/>
      <c r="S1131" s="141"/>
      <c r="T1131" s="141"/>
      <c r="U1131" s="141"/>
      <c r="V1131" s="29" t="s">
        <v>1538</v>
      </c>
      <c r="W1131" s="57"/>
      <c r="X1131" s="57"/>
      <c r="Y1131" s="57"/>
    </row>
    <row r="1132" spans="1:25" s="26" customFormat="1" ht="15" customHeight="1" x14ac:dyDescent="0.2">
      <c r="A1132" s="32">
        <v>41543.404918981483</v>
      </c>
      <c r="B1132" s="26" t="s">
        <v>38</v>
      </c>
      <c r="C1132" s="26" t="s">
        <v>328</v>
      </c>
      <c r="D1132" s="30">
        <v>41518</v>
      </c>
      <c r="E1132" s="26" t="s">
        <v>2175</v>
      </c>
      <c r="F1132" s="26" t="s">
        <v>2176</v>
      </c>
      <c r="G1132" s="26" t="s">
        <v>26</v>
      </c>
      <c r="H1132" s="26" t="s">
        <v>2177</v>
      </c>
      <c r="J1132" s="46">
        <v>1</v>
      </c>
      <c r="K1132" s="46">
        <v>1</v>
      </c>
      <c r="L1132" s="136">
        <v>15</v>
      </c>
      <c r="M1132" s="137" t="s">
        <v>22</v>
      </c>
      <c r="N1132" s="138"/>
      <c r="O1132" s="138"/>
      <c r="P1132" s="138"/>
      <c r="Q1132" s="138"/>
      <c r="R1132" s="138"/>
      <c r="S1132" s="138"/>
      <c r="T1132" s="138"/>
      <c r="U1132" s="138"/>
    </row>
    <row r="1133" spans="1:25" s="26" customFormat="1" ht="15" customHeight="1" x14ac:dyDescent="0.2">
      <c r="A1133" s="32">
        <v>41543.405856481484</v>
      </c>
      <c r="B1133" s="26" t="s">
        <v>38</v>
      </c>
      <c r="C1133" s="26" t="s">
        <v>328</v>
      </c>
      <c r="D1133" s="30">
        <v>41518</v>
      </c>
      <c r="E1133" s="26" t="s">
        <v>2178</v>
      </c>
      <c r="F1133" s="26" t="s">
        <v>344</v>
      </c>
      <c r="G1133" s="26" t="s">
        <v>26</v>
      </c>
      <c r="H1133" s="26" t="s">
        <v>2179</v>
      </c>
      <c r="J1133" s="46">
        <v>1</v>
      </c>
      <c r="K1133" s="46">
        <v>17</v>
      </c>
      <c r="L1133" s="136">
        <v>25</v>
      </c>
      <c r="M1133" s="137" t="s">
        <v>22</v>
      </c>
      <c r="N1133" s="138"/>
      <c r="O1133" s="138"/>
      <c r="P1133" s="138"/>
      <c r="Q1133" s="138"/>
      <c r="R1133" s="138"/>
      <c r="S1133" s="138"/>
      <c r="T1133" s="138"/>
      <c r="U1133" s="138"/>
    </row>
    <row r="1134" spans="1:25" s="26" customFormat="1" ht="15" customHeight="1" x14ac:dyDescent="0.2">
      <c r="A1134" s="32">
        <v>41543.406724537039</v>
      </c>
      <c r="B1134" s="26" t="s">
        <v>38</v>
      </c>
      <c r="C1134" s="26" t="s">
        <v>328</v>
      </c>
      <c r="D1134" s="30">
        <v>41518</v>
      </c>
      <c r="E1134" s="26" t="s">
        <v>2180</v>
      </c>
      <c r="F1134" s="26" t="s">
        <v>2181</v>
      </c>
      <c r="G1134" s="26" t="s">
        <v>26</v>
      </c>
      <c r="H1134" s="26" t="s">
        <v>2182</v>
      </c>
      <c r="J1134" s="46">
        <v>1</v>
      </c>
      <c r="K1134" s="46">
        <v>0</v>
      </c>
      <c r="L1134" s="136"/>
      <c r="M1134" s="137" t="s">
        <v>22</v>
      </c>
      <c r="N1134" s="138"/>
      <c r="O1134" s="138"/>
      <c r="P1134" s="138"/>
      <c r="Q1134" s="138"/>
      <c r="R1134" s="138"/>
      <c r="S1134" s="138"/>
      <c r="T1134" s="138"/>
      <c r="U1134" s="138"/>
      <c r="V1134" s="26" t="s">
        <v>2183</v>
      </c>
    </row>
    <row r="1135" spans="1:25" s="26" customFormat="1" ht="15" customHeight="1" x14ac:dyDescent="0.2">
      <c r="A1135" s="32">
        <v>41543.40797453704</v>
      </c>
      <c r="B1135" s="26" t="s">
        <v>38</v>
      </c>
      <c r="C1135" s="26" t="s">
        <v>328</v>
      </c>
      <c r="D1135" s="30">
        <v>41518</v>
      </c>
      <c r="E1135" s="26" t="s">
        <v>2178</v>
      </c>
      <c r="F1135" s="26" t="s">
        <v>1536</v>
      </c>
      <c r="G1135" s="26" t="s">
        <v>26</v>
      </c>
      <c r="H1135" s="26" t="s">
        <v>1692</v>
      </c>
      <c r="J1135" s="46">
        <v>1</v>
      </c>
      <c r="K1135" s="46">
        <v>2</v>
      </c>
      <c r="L1135" s="136">
        <v>4</v>
      </c>
      <c r="M1135" s="137" t="s">
        <v>22</v>
      </c>
      <c r="N1135" s="138"/>
      <c r="O1135" s="138"/>
      <c r="P1135" s="138"/>
      <c r="Q1135" s="138"/>
      <c r="R1135" s="138"/>
      <c r="S1135" s="138"/>
      <c r="T1135" s="138"/>
      <c r="U1135" s="138"/>
    </row>
    <row r="1136" spans="1:25" s="26" customFormat="1" ht="15" customHeight="1" x14ac:dyDescent="0.2">
      <c r="A1136" s="48">
        <v>41611.436307870397</v>
      </c>
      <c r="B1136" s="49" t="s">
        <v>38</v>
      </c>
      <c r="C1136" s="50" t="s">
        <v>328</v>
      </c>
      <c r="D1136" s="67">
        <v>41579</v>
      </c>
      <c r="E1136" s="50" t="s">
        <v>3198</v>
      </c>
      <c r="F1136" s="50" t="s">
        <v>120</v>
      </c>
      <c r="G1136" s="49" t="s">
        <v>42</v>
      </c>
      <c r="H1136" s="50" t="s">
        <v>3199</v>
      </c>
      <c r="I1136" s="34" t="s">
        <v>3001</v>
      </c>
      <c r="J1136" s="117">
        <v>1</v>
      </c>
      <c r="K1136" s="117">
        <v>35</v>
      </c>
      <c r="L1136" s="142">
        <v>100</v>
      </c>
      <c r="M1136" s="143" t="s">
        <v>22</v>
      </c>
      <c r="N1136" s="144"/>
      <c r="O1136" s="144"/>
      <c r="P1136" s="144"/>
      <c r="Q1136" s="144"/>
      <c r="R1136" s="144"/>
      <c r="S1136" s="144"/>
      <c r="T1136" s="144"/>
      <c r="U1136" s="144"/>
      <c r="V1136" s="50"/>
    </row>
    <row r="1137" spans="1:25" s="26" customFormat="1" ht="15" customHeight="1" x14ac:dyDescent="0.2">
      <c r="A1137" s="48">
        <v>41611.4389814815</v>
      </c>
      <c r="B1137" s="49" t="s">
        <v>38</v>
      </c>
      <c r="C1137" s="50" t="s">
        <v>328</v>
      </c>
      <c r="D1137" s="67">
        <v>41579</v>
      </c>
      <c r="E1137" s="50" t="s">
        <v>1535</v>
      </c>
      <c r="F1137" s="50" t="s">
        <v>1536</v>
      </c>
      <c r="G1137" s="49" t="s">
        <v>26</v>
      </c>
      <c r="H1137" s="50" t="s">
        <v>3200</v>
      </c>
      <c r="I1137" s="34" t="s">
        <v>3001</v>
      </c>
      <c r="J1137" s="117">
        <v>1</v>
      </c>
      <c r="K1137" s="117">
        <v>6</v>
      </c>
      <c r="L1137" s="142">
        <v>9</v>
      </c>
      <c r="M1137" s="143" t="s">
        <v>22</v>
      </c>
      <c r="N1137" s="144"/>
      <c r="O1137" s="144"/>
      <c r="P1137" s="144"/>
      <c r="Q1137" s="144"/>
      <c r="R1137" s="144"/>
      <c r="S1137" s="144"/>
      <c r="T1137" s="144"/>
      <c r="U1137" s="144"/>
      <c r="V1137" s="50"/>
    </row>
    <row r="1138" spans="1:25" s="26" customFormat="1" ht="15" customHeight="1" x14ac:dyDescent="0.2">
      <c r="A1138" s="48">
        <v>41611.443356481497</v>
      </c>
      <c r="B1138" s="49" t="s">
        <v>38</v>
      </c>
      <c r="C1138" s="50" t="s">
        <v>328</v>
      </c>
      <c r="D1138" s="67">
        <v>41579</v>
      </c>
      <c r="E1138" s="50" t="s">
        <v>3201</v>
      </c>
      <c r="F1138" s="50" t="s">
        <v>3202</v>
      </c>
      <c r="G1138" s="49" t="s">
        <v>26</v>
      </c>
      <c r="H1138" s="50" t="s">
        <v>3203</v>
      </c>
      <c r="I1138" s="34" t="s">
        <v>3001</v>
      </c>
      <c r="J1138" s="117">
        <v>1</v>
      </c>
      <c r="K1138" s="117">
        <v>8</v>
      </c>
      <c r="L1138" s="142">
        <v>40</v>
      </c>
      <c r="M1138" s="143" t="s">
        <v>22</v>
      </c>
      <c r="N1138" s="144"/>
      <c r="O1138" s="144"/>
      <c r="P1138" s="144"/>
      <c r="Q1138" s="144"/>
      <c r="R1138" s="144"/>
      <c r="S1138" s="144"/>
      <c r="T1138" s="144"/>
      <c r="U1138" s="144"/>
      <c r="V1138" s="50"/>
    </row>
    <row r="1139" spans="1:25" s="26" customFormat="1" ht="15" customHeight="1" x14ac:dyDescent="0.2">
      <c r="A1139" s="55">
        <v>41674.495081018496</v>
      </c>
      <c r="B1139" s="52" t="s">
        <v>38</v>
      </c>
      <c r="C1139" s="52" t="s">
        <v>328</v>
      </c>
      <c r="D1139" s="69">
        <v>41640</v>
      </c>
      <c r="E1139" s="52" t="s">
        <v>4384</v>
      </c>
      <c r="F1139" s="52" t="s">
        <v>4120</v>
      </c>
      <c r="G1139" s="52" t="s">
        <v>26</v>
      </c>
      <c r="H1139" s="52" t="s">
        <v>4385</v>
      </c>
      <c r="I1139" s="52" t="s">
        <v>2986</v>
      </c>
      <c r="J1139" s="95">
        <v>1</v>
      </c>
      <c r="K1139" s="118">
        <v>21</v>
      </c>
      <c r="L1139" s="148">
        <v>90</v>
      </c>
      <c r="M1139" s="146" t="s">
        <v>22</v>
      </c>
      <c r="N1139" s="147"/>
      <c r="O1139" s="147"/>
      <c r="P1139" s="147"/>
      <c r="Q1139" s="147"/>
      <c r="R1139" s="147"/>
      <c r="S1139" s="147"/>
      <c r="T1139" s="147"/>
      <c r="U1139" s="149"/>
      <c r="V1139" s="52"/>
      <c r="W1139" s="52"/>
      <c r="X1139" s="52"/>
      <c r="Y1139" s="52"/>
    </row>
    <row r="1140" spans="1:25" s="26" customFormat="1" ht="15" customHeight="1" x14ac:dyDescent="0.2">
      <c r="A1140" s="32">
        <v>41696.58871527778</v>
      </c>
      <c r="B1140" s="26" t="s">
        <v>38</v>
      </c>
      <c r="C1140" s="26" t="s">
        <v>328</v>
      </c>
      <c r="D1140" s="33">
        <v>41671</v>
      </c>
      <c r="E1140" s="26" t="s">
        <v>602</v>
      </c>
      <c r="F1140" s="26" t="s">
        <v>4700</v>
      </c>
      <c r="G1140" s="26" t="s">
        <v>26</v>
      </c>
      <c r="H1140" s="26" t="s">
        <v>4701</v>
      </c>
      <c r="I1140" s="26" t="s">
        <v>2986</v>
      </c>
      <c r="J1140" s="46">
        <v>1</v>
      </c>
      <c r="K1140" s="46">
        <v>8</v>
      </c>
      <c r="L1140" s="136">
        <v>16</v>
      </c>
      <c r="M1140" s="137" t="s">
        <v>22</v>
      </c>
      <c r="N1140" s="138"/>
      <c r="O1140" s="138"/>
      <c r="P1140" s="138"/>
      <c r="Q1140" s="138"/>
      <c r="R1140" s="138"/>
      <c r="S1140" s="138"/>
      <c r="T1140" s="138"/>
      <c r="U1140" s="138"/>
    </row>
    <row r="1141" spans="1:25" s="26" customFormat="1" ht="15" customHeight="1" x14ac:dyDescent="0.2">
      <c r="A1141" s="32">
        <v>41696.589618055557</v>
      </c>
      <c r="B1141" s="26" t="s">
        <v>38</v>
      </c>
      <c r="C1141" s="26" t="s">
        <v>328</v>
      </c>
      <c r="D1141" s="33">
        <v>41671</v>
      </c>
      <c r="E1141" s="26" t="s">
        <v>2178</v>
      </c>
      <c r="F1141" s="26" t="s">
        <v>4702</v>
      </c>
      <c r="G1141" s="26" t="s">
        <v>26</v>
      </c>
      <c r="H1141" s="26" t="s">
        <v>4703</v>
      </c>
      <c r="I1141" s="26" t="s">
        <v>2986</v>
      </c>
      <c r="J1141" s="46">
        <v>1</v>
      </c>
      <c r="K1141" s="46">
        <v>12</v>
      </c>
      <c r="L1141" s="136">
        <v>15</v>
      </c>
      <c r="M1141" s="137" t="s">
        <v>22</v>
      </c>
      <c r="N1141" s="138"/>
      <c r="O1141" s="138"/>
      <c r="P1141" s="138"/>
      <c r="Q1141" s="138"/>
      <c r="R1141" s="138"/>
      <c r="S1141" s="138"/>
      <c r="T1141" s="138"/>
      <c r="U1141" s="138"/>
    </row>
    <row r="1142" spans="1:25" s="26" customFormat="1" ht="15" customHeight="1" x14ac:dyDescent="0.2">
      <c r="A1142" s="53">
        <v>41763.449328703697</v>
      </c>
      <c r="B1142" s="54" t="s">
        <v>38</v>
      </c>
      <c r="C1142" s="52" t="s">
        <v>328</v>
      </c>
      <c r="D1142" s="87">
        <v>41712</v>
      </c>
      <c r="E1142" s="54" t="s">
        <v>6312</v>
      </c>
      <c r="F1142" s="54" t="s">
        <v>6014</v>
      </c>
      <c r="G1142" s="54" t="s">
        <v>26</v>
      </c>
      <c r="H1142" s="54" t="s">
        <v>6313</v>
      </c>
      <c r="I1142" s="54" t="s">
        <v>6314</v>
      </c>
      <c r="J1142" s="95">
        <v>1</v>
      </c>
      <c r="K1142" s="95">
        <v>200</v>
      </c>
      <c r="L1142" s="145">
        <v>0</v>
      </c>
      <c r="M1142" s="146" t="s">
        <v>44</v>
      </c>
      <c r="N1142" s="147"/>
      <c r="O1142" s="147">
        <v>700</v>
      </c>
      <c r="P1142" s="147"/>
      <c r="Q1142" s="147"/>
      <c r="R1142" s="147"/>
      <c r="S1142" s="147"/>
      <c r="T1142" s="147"/>
      <c r="U1142" s="147"/>
      <c r="V1142" s="54" t="s">
        <v>6315</v>
      </c>
    </row>
    <row r="1143" spans="1:25" s="26" customFormat="1" ht="15" customHeight="1" x14ac:dyDescent="0.2">
      <c r="A1143" s="93">
        <v>41790.716064814798</v>
      </c>
      <c r="B1143" s="89" t="s">
        <v>38</v>
      </c>
      <c r="C1143" s="52" t="s">
        <v>549</v>
      </c>
      <c r="D1143" s="87" t="s">
        <v>6224</v>
      </c>
      <c r="E1143" s="89" t="s">
        <v>7088</v>
      </c>
      <c r="F1143" s="89" t="s">
        <v>7089</v>
      </c>
      <c r="G1143" s="89" t="s">
        <v>26</v>
      </c>
      <c r="H1143" s="89" t="s">
        <v>7090</v>
      </c>
      <c r="I1143" s="89" t="s">
        <v>3265</v>
      </c>
      <c r="J1143" s="95">
        <v>2</v>
      </c>
      <c r="K1143" s="95">
        <v>23</v>
      </c>
      <c r="L1143" s="150">
        <v>1265</v>
      </c>
      <c r="M1143" s="146" t="s">
        <v>44</v>
      </c>
      <c r="N1143" s="149"/>
      <c r="O1143" s="149">
        <v>115</v>
      </c>
      <c r="P1143" s="149"/>
      <c r="Q1143" s="149"/>
      <c r="R1143" s="149"/>
      <c r="S1143" s="149"/>
      <c r="T1143" s="149"/>
      <c r="U1143" s="149">
        <v>725</v>
      </c>
      <c r="V1143" s="89"/>
      <c r="W1143" s="91"/>
      <c r="X1143" s="91"/>
      <c r="Y1143" s="91"/>
    </row>
    <row r="1144" spans="1:25" s="26" customFormat="1" ht="15" customHeight="1" x14ac:dyDescent="0.2">
      <c r="A1144" s="37">
        <v>41487.616192129601</v>
      </c>
      <c r="B1144" s="26" t="s">
        <v>16</v>
      </c>
      <c r="C1144" s="26" t="s">
        <v>512</v>
      </c>
      <c r="D1144" s="33">
        <v>41456</v>
      </c>
      <c r="E1144" s="26" t="s">
        <v>513</v>
      </c>
      <c r="F1144" s="26" t="s">
        <v>514</v>
      </c>
      <c r="G1144" s="26" t="s">
        <v>26</v>
      </c>
      <c r="H1144" s="26" t="s">
        <v>515</v>
      </c>
      <c r="J1144" s="46">
        <v>1</v>
      </c>
      <c r="K1144" s="46">
        <v>12</v>
      </c>
      <c r="L1144" s="136">
        <v>540</v>
      </c>
      <c r="M1144" s="137" t="s">
        <v>44</v>
      </c>
      <c r="N1144" s="138"/>
      <c r="O1144" s="138"/>
      <c r="P1144" s="138"/>
      <c r="Q1144" s="138"/>
      <c r="R1144" s="138">
        <v>785</v>
      </c>
      <c r="S1144" s="138"/>
      <c r="T1144" s="138"/>
      <c r="U1144" s="138">
        <v>36</v>
      </c>
      <c r="V1144" s="26" t="s">
        <v>516</v>
      </c>
      <c r="W1144" s="57"/>
      <c r="X1144" s="57"/>
      <c r="Y1144" s="57"/>
    </row>
    <row r="1145" spans="1:25" s="26" customFormat="1" ht="15" customHeight="1" x14ac:dyDescent="0.2">
      <c r="A1145" s="37">
        <v>41487.617245370398</v>
      </c>
      <c r="B1145" s="26" t="s">
        <v>16</v>
      </c>
      <c r="C1145" s="26" t="s">
        <v>512</v>
      </c>
      <c r="D1145" s="33">
        <v>41456</v>
      </c>
      <c r="E1145" s="26" t="s">
        <v>517</v>
      </c>
      <c r="F1145" s="26" t="s">
        <v>518</v>
      </c>
      <c r="G1145" s="26" t="s">
        <v>26</v>
      </c>
      <c r="H1145" s="26" t="s">
        <v>519</v>
      </c>
      <c r="J1145" s="46">
        <v>1</v>
      </c>
      <c r="K1145" s="46">
        <v>6</v>
      </c>
      <c r="L1145" s="136">
        <v>270</v>
      </c>
      <c r="M1145" s="137" t="s">
        <v>22</v>
      </c>
      <c r="N1145" s="138"/>
      <c r="O1145" s="138"/>
      <c r="P1145" s="138"/>
      <c r="Q1145" s="138"/>
      <c r="R1145" s="138"/>
      <c r="S1145" s="138"/>
      <c r="T1145" s="138"/>
      <c r="U1145" s="138"/>
      <c r="W1145" s="57"/>
      <c r="X1145" s="57"/>
      <c r="Y1145" s="57"/>
    </row>
    <row r="1146" spans="1:25" s="26" customFormat="1" ht="15" customHeight="1" x14ac:dyDescent="0.2">
      <c r="A1146" s="37">
        <v>41487.618101851898</v>
      </c>
      <c r="B1146" s="26" t="s">
        <v>16</v>
      </c>
      <c r="C1146" s="26" t="s">
        <v>512</v>
      </c>
      <c r="D1146" s="33">
        <v>41456</v>
      </c>
      <c r="E1146" s="26" t="s">
        <v>520</v>
      </c>
      <c r="F1146" s="26" t="s">
        <v>521</v>
      </c>
      <c r="G1146" s="26" t="s">
        <v>26</v>
      </c>
      <c r="H1146" s="26" t="s">
        <v>522</v>
      </c>
      <c r="J1146" s="46">
        <v>1</v>
      </c>
      <c r="K1146" s="46">
        <v>0</v>
      </c>
      <c r="L1146" s="136"/>
      <c r="M1146" s="137" t="s">
        <v>22</v>
      </c>
      <c r="N1146" s="138"/>
      <c r="O1146" s="138"/>
      <c r="P1146" s="138"/>
      <c r="Q1146" s="138"/>
      <c r="R1146" s="138"/>
      <c r="S1146" s="138"/>
      <c r="T1146" s="138"/>
      <c r="U1146" s="138"/>
      <c r="W1146" s="57"/>
      <c r="X1146" s="57"/>
      <c r="Y1146" s="57"/>
    </row>
    <row r="1147" spans="1:25" s="26" customFormat="1" ht="15" customHeight="1" x14ac:dyDescent="0.2">
      <c r="A1147" s="37">
        <v>41487.618993055599</v>
      </c>
      <c r="B1147" s="26" t="s">
        <v>16</v>
      </c>
      <c r="C1147" s="26" t="s">
        <v>512</v>
      </c>
      <c r="D1147" s="33">
        <v>41456</v>
      </c>
      <c r="E1147" s="26" t="s">
        <v>523</v>
      </c>
      <c r="F1147" s="26" t="s">
        <v>524</v>
      </c>
      <c r="G1147" s="26" t="s">
        <v>26</v>
      </c>
      <c r="H1147" s="26" t="s">
        <v>525</v>
      </c>
      <c r="J1147" s="46">
        <v>1</v>
      </c>
      <c r="K1147" s="46">
        <v>0</v>
      </c>
      <c r="L1147" s="136"/>
      <c r="M1147" s="137"/>
      <c r="N1147" s="138"/>
      <c r="O1147" s="138"/>
      <c r="P1147" s="138"/>
      <c r="Q1147" s="138"/>
      <c r="R1147" s="138"/>
      <c r="S1147" s="138"/>
      <c r="T1147" s="138"/>
      <c r="U1147" s="138"/>
      <c r="W1147" s="57"/>
      <c r="X1147" s="57"/>
      <c r="Y1147" s="57"/>
    </row>
    <row r="1148" spans="1:25" s="26" customFormat="1" ht="15" customHeight="1" x14ac:dyDescent="0.2">
      <c r="A1148" s="37">
        <v>41487.619560185201</v>
      </c>
      <c r="B1148" s="26" t="s">
        <v>16</v>
      </c>
      <c r="C1148" s="26" t="s">
        <v>512</v>
      </c>
      <c r="D1148" s="33">
        <v>41456</v>
      </c>
      <c r="E1148" s="26" t="s">
        <v>526</v>
      </c>
      <c r="F1148" s="26" t="s">
        <v>527</v>
      </c>
      <c r="G1148" s="26" t="s">
        <v>26</v>
      </c>
      <c r="H1148" s="26" t="s">
        <v>528</v>
      </c>
      <c r="J1148" s="46">
        <v>1</v>
      </c>
      <c r="K1148" s="46">
        <v>0</v>
      </c>
      <c r="L1148" s="136"/>
      <c r="M1148" s="137" t="s">
        <v>22</v>
      </c>
      <c r="N1148" s="138"/>
      <c r="O1148" s="138"/>
      <c r="P1148" s="138"/>
      <c r="Q1148" s="138"/>
      <c r="R1148" s="138"/>
      <c r="S1148" s="138"/>
      <c r="T1148" s="138"/>
      <c r="U1148" s="138"/>
      <c r="W1148" s="57"/>
      <c r="X1148" s="57"/>
      <c r="Y1148" s="57"/>
    </row>
    <row r="1149" spans="1:25" s="26" customFormat="1" ht="15" customHeight="1" x14ac:dyDescent="0.2">
      <c r="A1149" s="37">
        <v>41487.6206481482</v>
      </c>
      <c r="B1149" s="34" t="s">
        <v>16</v>
      </c>
      <c r="C1149" s="26" t="s">
        <v>512</v>
      </c>
      <c r="D1149" s="33">
        <v>41456</v>
      </c>
      <c r="E1149" s="26" t="s">
        <v>529</v>
      </c>
      <c r="F1149" s="26" t="s">
        <v>530</v>
      </c>
      <c r="G1149" s="26" t="s">
        <v>26</v>
      </c>
      <c r="H1149" s="26" t="s">
        <v>531</v>
      </c>
      <c r="J1149" s="115">
        <v>1</v>
      </c>
      <c r="K1149" s="115">
        <v>20</v>
      </c>
      <c r="L1149" s="136"/>
      <c r="M1149" s="137" t="s">
        <v>22</v>
      </c>
      <c r="N1149" s="138"/>
      <c r="O1149" s="138"/>
      <c r="P1149" s="138"/>
      <c r="Q1149" s="138"/>
      <c r="R1149" s="138"/>
      <c r="S1149" s="138"/>
      <c r="T1149" s="138"/>
      <c r="U1149" s="138"/>
      <c r="W1149" s="57"/>
      <c r="X1149" s="57"/>
      <c r="Y1149" s="57"/>
    </row>
    <row r="1150" spans="1:25" s="26" customFormat="1" ht="15" customHeight="1" x14ac:dyDescent="0.2">
      <c r="A1150" s="37">
        <v>41488.646493055603</v>
      </c>
      <c r="B1150" s="26" t="s">
        <v>16</v>
      </c>
      <c r="C1150" s="26" t="s">
        <v>512</v>
      </c>
      <c r="D1150" s="33">
        <v>41456</v>
      </c>
      <c r="E1150" s="26" t="s">
        <v>656</v>
      </c>
      <c r="F1150" s="26" t="s">
        <v>657</v>
      </c>
      <c r="G1150" s="26" t="s">
        <v>26</v>
      </c>
      <c r="H1150" s="26" t="s">
        <v>658</v>
      </c>
      <c r="J1150" s="46">
        <v>1</v>
      </c>
      <c r="K1150" s="46">
        <v>20</v>
      </c>
      <c r="L1150" s="136"/>
      <c r="M1150" s="137" t="s">
        <v>22</v>
      </c>
      <c r="N1150" s="138"/>
      <c r="O1150" s="138"/>
      <c r="P1150" s="138"/>
      <c r="Q1150" s="138"/>
      <c r="R1150" s="138"/>
      <c r="S1150" s="138"/>
      <c r="T1150" s="138"/>
      <c r="U1150" s="138"/>
      <c r="W1150" s="57"/>
      <c r="X1150" s="57"/>
      <c r="Y1150" s="57"/>
    </row>
    <row r="1151" spans="1:25" s="26" customFormat="1" ht="15" customHeight="1" x14ac:dyDescent="0.2">
      <c r="A1151" s="37">
        <v>41488.6472685185</v>
      </c>
      <c r="B1151" s="26" t="s">
        <v>16</v>
      </c>
      <c r="C1151" s="26" t="s">
        <v>512</v>
      </c>
      <c r="D1151" s="33">
        <v>41456</v>
      </c>
      <c r="E1151" s="26" t="s">
        <v>659</v>
      </c>
      <c r="F1151" s="26" t="s">
        <v>660</v>
      </c>
      <c r="G1151" s="26" t="s">
        <v>26</v>
      </c>
      <c r="H1151" s="26" t="s">
        <v>661</v>
      </c>
      <c r="J1151" s="46">
        <v>1</v>
      </c>
      <c r="K1151" s="46">
        <v>2</v>
      </c>
      <c r="L1151" s="136"/>
      <c r="M1151" s="137" t="s">
        <v>22</v>
      </c>
      <c r="N1151" s="138"/>
      <c r="O1151" s="138"/>
      <c r="P1151" s="138"/>
      <c r="Q1151" s="138"/>
      <c r="R1151" s="138"/>
      <c r="S1151" s="138"/>
      <c r="T1151" s="138"/>
      <c r="U1151" s="138"/>
      <c r="W1151" s="57"/>
      <c r="X1151" s="57"/>
      <c r="Y1151" s="57"/>
    </row>
    <row r="1152" spans="1:25" s="26" customFormat="1" ht="15" customHeight="1" x14ac:dyDescent="0.2">
      <c r="A1152" s="37">
        <v>41488.6480787037</v>
      </c>
      <c r="B1152" s="26" t="s">
        <v>16</v>
      </c>
      <c r="C1152" s="26" t="s">
        <v>512</v>
      </c>
      <c r="D1152" s="33">
        <v>41456</v>
      </c>
      <c r="E1152" s="26" t="s">
        <v>662</v>
      </c>
      <c r="F1152" s="26" t="s">
        <v>663</v>
      </c>
      <c r="G1152" s="26" t="s">
        <v>42</v>
      </c>
      <c r="H1152" s="26" t="s">
        <v>664</v>
      </c>
      <c r="J1152" s="115">
        <v>1</v>
      </c>
      <c r="K1152" s="115">
        <v>28</v>
      </c>
      <c r="L1152" s="136">
        <v>42</v>
      </c>
      <c r="M1152" s="137" t="s">
        <v>22</v>
      </c>
      <c r="N1152" s="138"/>
      <c r="O1152" s="138"/>
      <c r="P1152" s="138"/>
      <c r="Q1152" s="138"/>
      <c r="R1152" s="138"/>
      <c r="S1152" s="138"/>
      <c r="T1152" s="138"/>
      <c r="U1152" s="138"/>
      <c r="W1152" s="57"/>
      <c r="X1152" s="57"/>
      <c r="Y1152" s="57"/>
    </row>
    <row r="1153" spans="1:25" s="26" customFormat="1" ht="15" customHeight="1" x14ac:dyDescent="0.2">
      <c r="A1153" s="37">
        <v>41488.654062499998</v>
      </c>
      <c r="B1153" s="26" t="s">
        <v>16</v>
      </c>
      <c r="C1153" s="26" t="s">
        <v>512</v>
      </c>
      <c r="D1153" s="33">
        <v>41456</v>
      </c>
      <c r="E1153" s="26" t="s">
        <v>665</v>
      </c>
      <c r="F1153" s="26" t="s">
        <v>666</v>
      </c>
      <c r="G1153" s="26" t="s">
        <v>42</v>
      </c>
      <c r="H1153" s="26" t="s">
        <v>667</v>
      </c>
      <c r="J1153" s="115">
        <v>1</v>
      </c>
      <c r="K1153" s="115">
        <v>26</v>
      </c>
      <c r="L1153" s="136">
        <v>42</v>
      </c>
      <c r="M1153" s="137" t="s">
        <v>22</v>
      </c>
      <c r="N1153" s="138"/>
      <c r="O1153" s="138"/>
      <c r="P1153" s="138"/>
      <c r="Q1153" s="138"/>
      <c r="R1153" s="138"/>
      <c r="S1153" s="138"/>
      <c r="T1153" s="138"/>
      <c r="U1153" s="138"/>
      <c r="W1153" s="57"/>
      <c r="X1153" s="57"/>
      <c r="Y1153" s="57"/>
    </row>
    <row r="1154" spans="1:25" s="26" customFormat="1" ht="15" customHeight="1" x14ac:dyDescent="0.2">
      <c r="A1154" s="37">
        <v>41488.655520833301</v>
      </c>
      <c r="B1154" s="26" t="s">
        <v>16</v>
      </c>
      <c r="C1154" s="26" t="s">
        <v>512</v>
      </c>
      <c r="D1154" s="33">
        <v>41456</v>
      </c>
      <c r="E1154" s="26" t="s">
        <v>659</v>
      </c>
      <c r="F1154" s="26" t="s">
        <v>660</v>
      </c>
      <c r="G1154" s="26" t="s">
        <v>26</v>
      </c>
      <c r="H1154" s="26" t="s">
        <v>668</v>
      </c>
      <c r="J1154" s="46">
        <v>1</v>
      </c>
      <c r="K1154" s="46">
        <v>22</v>
      </c>
      <c r="L1154" s="136"/>
      <c r="M1154" s="137" t="s">
        <v>22</v>
      </c>
      <c r="N1154" s="138"/>
      <c r="O1154" s="138"/>
      <c r="P1154" s="138"/>
      <c r="Q1154" s="138"/>
      <c r="R1154" s="138"/>
      <c r="S1154" s="138"/>
      <c r="T1154" s="138"/>
      <c r="U1154" s="138"/>
      <c r="W1154" s="57"/>
      <c r="X1154" s="57"/>
      <c r="Y1154" s="57"/>
    </row>
    <row r="1155" spans="1:25" s="26" customFormat="1" ht="15" customHeight="1" x14ac:dyDescent="0.2">
      <c r="A1155" s="37">
        <v>41488.6562037037</v>
      </c>
      <c r="B1155" s="26" t="s">
        <v>16</v>
      </c>
      <c r="C1155" s="26" t="s">
        <v>512</v>
      </c>
      <c r="D1155" s="33">
        <v>41456</v>
      </c>
      <c r="E1155" s="26" t="s">
        <v>669</v>
      </c>
      <c r="F1155" s="26" t="s">
        <v>660</v>
      </c>
      <c r="G1155" s="26" t="s">
        <v>26</v>
      </c>
      <c r="H1155" s="26" t="s">
        <v>658</v>
      </c>
      <c r="J1155" s="46">
        <v>1</v>
      </c>
      <c r="K1155" s="46">
        <v>18</v>
      </c>
      <c r="L1155" s="136"/>
      <c r="M1155" s="137" t="s">
        <v>22</v>
      </c>
      <c r="N1155" s="138"/>
      <c r="O1155" s="138"/>
      <c r="P1155" s="138"/>
      <c r="Q1155" s="138"/>
      <c r="R1155" s="138"/>
      <c r="S1155" s="138"/>
      <c r="T1155" s="138"/>
      <c r="U1155" s="138"/>
      <c r="W1155" s="57"/>
      <c r="X1155" s="57"/>
      <c r="Y1155" s="57"/>
    </row>
    <row r="1156" spans="1:25" s="26" customFormat="1" ht="15" customHeight="1" x14ac:dyDescent="0.2">
      <c r="A1156" s="32">
        <v>41556.498391203706</v>
      </c>
      <c r="B1156" s="26" t="s">
        <v>16</v>
      </c>
      <c r="C1156" s="26" t="s">
        <v>512</v>
      </c>
      <c r="D1156" s="30">
        <v>41518</v>
      </c>
      <c r="E1156" s="26" t="s">
        <v>2634</v>
      </c>
      <c r="F1156" s="26" t="s">
        <v>2635</v>
      </c>
      <c r="G1156" s="26" t="s">
        <v>26</v>
      </c>
      <c r="H1156" s="26" t="s">
        <v>2636</v>
      </c>
      <c r="J1156" s="46">
        <v>1</v>
      </c>
      <c r="K1156" s="46">
        <v>14</v>
      </c>
      <c r="L1156" s="136"/>
      <c r="M1156" s="137" t="s">
        <v>22</v>
      </c>
      <c r="N1156" s="138"/>
      <c r="O1156" s="138"/>
      <c r="P1156" s="138"/>
      <c r="Q1156" s="138"/>
      <c r="R1156" s="138"/>
      <c r="S1156" s="138"/>
      <c r="T1156" s="138"/>
      <c r="U1156" s="138"/>
    </row>
    <row r="1157" spans="1:25" s="26" customFormat="1" ht="15" customHeight="1" x14ac:dyDescent="0.2">
      <c r="A1157" s="32">
        <v>41556.499189814815</v>
      </c>
      <c r="B1157" s="26" t="s">
        <v>16</v>
      </c>
      <c r="C1157" s="26" t="s">
        <v>512</v>
      </c>
      <c r="D1157" s="30">
        <v>41518</v>
      </c>
      <c r="E1157" s="26" t="s">
        <v>1663</v>
      </c>
      <c r="F1157" s="26" t="s">
        <v>2637</v>
      </c>
      <c r="G1157" s="26" t="s">
        <v>26</v>
      </c>
      <c r="H1157" s="26" t="s">
        <v>2638</v>
      </c>
      <c r="J1157" s="46">
        <v>1</v>
      </c>
      <c r="K1157" s="46">
        <v>18</v>
      </c>
      <c r="L1157" s="136"/>
      <c r="M1157" s="137" t="s">
        <v>22</v>
      </c>
      <c r="N1157" s="138"/>
      <c r="O1157" s="138"/>
      <c r="P1157" s="138"/>
      <c r="Q1157" s="138"/>
      <c r="R1157" s="138"/>
      <c r="S1157" s="138"/>
      <c r="T1157" s="138"/>
      <c r="U1157" s="138"/>
    </row>
    <row r="1158" spans="1:25" s="26" customFormat="1" ht="15" customHeight="1" x14ac:dyDescent="0.2">
      <c r="A1158" s="32">
        <v>41556.505254629628</v>
      </c>
      <c r="B1158" s="26" t="s">
        <v>16</v>
      </c>
      <c r="C1158" s="26" t="s">
        <v>512</v>
      </c>
      <c r="D1158" s="80">
        <v>41487</v>
      </c>
      <c r="E1158" s="26" t="s">
        <v>889</v>
      </c>
      <c r="F1158" s="26" t="s">
        <v>2639</v>
      </c>
      <c r="G1158" s="26" t="s">
        <v>26</v>
      </c>
      <c r="H1158" s="26" t="s">
        <v>2640</v>
      </c>
      <c r="J1158" s="46">
        <v>1</v>
      </c>
      <c r="K1158" s="46">
        <v>15</v>
      </c>
      <c r="L1158" s="136"/>
      <c r="M1158" s="137" t="s">
        <v>22</v>
      </c>
      <c r="N1158" s="138"/>
      <c r="O1158" s="138"/>
      <c r="P1158" s="138"/>
      <c r="Q1158" s="138"/>
      <c r="R1158" s="138"/>
      <c r="S1158" s="138"/>
      <c r="T1158" s="138"/>
      <c r="U1158" s="138"/>
    </row>
    <row r="1159" spans="1:25" s="26" customFormat="1" ht="15" customHeight="1" x14ac:dyDescent="0.2">
      <c r="A1159" s="32">
        <v>41556.506585648145</v>
      </c>
      <c r="B1159" s="26" t="s">
        <v>16</v>
      </c>
      <c r="C1159" s="26" t="s">
        <v>512</v>
      </c>
      <c r="D1159" s="30">
        <v>41487</v>
      </c>
      <c r="E1159" s="26" t="s">
        <v>2641</v>
      </c>
      <c r="F1159" s="26" t="s">
        <v>2642</v>
      </c>
      <c r="G1159" s="26" t="s">
        <v>26</v>
      </c>
      <c r="H1159" s="26" t="s">
        <v>2643</v>
      </c>
      <c r="J1159" s="46">
        <v>1</v>
      </c>
      <c r="K1159" s="46">
        <v>38</v>
      </c>
      <c r="L1159" s="136">
        <v>101</v>
      </c>
      <c r="M1159" s="137" t="s">
        <v>22</v>
      </c>
      <c r="N1159" s="138"/>
      <c r="O1159" s="138"/>
      <c r="P1159" s="138"/>
      <c r="Q1159" s="138"/>
      <c r="R1159" s="138"/>
      <c r="S1159" s="138"/>
      <c r="T1159" s="138"/>
      <c r="U1159" s="138">
        <v>40</v>
      </c>
      <c r="V1159" s="26" t="s">
        <v>2644</v>
      </c>
    </row>
    <row r="1160" spans="1:25" s="26" customFormat="1" ht="15" customHeight="1" x14ac:dyDescent="0.2">
      <c r="A1160" s="32">
        <v>41556.507349537038</v>
      </c>
      <c r="B1160" s="26" t="s">
        <v>16</v>
      </c>
      <c r="C1160" s="26" t="s">
        <v>512</v>
      </c>
      <c r="D1160" s="30">
        <v>41487</v>
      </c>
      <c r="E1160" s="26" t="s">
        <v>1773</v>
      </c>
      <c r="F1160" s="26" t="s">
        <v>2645</v>
      </c>
      <c r="G1160" s="26" t="s">
        <v>26</v>
      </c>
      <c r="H1160" s="26" t="s">
        <v>2646</v>
      </c>
      <c r="J1160" s="46">
        <v>1</v>
      </c>
      <c r="K1160" s="46">
        <v>4</v>
      </c>
      <c r="L1160" s="136"/>
      <c r="M1160" s="137" t="s">
        <v>22</v>
      </c>
      <c r="N1160" s="138"/>
      <c r="O1160" s="138"/>
      <c r="P1160" s="138"/>
      <c r="Q1160" s="138"/>
      <c r="R1160" s="138"/>
      <c r="S1160" s="138"/>
      <c r="T1160" s="138"/>
      <c r="U1160" s="138"/>
    </row>
    <row r="1161" spans="1:25" s="26" customFormat="1" ht="15" customHeight="1" x14ac:dyDescent="0.2">
      <c r="A1161" s="32">
        <v>41556.50818287037</v>
      </c>
      <c r="B1161" s="26" t="s">
        <v>16</v>
      </c>
      <c r="C1161" s="26" t="s">
        <v>512</v>
      </c>
      <c r="D1161" s="30">
        <v>41487</v>
      </c>
      <c r="E1161" s="26" t="s">
        <v>2647</v>
      </c>
      <c r="F1161" s="26" t="s">
        <v>2648</v>
      </c>
      <c r="G1161" s="26" t="s">
        <v>26</v>
      </c>
      <c r="J1161" s="115">
        <v>1</v>
      </c>
      <c r="K1161" s="115">
        <v>12</v>
      </c>
      <c r="L1161" s="136">
        <v>15</v>
      </c>
      <c r="M1161" s="137" t="s">
        <v>22</v>
      </c>
      <c r="N1161" s="138"/>
      <c r="O1161" s="138"/>
      <c r="P1161" s="138"/>
      <c r="Q1161" s="138"/>
      <c r="R1161" s="138"/>
      <c r="S1161" s="138"/>
      <c r="T1161" s="138"/>
      <c r="U1161" s="138"/>
    </row>
    <row r="1162" spans="1:25" s="26" customFormat="1" ht="15" customHeight="1" x14ac:dyDescent="0.2">
      <c r="A1162" s="48">
        <v>41616.584988425901</v>
      </c>
      <c r="B1162" s="49" t="s">
        <v>16</v>
      </c>
      <c r="C1162" s="50" t="s">
        <v>512</v>
      </c>
      <c r="D1162" s="67">
        <v>41579</v>
      </c>
      <c r="E1162" s="50" t="s">
        <v>3576</v>
      </c>
      <c r="F1162" s="50" t="s">
        <v>3577</v>
      </c>
      <c r="G1162" s="49" t="s">
        <v>20</v>
      </c>
      <c r="H1162" s="50" t="s">
        <v>3578</v>
      </c>
      <c r="I1162" s="50" t="s">
        <v>3579</v>
      </c>
      <c r="J1162" s="117">
        <v>1</v>
      </c>
      <c r="K1162" s="117">
        <v>100</v>
      </c>
      <c r="L1162" s="142">
        <v>300</v>
      </c>
      <c r="M1162" s="143" t="s">
        <v>22</v>
      </c>
      <c r="N1162" s="144"/>
      <c r="O1162" s="144"/>
      <c r="P1162" s="144"/>
      <c r="Q1162" s="144"/>
      <c r="R1162" s="144"/>
      <c r="S1162" s="144"/>
      <c r="T1162" s="144"/>
      <c r="U1162" s="144"/>
      <c r="V1162" s="50"/>
    </row>
    <row r="1163" spans="1:25" s="26" customFormat="1" ht="15" customHeight="1" x14ac:dyDescent="0.2">
      <c r="A1163" s="48">
        <v>41616.586111111101</v>
      </c>
      <c r="B1163" s="49" t="s">
        <v>16</v>
      </c>
      <c r="C1163" s="50" t="s">
        <v>512</v>
      </c>
      <c r="D1163" s="67">
        <v>41579</v>
      </c>
      <c r="E1163" s="50" t="s">
        <v>3580</v>
      </c>
      <c r="F1163" s="50" t="s">
        <v>3577</v>
      </c>
      <c r="G1163" s="49" t="s">
        <v>20</v>
      </c>
      <c r="H1163" s="50" t="s">
        <v>3578</v>
      </c>
      <c r="I1163" s="50" t="s">
        <v>3579</v>
      </c>
      <c r="J1163" s="117">
        <v>1</v>
      </c>
      <c r="K1163" s="117">
        <v>91</v>
      </c>
      <c r="L1163" s="142">
        <v>273</v>
      </c>
      <c r="M1163" s="143" t="s">
        <v>22</v>
      </c>
      <c r="N1163" s="144"/>
      <c r="O1163" s="144"/>
      <c r="P1163" s="144"/>
      <c r="Q1163" s="144"/>
      <c r="R1163" s="144"/>
      <c r="S1163" s="144"/>
      <c r="T1163" s="144"/>
      <c r="U1163" s="144"/>
      <c r="V1163" s="50"/>
    </row>
    <row r="1164" spans="1:25" s="26" customFormat="1" ht="15" customHeight="1" x14ac:dyDescent="0.2">
      <c r="A1164" s="48">
        <v>41616.586944444403</v>
      </c>
      <c r="B1164" s="49" t="s">
        <v>16</v>
      </c>
      <c r="C1164" s="50" t="s">
        <v>512</v>
      </c>
      <c r="D1164" s="67">
        <v>41579</v>
      </c>
      <c r="E1164" s="50" t="s">
        <v>3581</v>
      </c>
      <c r="F1164" s="50" t="s">
        <v>3577</v>
      </c>
      <c r="G1164" s="49" t="s">
        <v>20</v>
      </c>
      <c r="H1164" s="50" t="s">
        <v>3578</v>
      </c>
      <c r="I1164" s="50" t="s">
        <v>3579</v>
      </c>
      <c r="J1164" s="117">
        <v>1</v>
      </c>
      <c r="K1164" s="117">
        <v>90</v>
      </c>
      <c r="L1164" s="142">
        <v>180</v>
      </c>
      <c r="M1164" s="143" t="s">
        <v>22</v>
      </c>
      <c r="N1164" s="144"/>
      <c r="O1164" s="144"/>
      <c r="P1164" s="144"/>
      <c r="Q1164" s="144"/>
      <c r="R1164" s="144"/>
      <c r="S1164" s="144"/>
      <c r="T1164" s="144"/>
      <c r="U1164" s="144"/>
      <c r="V1164" s="50"/>
    </row>
    <row r="1165" spans="1:25" s="26" customFormat="1" ht="15" customHeight="1" x14ac:dyDescent="0.2">
      <c r="A1165" s="48">
        <v>41616.589212963001</v>
      </c>
      <c r="B1165" s="49" t="s">
        <v>16</v>
      </c>
      <c r="C1165" s="50" t="s">
        <v>512</v>
      </c>
      <c r="D1165" s="67">
        <v>41579</v>
      </c>
      <c r="E1165" s="50" t="s">
        <v>3582</v>
      </c>
      <c r="F1165" s="50" t="s">
        <v>3583</v>
      </c>
      <c r="G1165" s="49" t="s">
        <v>20</v>
      </c>
      <c r="H1165" s="50" t="s">
        <v>3584</v>
      </c>
      <c r="I1165" s="50" t="s">
        <v>2986</v>
      </c>
      <c r="J1165" s="117">
        <v>1</v>
      </c>
      <c r="K1165" s="117">
        <v>6</v>
      </c>
      <c r="L1165" s="142">
        <v>18</v>
      </c>
      <c r="M1165" s="143" t="s">
        <v>22</v>
      </c>
      <c r="N1165" s="144"/>
      <c r="O1165" s="144"/>
      <c r="P1165" s="144"/>
      <c r="Q1165" s="144"/>
      <c r="R1165" s="144"/>
      <c r="S1165" s="144"/>
      <c r="T1165" s="144"/>
      <c r="U1165" s="144"/>
      <c r="V1165" s="50"/>
    </row>
    <row r="1166" spans="1:25" s="26" customFormat="1" ht="15" customHeight="1" x14ac:dyDescent="0.2">
      <c r="A1166" s="48">
        <v>41616.592280092598</v>
      </c>
      <c r="B1166" s="49" t="s">
        <v>16</v>
      </c>
      <c r="C1166" s="50" t="s">
        <v>512</v>
      </c>
      <c r="D1166" s="67">
        <v>41579</v>
      </c>
      <c r="E1166" s="50" t="s">
        <v>3585</v>
      </c>
      <c r="F1166" s="50" t="s">
        <v>3586</v>
      </c>
      <c r="G1166" s="49" t="s">
        <v>26</v>
      </c>
      <c r="H1166" s="50" t="s">
        <v>3587</v>
      </c>
      <c r="I1166" s="50" t="s">
        <v>3588</v>
      </c>
      <c r="J1166" s="117">
        <v>1</v>
      </c>
      <c r="K1166" s="117">
        <v>120</v>
      </c>
      <c r="L1166" s="142"/>
      <c r="M1166" s="143" t="s">
        <v>22</v>
      </c>
      <c r="N1166" s="144"/>
      <c r="O1166" s="144"/>
      <c r="P1166" s="144"/>
      <c r="Q1166" s="144"/>
      <c r="R1166" s="144"/>
      <c r="S1166" s="144"/>
      <c r="T1166" s="144"/>
      <c r="U1166" s="144"/>
      <c r="V1166" s="50" t="s">
        <v>3589</v>
      </c>
    </row>
    <row r="1167" spans="1:25" s="26" customFormat="1" ht="15" customHeight="1" x14ac:dyDescent="0.2">
      <c r="A1167" s="48">
        <v>41616.593159722201</v>
      </c>
      <c r="B1167" s="49" t="s">
        <v>16</v>
      </c>
      <c r="C1167" s="50" t="s">
        <v>512</v>
      </c>
      <c r="D1167" s="67">
        <v>41579</v>
      </c>
      <c r="E1167" s="50" t="s">
        <v>2810</v>
      </c>
      <c r="F1167" s="50" t="s">
        <v>3590</v>
      </c>
      <c r="G1167" s="49" t="s">
        <v>351</v>
      </c>
      <c r="H1167" s="50" t="s">
        <v>3591</v>
      </c>
      <c r="I1167" s="50" t="s">
        <v>2986</v>
      </c>
      <c r="J1167" s="117">
        <v>1</v>
      </c>
      <c r="K1167" s="117">
        <v>260</v>
      </c>
      <c r="L1167" s="142"/>
      <c r="M1167" s="143" t="s">
        <v>22</v>
      </c>
      <c r="N1167" s="144"/>
      <c r="O1167" s="144"/>
      <c r="P1167" s="144"/>
      <c r="Q1167" s="144"/>
      <c r="R1167" s="144"/>
      <c r="S1167" s="144"/>
      <c r="T1167" s="144"/>
      <c r="U1167" s="144"/>
      <c r="V1167" s="50"/>
    </row>
    <row r="1168" spans="1:25" s="26" customFormat="1" ht="15" customHeight="1" x14ac:dyDescent="0.2">
      <c r="A1168" s="48">
        <v>41616.606689814798</v>
      </c>
      <c r="B1168" s="49" t="s">
        <v>16</v>
      </c>
      <c r="C1168" s="50" t="s">
        <v>512</v>
      </c>
      <c r="D1168" s="67">
        <v>41579</v>
      </c>
      <c r="E1168" s="50" t="s">
        <v>2810</v>
      </c>
      <c r="F1168" s="50" t="s">
        <v>3592</v>
      </c>
      <c r="G1168" s="49" t="s">
        <v>156</v>
      </c>
      <c r="H1168" s="50" t="s">
        <v>3593</v>
      </c>
      <c r="I1168" s="50" t="s">
        <v>3594</v>
      </c>
      <c r="J1168" s="117">
        <v>1</v>
      </c>
      <c r="K1168" s="117">
        <v>254</v>
      </c>
      <c r="L1168" s="142">
        <v>329</v>
      </c>
      <c r="M1168" s="143" t="s">
        <v>44</v>
      </c>
      <c r="N1168" s="144"/>
      <c r="O1168" s="144">
        <v>672</v>
      </c>
      <c r="P1168" s="144"/>
      <c r="Q1168" s="144"/>
      <c r="R1168" s="144"/>
      <c r="S1168" s="144"/>
      <c r="T1168" s="144">
        <v>175</v>
      </c>
      <c r="U1168" s="144">
        <v>50</v>
      </c>
      <c r="V1168" s="50" t="s">
        <v>3595</v>
      </c>
    </row>
    <row r="1169" spans="1:25" s="26" customFormat="1" ht="15" customHeight="1" x14ac:dyDescent="0.2">
      <c r="A1169" s="55">
        <v>41668.546909722201</v>
      </c>
      <c r="B1169" s="52" t="s">
        <v>16</v>
      </c>
      <c r="C1169" s="52" t="s">
        <v>512</v>
      </c>
      <c r="D1169" s="69">
        <v>41640</v>
      </c>
      <c r="E1169" s="52" t="s">
        <v>2718</v>
      </c>
      <c r="F1169" s="52" t="s">
        <v>4277</v>
      </c>
      <c r="G1169" s="52" t="s">
        <v>42</v>
      </c>
      <c r="H1169" s="52" t="s">
        <v>4278</v>
      </c>
      <c r="I1169" s="52" t="s">
        <v>2925</v>
      </c>
      <c r="J1169" s="95">
        <v>1</v>
      </c>
      <c r="K1169" s="118">
        <v>22</v>
      </c>
      <c r="L1169" s="148">
        <v>22</v>
      </c>
      <c r="M1169" s="146" t="s">
        <v>22</v>
      </c>
      <c r="N1169" s="147"/>
      <c r="O1169" s="147"/>
      <c r="P1169" s="147"/>
      <c r="Q1169" s="147"/>
      <c r="R1169" s="147"/>
      <c r="S1169" s="147"/>
      <c r="T1169" s="147"/>
      <c r="U1169" s="149">
        <v>24</v>
      </c>
      <c r="V1169" s="52" t="s">
        <v>4279</v>
      </c>
      <c r="W1169" s="52"/>
      <c r="X1169" s="52"/>
      <c r="Y1169" s="52"/>
    </row>
    <row r="1170" spans="1:25" s="26" customFormat="1" ht="15" customHeight="1" x14ac:dyDescent="0.2">
      <c r="A1170" s="55">
        <v>41668.547962962999</v>
      </c>
      <c r="B1170" s="52" t="s">
        <v>16</v>
      </c>
      <c r="C1170" s="52" t="s">
        <v>512</v>
      </c>
      <c r="D1170" s="69">
        <v>41640</v>
      </c>
      <c r="E1170" s="52" t="s">
        <v>4280</v>
      </c>
      <c r="F1170" s="56" t="s">
        <v>4534</v>
      </c>
      <c r="G1170" s="52" t="s">
        <v>42</v>
      </c>
      <c r="H1170" s="52" t="s">
        <v>4281</v>
      </c>
      <c r="I1170" s="52" t="s">
        <v>2925</v>
      </c>
      <c r="J1170" s="95">
        <v>1</v>
      </c>
      <c r="K1170" s="118">
        <v>22</v>
      </c>
      <c r="L1170" s="148"/>
      <c r="M1170" s="146" t="s">
        <v>22</v>
      </c>
      <c r="N1170" s="147"/>
      <c r="O1170" s="147"/>
      <c r="P1170" s="147"/>
      <c r="Q1170" s="147"/>
      <c r="R1170" s="147"/>
      <c r="S1170" s="147"/>
      <c r="T1170" s="147"/>
      <c r="U1170" s="149"/>
      <c r="V1170" s="52"/>
      <c r="W1170" s="52"/>
      <c r="X1170" s="52"/>
      <c r="Y1170" s="52"/>
    </row>
    <row r="1171" spans="1:25" s="26" customFormat="1" ht="15" customHeight="1" x14ac:dyDescent="0.2">
      <c r="A1171" s="55">
        <v>41668.548923611103</v>
      </c>
      <c r="B1171" s="52" t="s">
        <v>16</v>
      </c>
      <c r="C1171" s="52" t="s">
        <v>512</v>
      </c>
      <c r="D1171" s="69">
        <v>41640</v>
      </c>
      <c r="E1171" s="52" t="s">
        <v>4282</v>
      </c>
      <c r="F1171" s="52" t="s">
        <v>4283</v>
      </c>
      <c r="G1171" s="52" t="s">
        <v>20</v>
      </c>
      <c r="H1171" s="52" t="s">
        <v>4284</v>
      </c>
      <c r="I1171" s="52" t="s">
        <v>2986</v>
      </c>
      <c r="J1171" s="95">
        <v>1</v>
      </c>
      <c r="K1171" s="118">
        <v>9</v>
      </c>
      <c r="L1171" s="148">
        <v>50</v>
      </c>
      <c r="M1171" s="146" t="s">
        <v>22</v>
      </c>
      <c r="N1171" s="147"/>
      <c r="O1171" s="147"/>
      <c r="P1171" s="147"/>
      <c r="Q1171" s="147"/>
      <c r="R1171" s="147"/>
      <c r="S1171" s="147"/>
      <c r="T1171" s="147"/>
      <c r="U1171" s="149"/>
      <c r="V1171" s="52"/>
      <c r="W1171" s="52"/>
      <c r="X1171" s="52"/>
      <c r="Y1171" s="52"/>
    </row>
    <row r="1172" spans="1:25" s="26" customFormat="1" ht="15" customHeight="1" x14ac:dyDescent="0.2">
      <c r="A1172" s="32">
        <v>41707.716365740744</v>
      </c>
      <c r="B1172" s="26" t="s">
        <v>16</v>
      </c>
      <c r="C1172" s="26" t="s">
        <v>512</v>
      </c>
      <c r="D1172" s="33">
        <v>41671</v>
      </c>
      <c r="E1172" s="26" t="s">
        <v>5052</v>
      </c>
      <c r="F1172" s="26" t="s">
        <v>5053</v>
      </c>
      <c r="G1172" s="26" t="s">
        <v>26</v>
      </c>
      <c r="H1172" s="26" t="s">
        <v>5054</v>
      </c>
      <c r="I1172" s="26" t="s">
        <v>2986</v>
      </c>
      <c r="J1172" s="46">
        <v>1</v>
      </c>
      <c r="K1172" s="46">
        <v>12</v>
      </c>
      <c r="L1172" s="136">
        <v>12</v>
      </c>
      <c r="M1172" s="137" t="s">
        <v>22</v>
      </c>
      <c r="N1172" s="138"/>
      <c r="O1172" s="138"/>
      <c r="P1172" s="138"/>
      <c r="Q1172" s="138"/>
      <c r="R1172" s="138"/>
      <c r="S1172" s="138"/>
      <c r="T1172" s="138"/>
      <c r="U1172" s="138"/>
    </row>
    <row r="1173" spans="1:25" s="26" customFormat="1" ht="15" customHeight="1" x14ac:dyDescent="0.2">
      <c r="A1173" s="32">
        <v>41707.717407407406</v>
      </c>
      <c r="B1173" s="26" t="s">
        <v>16</v>
      </c>
      <c r="C1173" s="26" t="s">
        <v>512</v>
      </c>
      <c r="D1173" s="33">
        <v>41671</v>
      </c>
      <c r="E1173" s="26" t="s">
        <v>5059</v>
      </c>
      <c r="F1173" s="26" t="s">
        <v>5060</v>
      </c>
      <c r="G1173" s="26" t="s">
        <v>26</v>
      </c>
      <c r="H1173" s="26" t="s">
        <v>5061</v>
      </c>
      <c r="I1173" s="26" t="s">
        <v>2986</v>
      </c>
      <c r="J1173" s="46">
        <v>1</v>
      </c>
      <c r="K1173" s="46">
        <v>157</v>
      </c>
      <c r="L1173" s="136"/>
      <c r="M1173" s="137" t="s">
        <v>22</v>
      </c>
      <c r="N1173" s="138"/>
      <c r="O1173" s="138"/>
      <c r="P1173" s="138"/>
      <c r="Q1173" s="138"/>
      <c r="R1173" s="138"/>
      <c r="S1173" s="138"/>
      <c r="T1173" s="138"/>
      <c r="U1173" s="138"/>
    </row>
    <row r="1174" spans="1:25" s="26" customFormat="1" ht="15" customHeight="1" x14ac:dyDescent="0.2">
      <c r="A1174" s="32">
        <v>41707.718240740738</v>
      </c>
      <c r="B1174" s="26" t="s">
        <v>16</v>
      </c>
      <c r="C1174" s="26" t="s">
        <v>512</v>
      </c>
      <c r="D1174" s="33">
        <v>41671</v>
      </c>
      <c r="E1174" s="26" t="s">
        <v>5062</v>
      </c>
      <c r="F1174" s="26" t="s">
        <v>5063</v>
      </c>
      <c r="G1174" s="26" t="s">
        <v>26</v>
      </c>
      <c r="H1174" s="26" t="s">
        <v>5064</v>
      </c>
      <c r="I1174" s="26" t="s">
        <v>2986</v>
      </c>
      <c r="J1174" s="46">
        <v>1</v>
      </c>
      <c r="K1174" s="46">
        <v>9</v>
      </c>
      <c r="L1174" s="136"/>
      <c r="M1174" s="137" t="s">
        <v>22</v>
      </c>
      <c r="N1174" s="138"/>
      <c r="O1174" s="138"/>
      <c r="P1174" s="138"/>
      <c r="Q1174" s="138"/>
      <c r="R1174" s="138"/>
      <c r="S1174" s="138"/>
      <c r="T1174" s="138"/>
      <c r="U1174" s="138"/>
    </row>
    <row r="1175" spans="1:25" s="26" customFormat="1" ht="15" customHeight="1" x14ac:dyDescent="0.2">
      <c r="A1175" s="32">
        <v>41707.719305555554</v>
      </c>
      <c r="B1175" s="26" t="s">
        <v>16</v>
      </c>
      <c r="C1175" s="26" t="s">
        <v>512</v>
      </c>
      <c r="D1175" s="33">
        <v>41671</v>
      </c>
      <c r="E1175" s="26" t="s">
        <v>5065</v>
      </c>
      <c r="F1175" s="26" t="s">
        <v>5066</v>
      </c>
      <c r="G1175" s="26" t="s">
        <v>26</v>
      </c>
      <c r="H1175" s="26" t="s">
        <v>5067</v>
      </c>
      <c r="I1175" s="26" t="s">
        <v>2986</v>
      </c>
      <c r="J1175" s="46">
        <v>1</v>
      </c>
      <c r="K1175" s="46">
        <v>96</v>
      </c>
      <c r="L1175" s="136"/>
      <c r="M1175" s="137" t="s">
        <v>22</v>
      </c>
      <c r="N1175" s="138"/>
      <c r="O1175" s="138"/>
      <c r="P1175" s="138"/>
      <c r="Q1175" s="138"/>
      <c r="R1175" s="138"/>
      <c r="S1175" s="138"/>
      <c r="T1175" s="138"/>
      <c r="U1175" s="138"/>
    </row>
    <row r="1176" spans="1:25" s="26" customFormat="1" ht="15" customHeight="1" x14ac:dyDescent="0.2">
      <c r="A1176" s="32">
        <v>41740.500393518516</v>
      </c>
      <c r="B1176" s="26" t="s">
        <v>16</v>
      </c>
      <c r="C1176" s="26" t="s">
        <v>512</v>
      </c>
      <c r="D1176" s="33">
        <v>41699</v>
      </c>
      <c r="E1176" s="26" t="s">
        <v>5921</v>
      </c>
      <c r="F1176" s="26" t="s">
        <v>5922</v>
      </c>
      <c r="G1176" s="26" t="s">
        <v>26</v>
      </c>
      <c r="H1176" s="26" t="s">
        <v>5923</v>
      </c>
      <c r="I1176" s="26" t="s">
        <v>2812</v>
      </c>
      <c r="J1176" s="46">
        <v>4</v>
      </c>
      <c r="K1176" s="46">
        <v>82</v>
      </c>
      <c r="L1176" s="136"/>
      <c r="M1176" s="137" t="s">
        <v>22</v>
      </c>
      <c r="N1176" s="138"/>
      <c r="O1176" s="138"/>
      <c r="P1176" s="138"/>
      <c r="Q1176" s="138"/>
      <c r="R1176" s="138"/>
      <c r="S1176" s="138"/>
      <c r="T1176" s="138"/>
      <c r="U1176" s="138"/>
    </row>
    <row r="1177" spans="1:25" s="26" customFormat="1" ht="15" customHeight="1" x14ac:dyDescent="0.2">
      <c r="A1177" s="32">
        <v>41740.501956018517</v>
      </c>
      <c r="B1177" s="26" t="s">
        <v>16</v>
      </c>
      <c r="C1177" s="26" t="s">
        <v>512</v>
      </c>
      <c r="D1177" s="33">
        <v>41699</v>
      </c>
      <c r="E1177" s="26" t="s">
        <v>5059</v>
      </c>
      <c r="F1177" s="26" t="s">
        <v>5924</v>
      </c>
      <c r="G1177" s="26" t="s">
        <v>26</v>
      </c>
      <c r="H1177" s="26" t="s">
        <v>5925</v>
      </c>
      <c r="I1177" s="26" t="s">
        <v>2986</v>
      </c>
      <c r="J1177" s="46">
        <v>2</v>
      </c>
      <c r="K1177" s="46">
        <v>139</v>
      </c>
      <c r="L1177" s="136"/>
      <c r="M1177" s="137" t="s">
        <v>22</v>
      </c>
      <c r="N1177" s="138"/>
      <c r="O1177" s="138"/>
      <c r="P1177" s="138"/>
      <c r="Q1177" s="138"/>
      <c r="R1177" s="138"/>
      <c r="S1177" s="138"/>
      <c r="T1177" s="138"/>
      <c r="U1177" s="138"/>
    </row>
    <row r="1178" spans="1:25" s="26" customFormat="1" ht="15" customHeight="1" x14ac:dyDescent="0.2">
      <c r="A1178" s="32">
        <v>41740.50341435185</v>
      </c>
      <c r="B1178" s="26" t="s">
        <v>16</v>
      </c>
      <c r="C1178" s="26" t="s">
        <v>512</v>
      </c>
      <c r="D1178" s="33">
        <v>41699</v>
      </c>
      <c r="E1178" s="26" t="s">
        <v>5065</v>
      </c>
      <c r="F1178" s="26" t="s">
        <v>5924</v>
      </c>
      <c r="G1178" s="26" t="s">
        <v>26</v>
      </c>
      <c r="H1178" s="26" t="s">
        <v>5925</v>
      </c>
      <c r="I1178" s="26" t="s">
        <v>2986</v>
      </c>
      <c r="J1178" s="46">
        <v>4</v>
      </c>
      <c r="K1178" s="46">
        <v>294</v>
      </c>
      <c r="L1178" s="136"/>
      <c r="M1178" s="137" t="s">
        <v>22</v>
      </c>
      <c r="N1178" s="138"/>
      <c r="O1178" s="138"/>
      <c r="P1178" s="138"/>
      <c r="Q1178" s="138"/>
      <c r="R1178" s="138"/>
      <c r="S1178" s="138"/>
      <c r="T1178" s="138"/>
      <c r="U1178" s="138"/>
    </row>
    <row r="1179" spans="1:25" s="26" customFormat="1" ht="15" customHeight="1" x14ac:dyDescent="0.2">
      <c r="A1179" s="32">
        <v>41740.504652777781</v>
      </c>
      <c r="B1179" s="26" t="s">
        <v>16</v>
      </c>
      <c r="C1179" s="26" t="s">
        <v>512</v>
      </c>
      <c r="D1179" s="33">
        <v>41699</v>
      </c>
      <c r="E1179" s="26" t="s">
        <v>5926</v>
      </c>
      <c r="F1179" s="26" t="s">
        <v>5927</v>
      </c>
      <c r="G1179" s="26" t="s">
        <v>156</v>
      </c>
      <c r="H1179" s="26" t="s">
        <v>5928</v>
      </c>
      <c r="I1179" s="26" t="s">
        <v>5929</v>
      </c>
      <c r="J1179" s="46">
        <v>1</v>
      </c>
      <c r="K1179" s="46">
        <v>40</v>
      </c>
      <c r="L1179" s="136">
        <v>21</v>
      </c>
      <c r="M1179" s="137" t="s">
        <v>22</v>
      </c>
      <c r="N1179" s="138"/>
      <c r="O1179" s="138"/>
      <c r="P1179" s="138"/>
      <c r="Q1179" s="138"/>
      <c r="R1179" s="138"/>
      <c r="S1179" s="138"/>
      <c r="T1179" s="138"/>
      <c r="U1179" s="138"/>
    </row>
    <row r="1180" spans="1:25" s="26" customFormat="1" ht="15" customHeight="1" x14ac:dyDescent="0.2">
      <c r="A1180" s="32">
        <v>41740.506701388891</v>
      </c>
      <c r="B1180" s="26" t="s">
        <v>16</v>
      </c>
      <c r="C1180" s="26" t="s">
        <v>512</v>
      </c>
      <c r="D1180" s="33">
        <v>41699</v>
      </c>
      <c r="E1180" s="26" t="s">
        <v>5930</v>
      </c>
      <c r="F1180" s="26" t="s">
        <v>5931</v>
      </c>
      <c r="G1180" s="26" t="s">
        <v>20</v>
      </c>
      <c r="H1180" s="26" t="s">
        <v>5932</v>
      </c>
      <c r="I1180" s="26" t="s">
        <v>5929</v>
      </c>
      <c r="J1180" s="46">
        <v>1</v>
      </c>
      <c r="K1180" s="46">
        <v>113</v>
      </c>
      <c r="L1180" s="136">
        <v>339</v>
      </c>
      <c r="M1180" s="137" t="s">
        <v>22</v>
      </c>
      <c r="N1180" s="138"/>
      <c r="O1180" s="138"/>
      <c r="P1180" s="138"/>
      <c r="Q1180" s="138"/>
      <c r="R1180" s="138"/>
      <c r="S1180" s="138"/>
      <c r="T1180" s="138"/>
      <c r="U1180" s="138"/>
    </row>
    <row r="1181" spans="1:25" s="26" customFormat="1" ht="15" customHeight="1" x14ac:dyDescent="0.2">
      <c r="A1181" s="55">
        <v>41768.745694444398</v>
      </c>
      <c r="B1181" s="52" t="s">
        <v>16</v>
      </c>
      <c r="C1181" s="52" t="s">
        <v>512</v>
      </c>
      <c r="D1181" s="88" t="s">
        <v>6076</v>
      </c>
      <c r="E1181" s="52" t="s">
        <v>6688</v>
      </c>
      <c r="F1181" s="52" t="s">
        <v>6689</v>
      </c>
      <c r="G1181" s="52" t="s">
        <v>42</v>
      </c>
      <c r="H1181" s="52" t="s">
        <v>6690</v>
      </c>
      <c r="I1181" s="52" t="s">
        <v>2986</v>
      </c>
      <c r="J1181" s="95">
        <v>1</v>
      </c>
      <c r="K1181" s="95">
        <v>15</v>
      </c>
      <c r="L1181" s="149">
        <v>15</v>
      </c>
      <c r="M1181" s="146" t="s">
        <v>22</v>
      </c>
      <c r="N1181" s="149"/>
      <c r="O1181" s="149"/>
      <c r="P1181" s="149"/>
      <c r="Q1181" s="149"/>
      <c r="R1181" s="149"/>
      <c r="S1181" s="149"/>
      <c r="T1181" s="149"/>
      <c r="U1181" s="149"/>
      <c r="V1181" s="52"/>
    </row>
    <row r="1182" spans="1:25" s="26" customFormat="1" ht="15" customHeight="1" x14ac:dyDescent="0.2">
      <c r="A1182" s="55">
        <v>41768.747048611098</v>
      </c>
      <c r="B1182" s="52" t="s">
        <v>16</v>
      </c>
      <c r="C1182" s="52" t="s">
        <v>512</v>
      </c>
      <c r="D1182" s="88" t="s">
        <v>6076</v>
      </c>
      <c r="E1182" s="52" t="s">
        <v>6691</v>
      </c>
      <c r="F1182" s="52" t="s">
        <v>6692</v>
      </c>
      <c r="G1182" s="52" t="s">
        <v>20</v>
      </c>
      <c r="H1182" s="52" t="s">
        <v>6693</v>
      </c>
      <c r="I1182" s="52" t="s">
        <v>2986</v>
      </c>
      <c r="J1182" s="95">
        <v>1</v>
      </c>
      <c r="K1182" s="95">
        <v>18</v>
      </c>
      <c r="L1182" s="149">
        <v>18</v>
      </c>
      <c r="M1182" s="146" t="s">
        <v>22</v>
      </c>
      <c r="N1182" s="149"/>
      <c r="O1182" s="149"/>
      <c r="P1182" s="149"/>
      <c r="Q1182" s="149"/>
      <c r="R1182" s="149"/>
      <c r="S1182" s="149"/>
      <c r="T1182" s="149"/>
      <c r="U1182" s="149"/>
      <c r="V1182" s="52"/>
    </row>
    <row r="1183" spans="1:25" s="26" customFormat="1" ht="15" customHeight="1" x14ac:dyDescent="0.2">
      <c r="A1183" s="93">
        <v>41768.752592592602</v>
      </c>
      <c r="B1183" s="89" t="s">
        <v>16</v>
      </c>
      <c r="C1183" s="52" t="s">
        <v>512</v>
      </c>
      <c r="D1183" s="87" t="s">
        <v>6076</v>
      </c>
      <c r="E1183" s="89" t="s">
        <v>6694</v>
      </c>
      <c r="F1183" s="89" t="s">
        <v>6695</v>
      </c>
      <c r="G1183" s="89" t="s">
        <v>26</v>
      </c>
      <c r="H1183" s="89" t="s">
        <v>6696</v>
      </c>
      <c r="I1183" s="89" t="s">
        <v>6697</v>
      </c>
      <c r="J1183" s="95">
        <v>1</v>
      </c>
      <c r="K1183" s="95">
        <v>15</v>
      </c>
      <c r="L1183" s="149">
        <v>400</v>
      </c>
      <c r="M1183" s="146" t="s">
        <v>44</v>
      </c>
      <c r="N1183" s="149"/>
      <c r="O1183" s="149"/>
      <c r="P1183" s="149"/>
      <c r="Q1183" s="149"/>
      <c r="R1183" s="149">
        <v>1350</v>
      </c>
      <c r="S1183" s="149"/>
      <c r="T1183" s="149"/>
      <c r="U1183" s="149"/>
      <c r="V1183" s="89"/>
      <c r="W1183" s="91"/>
      <c r="X1183" s="91"/>
      <c r="Y1183" s="91"/>
    </row>
    <row r="1184" spans="1:25" s="26" customFormat="1" ht="15" customHeight="1" x14ac:dyDescent="0.2">
      <c r="A1184" s="93">
        <v>41768.753935185203</v>
      </c>
      <c r="B1184" s="89" t="s">
        <v>16</v>
      </c>
      <c r="C1184" s="52" t="s">
        <v>512</v>
      </c>
      <c r="D1184" s="87" t="s">
        <v>6076</v>
      </c>
      <c r="E1184" s="89" t="s">
        <v>2447</v>
      </c>
      <c r="F1184" s="89" t="s">
        <v>6698</v>
      </c>
      <c r="G1184" s="89" t="s">
        <v>156</v>
      </c>
      <c r="H1184" s="89" t="s">
        <v>6699</v>
      </c>
      <c r="I1184" s="89" t="s">
        <v>6700</v>
      </c>
      <c r="J1184" s="95">
        <v>1</v>
      </c>
      <c r="K1184" s="95">
        <v>0</v>
      </c>
      <c r="L1184" s="149">
        <v>0</v>
      </c>
      <c r="M1184" s="146" t="s">
        <v>22</v>
      </c>
      <c r="N1184" s="149"/>
      <c r="O1184" s="149"/>
      <c r="P1184" s="149"/>
      <c r="Q1184" s="149"/>
      <c r="R1184" s="149"/>
      <c r="S1184" s="149"/>
      <c r="T1184" s="149"/>
      <c r="U1184" s="149"/>
      <c r="V1184" s="89" t="s">
        <v>6701</v>
      </c>
      <c r="W1184" s="91"/>
      <c r="X1184" s="91"/>
      <c r="Y1184" s="91"/>
    </row>
    <row r="1185" spans="1:25" s="26" customFormat="1" ht="15" customHeight="1" x14ac:dyDescent="0.2">
      <c r="A1185" s="55">
        <v>41768.757118055597</v>
      </c>
      <c r="B1185" s="52" t="s">
        <v>16</v>
      </c>
      <c r="C1185" s="52" t="s">
        <v>512</v>
      </c>
      <c r="D1185" s="88" t="s">
        <v>6076</v>
      </c>
      <c r="E1185" s="52" t="s">
        <v>6702</v>
      </c>
      <c r="F1185" s="52" t="s">
        <v>6703</v>
      </c>
      <c r="G1185" s="52" t="s">
        <v>20</v>
      </c>
      <c r="H1185" s="52" t="s">
        <v>6704</v>
      </c>
      <c r="I1185" s="52" t="s">
        <v>6697</v>
      </c>
      <c r="J1185" s="95">
        <v>2</v>
      </c>
      <c r="K1185" s="95">
        <v>100</v>
      </c>
      <c r="L1185" s="149">
        <v>300</v>
      </c>
      <c r="M1185" s="146" t="s">
        <v>22</v>
      </c>
      <c r="N1185" s="149"/>
      <c r="O1185" s="149"/>
      <c r="P1185" s="149"/>
      <c r="Q1185" s="149"/>
      <c r="R1185" s="149"/>
      <c r="S1185" s="149"/>
      <c r="T1185" s="149"/>
      <c r="U1185" s="149"/>
      <c r="V1185" s="52"/>
    </row>
    <row r="1186" spans="1:25" s="26" customFormat="1" ht="15" customHeight="1" x14ac:dyDescent="0.2">
      <c r="A1186" s="55">
        <v>41768.757974537002</v>
      </c>
      <c r="B1186" s="52" t="s">
        <v>16</v>
      </c>
      <c r="C1186" s="52" t="s">
        <v>512</v>
      </c>
      <c r="D1186" s="88" t="s">
        <v>6076</v>
      </c>
      <c r="E1186" s="52" t="s">
        <v>6705</v>
      </c>
      <c r="F1186" s="52" t="s">
        <v>6703</v>
      </c>
      <c r="G1186" s="52" t="s">
        <v>20</v>
      </c>
      <c r="H1186" s="52"/>
      <c r="I1186" s="52" t="s">
        <v>6697</v>
      </c>
      <c r="J1186" s="95">
        <v>2</v>
      </c>
      <c r="K1186" s="95">
        <v>107</v>
      </c>
      <c r="L1186" s="149">
        <v>321</v>
      </c>
      <c r="M1186" s="146" t="s">
        <v>22</v>
      </c>
      <c r="N1186" s="149"/>
      <c r="O1186" s="149"/>
      <c r="P1186" s="149"/>
      <c r="Q1186" s="149"/>
      <c r="R1186" s="149"/>
      <c r="S1186" s="149"/>
      <c r="T1186" s="149"/>
      <c r="U1186" s="149"/>
      <c r="V1186" s="52"/>
    </row>
    <row r="1187" spans="1:25" s="26" customFormat="1" ht="15" customHeight="1" x14ac:dyDescent="0.2">
      <c r="A1187" s="55">
        <v>41768.758993055599</v>
      </c>
      <c r="B1187" s="52" t="s">
        <v>16</v>
      </c>
      <c r="C1187" s="52" t="s">
        <v>512</v>
      </c>
      <c r="D1187" s="88" t="s">
        <v>6076</v>
      </c>
      <c r="E1187" s="52" t="s">
        <v>6691</v>
      </c>
      <c r="F1187" s="52" t="s">
        <v>6706</v>
      </c>
      <c r="G1187" s="52" t="s">
        <v>20</v>
      </c>
      <c r="H1187" s="52" t="s">
        <v>6707</v>
      </c>
      <c r="I1187" s="52" t="s">
        <v>2986</v>
      </c>
      <c r="J1187" s="95">
        <v>1</v>
      </c>
      <c r="K1187" s="95">
        <v>21</v>
      </c>
      <c r="L1187" s="149">
        <v>21</v>
      </c>
      <c r="M1187" s="146" t="s">
        <v>22</v>
      </c>
      <c r="N1187" s="149"/>
      <c r="O1187" s="149"/>
      <c r="P1187" s="149"/>
      <c r="Q1187" s="149"/>
      <c r="R1187" s="149"/>
      <c r="S1187" s="149"/>
      <c r="T1187" s="149"/>
      <c r="U1187" s="149"/>
      <c r="V1187" s="52"/>
    </row>
    <row r="1188" spans="1:25" s="26" customFormat="1" ht="15" customHeight="1" x14ac:dyDescent="0.2">
      <c r="A1188" s="55">
        <v>41768.765729166698</v>
      </c>
      <c r="B1188" s="52" t="s">
        <v>16</v>
      </c>
      <c r="C1188" s="52" t="s">
        <v>512</v>
      </c>
      <c r="D1188" s="88" t="s">
        <v>6076</v>
      </c>
      <c r="E1188" s="52" t="s">
        <v>6708</v>
      </c>
      <c r="F1188" s="52" t="s">
        <v>6709</v>
      </c>
      <c r="G1188" s="52" t="s">
        <v>20</v>
      </c>
      <c r="H1188" s="52" t="s">
        <v>6710</v>
      </c>
      <c r="I1188" s="52" t="s">
        <v>6711</v>
      </c>
      <c r="J1188" s="95">
        <v>1</v>
      </c>
      <c r="K1188" s="95">
        <v>80</v>
      </c>
      <c r="L1188" s="149">
        <v>240</v>
      </c>
      <c r="M1188" s="146" t="s">
        <v>22</v>
      </c>
      <c r="N1188" s="149"/>
      <c r="O1188" s="149"/>
      <c r="P1188" s="149"/>
      <c r="Q1188" s="149"/>
      <c r="R1188" s="149"/>
      <c r="S1188" s="149"/>
      <c r="T1188" s="149"/>
      <c r="U1188" s="149"/>
      <c r="V1188" s="52"/>
    </row>
    <row r="1189" spans="1:25" s="26" customFormat="1" ht="15" customHeight="1" x14ac:dyDescent="0.2">
      <c r="A1189" s="93">
        <v>41768.769305555601</v>
      </c>
      <c r="B1189" s="89" t="s">
        <v>16</v>
      </c>
      <c r="C1189" s="52" t="s">
        <v>512</v>
      </c>
      <c r="D1189" s="87" t="s">
        <v>6076</v>
      </c>
      <c r="E1189" s="89" t="s">
        <v>6712</v>
      </c>
      <c r="F1189" s="89" t="s">
        <v>6713</v>
      </c>
      <c r="G1189" s="89" t="s">
        <v>26</v>
      </c>
      <c r="H1189" s="89" t="s">
        <v>6714</v>
      </c>
      <c r="I1189" s="89" t="s">
        <v>2812</v>
      </c>
      <c r="J1189" s="95">
        <v>3</v>
      </c>
      <c r="K1189" s="95">
        <v>78</v>
      </c>
      <c r="L1189" s="149">
        <v>0</v>
      </c>
      <c r="M1189" s="146" t="s">
        <v>22</v>
      </c>
      <c r="N1189" s="149"/>
      <c r="O1189" s="149"/>
      <c r="P1189" s="149"/>
      <c r="Q1189" s="149"/>
      <c r="R1189" s="149"/>
      <c r="S1189" s="149"/>
      <c r="T1189" s="149"/>
      <c r="U1189" s="149">
        <v>78</v>
      </c>
      <c r="V1189" s="89" t="s">
        <v>6715</v>
      </c>
      <c r="W1189" s="91"/>
      <c r="X1189" s="91"/>
      <c r="Y1189" s="91"/>
    </row>
    <row r="1190" spans="1:25" s="26" customFormat="1" ht="15" customHeight="1" x14ac:dyDescent="0.2">
      <c r="A1190" s="93">
        <v>41768.770752314798</v>
      </c>
      <c r="B1190" s="89" t="s">
        <v>16</v>
      </c>
      <c r="C1190" s="52" t="s">
        <v>512</v>
      </c>
      <c r="D1190" s="87" t="s">
        <v>6076</v>
      </c>
      <c r="E1190" s="89" t="s">
        <v>6716</v>
      </c>
      <c r="F1190" s="89" t="s">
        <v>6717</v>
      </c>
      <c r="G1190" s="89" t="s">
        <v>26</v>
      </c>
      <c r="H1190" s="89" t="s">
        <v>6718</v>
      </c>
      <c r="I1190" s="89" t="s">
        <v>2986</v>
      </c>
      <c r="J1190" s="95">
        <v>2</v>
      </c>
      <c r="K1190" s="95">
        <v>82</v>
      </c>
      <c r="L1190" s="149">
        <v>0</v>
      </c>
      <c r="M1190" s="146" t="s">
        <v>22</v>
      </c>
      <c r="N1190" s="149"/>
      <c r="O1190" s="149"/>
      <c r="P1190" s="149"/>
      <c r="Q1190" s="149"/>
      <c r="R1190" s="149"/>
      <c r="S1190" s="149"/>
      <c r="T1190" s="149"/>
      <c r="U1190" s="149"/>
      <c r="V1190" s="89"/>
      <c r="W1190" s="91"/>
      <c r="X1190" s="91"/>
      <c r="Y1190" s="91"/>
    </row>
    <row r="1191" spans="1:25" s="26" customFormat="1" ht="15" customHeight="1" x14ac:dyDescent="0.2">
      <c r="A1191" s="93">
        <v>41768.771481481497</v>
      </c>
      <c r="B1191" s="89" t="s">
        <v>16</v>
      </c>
      <c r="C1191" s="52" t="s">
        <v>512</v>
      </c>
      <c r="D1191" s="87" t="s">
        <v>6076</v>
      </c>
      <c r="E1191" s="89" t="s">
        <v>6719</v>
      </c>
      <c r="F1191" s="89" t="s">
        <v>6717</v>
      </c>
      <c r="G1191" s="89" t="s">
        <v>26</v>
      </c>
      <c r="H1191" s="89" t="s">
        <v>6718</v>
      </c>
      <c r="I1191" s="89" t="s">
        <v>2986</v>
      </c>
      <c r="J1191" s="95">
        <v>2</v>
      </c>
      <c r="K1191" s="95">
        <v>77</v>
      </c>
      <c r="L1191" s="149">
        <v>0</v>
      </c>
      <c r="M1191" s="146" t="s">
        <v>22</v>
      </c>
      <c r="N1191" s="149"/>
      <c r="O1191" s="149"/>
      <c r="P1191" s="149"/>
      <c r="Q1191" s="149"/>
      <c r="R1191" s="149"/>
      <c r="S1191" s="149"/>
      <c r="T1191" s="149"/>
      <c r="U1191" s="149"/>
      <c r="V1191" s="89"/>
      <c r="W1191" s="91"/>
      <c r="X1191" s="91"/>
      <c r="Y1191" s="91"/>
    </row>
    <row r="1192" spans="1:25" s="26" customFormat="1" ht="15" customHeight="1" x14ac:dyDescent="0.2">
      <c r="A1192" s="93">
        <v>41792.4891319444</v>
      </c>
      <c r="B1192" s="89" t="s">
        <v>16</v>
      </c>
      <c r="C1192" s="52" t="s">
        <v>23</v>
      </c>
      <c r="D1192" s="87" t="s">
        <v>6224</v>
      </c>
      <c r="E1192" s="89" t="s">
        <v>7091</v>
      </c>
      <c r="F1192" s="89" t="s">
        <v>5713</v>
      </c>
      <c r="G1192" s="89" t="s">
        <v>42</v>
      </c>
      <c r="H1192" s="89" t="s">
        <v>7092</v>
      </c>
      <c r="I1192" s="89" t="s">
        <v>7093</v>
      </c>
      <c r="J1192" s="95">
        <v>1</v>
      </c>
      <c r="K1192" s="95">
        <v>25</v>
      </c>
      <c r="L1192" s="150">
        <v>150</v>
      </c>
      <c r="M1192" s="146" t="s">
        <v>22</v>
      </c>
      <c r="N1192" s="149"/>
      <c r="O1192" s="149"/>
      <c r="P1192" s="149"/>
      <c r="Q1192" s="149"/>
      <c r="R1192" s="149"/>
      <c r="S1192" s="149"/>
      <c r="T1192" s="149"/>
      <c r="U1192" s="149">
        <v>10</v>
      </c>
      <c r="V1192" s="89" t="s">
        <v>7094</v>
      </c>
      <c r="W1192" s="91"/>
      <c r="X1192" s="91"/>
      <c r="Y1192" s="91"/>
    </row>
    <row r="1193" spans="1:25" s="26" customFormat="1" ht="15" customHeight="1" x14ac:dyDescent="0.2">
      <c r="A1193" s="93">
        <v>41792.494328703702</v>
      </c>
      <c r="B1193" s="89" t="s">
        <v>16</v>
      </c>
      <c r="C1193" s="52" t="s">
        <v>23</v>
      </c>
      <c r="D1193" s="87" t="s">
        <v>6224</v>
      </c>
      <c r="E1193" s="89" t="s">
        <v>7095</v>
      </c>
      <c r="F1193" s="89" t="s">
        <v>7096</v>
      </c>
      <c r="G1193" s="89" t="s">
        <v>42</v>
      </c>
      <c r="H1193" s="89" t="s">
        <v>7097</v>
      </c>
      <c r="I1193" s="89" t="s">
        <v>7098</v>
      </c>
      <c r="J1193" s="95">
        <v>1</v>
      </c>
      <c r="K1193" s="95">
        <v>10</v>
      </c>
      <c r="L1193" s="150">
        <v>50</v>
      </c>
      <c r="M1193" s="146" t="s">
        <v>44</v>
      </c>
      <c r="N1193" s="149"/>
      <c r="O1193" s="149">
        <v>30</v>
      </c>
      <c r="P1193" s="149"/>
      <c r="Q1193" s="149">
        <v>75</v>
      </c>
      <c r="R1193" s="149"/>
      <c r="S1193" s="149"/>
      <c r="T1193" s="149"/>
      <c r="U1193" s="149">
        <v>15</v>
      </c>
      <c r="V1193" s="89"/>
      <c r="W1193" s="91"/>
      <c r="X1193" s="91"/>
      <c r="Y1193" s="91"/>
    </row>
    <row r="1194" spans="1:25" s="26" customFormat="1" ht="15" customHeight="1" x14ac:dyDescent="0.2">
      <c r="A1194" s="93">
        <v>41792.495127314804</v>
      </c>
      <c r="B1194" s="89" t="s">
        <v>16</v>
      </c>
      <c r="C1194" s="52" t="s">
        <v>23</v>
      </c>
      <c r="D1194" s="87" t="s">
        <v>6224</v>
      </c>
      <c r="E1194" s="89" t="s">
        <v>7099</v>
      </c>
      <c r="F1194" s="89" t="s">
        <v>7100</v>
      </c>
      <c r="G1194" s="89" t="s">
        <v>351</v>
      </c>
      <c r="H1194" s="89" t="s">
        <v>7101</v>
      </c>
      <c r="I1194" s="89" t="s">
        <v>3001</v>
      </c>
      <c r="J1194" s="95">
        <v>1</v>
      </c>
      <c r="K1194" s="95">
        <v>250</v>
      </c>
      <c r="L1194" s="150"/>
      <c r="M1194" s="146" t="s">
        <v>22</v>
      </c>
      <c r="N1194" s="149"/>
      <c r="O1194" s="149"/>
      <c r="P1194" s="149"/>
      <c r="Q1194" s="149"/>
      <c r="R1194" s="149"/>
      <c r="S1194" s="149"/>
      <c r="T1194" s="149"/>
      <c r="U1194" s="149"/>
      <c r="V1194" s="89"/>
      <c r="W1194" s="91"/>
      <c r="X1194" s="91"/>
      <c r="Y1194" s="91"/>
    </row>
    <row r="1195" spans="1:25" s="26" customFormat="1" ht="15" customHeight="1" x14ac:dyDescent="0.2">
      <c r="A1195" s="93">
        <v>41792.596539351798</v>
      </c>
      <c r="B1195" s="89" t="s">
        <v>38</v>
      </c>
      <c r="C1195" s="52" t="s">
        <v>39</v>
      </c>
      <c r="D1195" s="87" t="s">
        <v>6224</v>
      </c>
      <c r="E1195" s="89" t="s">
        <v>3184</v>
      </c>
      <c r="F1195" s="89" t="s">
        <v>7102</v>
      </c>
      <c r="G1195" s="89" t="s">
        <v>60</v>
      </c>
      <c r="H1195" s="89" t="s">
        <v>4863</v>
      </c>
      <c r="I1195" s="89" t="s">
        <v>7103</v>
      </c>
      <c r="J1195" s="95">
        <v>465</v>
      </c>
      <c r="K1195" s="95">
        <v>8011</v>
      </c>
      <c r="L1195" s="150"/>
      <c r="M1195" s="146" t="s">
        <v>44</v>
      </c>
      <c r="N1195" s="149"/>
      <c r="O1195" s="149"/>
      <c r="P1195" s="149"/>
      <c r="Q1195" s="149"/>
      <c r="R1195" s="149"/>
      <c r="S1195" s="149"/>
      <c r="T1195" s="149"/>
      <c r="U1195" s="149"/>
      <c r="V1195" s="89"/>
      <c r="W1195" s="91"/>
      <c r="X1195" s="91"/>
      <c r="Y1195" s="91"/>
    </row>
    <row r="1196" spans="1:25" s="26" customFormat="1" ht="15" customHeight="1" x14ac:dyDescent="0.2">
      <c r="A1196" s="93">
        <v>41792.618831018503</v>
      </c>
      <c r="B1196" s="89" t="s">
        <v>152</v>
      </c>
      <c r="C1196" s="52" t="s">
        <v>707</v>
      </c>
      <c r="D1196" s="87" t="s">
        <v>6224</v>
      </c>
      <c r="E1196" s="89" t="s">
        <v>7104</v>
      </c>
      <c r="F1196" s="89" t="s">
        <v>7105</v>
      </c>
      <c r="G1196" s="89" t="s">
        <v>351</v>
      </c>
      <c r="H1196" s="89" t="s">
        <v>7106</v>
      </c>
      <c r="I1196" s="89" t="s">
        <v>3001</v>
      </c>
      <c r="J1196" s="95">
        <v>1</v>
      </c>
      <c r="K1196" s="95">
        <v>250</v>
      </c>
      <c r="L1196" s="150"/>
      <c r="M1196" s="146" t="s">
        <v>22</v>
      </c>
      <c r="N1196" s="149"/>
      <c r="O1196" s="149"/>
      <c r="P1196" s="149"/>
      <c r="Q1196" s="149"/>
      <c r="R1196" s="149"/>
      <c r="S1196" s="149"/>
      <c r="T1196" s="149"/>
      <c r="U1196" s="149"/>
      <c r="V1196" s="89" t="s">
        <v>7107</v>
      </c>
      <c r="W1196" s="91"/>
      <c r="X1196" s="91"/>
      <c r="Y1196" s="91"/>
    </row>
    <row r="1197" spans="1:25" s="26" customFormat="1" ht="15" customHeight="1" x14ac:dyDescent="0.2">
      <c r="A1197" s="93">
        <v>41792.620312500003</v>
      </c>
      <c r="B1197" s="89" t="s">
        <v>152</v>
      </c>
      <c r="C1197" s="52" t="s">
        <v>707</v>
      </c>
      <c r="D1197" s="87" t="s">
        <v>6224</v>
      </c>
      <c r="E1197" s="89" t="s">
        <v>1893</v>
      </c>
      <c r="F1197" s="89" t="s">
        <v>7108</v>
      </c>
      <c r="G1197" s="89" t="s">
        <v>26</v>
      </c>
      <c r="H1197" s="89" t="s">
        <v>7109</v>
      </c>
      <c r="I1197" s="89" t="s">
        <v>3001</v>
      </c>
      <c r="J1197" s="95">
        <v>1</v>
      </c>
      <c r="K1197" s="95">
        <v>6</v>
      </c>
      <c r="L1197" s="150"/>
      <c r="M1197" s="146" t="s">
        <v>44</v>
      </c>
      <c r="N1197" s="149"/>
      <c r="O1197" s="149">
        <v>15</v>
      </c>
      <c r="P1197" s="149"/>
      <c r="Q1197" s="149"/>
      <c r="R1197" s="149"/>
      <c r="S1197" s="149"/>
      <c r="T1197" s="149"/>
      <c r="U1197" s="149"/>
      <c r="V1197" s="89"/>
      <c r="W1197" s="91"/>
      <c r="X1197" s="91"/>
      <c r="Y1197" s="91"/>
    </row>
    <row r="1198" spans="1:25" s="26" customFormat="1" ht="15" customHeight="1" x14ac:dyDescent="0.2">
      <c r="A1198" s="93">
        <v>41792.621874999997</v>
      </c>
      <c r="B1198" s="89" t="s">
        <v>152</v>
      </c>
      <c r="C1198" s="52" t="s">
        <v>707</v>
      </c>
      <c r="D1198" s="87" t="s">
        <v>6224</v>
      </c>
      <c r="E1198" s="89" t="s">
        <v>779</v>
      </c>
      <c r="F1198" s="89" t="s">
        <v>7110</v>
      </c>
      <c r="G1198" s="89" t="s">
        <v>26</v>
      </c>
      <c r="H1198" s="89" t="s">
        <v>7111</v>
      </c>
      <c r="I1198" s="89" t="s">
        <v>3001</v>
      </c>
      <c r="J1198" s="95">
        <v>1</v>
      </c>
      <c r="K1198" s="95">
        <v>30</v>
      </c>
      <c r="L1198" s="150">
        <v>173</v>
      </c>
      <c r="M1198" s="146" t="s">
        <v>44</v>
      </c>
      <c r="N1198" s="149"/>
      <c r="O1198" s="149">
        <v>50</v>
      </c>
      <c r="P1198" s="149"/>
      <c r="Q1198" s="149"/>
      <c r="R1198" s="149"/>
      <c r="S1198" s="149"/>
      <c r="T1198" s="149"/>
      <c r="U1198" s="149"/>
      <c r="V1198" s="89"/>
      <c r="W1198" s="91"/>
      <c r="X1198" s="91"/>
      <c r="Y1198" s="91"/>
    </row>
    <row r="1199" spans="1:25" s="26" customFormat="1" ht="15" customHeight="1" x14ac:dyDescent="0.2">
      <c r="A1199" s="93">
        <v>41792.625023148103</v>
      </c>
      <c r="B1199" s="89" t="s">
        <v>152</v>
      </c>
      <c r="C1199" s="52" t="s">
        <v>707</v>
      </c>
      <c r="D1199" s="87" t="s">
        <v>6224</v>
      </c>
      <c r="E1199" s="89" t="s">
        <v>529</v>
      </c>
      <c r="F1199" s="89" t="s">
        <v>721</v>
      </c>
      <c r="G1199" s="89" t="s">
        <v>26</v>
      </c>
      <c r="H1199" s="89" t="s">
        <v>7112</v>
      </c>
      <c r="I1199" s="89" t="s">
        <v>3001</v>
      </c>
      <c r="J1199" s="95">
        <v>4</v>
      </c>
      <c r="K1199" s="95">
        <v>230</v>
      </c>
      <c r="L1199" s="150"/>
      <c r="M1199" s="146" t="s">
        <v>22</v>
      </c>
      <c r="N1199" s="149"/>
      <c r="O1199" s="149"/>
      <c r="P1199" s="149"/>
      <c r="Q1199" s="149"/>
      <c r="R1199" s="149"/>
      <c r="S1199" s="149"/>
      <c r="T1199" s="149"/>
      <c r="U1199" s="149"/>
      <c r="V1199" s="89"/>
      <c r="W1199" s="91"/>
      <c r="X1199" s="91"/>
      <c r="Y1199" s="91"/>
    </row>
    <row r="1200" spans="1:25" s="26" customFormat="1" ht="15" customHeight="1" x14ac:dyDescent="0.2">
      <c r="A1200" s="93">
        <v>41792.6260763889</v>
      </c>
      <c r="B1200" s="89" t="s">
        <v>152</v>
      </c>
      <c r="C1200" s="52" t="s">
        <v>707</v>
      </c>
      <c r="D1200" s="87" t="s">
        <v>6224</v>
      </c>
      <c r="E1200" s="89" t="s">
        <v>724</v>
      </c>
      <c r="F1200" s="89" t="s">
        <v>721</v>
      </c>
      <c r="G1200" s="89" t="s">
        <v>26</v>
      </c>
      <c r="H1200" s="89" t="s">
        <v>7112</v>
      </c>
      <c r="I1200" s="89" t="s">
        <v>3001</v>
      </c>
      <c r="J1200" s="95">
        <v>2</v>
      </c>
      <c r="K1200" s="95">
        <v>111</v>
      </c>
      <c r="L1200" s="150"/>
      <c r="M1200" s="146" t="s">
        <v>22</v>
      </c>
      <c r="N1200" s="149"/>
      <c r="O1200" s="149"/>
      <c r="P1200" s="149"/>
      <c r="Q1200" s="149"/>
      <c r="R1200" s="149"/>
      <c r="S1200" s="149"/>
      <c r="T1200" s="149"/>
      <c r="U1200" s="149"/>
      <c r="V1200" s="89"/>
      <c r="W1200" s="91"/>
      <c r="X1200" s="91"/>
      <c r="Y1200" s="91"/>
    </row>
    <row r="1201" spans="1:25" s="26" customFormat="1" ht="15" customHeight="1" x14ac:dyDescent="0.2">
      <c r="A1201" s="93">
        <v>41792.627928240698</v>
      </c>
      <c r="B1201" s="89" t="s">
        <v>152</v>
      </c>
      <c r="C1201" s="52" t="s">
        <v>707</v>
      </c>
      <c r="D1201" s="87" t="s">
        <v>6224</v>
      </c>
      <c r="E1201" s="89" t="s">
        <v>749</v>
      </c>
      <c r="F1201" s="89" t="s">
        <v>6498</v>
      </c>
      <c r="G1201" s="89" t="s">
        <v>26</v>
      </c>
      <c r="H1201" s="89" t="s">
        <v>6499</v>
      </c>
      <c r="I1201" s="89" t="s">
        <v>3001</v>
      </c>
      <c r="J1201" s="95">
        <v>4</v>
      </c>
      <c r="K1201" s="95">
        <v>134</v>
      </c>
      <c r="L1201" s="150"/>
      <c r="M1201" s="146" t="s">
        <v>22</v>
      </c>
      <c r="N1201" s="149"/>
      <c r="O1201" s="149"/>
      <c r="P1201" s="149"/>
      <c r="Q1201" s="149"/>
      <c r="R1201" s="149"/>
      <c r="S1201" s="149"/>
      <c r="T1201" s="149"/>
      <c r="U1201" s="149"/>
      <c r="V1201" s="89"/>
      <c r="W1201" s="91"/>
      <c r="X1201" s="91"/>
      <c r="Y1201" s="91"/>
    </row>
    <row r="1202" spans="1:25" s="26" customFormat="1" ht="15" customHeight="1" x14ac:dyDescent="0.2">
      <c r="A1202" s="93">
        <v>41792.631087962996</v>
      </c>
      <c r="B1202" s="89" t="s">
        <v>152</v>
      </c>
      <c r="C1202" s="52" t="s">
        <v>707</v>
      </c>
      <c r="D1202" s="87" t="s">
        <v>6224</v>
      </c>
      <c r="E1202" s="89" t="s">
        <v>6501</v>
      </c>
      <c r="F1202" s="89" t="s">
        <v>7113</v>
      </c>
      <c r="G1202" s="89" t="s">
        <v>351</v>
      </c>
      <c r="H1202" s="89" t="s">
        <v>7114</v>
      </c>
      <c r="I1202" s="89" t="s">
        <v>2926</v>
      </c>
      <c r="J1202" s="95">
        <v>1</v>
      </c>
      <c r="K1202" s="95">
        <v>30</v>
      </c>
      <c r="L1202" s="150"/>
      <c r="M1202" s="146" t="s">
        <v>22</v>
      </c>
      <c r="N1202" s="149"/>
      <c r="O1202" s="149"/>
      <c r="P1202" s="149"/>
      <c r="Q1202" s="149"/>
      <c r="R1202" s="149"/>
      <c r="S1202" s="149"/>
      <c r="T1202" s="149"/>
      <c r="U1202" s="149"/>
      <c r="V1202" s="89"/>
      <c r="W1202" s="91"/>
      <c r="X1202" s="91"/>
      <c r="Y1202" s="91"/>
    </row>
    <row r="1203" spans="1:25" s="26" customFormat="1" ht="15" customHeight="1" x14ac:dyDescent="0.2">
      <c r="A1203" s="37">
        <v>41493.668182870402</v>
      </c>
      <c r="B1203" s="26" t="s">
        <v>16</v>
      </c>
      <c r="C1203" s="26" t="s">
        <v>999</v>
      </c>
      <c r="D1203" s="33">
        <v>41456</v>
      </c>
      <c r="E1203" s="26" t="s">
        <v>1000</v>
      </c>
      <c r="F1203" s="26" t="s">
        <v>1001</v>
      </c>
      <c r="G1203" s="26" t="s">
        <v>26</v>
      </c>
      <c r="H1203" s="26" t="s">
        <v>1002</v>
      </c>
      <c r="J1203" s="46">
        <v>1</v>
      </c>
      <c r="K1203" s="46">
        <v>42</v>
      </c>
      <c r="L1203" s="136">
        <v>514</v>
      </c>
      <c r="M1203" s="137" t="s">
        <v>44</v>
      </c>
      <c r="N1203" s="138"/>
      <c r="O1203" s="138">
        <v>65</v>
      </c>
      <c r="P1203" s="138">
        <v>14</v>
      </c>
      <c r="Q1203" s="138">
        <v>26</v>
      </c>
      <c r="R1203" s="138"/>
      <c r="S1203" s="138"/>
      <c r="T1203" s="138"/>
      <c r="U1203" s="138"/>
      <c r="W1203" s="57"/>
      <c r="X1203" s="57"/>
      <c r="Y1203" s="57"/>
    </row>
    <row r="1204" spans="1:25" s="26" customFormat="1" ht="15" customHeight="1" x14ac:dyDescent="0.2">
      <c r="A1204" s="32">
        <v>41538.383136574077</v>
      </c>
      <c r="B1204" s="26" t="s">
        <v>16</v>
      </c>
      <c r="C1204" s="26" t="s">
        <v>999</v>
      </c>
      <c r="D1204" s="30">
        <v>41518</v>
      </c>
      <c r="E1204" s="26" t="s">
        <v>2152</v>
      </c>
      <c r="F1204" s="26" t="s">
        <v>2153</v>
      </c>
      <c r="G1204" s="26" t="s">
        <v>26</v>
      </c>
      <c r="H1204" s="26" t="s">
        <v>2154</v>
      </c>
      <c r="J1204" s="46">
        <v>1</v>
      </c>
      <c r="K1204" s="46">
        <v>19</v>
      </c>
      <c r="L1204" s="136">
        <v>165</v>
      </c>
      <c r="M1204" s="137" t="s">
        <v>22</v>
      </c>
      <c r="N1204" s="138"/>
      <c r="O1204" s="138"/>
      <c r="P1204" s="138"/>
      <c r="Q1204" s="138"/>
      <c r="R1204" s="138"/>
      <c r="S1204" s="138"/>
      <c r="T1204" s="138"/>
      <c r="U1204" s="138"/>
      <c r="V1204" s="26" t="s">
        <v>2155</v>
      </c>
    </row>
    <row r="1205" spans="1:25" s="26" customFormat="1" ht="15" customHeight="1" x14ac:dyDescent="0.2">
      <c r="A1205" s="48">
        <v>41600.700335648202</v>
      </c>
      <c r="B1205" s="49" t="s">
        <v>16</v>
      </c>
      <c r="C1205" s="50" t="s">
        <v>999</v>
      </c>
      <c r="D1205" s="67">
        <v>41579</v>
      </c>
      <c r="E1205" s="50" t="s">
        <v>3091</v>
      </c>
      <c r="F1205" s="50" t="s">
        <v>3092</v>
      </c>
      <c r="G1205" s="49" t="s">
        <v>156</v>
      </c>
      <c r="H1205" s="50" t="s">
        <v>3093</v>
      </c>
      <c r="I1205" s="50" t="s">
        <v>3094</v>
      </c>
      <c r="J1205" s="117">
        <v>1</v>
      </c>
      <c r="K1205" s="117">
        <v>950</v>
      </c>
      <c r="L1205" s="142">
        <v>2235</v>
      </c>
      <c r="M1205" s="143" t="s">
        <v>44</v>
      </c>
      <c r="N1205" s="144"/>
      <c r="O1205" s="144">
        <v>1050</v>
      </c>
      <c r="P1205" s="144">
        <v>180</v>
      </c>
      <c r="Q1205" s="144">
        <v>650</v>
      </c>
      <c r="R1205" s="144">
        <v>1350</v>
      </c>
      <c r="S1205" s="144">
        <v>220</v>
      </c>
      <c r="T1205" s="144">
        <v>100</v>
      </c>
      <c r="U1205" s="144">
        <v>850</v>
      </c>
      <c r="V1205" s="50"/>
    </row>
    <row r="1206" spans="1:25" s="26" customFormat="1" ht="15" customHeight="1" x14ac:dyDescent="0.2">
      <c r="A1206" s="32">
        <v>41641.705231481479</v>
      </c>
      <c r="B1206" s="26" t="s">
        <v>16</v>
      </c>
      <c r="C1206" s="26" t="s">
        <v>999</v>
      </c>
      <c r="D1206" s="68">
        <v>41609</v>
      </c>
      <c r="E1206" s="26" t="s">
        <v>3895</v>
      </c>
      <c r="F1206" s="26" t="s">
        <v>3896</v>
      </c>
      <c r="G1206" s="26" t="s">
        <v>26</v>
      </c>
      <c r="H1206" s="26" t="s">
        <v>3897</v>
      </c>
      <c r="I1206" s="26" t="s">
        <v>2925</v>
      </c>
      <c r="J1206" s="46">
        <v>1</v>
      </c>
      <c r="K1206" s="46">
        <v>25</v>
      </c>
      <c r="L1206" s="136"/>
      <c r="M1206" s="137" t="s">
        <v>44</v>
      </c>
      <c r="N1206" s="138"/>
      <c r="O1206" s="138">
        <v>40</v>
      </c>
      <c r="P1206" s="138"/>
      <c r="Q1206" s="138"/>
      <c r="R1206" s="138"/>
      <c r="S1206" s="138">
        <v>40</v>
      </c>
      <c r="T1206" s="138"/>
      <c r="U1206" s="138">
        <v>200</v>
      </c>
      <c r="V1206" s="26" t="s">
        <v>3898</v>
      </c>
    </row>
    <row r="1207" spans="1:25" s="26" customFormat="1" ht="15" customHeight="1" x14ac:dyDescent="0.2">
      <c r="A1207" s="55">
        <v>41676.492870370399</v>
      </c>
      <c r="B1207" s="52" t="s">
        <v>16</v>
      </c>
      <c r="C1207" s="52" t="s">
        <v>999</v>
      </c>
      <c r="D1207" s="69">
        <v>41640</v>
      </c>
      <c r="E1207" s="52" t="s">
        <v>4397</v>
      </c>
      <c r="F1207" s="52" t="s">
        <v>4120</v>
      </c>
      <c r="G1207" s="52" t="s">
        <v>26</v>
      </c>
      <c r="H1207" s="52" t="s">
        <v>21</v>
      </c>
      <c r="I1207" s="52" t="s">
        <v>2926</v>
      </c>
      <c r="J1207" s="95">
        <v>1</v>
      </c>
      <c r="K1207" s="118">
        <v>0</v>
      </c>
      <c r="L1207" s="148"/>
      <c r="M1207" s="146" t="s">
        <v>22</v>
      </c>
      <c r="N1207" s="147"/>
      <c r="O1207" s="147"/>
      <c r="P1207" s="147"/>
      <c r="Q1207" s="147"/>
      <c r="R1207" s="147"/>
      <c r="S1207" s="147"/>
      <c r="T1207" s="147"/>
      <c r="U1207" s="149"/>
      <c r="V1207" s="52"/>
      <c r="W1207" s="52"/>
      <c r="X1207" s="52"/>
      <c r="Y1207" s="52"/>
    </row>
    <row r="1208" spans="1:25" s="26" customFormat="1" ht="15" customHeight="1" x14ac:dyDescent="0.2">
      <c r="A1208" s="32">
        <v>41728.465219907404</v>
      </c>
      <c r="B1208" s="26" t="s">
        <v>16</v>
      </c>
      <c r="C1208" s="26" t="s">
        <v>999</v>
      </c>
      <c r="D1208" s="33">
        <v>41699</v>
      </c>
      <c r="E1208" s="26" t="s">
        <v>5360</v>
      </c>
      <c r="F1208" s="26" t="s">
        <v>5361</v>
      </c>
      <c r="G1208" s="26" t="s">
        <v>156</v>
      </c>
      <c r="H1208" s="26" t="s">
        <v>5362</v>
      </c>
      <c r="I1208" s="26" t="s">
        <v>2926</v>
      </c>
      <c r="J1208" s="46">
        <v>1</v>
      </c>
      <c r="K1208" s="46">
        <v>200</v>
      </c>
      <c r="L1208" s="136">
        <v>80</v>
      </c>
      <c r="M1208" s="137" t="s">
        <v>44</v>
      </c>
      <c r="N1208" s="138"/>
      <c r="O1208" s="138">
        <v>75</v>
      </c>
      <c r="P1208" s="138">
        <v>40</v>
      </c>
      <c r="Q1208" s="138">
        <v>1150</v>
      </c>
      <c r="R1208" s="138"/>
      <c r="S1208" s="138">
        <v>20</v>
      </c>
      <c r="T1208" s="138">
        <v>50</v>
      </c>
      <c r="U1208" s="138"/>
      <c r="V1208" s="26" t="s">
        <v>5363</v>
      </c>
    </row>
    <row r="1209" spans="1:25" s="26" customFormat="1" ht="15" customHeight="1" x14ac:dyDescent="0.2">
      <c r="A1209" s="32">
        <v>41732.441493055558</v>
      </c>
      <c r="B1209" s="26" t="s">
        <v>16</v>
      </c>
      <c r="C1209" s="26" t="s">
        <v>999</v>
      </c>
      <c r="D1209" s="33">
        <v>41699</v>
      </c>
      <c r="E1209" s="26" t="s">
        <v>5523</v>
      </c>
      <c r="F1209" s="26" t="s">
        <v>5524</v>
      </c>
      <c r="G1209" s="26" t="s">
        <v>42</v>
      </c>
      <c r="H1209" s="26" t="s">
        <v>5525</v>
      </c>
      <c r="I1209" s="26" t="s">
        <v>5526</v>
      </c>
      <c r="J1209" s="46">
        <v>1</v>
      </c>
      <c r="K1209" s="46">
        <v>50</v>
      </c>
      <c r="L1209" s="136"/>
      <c r="M1209" s="137" t="s">
        <v>44</v>
      </c>
      <c r="N1209" s="138"/>
      <c r="O1209" s="138">
        <v>60</v>
      </c>
      <c r="P1209" s="138">
        <v>30</v>
      </c>
      <c r="Q1209" s="138"/>
      <c r="R1209" s="138"/>
      <c r="S1209" s="138"/>
      <c r="T1209" s="138"/>
      <c r="U1209" s="138"/>
      <c r="V1209" s="26" t="s">
        <v>5527</v>
      </c>
    </row>
    <row r="1210" spans="1:25" s="26" customFormat="1" ht="15" customHeight="1" x14ac:dyDescent="0.2">
      <c r="A1210" s="55">
        <v>41764.372789351801</v>
      </c>
      <c r="B1210" s="52" t="s">
        <v>16</v>
      </c>
      <c r="C1210" s="52" t="s">
        <v>999</v>
      </c>
      <c r="D1210" s="88" t="s">
        <v>6076</v>
      </c>
      <c r="E1210" s="52" t="s">
        <v>6366</v>
      </c>
      <c r="F1210" s="52" t="s">
        <v>6367</v>
      </c>
      <c r="G1210" s="52" t="s">
        <v>20</v>
      </c>
      <c r="H1210" s="52" t="s">
        <v>6368</v>
      </c>
      <c r="I1210" s="52" t="s">
        <v>6369</v>
      </c>
      <c r="J1210" s="95">
        <v>1</v>
      </c>
      <c r="K1210" s="95">
        <v>35</v>
      </c>
      <c r="L1210" s="149"/>
      <c r="M1210" s="146" t="s">
        <v>44</v>
      </c>
      <c r="N1210" s="149"/>
      <c r="O1210" s="149">
        <v>80</v>
      </c>
      <c r="P1210" s="149">
        <v>50</v>
      </c>
      <c r="Q1210" s="149">
        <v>160</v>
      </c>
      <c r="R1210" s="149"/>
      <c r="S1210" s="149"/>
      <c r="T1210" s="149">
        <v>40</v>
      </c>
      <c r="U1210" s="149"/>
      <c r="V1210" s="52"/>
    </row>
    <row r="1211" spans="1:25" s="26" customFormat="1" ht="15" customHeight="1" x14ac:dyDescent="0.2">
      <c r="A1211" s="93">
        <v>41792.6324537037</v>
      </c>
      <c r="B1211" s="89" t="s">
        <v>152</v>
      </c>
      <c r="C1211" s="52" t="s">
        <v>707</v>
      </c>
      <c r="D1211" s="87" t="s">
        <v>6224</v>
      </c>
      <c r="E1211" s="89" t="s">
        <v>7115</v>
      </c>
      <c r="F1211" s="89" t="s">
        <v>4513</v>
      </c>
      <c r="G1211" s="89" t="s">
        <v>26</v>
      </c>
      <c r="H1211" s="89" t="s">
        <v>4513</v>
      </c>
      <c r="I1211" s="89" t="s">
        <v>3001</v>
      </c>
      <c r="J1211" s="95">
        <v>1</v>
      </c>
      <c r="K1211" s="95">
        <v>2</v>
      </c>
      <c r="L1211" s="150"/>
      <c r="M1211" s="146" t="s">
        <v>22</v>
      </c>
      <c r="N1211" s="149"/>
      <c r="O1211" s="149"/>
      <c r="P1211" s="149"/>
      <c r="Q1211" s="149"/>
      <c r="R1211" s="149"/>
      <c r="S1211" s="149"/>
      <c r="T1211" s="149"/>
      <c r="U1211" s="149"/>
      <c r="V1211" s="89" t="s">
        <v>7116</v>
      </c>
      <c r="W1211" s="91"/>
      <c r="X1211" s="91"/>
      <c r="Y1211" s="91"/>
    </row>
    <row r="1212" spans="1:25" s="26" customFormat="1" ht="15" customHeight="1" x14ac:dyDescent="0.2">
      <c r="A1212" s="53">
        <v>41804.384525463</v>
      </c>
      <c r="B1212" s="54" t="s">
        <v>16</v>
      </c>
      <c r="C1212" s="52" t="s">
        <v>999</v>
      </c>
      <c r="D1212" s="113" t="s">
        <v>7147</v>
      </c>
      <c r="E1212" s="54" t="s">
        <v>7645</v>
      </c>
      <c r="F1212" s="54" t="s">
        <v>2153</v>
      </c>
      <c r="G1212" s="54" t="s">
        <v>26</v>
      </c>
      <c r="H1212" s="54" t="s">
        <v>7646</v>
      </c>
      <c r="I1212" s="54" t="s">
        <v>2925</v>
      </c>
      <c r="J1212" s="118">
        <v>1</v>
      </c>
      <c r="K1212" s="118">
        <v>13</v>
      </c>
      <c r="L1212" s="145">
        <v>164</v>
      </c>
      <c r="M1212" s="146" t="s">
        <v>44</v>
      </c>
      <c r="N1212" s="147"/>
      <c r="O1212" s="147">
        <v>20</v>
      </c>
      <c r="P1212" s="147">
        <v>18</v>
      </c>
      <c r="Q1212" s="147">
        <v>130</v>
      </c>
      <c r="R1212" s="147"/>
      <c r="S1212" s="147"/>
      <c r="T1212" s="147"/>
      <c r="U1212" s="147">
        <v>0</v>
      </c>
      <c r="V1212" s="54"/>
    </row>
    <row r="1213" spans="1:25" s="26" customFormat="1" ht="15" customHeight="1" x14ac:dyDescent="0.2">
      <c r="A1213" s="53">
        <v>41805.449421296304</v>
      </c>
      <c r="B1213" s="54" t="s">
        <v>16</v>
      </c>
      <c r="C1213" s="52" t="s">
        <v>999</v>
      </c>
      <c r="D1213" s="113" t="s">
        <v>7147</v>
      </c>
      <c r="E1213" s="54" t="s">
        <v>7650</v>
      </c>
      <c r="F1213" s="54" t="s">
        <v>7648</v>
      </c>
      <c r="G1213" s="54" t="s">
        <v>26</v>
      </c>
      <c r="H1213" s="54" t="s">
        <v>7651</v>
      </c>
      <c r="I1213" s="54" t="s">
        <v>2812</v>
      </c>
      <c r="J1213" s="118">
        <v>3</v>
      </c>
      <c r="K1213" s="118">
        <v>2</v>
      </c>
      <c r="L1213" s="145">
        <v>10</v>
      </c>
      <c r="M1213" s="146" t="s">
        <v>44</v>
      </c>
      <c r="N1213" s="147"/>
      <c r="O1213" s="147">
        <v>10</v>
      </c>
      <c r="P1213" s="147">
        <v>10</v>
      </c>
      <c r="Q1213" s="147"/>
      <c r="R1213" s="147"/>
      <c r="S1213" s="147"/>
      <c r="T1213" s="147"/>
      <c r="U1213" s="147"/>
      <c r="V1213" s="54"/>
    </row>
    <row r="1214" spans="1:25" s="26" customFormat="1" ht="15" customHeight="1" x14ac:dyDescent="0.2">
      <c r="A1214" s="53">
        <v>41805.455312500002</v>
      </c>
      <c r="B1214" s="54" t="s">
        <v>16</v>
      </c>
      <c r="C1214" s="52" t="s">
        <v>999</v>
      </c>
      <c r="D1214" s="113" t="s">
        <v>7147</v>
      </c>
      <c r="E1214" s="54" t="s">
        <v>7652</v>
      </c>
      <c r="F1214" s="54" t="s">
        <v>7648</v>
      </c>
      <c r="G1214" s="54" t="s">
        <v>26</v>
      </c>
      <c r="H1214" s="54" t="s">
        <v>7653</v>
      </c>
      <c r="I1214" s="54" t="s">
        <v>2812</v>
      </c>
      <c r="J1214" s="118">
        <v>3</v>
      </c>
      <c r="K1214" s="118">
        <v>6</v>
      </c>
      <c r="L1214" s="145">
        <v>30</v>
      </c>
      <c r="M1214" s="146" t="s">
        <v>44</v>
      </c>
      <c r="N1214" s="147"/>
      <c r="O1214" s="147">
        <v>15</v>
      </c>
      <c r="P1214" s="147">
        <v>15</v>
      </c>
      <c r="Q1214" s="147"/>
      <c r="R1214" s="147"/>
      <c r="S1214" s="147"/>
      <c r="T1214" s="147"/>
      <c r="U1214" s="147"/>
      <c r="V1214" s="54"/>
    </row>
    <row r="1215" spans="1:25" s="26" customFormat="1" ht="15" customHeight="1" x14ac:dyDescent="0.2">
      <c r="A1215" s="37">
        <v>41457.5331828704</v>
      </c>
      <c r="B1215" s="26" t="s">
        <v>16</v>
      </c>
      <c r="C1215" s="26" t="s">
        <v>17</v>
      </c>
      <c r="D1215" s="33">
        <v>41456</v>
      </c>
      <c r="E1215" s="26" t="s">
        <v>18</v>
      </c>
      <c r="F1215" s="26" t="s">
        <v>19</v>
      </c>
      <c r="G1215" s="26" t="s">
        <v>20</v>
      </c>
      <c r="H1215" s="26" t="s">
        <v>21</v>
      </c>
      <c r="J1215" s="115">
        <v>1</v>
      </c>
      <c r="K1215" s="115">
        <v>15</v>
      </c>
      <c r="L1215" s="136"/>
      <c r="M1215" s="137" t="s">
        <v>22</v>
      </c>
      <c r="N1215" s="138"/>
      <c r="O1215" s="138"/>
      <c r="P1215" s="138"/>
      <c r="Q1215" s="138"/>
      <c r="R1215" s="138"/>
      <c r="S1215" s="138"/>
      <c r="T1215" s="138"/>
      <c r="U1215" s="138"/>
      <c r="W1215" s="57"/>
      <c r="X1215" s="57"/>
      <c r="Y1215" s="57"/>
    </row>
    <row r="1216" spans="1:25" s="26" customFormat="1" ht="15" customHeight="1" x14ac:dyDescent="0.2">
      <c r="A1216" s="32">
        <v>41749.633530092593</v>
      </c>
      <c r="B1216" s="26" t="s">
        <v>16</v>
      </c>
      <c r="C1216" s="26" t="s">
        <v>17</v>
      </c>
      <c r="D1216" s="33">
        <v>41730</v>
      </c>
      <c r="E1216" s="26" t="s">
        <v>6008</v>
      </c>
      <c r="F1216" s="26" t="s">
        <v>6009</v>
      </c>
      <c r="G1216" s="26" t="s">
        <v>20</v>
      </c>
      <c r="H1216" s="26" t="s">
        <v>6010</v>
      </c>
      <c r="I1216" s="26" t="s">
        <v>2925</v>
      </c>
      <c r="J1216" s="46">
        <v>1</v>
      </c>
      <c r="K1216" s="46">
        <v>11</v>
      </c>
      <c r="L1216" s="138"/>
      <c r="M1216" s="137" t="s">
        <v>44</v>
      </c>
      <c r="N1216" s="138"/>
      <c r="O1216" s="138"/>
      <c r="P1216" s="138">
        <v>9</v>
      </c>
      <c r="Q1216" s="138"/>
      <c r="R1216" s="138"/>
      <c r="S1216" s="138"/>
      <c r="T1216" s="138"/>
      <c r="U1216" s="138"/>
    </row>
    <row r="1217" spans="1:25" s="26" customFormat="1" ht="15" customHeight="1" x14ac:dyDescent="0.2">
      <c r="A1217" s="32">
        <v>41749.636053240742</v>
      </c>
      <c r="B1217" s="26" t="s">
        <v>16</v>
      </c>
      <c r="C1217" s="26" t="s">
        <v>17</v>
      </c>
      <c r="D1217" s="33">
        <v>41730</v>
      </c>
      <c r="E1217" s="26" t="s">
        <v>6011</v>
      </c>
      <c r="F1217" s="26" t="s">
        <v>6012</v>
      </c>
      <c r="G1217" s="26" t="s">
        <v>20</v>
      </c>
      <c r="I1217" s="26" t="s">
        <v>2925</v>
      </c>
      <c r="J1217" s="46">
        <v>2</v>
      </c>
      <c r="K1217" s="46">
        <v>85</v>
      </c>
      <c r="L1217" s="138"/>
      <c r="M1217" s="137" t="s">
        <v>22</v>
      </c>
      <c r="N1217" s="138"/>
      <c r="O1217" s="138"/>
      <c r="P1217" s="138"/>
      <c r="Q1217" s="138"/>
      <c r="R1217" s="138"/>
      <c r="S1217" s="138"/>
      <c r="T1217" s="138"/>
      <c r="U1217" s="138"/>
    </row>
    <row r="1218" spans="1:25" s="26" customFormat="1" ht="15" customHeight="1" x14ac:dyDescent="0.2">
      <c r="A1218" s="93">
        <v>41792.634166666699</v>
      </c>
      <c r="B1218" s="89" t="s">
        <v>152</v>
      </c>
      <c r="C1218" s="52" t="s">
        <v>707</v>
      </c>
      <c r="D1218" s="87" t="s">
        <v>6224</v>
      </c>
      <c r="E1218" s="89" t="s">
        <v>1720</v>
      </c>
      <c r="F1218" s="89" t="s">
        <v>7117</v>
      </c>
      <c r="G1218" s="89" t="s">
        <v>26</v>
      </c>
      <c r="H1218" s="89" t="s">
        <v>7118</v>
      </c>
      <c r="I1218" s="89" t="s">
        <v>3001</v>
      </c>
      <c r="J1218" s="95">
        <v>1</v>
      </c>
      <c r="K1218" s="95">
        <v>26</v>
      </c>
      <c r="L1218" s="150"/>
      <c r="M1218" s="146" t="s">
        <v>44</v>
      </c>
      <c r="N1218" s="149"/>
      <c r="O1218" s="149">
        <v>25</v>
      </c>
      <c r="P1218" s="149"/>
      <c r="Q1218" s="149"/>
      <c r="R1218" s="149"/>
      <c r="S1218" s="149"/>
      <c r="T1218" s="149"/>
      <c r="U1218" s="149"/>
      <c r="V1218" s="89" t="s">
        <v>7119</v>
      </c>
      <c r="W1218" s="91"/>
      <c r="X1218" s="91"/>
      <c r="Y1218" s="91"/>
    </row>
    <row r="1219" spans="1:25" s="26" customFormat="1" ht="15" customHeight="1" x14ac:dyDescent="0.2">
      <c r="A1219" s="93">
        <v>41792.637268518498</v>
      </c>
      <c r="B1219" s="89" t="s">
        <v>152</v>
      </c>
      <c r="C1219" s="52" t="s">
        <v>707</v>
      </c>
      <c r="D1219" s="87" t="s">
        <v>6224</v>
      </c>
      <c r="E1219" s="89" t="s">
        <v>7120</v>
      </c>
      <c r="F1219" s="89" t="s">
        <v>373</v>
      </c>
      <c r="G1219" s="89" t="s">
        <v>26</v>
      </c>
      <c r="H1219" s="89" t="s">
        <v>7121</v>
      </c>
      <c r="I1219" s="89" t="s">
        <v>3001</v>
      </c>
      <c r="J1219" s="95">
        <v>5</v>
      </c>
      <c r="K1219" s="95">
        <v>219</v>
      </c>
      <c r="L1219" s="150"/>
      <c r="M1219" s="146" t="s">
        <v>22</v>
      </c>
      <c r="N1219" s="149"/>
      <c r="O1219" s="149"/>
      <c r="P1219" s="149"/>
      <c r="Q1219" s="149"/>
      <c r="R1219" s="149"/>
      <c r="S1219" s="149"/>
      <c r="T1219" s="149"/>
      <c r="U1219" s="149"/>
      <c r="V1219" s="89"/>
      <c r="W1219" s="91"/>
      <c r="X1219" s="91"/>
      <c r="Y1219" s="91"/>
    </row>
    <row r="1220" spans="1:25" s="26" customFormat="1" ht="15" customHeight="1" x14ac:dyDescent="0.2">
      <c r="A1220" s="93">
        <v>41792.6389583333</v>
      </c>
      <c r="B1220" s="89" t="s">
        <v>152</v>
      </c>
      <c r="C1220" s="52" t="s">
        <v>707</v>
      </c>
      <c r="D1220" s="87" t="s">
        <v>6224</v>
      </c>
      <c r="E1220" s="89" t="s">
        <v>779</v>
      </c>
      <c r="F1220" s="89" t="s">
        <v>344</v>
      </c>
      <c r="G1220" s="89" t="s">
        <v>26</v>
      </c>
      <c r="H1220" s="89" t="s">
        <v>7122</v>
      </c>
      <c r="I1220" s="89" t="s">
        <v>3001</v>
      </c>
      <c r="J1220" s="95">
        <v>2</v>
      </c>
      <c r="K1220" s="95">
        <v>30</v>
      </c>
      <c r="L1220" s="150"/>
      <c r="M1220" s="146" t="s">
        <v>22</v>
      </c>
      <c r="N1220" s="149"/>
      <c r="O1220" s="149"/>
      <c r="P1220" s="149"/>
      <c r="Q1220" s="149"/>
      <c r="R1220" s="149"/>
      <c r="S1220" s="149"/>
      <c r="T1220" s="149"/>
      <c r="U1220" s="149"/>
      <c r="V1220" s="89"/>
      <c r="W1220" s="91"/>
      <c r="X1220" s="91"/>
      <c r="Y1220" s="91"/>
    </row>
    <row r="1221" spans="1:25" s="26" customFormat="1" ht="15" customHeight="1" x14ac:dyDescent="0.2">
      <c r="A1221" s="93">
        <v>41792.642789351798</v>
      </c>
      <c r="B1221" s="89" t="s">
        <v>152</v>
      </c>
      <c r="C1221" s="52" t="s">
        <v>707</v>
      </c>
      <c r="D1221" s="87" t="s">
        <v>6224</v>
      </c>
      <c r="E1221" s="89" t="s">
        <v>7123</v>
      </c>
      <c r="F1221" s="89" t="s">
        <v>7124</v>
      </c>
      <c r="G1221" s="89" t="s">
        <v>26</v>
      </c>
      <c r="H1221" s="89" t="s">
        <v>6518</v>
      </c>
      <c r="I1221" s="89" t="s">
        <v>3001</v>
      </c>
      <c r="J1221" s="95">
        <v>3</v>
      </c>
      <c r="K1221" s="95">
        <v>97</v>
      </c>
      <c r="L1221" s="150"/>
      <c r="M1221" s="146" t="s">
        <v>22</v>
      </c>
      <c r="N1221" s="149"/>
      <c r="O1221" s="149"/>
      <c r="P1221" s="149"/>
      <c r="Q1221" s="149"/>
      <c r="R1221" s="149"/>
      <c r="S1221" s="149"/>
      <c r="T1221" s="149"/>
      <c r="U1221" s="149"/>
      <c r="V1221" s="89"/>
      <c r="W1221" s="91"/>
      <c r="X1221" s="91"/>
      <c r="Y1221" s="91"/>
    </row>
    <row r="1222" spans="1:25" s="26" customFormat="1" ht="15" customHeight="1" x14ac:dyDescent="0.2">
      <c r="A1222" s="53">
        <v>41798.797407407401</v>
      </c>
      <c r="B1222" s="54" t="s">
        <v>16</v>
      </c>
      <c r="C1222" s="52" t="s">
        <v>17</v>
      </c>
      <c r="D1222" s="113" t="s">
        <v>7147</v>
      </c>
      <c r="E1222" s="54" t="s">
        <v>7441</v>
      </c>
      <c r="F1222" s="54" t="s">
        <v>7442</v>
      </c>
      <c r="G1222" s="54" t="s">
        <v>20</v>
      </c>
      <c r="H1222" s="54" t="s">
        <v>21</v>
      </c>
      <c r="I1222" s="54"/>
      <c r="J1222" s="118">
        <v>1</v>
      </c>
      <c r="K1222" s="118">
        <v>25</v>
      </c>
      <c r="L1222" s="145"/>
      <c r="M1222" s="146" t="s">
        <v>22</v>
      </c>
      <c r="N1222" s="147"/>
      <c r="O1222" s="147"/>
      <c r="P1222" s="147"/>
      <c r="Q1222" s="147"/>
      <c r="R1222" s="147"/>
      <c r="S1222" s="147"/>
      <c r="T1222" s="147"/>
      <c r="U1222" s="147"/>
      <c r="V1222" s="54"/>
    </row>
    <row r="1223" spans="1:25" s="26" customFormat="1" ht="15" customHeight="1" x14ac:dyDescent="0.2">
      <c r="A1223" s="53">
        <v>41802.4776851852</v>
      </c>
      <c r="B1223" s="54" t="s">
        <v>16</v>
      </c>
      <c r="C1223" s="52" t="s">
        <v>17</v>
      </c>
      <c r="D1223" s="113" t="s">
        <v>7147</v>
      </c>
      <c r="E1223" s="54" t="s">
        <v>7601</v>
      </c>
      <c r="F1223" s="54" t="s">
        <v>7602</v>
      </c>
      <c r="G1223" s="54" t="s">
        <v>20</v>
      </c>
      <c r="H1223" s="54" t="s">
        <v>7603</v>
      </c>
      <c r="I1223" s="54" t="s">
        <v>2925</v>
      </c>
      <c r="J1223" s="118">
        <v>4</v>
      </c>
      <c r="K1223" s="118">
        <v>19</v>
      </c>
      <c r="L1223" s="145"/>
      <c r="M1223" s="146" t="s">
        <v>44</v>
      </c>
      <c r="N1223" s="147"/>
      <c r="O1223" s="147"/>
      <c r="P1223" s="147">
        <v>15</v>
      </c>
      <c r="Q1223" s="147"/>
      <c r="R1223" s="147"/>
      <c r="S1223" s="147"/>
      <c r="T1223" s="147"/>
      <c r="U1223" s="147"/>
      <c r="V1223" s="54"/>
    </row>
    <row r="1224" spans="1:25" s="26" customFormat="1" ht="15" customHeight="1" x14ac:dyDescent="0.2">
      <c r="A1224" s="37">
        <v>41460.735370370399</v>
      </c>
      <c r="B1224" s="26" t="s">
        <v>38</v>
      </c>
      <c r="C1224" s="26" t="s">
        <v>62</v>
      </c>
      <c r="D1224" s="33">
        <v>41456</v>
      </c>
      <c r="E1224" s="26" t="s">
        <v>63</v>
      </c>
      <c r="F1224" s="26" t="s">
        <v>64</v>
      </c>
      <c r="G1224" s="26" t="s">
        <v>26</v>
      </c>
      <c r="H1224" s="26" t="s">
        <v>65</v>
      </c>
      <c r="J1224" s="115">
        <v>1</v>
      </c>
      <c r="K1224" s="115">
        <v>4</v>
      </c>
      <c r="L1224" s="136">
        <v>60</v>
      </c>
      <c r="M1224" s="137" t="s">
        <v>44</v>
      </c>
      <c r="N1224" s="138"/>
      <c r="O1224" s="138">
        <v>5</v>
      </c>
      <c r="P1224" s="138"/>
      <c r="Q1224" s="138"/>
      <c r="R1224" s="138"/>
      <c r="S1224" s="138"/>
      <c r="T1224" s="138"/>
      <c r="U1224" s="138"/>
      <c r="V1224" s="26" t="s">
        <v>66</v>
      </c>
      <c r="W1224" s="57"/>
      <c r="X1224" s="57"/>
      <c r="Y1224" s="57"/>
    </row>
    <row r="1225" spans="1:25" s="26" customFormat="1" ht="15" customHeight="1" x14ac:dyDescent="0.2">
      <c r="A1225" s="37">
        <v>41463.681296296301</v>
      </c>
      <c r="B1225" s="26" t="s">
        <v>38</v>
      </c>
      <c r="C1225" s="26" t="s">
        <v>62</v>
      </c>
      <c r="D1225" s="33">
        <v>41456</v>
      </c>
      <c r="E1225" s="26" t="s">
        <v>144</v>
      </c>
      <c r="F1225" s="26" t="s">
        <v>145</v>
      </c>
      <c r="G1225" s="26" t="s">
        <v>42</v>
      </c>
      <c r="H1225" s="26" t="s">
        <v>146</v>
      </c>
      <c r="J1225" s="115">
        <v>1</v>
      </c>
      <c r="K1225" s="115">
        <v>5</v>
      </c>
      <c r="L1225" s="136">
        <v>75</v>
      </c>
      <c r="M1225" s="137" t="s">
        <v>44</v>
      </c>
      <c r="N1225" s="138"/>
      <c r="O1225" s="138">
        <v>10</v>
      </c>
      <c r="P1225" s="138"/>
      <c r="Q1225" s="138"/>
      <c r="R1225" s="138"/>
      <c r="S1225" s="138"/>
      <c r="T1225" s="138"/>
      <c r="U1225" s="138"/>
      <c r="V1225" s="26" t="s">
        <v>147</v>
      </c>
      <c r="W1225" s="57"/>
      <c r="X1225" s="57"/>
      <c r="Y1225" s="57"/>
    </row>
    <row r="1226" spans="1:25" s="26" customFormat="1" ht="15" customHeight="1" x14ac:dyDescent="0.2">
      <c r="A1226" s="37">
        <v>41463.683090277802</v>
      </c>
      <c r="B1226" s="26" t="s">
        <v>38</v>
      </c>
      <c r="C1226" s="26" t="s">
        <v>62</v>
      </c>
      <c r="D1226" s="33">
        <v>41456</v>
      </c>
      <c r="E1226" s="26" t="s">
        <v>148</v>
      </c>
      <c r="F1226" s="26" t="s">
        <v>149</v>
      </c>
      <c r="G1226" s="26" t="s">
        <v>26</v>
      </c>
      <c r="H1226" s="26" t="s">
        <v>150</v>
      </c>
      <c r="J1226" s="115">
        <v>1</v>
      </c>
      <c r="K1226" s="115">
        <v>2</v>
      </c>
      <c r="L1226" s="136">
        <v>30</v>
      </c>
      <c r="M1226" s="137" t="s">
        <v>44</v>
      </c>
      <c r="N1226" s="138"/>
      <c r="O1226" s="138">
        <v>5</v>
      </c>
      <c r="P1226" s="138"/>
      <c r="Q1226" s="138"/>
      <c r="R1226" s="138"/>
      <c r="S1226" s="138"/>
      <c r="T1226" s="138"/>
      <c r="U1226" s="138"/>
      <c r="V1226" s="26" t="s">
        <v>151</v>
      </c>
      <c r="W1226" s="57"/>
      <c r="X1226" s="57"/>
      <c r="Y1226" s="57"/>
    </row>
    <row r="1227" spans="1:25" s="26" customFormat="1" ht="15" customHeight="1" x14ac:dyDescent="0.2">
      <c r="A1227" s="37">
        <v>41465.378229166701</v>
      </c>
      <c r="B1227" s="26" t="s">
        <v>38</v>
      </c>
      <c r="C1227" s="26" t="s">
        <v>62</v>
      </c>
      <c r="D1227" s="33">
        <v>41456</v>
      </c>
      <c r="E1227" s="26" t="s">
        <v>159</v>
      </c>
      <c r="F1227" s="26" t="s">
        <v>160</v>
      </c>
      <c r="G1227" s="26" t="s">
        <v>26</v>
      </c>
      <c r="H1227" s="26" t="s">
        <v>161</v>
      </c>
      <c r="J1227" s="115">
        <v>1</v>
      </c>
      <c r="K1227" s="115">
        <v>1</v>
      </c>
      <c r="L1227" s="136"/>
      <c r="M1227" s="137" t="s">
        <v>44</v>
      </c>
      <c r="N1227" s="138"/>
      <c r="O1227" s="138">
        <v>5</v>
      </c>
      <c r="P1227" s="138">
        <v>21.5</v>
      </c>
      <c r="Q1227" s="138"/>
      <c r="R1227" s="138"/>
      <c r="S1227" s="138"/>
      <c r="T1227" s="138"/>
      <c r="U1227" s="138"/>
      <c r="V1227" s="26" t="s">
        <v>162</v>
      </c>
      <c r="W1227" s="57"/>
      <c r="X1227" s="57"/>
      <c r="Y1227" s="57"/>
    </row>
    <row r="1228" spans="1:25" s="26" customFormat="1" ht="15" customHeight="1" x14ac:dyDescent="0.2">
      <c r="A1228" s="37">
        <v>41469.518888888902</v>
      </c>
      <c r="B1228" s="26" t="s">
        <v>38</v>
      </c>
      <c r="C1228" s="26" t="s">
        <v>62</v>
      </c>
      <c r="D1228" s="33">
        <v>41456</v>
      </c>
      <c r="E1228" s="26" t="s">
        <v>192</v>
      </c>
      <c r="F1228" s="26" t="s">
        <v>193</v>
      </c>
      <c r="G1228" s="26" t="s">
        <v>26</v>
      </c>
      <c r="H1228" s="26" t="s">
        <v>194</v>
      </c>
      <c r="J1228" s="115">
        <v>1</v>
      </c>
      <c r="K1228" s="115">
        <v>7</v>
      </c>
      <c r="L1228" s="136">
        <v>35</v>
      </c>
      <c r="M1228" s="137" t="s">
        <v>44</v>
      </c>
      <c r="N1228" s="138"/>
      <c r="O1228" s="138">
        <v>5</v>
      </c>
      <c r="P1228" s="138"/>
      <c r="Q1228" s="138"/>
      <c r="R1228" s="138"/>
      <c r="S1228" s="138"/>
      <c r="T1228" s="138"/>
      <c r="U1228" s="138">
        <v>6</v>
      </c>
      <c r="V1228" s="26" t="s">
        <v>195</v>
      </c>
      <c r="W1228" s="57"/>
      <c r="X1228" s="57"/>
      <c r="Y1228" s="57"/>
    </row>
    <row r="1229" spans="1:25" s="26" customFormat="1" ht="15" customHeight="1" x14ac:dyDescent="0.2">
      <c r="A1229" s="37">
        <v>41469.702800925901</v>
      </c>
      <c r="B1229" s="26" t="s">
        <v>38</v>
      </c>
      <c r="C1229" s="26" t="s">
        <v>62</v>
      </c>
      <c r="D1229" s="33">
        <v>41456</v>
      </c>
      <c r="E1229" s="26" t="s">
        <v>196</v>
      </c>
      <c r="F1229" s="26" t="s">
        <v>197</v>
      </c>
      <c r="G1229" s="26" t="s">
        <v>26</v>
      </c>
      <c r="H1229" s="26" t="s">
        <v>198</v>
      </c>
      <c r="J1229" s="115">
        <v>1</v>
      </c>
      <c r="K1229" s="115">
        <v>16</v>
      </c>
      <c r="L1229" s="136">
        <v>240</v>
      </c>
      <c r="M1229" s="137" t="s">
        <v>44</v>
      </c>
      <c r="N1229" s="138"/>
      <c r="O1229" s="138">
        <v>5</v>
      </c>
      <c r="P1229" s="138"/>
      <c r="Q1229" s="138"/>
      <c r="R1229" s="138"/>
      <c r="S1229" s="138"/>
      <c r="T1229" s="138"/>
      <c r="U1229" s="138"/>
      <c r="V1229" s="26" t="s">
        <v>199</v>
      </c>
      <c r="W1229" s="57"/>
      <c r="X1229" s="57"/>
      <c r="Y1229" s="57"/>
    </row>
    <row r="1230" spans="1:25" s="26" customFormat="1" ht="15" customHeight="1" x14ac:dyDescent="0.2">
      <c r="A1230" s="37">
        <v>41475.740034722199</v>
      </c>
      <c r="B1230" s="26" t="s">
        <v>38</v>
      </c>
      <c r="C1230" s="26" t="s">
        <v>62</v>
      </c>
      <c r="D1230" s="33">
        <v>41456</v>
      </c>
      <c r="E1230" s="26" t="s">
        <v>261</v>
      </c>
      <c r="F1230" s="26" t="s">
        <v>262</v>
      </c>
      <c r="G1230" s="26" t="s">
        <v>26</v>
      </c>
      <c r="H1230" s="26" t="s">
        <v>263</v>
      </c>
      <c r="J1230" s="115">
        <v>1</v>
      </c>
      <c r="K1230" s="115">
        <v>18</v>
      </c>
      <c r="L1230" s="136">
        <v>180</v>
      </c>
      <c r="M1230" s="137" t="s">
        <v>44</v>
      </c>
      <c r="N1230" s="138"/>
      <c r="O1230" s="138">
        <v>15</v>
      </c>
      <c r="P1230" s="138"/>
      <c r="Q1230" s="138"/>
      <c r="R1230" s="138"/>
      <c r="S1230" s="138"/>
      <c r="T1230" s="138"/>
      <c r="U1230" s="138"/>
      <c r="V1230" s="26" t="s">
        <v>264</v>
      </c>
      <c r="W1230" s="57"/>
      <c r="X1230" s="57"/>
      <c r="Y1230" s="57"/>
    </row>
    <row r="1231" spans="1:25" s="26" customFormat="1" ht="15" customHeight="1" x14ac:dyDescent="0.2">
      <c r="A1231" s="37">
        <v>41476.629513888904</v>
      </c>
      <c r="B1231" s="26" t="s">
        <v>38</v>
      </c>
      <c r="C1231" s="26" t="s">
        <v>62</v>
      </c>
      <c r="D1231" s="33">
        <v>41456</v>
      </c>
      <c r="E1231" s="26" t="s">
        <v>272</v>
      </c>
      <c r="F1231" s="26" t="s">
        <v>273</v>
      </c>
      <c r="G1231" s="26" t="s">
        <v>26</v>
      </c>
      <c r="H1231" s="26" t="s">
        <v>274</v>
      </c>
      <c r="J1231" s="115">
        <v>1</v>
      </c>
      <c r="K1231" s="115">
        <v>20</v>
      </c>
      <c r="L1231" s="136">
        <v>300</v>
      </c>
      <c r="M1231" s="137" t="s">
        <v>44</v>
      </c>
      <c r="N1231" s="138"/>
      <c r="O1231" s="138">
        <v>25</v>
      </c>
      <c r="P1231" s="138"/>
      <c r="Q1231" s="138"/>
      <c r="R1231" s="138"/>
      <c r="S1231" s="138"/>
      <c r="T1231" s="138"/>
      <c r="U1231" s="138"/>
      <c r="V1231" s="26" t="s">
        <v>275</v>
      </c>
      <c r="W1231" s="57"/>
      <c r="X1231" s="57"/>
      <c r="Y1231" s="57"/>
    </row>
    <row r="1232" spans="1:25" s="26" customFormat="1" ht="15" customHeight="1" x14ac:dyDescent="0.2">
      <c r="A1232" s="37">
        <v>41493.703877314802</v>
      </c>
      <c r="B1232" s="26" t="s">
        <v>38</v>
      </c>
      <c r="C1232" s="26" t="s">
        <v>62</v>
      </c>
      <c r="D1232" s="33">
        <v>41456</v>
      </c>
      <c r="E1232" s="26" t="s">
        <v>1026</v>
      </c>
      <c r="F1232" s="26" t="s">
        <v>1027</v>
      </c>
      <c r="G1232" s="26" t="s">
        <v>42</v>
      </c>
      <c r="H1232" s="26" t="s">
        <v>1028</v>
      </c>
      <c r="J1232" s="115">
        <v>1</v>
      </c>
      <c r="K1232" s="115">
        <v>11</v>
      </c>
      <c r="L1232" s="136">
        <v>275</v>
      </c>
      <c r="M1232" s="137" t="s">
        <v>44</v>
      </c>
      <c r="N1232" s="138"/>
      <c r="O1232" s="138"/>
      <c r="P1232" s="138"/>
      <c r="Q1232" s="138"/>
      <c r="R1232" s="138"/>
      <c r="S1232" s="138"/>
      <c r="T1232" s="138"/>
      <c r="U1232" s="138">
        <v>50</v>
      </c>
      <c r="V1232" s="26" t="s">
        <v>1029</v>
      </c>
      <c r="W1232" s="57"/>
      <c r="X1232" s="57"/>
      <c r="Y1232" s="57"/>
    </row>
    <row r="1233" spans="1:25" s="26" customFormat="1" ht="15" customHeight="1" x14ac:dyDescent="0.2">
      <c r="A1233" s="38">
        <v>41493.710277777776</v>
      </c>
      <c r="B1233" s="29" t="s">
        <v>38</v>
      </c>
      <c r="C1233" s="29" t="s">
        <v>62</v>
      </c>
      <c r="D1233" s="30">
        <v>41487</v>
      </c>
      <c r="E1233" s="29" t="s">
        <v>1310</v>
      </c>
      <c r="F1233" s="29" t="s">
        <v>1311</v>
      </c>
      <c r="G1233" s="29" t="s">
        <v>26</v>
      </c>
      <c r="H1233" s="29" t="s">
        <v>1312</v>
      </c>
      <c r="I1233" s="29"/>
      <c r="J1233" s="116">
        <v>1</v>
      </c>
      <c r="K1233" s="116">
        <v>19</v>
      </c>
      <c r="L1233" s="139">
        <v>300</v>
      </c>
      <c r="M1233" s="140" t="s">
        <v>44</v>
      </c>
      <c r="N1233" s="141"/>
      <c r="O1233" s="141">
        <v>10</v>
      </c>
      <c r="P1233" s="141"/>
      <c r="Q1233" s="141"/>
      <c r="R1233" s="141">
        <v>250</v>
      </c>
      <c r="S1233" s="141"/>
      <c r="T1233" s="141">
        <v>185</v>
      </c>
      <c r="U1233" s="141"/>
      <c r="V1233" s="29" t="s">
        <v>7667</v>
      </c>
      <c r="W1233" s="57"/>
      <c r="X1233" s="57"/>
      <c r="Y1233" s="57"/>
    </row>
    <row r="1234" spans="1:25" s="26" customFormat="1" ht="15" customHeight="1" x14ac:dyDescent="0.2">
      <c r="A1234" s="38">
        <v>41497.78638888889</v>
      </c>
      <c r="B1234" s="29" t="s">
        <v>38</v>
      </c>
      <c r="C1234" s="29" t="s">
        <v>62</v>
      </c>
      <c r="D1234" s="30">
        <v>41487</v>
      </c>
      <c r="E1234" s="31" t="s">
        <v>1344</v>
      </c>
      <c r="F1234" s="29" t="s">
        <v>1345</v>
      </c>
      <c r="G1234" s="29" t="s">
        <v>26</v>
      </c>
      <c r="H1234" s="29" t="s">
        <v>1346</v>
      </c>
      <c r="I1234" s="29"/>
      <c r="J1234" s="116">
        <v>1</v>
      </c>
      <c r="K1234" s="116">
        <v>18</v>
      </c>
      <c r="L1234" s="139">
        <v>590</v>
      </c>
      <c r="M1234" s="140" t="s">
        <v>44</v>
      </c>
      <c r="N1234" s="141"/>
      <c r="O1234" s="141">
        <v>15</v>
      </c>
      <c r="P1234" s="141">
        <v>10</v>
      </c>
      <c r="Q1234" s="141">
        <v>25</v>
      </c>
      <c r="R1234" s="141"/>
      <c r="S1234" s="141"/>
      <c r="T1234" s="141"/>
      <c r="U1234" s="141"/>
      <c r="V1234" s="29" t="s">
        <v>1347</v>
      </c>
      <c r="W1234" s="57"/>
      <c r="X1234" s="57"/>
      <c r="Y1234" s="57"/>
    </row>
    <row r="1235" spans="1:25" s="26" customFormat="1" ht="15" customHeight="1" x14ac:dyDescent="0.2">
      <c r="A1235" s="38">
        <v>41497.789837962962</v>
      </c>
      <c r="B1235" s="29" t="s">
        <v>38</v>
      </c>
      <c r="C1235" s="29" t="s">
        <v>62</v>
      </c>
      <c r="D1235" s="30">
        <v>41487</v>
      </c>
      <c r="E1235" s="29" t="s">
        <v>1341</v>
      </c>
      <c r="F1235" s="29" t="s">
        <v>1342</v>
      </c>
      <c r="G1235" s="29" t="s">
        <v>26</v>
      </c>
      <c r="H1235" s="29" t="s">
        <v>1343</v>
      </c>
      <c r="I1235" s="29"/>
      <c r="J1235" s="116">
        <v>1</v>
      </c>
      <c r="K1235" s="116">
        <v>18</v>
      </c>
      <c r="L1235" s="139">
        <v>270</v>
      </c>
      <c r="M1235" s="140" t="s">
        <v>44</v>
      </c>
      <c r="N1235" s="141"/>
      <c r="O1235" s="141">
        <v>20</v>
      </c>
      <c r="P1235" s="141"/>
      <c r="Q1235" s="141"/>
      <c r="R1235" s="141"/>
      <c r="S1235" s="141"/>
      <c r="T1235" s="141"/>
      <c r="U1235" s="141"/>
      <c r="V1235" s="29"/>
      <c r="W1235" s="57"/>
      <c r="X1235" s="57"/>
      <c r="Y1235" s="57"/>
    </row>
    <row r="1236" spans="1:25" s="26" customFormat="1" ht="15" customHeight="1" x14ac:dyDescent="0.2">
      <c r="A1236" s="38">
        <v>41500.717789351853</v>
      </c>
      <c r="B1236" s="29" t="s">
        <v>38</v>
      </c>
      <c r="C1236" s="29" t="s">
        <v>62</v>
      </c>
      <c r="D1236" s="30">
        <v>41487</v>
      </c>
      <c r="E1236" s="31" t="s">
        <v>1365</v>
      </c>
      <c r="F1236" s="29" t="s">
        <v>1366</v>
      </c>
      <c r="G1236" s="29" t="s">
        <v>26</v>
      </c>
      <c r="H1236" s="29" t="s">
        <v>1367</v>
      </c>
      <c r="I1236" s="29"/>
      <c r="J1236" s="116">
        <v>1</v>
      </c>
      <c r="K1236" s="116">
        <v>15</v>
      </c>
      <c r="L1236" s="139">
        <v>300</v>
      </c>
      <c r="M1236" s="140" t="s">
        <v>44</v>
      </c>
      <c r="N1236" s="141"/>
      <c r="O1236" s="141">
        <v>15</v>
      </c>
      <c r="P1236" s="141"/>
      <c r="Q1236" s="141"/>
      <c r="R1236" s="141"/>
      <c r="S1236" s="141"/>
      <c r="T1236" s="141"/>
      <c r="U1236" s="141"/>
      <c r="V1236" s="29"/>
    </row>
    <row r="1237" spans="1:25" s="26" customFormat="1" ht="15" customHeight="1" x14ac:dyDescent="0.2">
      <c r="A1237" s="38">
        <v>41500.718923611108</v>
      </c>
      <c r="B1237" s="29" t="s">
        <v>38</v>
      </c>
      <c r="C1237" s="29" t="s">
        <v>62</v>
      </c>
      <c r="D1237" s="30">
        <v>41487</v>
      </c>
      <c r="E1237" s="31" t="s">
        <v>1368</v>
      </c>
      <c r="F1237" s="29" t="s">
        <v>1369</v>
      </c>
      <c r="G1237" s="29" t="s">
        <v>26</v>
      </c>
      <c r="H1237" s="29" t="s">
        <v>1367</v>
      </c>
      <c r="I1237" s="29"/>
      <c r="J1237" s="116">
        <v>1</v>
      </c>
      <c r="K1237" s="116">
        <v>5</v>
      </c>
      <c r="L1237" s="139">
        <v>90</v>
      </c>
      <c r="M1237" s="140" t="s">
        <v>44</v>
      </c>
      <c r="N1237" s="141"/>
      <c r="O1237" s="141">
        <v>10</v>
      </c>
      <c r="P1237" s="141"/>
      <c r="Q1237" s="141"/>
      <c r="R1237" s="141"/>
      <c r="S1237" s="141"/>
      <c r="T1237" s="141"/>
      <c r="U1237" s="141"/>
      <c r="V1237" s="29"/>
    </row>
    <row r="1238" spans="1:25" s="26" customFormat="1" ht="15" customHeight="1" x14ac:dyDescent="0.2">
      <c r="A1238" s="38">
        <v>41503.728032407409</v>
      </c>
      <c r="B1238" s="29" t="s">
        <v>38</v>
      </c>
      <c r="C1238" s="29" t="s">
        <v>62</v>
      </c>
      <c r="D1238" s="30">
        <v>41487</v>
      </c>
      <c r="E1238" s="31" t="s">
        <v>1380</v>
      </c>
      <c r="F1238" s="29" t="s">
        <v>1381</v>
      </c>
      <c r="G1238" s="29" t="s">
        <v>26</v>
      </c>
      <c r="H1238" s="29" t="s">
        <v>1382</v>
      </c>
      <c r="I1238" s="29"/>
      <c r="J1238" s="116">
        <v>2</v>
      </c>
      <c r="K1238" s="116">
        <v>29</v>
      </c>
      <c r="L1238" s="139">
        <v>499</v>
      </c>
      <c r="M1238" s="140" t="s">
        <v>44</v>
      </c>
      <c r="N1238" s="141"/>
      <c r="O1238" s="141"/>
      <c r="P1238" s="141"/>
      <c r="Q1238" s="141">
        <v>87</v>
      </c>
      <c r="R1238" s="141"/>
      <c r="S1238" s="141"/>
      <c r="T1238" s="141"/>
      <c r="U1238" s="141"/>
      <c r="V1238" s="29" t="s">
        <v>1383</v>
      </c>
    </row>
    <row r="1239" spans="1:25" s="26" customFormat="1" ht="15" customHeight="1" x14ac:dyDescent="0.2">
      <c r="A1239" s="38">
        <v>41503.731192129628</v>
      </c>
      <c r="B1239" s="29" t="s">
        <v>38</v>
      </c>
      <c r="C1239" s="29" t="s">
        <v>62</v>
      </c>
      <c r="D1239" s="30">
        <v>41487</v>
      </c>
      <c r="E1239" s="31" t="s">
        <v>1384</v>
      </c>
      <c r="F1239" s="29" t="s">
        <v>1381</v>
      </c>
      <c r="G1239" s="29" t="s">
        <v>26</v>
      </c>
      <c r="H1239" s="29"/>
      <c r="I1239" s="29"/>
      <c r="J1239" s="116">
        <v>2</v>
      </c>
      <c r="K1239" s="116">
        <v>20</v>
      </c>
      <c r="L1239" s="139">
        <v>195</v>
      </c>
      <c r="M1239" s="140" t="s">
        <v>22</v>
      </c>
      <c r="N1239" s="141"/>
      <c r="O1239" s="141"/>
      <c r="P1239" s="141"/>
      <c r="Q1239" s="141"/>
      <c r="R1239" s="141"/>
      <c r="S1239" s="141"/>
      <c r="T1239" s="141"/>
      <c r="U1239" s="141"/>
      <c r="V1239" s="29" t="s">
        <v>1385</v>
      </c>
    </row>
    <row r="1240" spans="1:25" s="26" customFormat="1" ht="15" customHeight="1" x14ac:dyDescent="0.2">
      <c r="A1240" s="38">
        <v>41506.357546296298</v>
      </c>
      <c r="B1240" s="29" t="s">
        <v>38</v>
      </c>
      <c r="C1240" s="29" t="s">
        <v>62</v>
      </c>
      <c r="D1240" s="30">
        <v>41487</v>
      </c>
      <c r="E1240" s="31" t="s">
        <v>1392</v>
      </c>
      <c r="F1240" s="29" t="s">
        <v>1393</v>
      </c>
      <c r="G1240" s="29" t="s">
        <v>26</v>
      </c>
      <c r="H1240" s="29" t="s">
        <v>1394</v>
      </c>
      <c r="I1240" s="29"/>
      <c r="J1240" s="116">
        <v>1</v>
      </c>
      <c r="K1240" s="116">
        <v>4</v>
      </c>
      <c r="L1240" s="139">
        <v>30</v>
      </c>
      <c r="M1240" s="140" t="s">
        <v>44</v>
      </c>
      <c r="N1240" s="141"/>
      <c r="O1240" s="141">
        <v>10</v>
      </c>
      <c r="P1240" s="141"/>
      <c r="Q1240" s="141"/>
      <c r="R1240" s="141">
        <v>250</v>
      </c>
      <c r="S1240" s="141"/>
      <c r="T1240" s="141"/>
      <c r="U1240" s="141"/>
      <c r="V1240" s="29"/>
    </row>
    <row r="1241" spans="1:25" s="26" customFormat="1" ht="15" customHeight="1" x14ac:dyDescent="0.2">
      <c r="A1241" s="38">
        <v>41511.512187499997</v>
      </c>
      <c r="B1241" s="29" t="s">
        <v>38</v>
      </c>
      <c r="C1241" s="29" t="s">
        <v>62</v>
      </c>
      <c r="D1241" s="30">
        <v>41487</v>
      </c>
      <c r="E1241" s="31" t="s">
        <v>1410</v>
      </c>
      <c r="F1241" s="29" t="s">
        <v>193</v>
      </c>
      <c r="G1241" s="29" t="s">
        <v>26</v>
      </c>
      <c r="H1241" s="29" t="s">
        <v>1411</v>
      </c>
      <c r="I1241" s="29"/>
      <c r="J1241" s="116">
        <v>1</v>
      </c>
      <c r="K1241" s="116">
        <v>4</v>
      </c>
      <c r="L1241" s="139">
        <v>20</v>
      </c>
      <c r="M1241" s="140" t="s">
        <v>44</v>
      </c>
      <c r="N1241" s="141"/>
      <c r="O1241" s="141">
        <v>5</v>
      </c>
      <c r="P1241" s="141"/>
      <c r="Q1241" s="141"/>
      <c r="R1241" s="141"/>
      <c r="S1241" s="141"/>
      <c r="T1241" s="141"/>
      <c r="U1241" s="141"/>
      <c r="V1241" s="29"/>
    </row>
    <row r="1242" spans="1:25" s="26" customFormat="1" ht="15" customHeight="1" x14ac:dyDescent="0.2">
      <c r="A1242" s="38">
        <v>41511.513541666667</v>
      </c>
      <c r="B1242" s="29" t="s">
        <v>38</v>
      </c>
      <c r="C1242" s="29" t="s">
        <v>62</v>
      </c>
      <c r="D1242" s="30">
        <v>41487</v>
      </c>
      <c r="E1242" s="31" t="s">
        <v>1407</v>
      </c>
      <c r="F1242" s="29" t="s">
        <v>1408</v>
      </c>
      <c r="G1242" s="29" t="s">
        <v>26</v>
      </c>
      <c r="H1242" s="39" t="s">
        <v>1409</v>
      </c>
      <c r="I1242" s="39"/>
      <c r="J1242" s="116">
        <v>1</v>
      </c>
      <c r="K1242" s="116">
        <v>11</v>
      </c>
      <c r="L1242" s="139">
        <v>165</v>
      </c>
      <c r="M1242" s="140" t="s">
        <v>44</v>
      </c>
      <c r="N1242" s="141"/>
      <c r="O1242" s="141"/>
      <c r="P1242" s="141"/>
      <c r="Q1242" s="141">
        <v>25</v>
      </c>
      <c r="R1242" s="141"/>
      <c r="S1242" s="141"/>
      <c r="T1242" s="141"/>
      <c r="U1242" s="141"/>
      <c r="V1242" s="29"/>
    </row>
    <row r="1243" spans="1:25" s="26" customFormat="1" ht="15" customHeight="1" x14ac:dyDescent="0.2">
      <c r="A1243" s="38">
        <v>41511.515636574077</v>
      </c>
      <c r="B1243" s="29" t="s">
        <v>38</v>
      </c>
      <c r="C1243" s="29" t="s">
        <v>62</v>
      </c>
      <c r="D1243" s="30">
        <v>41487</v>
      </c>
      <c r="E1243" s="31" t="s">
        <v>1310</v>
      </c>
      <c r="F1243" s="29" t="s">
        <v>1311</v>
      </c>
      <c r="G1243" s="29" t="s">
        <v>26</v>
      </c>
      <c r="H1243" s="29" t="s">
        <v>1412</v>
      </c>
      <c r="I1243" s="29"/>
      <c r="J1243" s="116">
        <v>1</v>
      </c>
      <c r="K1243" s="116">
        <v>27</v>
      </c>
      <c r="L1243" s="139">
        <v>345</v>
      </c>
      <c r="M1243" s="140" t="s">
        <v>44</v>
      </c>
      <c r="N1243" s="141"/>
      <c r="O1243" s="141">
        <v>25</v>
      </c>
      <c r="P1243" s="141"/>
      <c r="Q1243" s="141">
        <v>54</v>
      </c>
      <c r="R1243" s="141"/>
      <c r="S1243" s="141"/>
      <c r="T1243" s="141"/>
      <c r="U1243" s="141"/>
      <c r="V1243" s="29"/>
    </row>
    <row r="1244" spans="1:25" s="26" customFormat="1" ht="15" customHeight="1" x14ac:dyDescent="0.2">
      <c r="A1244" s="38">
        <v>41514.627083333333</v>
      </c>
      <c r="B1244" s="29" t="s">
        <v>38</v>
      </c>
      <c r="C1244" s="29" t="s">
        <v>62</v>
      </c>
      <c r="D1244" s="30">
        <v>41487</v>
      </c>
      <c r="E1244" s="31" t="s">
        <v>1416</v>
      </c>
      <c r="F1244" s="29" t="s">
        <v>1417</v>
      </c>
      <c r="G1244" s="29" t="s">
        <v>26</v>
      </c>
      <c r="H1244" s="29" t="s">
        <v>1418</v>
      </c>
      <c r="I1244" s="29"/>
      <c r="J1244" s="116">
        <v>1</v>
      </c>
      <c r="K1244" s="116">
        <v>3</v>
      </c>
      <c r="L1244" s="139">
        <v>45</v>
      </c>
      <c r="M1244" s="140" t="s">
        <v>44</v>
      </c>
      <c r="N1244" s="141"/>
      <c r="O1244" s="141">
        <v>10</v>
      </c>
      <c r="P1244" s="141"/>
      <c r="Q1244" s="141"/>
      <c r="R1244" s="141"/>
      <c r="S1244" s="141"/>
      <c r="T1244" s="141"/>
      <c r="U1244" s="141"/>
      <c r="V1244" s="29"/>
    </row>
    <row r="1245" spans="1:25" s="26" customFormat="1" ht="15" customHeight="1" x14ac:dyDescent="0.2">
      <c r="A1245" s="38">
        <v>41514.628159722219</v>
      </c>
      <c r="B1245" s="29" t="s">
        <v>38</v>
      </c>
      <c r="C1245" s="29" t="s">
        <v>62</v>
      </c>
      <c r="D1245" s="30">
        <v>41487</v>
      </c>
      <c r="E1245" s="31" t="s">
        <v>1183</v>
      </c>
      <c r="F1245" s="29" t="s">
        <v>263</v>
      </c>
      <c r="G1245" s="29" t="s">
        <v>26</v>
      </c>
      <c r="H1245" s="29" t="s">
        <v>1419</v>
      </c>
      <c r="I1245" s="29"/>
      <c r="J1245" s="116">
        <v>1</v>
      </c>
      <c r="K1245" s="116">
        <v>16</v>
      </c>
      <c r="L1245" s="139">
        <v>160</v>
      </c>
      <c r="M1245" s="140" t="s">
        <v>44</v>
      </c>
      <c r="N1245" s="141"/>
      <c r="O1245" s="141">
        <v>40</v>
      </c>
      <c r="P1245" s="141"/>
      <c r="Q1245" s="141"/>
      <c r="R1245" s="141"/>
      <c r="S1245" s="141"/>
      <c r="T1245" s="141"/>
      <c r="U1245" s="141"/>
      <c r="V1245" s="29"/>
    </row>
    <row r="1246" spans="1:25" s="26" customFormat="1" ht="15" customHeight="1" x14ac:dyDescent="0.2">
      <c r="A1246" s="38">
        <v>41518.392187500001</v>
      </c>
      <c r="B1246" s="29" t="s">
        <v>38</v>
      </c>
      <c r="C1246" s="29" t="s">
        <v>62</v>
      </c>
      <c r="D1246" s="30">
        <v>41487</v>
      </c>
      <c r="E1246" s="31" t="s">
        <v>1484</v>
      </c>
      <c r="F1246" s="29" t="s">
        <v>1485</v>
      </c>
      <c r="G1246" s="29" t="s">
        <v>26</v>
      </c>
      <c r="H1246" s="29" t="s">
        <v>1486</v>
      </c>
      <c r="I1246" s="29"/>
      <c r="J1246" s="116">
        <v>1</v>
      </c>
      <c r="K1246" s="116">
        <v>9</v>
      </c>
      <c r="L1246" s="139">
        <v>105</v>
      </c>
      <c r="M1246" s="140" t="s">
        <v>44</v>
      </c>
      <c r="N1246" s="141"/>
      <c r="O1246" s="141">
        <v>10</v>
      </c>
      <c r="P1246" s="141"/>
      <c r="Q1246" s="141"/>
      <c r="R1246" s="141"/>
      <c r="S1246" s="141"/>
      <c r="T1246" s="141"/>
      <c r="U1246" s="141"/>
      <c r="V1246" s="29"/>
    </row>
    <row r="1247" spans="1:25" s="26" customFormat="1" ht="15" customHeight="1" x14ac:dyDescent="0.2">
      <c r="A1247" s="38">
        <v>41518.393726851849</v>
      </c>
      <c r="B1247" s="29" t="s">
        <v>38</v>
      </c>
      <c r="C1247" s="29" t="s">
        <v>62</v>
      </c>
      <c r="D1247" s="30">
        <v>41487</v>
      </c>
      <c r="E1247" s="31" t="s">
        <v>1487</v>
      </c>
      <c r="F1247" s="29" t="s">
        <v>1342</v>
      </c>
      <c r="G1247" s="29" t="s">
        <v>26</v>
      </c>
      <c r="H1247" s="29" t="s">
        <v>1488</v>
      </c>
      <c r="I1247" s="29"/>
      <c r="J1247" s="116">
        <v>1</v>
      </c>
      <c r="K1247" s="116">
        <v>6</v>
      </c>
      <c r="L1247" s="139">
        <v>90</v>
      </c>
      <c r="M1247" s="140" t="s">
        <v>44</v>
      </c>
      <c r="N1247" s="141"/>
      <c r="O1247" s="141">
        <v>5</v>
      </c>
      <c r="P1247" s="141"/>
      <c r="Q1247" s="141"/>
      <c r="R1247" s="141"/>
      <c r="S1247" s="141"/>
      <c r="T1247" s="141"/>
      <c r="U1247" s="141"/>
      <c r="V1247" s="29"/>
    </row>
    <row r="1248" spans="1:25" s="26" customFormat="1" ht="15" customHeight="1" x14ac:dyDescent="0.2">
      <c r="A1248" s="38">
        <v>41518.394884259258</v>
      </c>
      <c r="B1248" s="29" t="s">
        <v>38</v>
      </c>
      <c r="C1248" s="29" t="s">
        <v>62</v>
      </c>
      <c r="D1248" s="30">
        <v>41487</v>
      </c>
      <c r="E1248" s="31" t="s">
        <v>1489</v>
      </c>
      <c r="F1248" s="29" t="s">
        <v>1490</v>
      </c>
      <c r="G1248" s="29" t="s">
        <v>26</v>
      </c>
      <c r="H1248" s="29" t="s">
        <v>1491</v>
      </c>
      <c r="I1248" s="29"/>
      <c r="J1248" s="116">
        <v>1</v>
      </c>
      <c r="K1248" s="116">
        <v>2</v>
      </c>
      <c r="L1248" s="139">
        <v>30</v>
      </c>
      <c r="M1248" s="140" t="s">
        <v>22</v>
      </c>
      <c r="N1248" s="141"/>
      <c r="O1248" s="141"/>
      <c r="P1248" s="141"/>
      <c r="Q1248" s="141"/>
      <c r="R1248" s="141"/>
      <c r="S1248" s="141"/>
      <c r="T1248" s="141"/>
      <c r="U1248" s="141"/>
      <c r="V1248" s="29"/>
    </row>
    <row r="1249" spans="1:25" s="26" customFormat="1" ht="15" customHeight="1" x14ac:dyDescent="0.2">
      <c r="A1249" s="28">
        <v>41518.485277777778</v>
      </c>
      <c r="B1249" s="29" t="s">
        <v>38</v>
      </c>
      <c r="C1249" s="29" t="s">
        <v>62</v>
      </c>
      <c r="D1249" s="30">
        <v>41518</v>
      </c>
      <c r="E1249" s="29" t="s">
        <v>2009</v>
      </c>
      <c r="F1249" s="29" t="s">
        <v>193</v>
      </c>
      <c r="G1249" s="29" t="s">
        <v>26</v>
      </c>
      <c r="H1249" s="29" t="s">
        <v>1411</v>
      </c>
      <c r="I1249" s="29"/>
      <c r="J1249" s="116">
        <v>1</v>
      </c>
      <c r="K1249" s="116">
        <v>5</v>
      </c>
      <c r="L1249" s="139">
        <v>25</v>
      </c>
      <c r="M1249" s="140" t="s">
        <v>44</v>
      </c>
      <c r="N1249" s="141"/>
      <c r="O1249" s="141">
        <v>5</v>
      </c>
      <c r="P1249" s="141"/>
      <c r="Q1249" s="141"/>
      <c r="R1249" s="141"/>
      <c r="S1249" s="141"/>
      <c r="T1249" s="141"/>
      <c r="U1249" s="141"/>
      <c r="V1249" s="29" t="s">
        <v>2010</v>
      </c>
    </row>
    <row r="1250" spans="1:25" s="26" customFormat="1" ht="15" customHeight="1" x14ac:dyDescent="0.2">
      <c r="A1250" s="28">
        <v>41518.637118055558</v>
      </c>
      <c r="B1250" s="29" t="s">
        <v>38</v>
      </c>
      <c r="C1250" s="29" t="s">
        <v>62</v>
      </c>
      <c r="D1250" s="30">
        <v>41518</v>
      </c>
      <c r="E1250" s="29" t="s">
        <v>2011</v>
      </c>
      <c r="F1250" s="29" t="s">
        <v>2012</v>
      </c>
      <c r="G1250" s="29" t="s">
        <v>26</v>
      </c>
      <c r="H1250" s="29" t="s">
        <v>2013</v>
      </c>
      <c r="I1250" s="29"/>
      <c r="J1250" s="116">
        <v>1</v>
      </c>
      <c r="K1250" s="116">
        <v>10</v>
      </c>
      <c r="L1250" s="139"/>
      <c r="M1250" s="140" t="s">
        <v>44</v>
      </c>
      <c r="N1250" s="141"/>
      <c r="O1250" s="141">
        <v>5</v>
      </c>
      <c r="P1250" s="141">
        <v>5.12</v>
      </c>
      <c r="Q1250" s="141"/>
      <c r="R1250" s="141"/>
      <c r="S1250" s="141"/>
      <c r="T1250" s="141"/>
      <c r="U1250" s="141"/>
      <c r="V1250" s="29" t="s">
        <v>2014</v>
      </c>
    </row>
    <row r="1251" spans="1:25" s="26" customFormat="1" ht="15" customHeight="1" x14ac:dyDescent="0.2">
      <c r="A1251" s="32">
        <v>41525.597013888888</v>
      </c>
      <c r="B1251" s="26" t="s">
        <v>38</v>
      </c>
      <c r="C1251" s="26" t="s">
        <v>62</v>
      </c>
      <c r="D1251" s="30">
        <v>41518</v>
      </c>
      <c r="E1251" s="26" t="s">
        <v>2053</v>
      </c>
      <c r="F1251" s="26" t="s">
        <v>1311</v>
      </c>
      <c r="G1251" s="26" t="s">
        <v>26</v>
      </c>
      <c r="H1251" s="26" t="s">
        <v>2054</v>
      </c>
      <c r="J1251" s="46">
        <v>1</v>
      </c>
      <c r="K1251" s="46">
        <v>17</v>
      </c>
      <c r="L1251" s="136">
        <v>240</v>
      </c>
      <c r="M1251" s="137" t="s">
        <v>44</v>
      </c>
      <c r="N1251" s="138"/>
      <c r="O1251" s="138">
        <v>15</v>
      </c>
      <c r="P1251" s="138"/>
      <c r="Q1251" s="138"/>
      <c r="R1251" s="138"/>
      <c r="S1251" s="138"/>
      <c r="T1251" s="138"/>
      <c r="U1251" s="138"/>
    </row>
    <row r="1252" spans="1:25" s="26" customFormat="1" ht="15" customHeight="1" x14ac:dyDescent="0.2">
      <c r="A1252" s="32">
        <v>41542.353113425925</v>
      </c>
      <c r="B1252" s="26" t="s">
        <v>38</v>
      </c>
      <c r="C1252" s="26" t="s">
        <v>62</v>
      </c>
      <c r="D1252" s="30">
        <v>41518</v>
      </c>
      <c r="E1252" s="26" t="s">
        <v>2161</v>
      </c>
      <c r="F1252" s="26" t="s">
        <v>2153</v>
      </c>
      <c r="G1252" s="26" t="s">
        <v>26</v>
      </c>
      <c r="H1252" s="26" t="s">
        <v>2162</v>
      </c>
      <c r="J1252" s="46">
        <v>1</v>
      </c>
      <c r="K1252" s="46">
        <v>7</v>
      </c>
      <c r="L1252" s="136">
        <v>90</v>
      </c>
      <c r="M1252" s="137" t="s">
        <v>44</v>
      </c>
      <c r="N1252" s="138"/>
      <c r="O1252" s="138">
        <v>15</v>
      </c>
      <c r="P1252" s="138"/>
      <c r="Q1252" s="138"/>
      <c r="R1252" s="138"/>
      <c r="S1252" s="138"/>
      <c r="T1252" s="138"/>
      <c r="U1252" s="138"/>
    </row>
    <row r="1253" spans="1:25" s="26" customFormat="1" ht="15" customHeight="1" x14ac:dyDescent="0.2">
      <c r="A1253" s="32">
        <v>41542.355682870373</v>
      </c>
      <c r="B1253" s="26" t="s">
        <v>38</v>
      </c>
      <c r="C1253" s="26" t="s">
        <v>62</v>
      </c>
      <c r="D1253" s="30">
        <v>41518</v>
      </c>
      <c r="E1253" s="26" t="s">
        <v>1180</v>
      </c>
      <c r="F1253" s="26" t="s">
        <v>273</v>
      </c>
      <c r="G1253" s="26" t="s">
        <v>26</v>
      </c>
      <c r="H1253" s="26" t="s">
        <v>2163</v>
      </c>
      <c r="J1253" s="46">
        <v>1</v>
      </c>
      <c r="K1253" s="46">
        <v>10</v>
      </c>
      <c r="L1253" s="136">
        <v>75</v>
      </c>
      <c r="M1253" s="137" t="s">
        <v>44</v>
      </c>
      <c r="N1253" s="138"/>
      <c r="O1253" s="138">
        <v>15</v>
      </c>
      <c r="P1253" s="138"/>
      <c r="Q1253" s="138"/>
      <c r="R1253" s="138"/>
      <c r="S1253" s="138"/>
      <c r="T1253" s="138"/>
      <c r="U1253" s="138"/>
    </row>
    <row r="1254" spans="1:25" s="26" customFormat="1" ht="15" customHeight="1" x14ac:dyDescent="0.2">
      <c r="A1254" s="32">
        <v>41542.358993055554</v>
      </c>
      <c r="B1254" s="26" t="s">
        <v>38</v>
      </c>
      <c r="C1254" s="26" t="s">
        <v>62</v>
      </c>
      <c r="D1254" s="30">
        <v>41518</v>
      </c>
      <c r="E1254" s="26" t="s">
        <v>2164</v>
      </c>
      <c r="F1254" s="34" t="s">
        <v>2165</v>
      </c>
      <c r="G1254" s="26" t="s">
        <v>351</v>
      </c>
      <c r="H1254" s="26" t="s">
        <v>2166</v>
      </c>
      <c r="J1254" s="46">
        <v>1</v>
      </c>
      <c r="K1254" s="46">
        <v>7</v>
      </c>
      <c r="L1254" s="136"/>
      <c r="M1254" s="137" t="s">
        <v>22</v>
      </c>
      <c r="N1254" s="138"/>
      <c r="O1254" s="138"/>
      <c r="P1254" s="138"/>
      <c r="Q1254" s="138"/>
      <c r="R1254" s="138"/>
      <c r="S1254" s="138"/>
      <c r="T1254" s="138"/>
      <c r="U1254" s="138"/>
    </row>
    <row r="1255" spans="1:25" s="26" customFormat="1" ht="15" customHeight="1" x14ac:dyDescent="0.2">
      <c r="A1255" s="32">
        <v>41542.371631944443</v>
      </c>
      <c r="B1255" s="26" t="s">
        <v>38</v>
      </c>
      <c r="C1255" s="26" t="s">
        <v>62</v>
      </c>
      <c r="D1255" s="30">
        <v>41518</v>
      </c>
      <c r="E1255" s="26" t="s">
        <v>2167</v>
      </c>
      <c r="F1255" s="26" t="s">
        <v>197</v>
      </c>
      <c r="G1255" s="26" t="s">
        <v>26</v>
      </c>
      <c r="H1255" s="26" t="s">
        <v>2168</v>
      </c>
      <c r="J1255" s="46">
        <v>1</v>
      </c>
      <c r="K1255" s="46">
        <v>12</v>
      </c>
      <c r="L1255" s="136">
        <v>180</v>
      </c>
      <c r="M1255" s="137" t="s">
        <v>44</v>
      </c>
      <c r="N1255" s="138"/>
      <c r="O1255" s="138">
        <v>10</v>
      </c>
      <c r="P1255" s="138"/>
      <c r="Q1255" s="138"/>
      <c r="R1255" s="138"/>
      <c r="S1255" s="138"/>
      <c r="T1255" s="138"/>
      <c r="U1255" s="138"/>
    </row>
    <row r="1256" spans="1:25" s="26" customFormat="1" ht="15" customHeight="1" x14ac:dyDescent="0.2">
      <c r="A1256" s="32">
        <v>41552.732673611114</v>
      </c>
      <c r="B1256" s="26" t="s">
        <v>38</v>
      </c>
      <c r="C1256" s="26" t="s">
        <v>62</v>
      </c>
      <c r="D1256" s="30">
        <v>41518</v>
      </c>
      <c r="E1256" s="26" t="s">
        <v>2494</v>
      </c>
      <c r="F1256" s="34" t="s">
        <v>2257</v>
      </c>
      <c r="G1256" s="26" t="s">
        <v>26</v>
      </c>
      <c r="H1256" s="26" t="s">
        <v>2495</v>
      </c>
      <c r="J1256" s="46">
        <v>1</v>
      </c>
      <c r="K1256" s="46">
        <v>35</v>
      </c>
      <c r="L1256" s="136"/>
      <c r="M1256" s="137" t="s">
        <v>44</v>
      </c>
      <c r="N1256" s="138"/>
      <c r="O1256" s="138"/>
      <c r="P1256" s="138">
        <v>30</v>
      </c>
      <c r="Q1256" s="138"/>
      <c r="R1256" s="138"/>
      <c r="S1256" s="138"/>
      <c r="T1256" s="138"/>
      <c r="U1256" s="138"/>
      <c r="V1256" s="26" t="s">
        <v>2496</v>
      </c>
    </row>
    <row r="1257" spans="1:25" s="26" customFormat="1" ht="15" customHeight="1" x14ac:dyDescent="0.2">
      <c r="A1257" s="48">
        <v>41586.431585648199</v>
      </c>
      <c r="B1257" s="49" t="s">
        <v>38</v>
      </c>
      <c r="C1257" s="50" t="s">
        <v>62</v>
      </c>
      <c r="D1257" s="67">
        <v>41579</v>
      </c>
      <c r="E1257" s="50" t="s">
        <v>2958</v>
      </c>
      <c r="F1257" s="50" t="s">
        <v>2811</v>
      </c>
      <c r="G1257" s="49" t="s">
        <v>26</v>
      </c>
      <c r="H1257" s="50" t="s">
        <v>2959</v>
      </c>
      <c r="I1257" s="50"/>
      <c r="J1257" s="117">
        <v>2</v>
      </c>
      <c r="K1257" s="117">
        <v>32</v>
      </c>
      <c r="L1257" s="142">
        <v>160</v>
      </c>
      <c r="M1257" s="143" t="s">
        <v>22</v>
      </c>
      <c r="N1257" s="144"/>
      <c r="O1257" s="144"/>
      <c r="P1257" s="144"/>
      <c r="Q1257" s="144"/>
      <c r="R1257" s="144"/>
      <c r="S1257" s="144"/>
      <c r="T1257" s="144"/>
      <c r="U1257" s="144"/>
      <c r="V1257" s="50"/>
    </row>
    <row r="1258" spans="1:25" s="26" customFormat="1" ht="15" customHeight="1" x14ac:dyDescent="0.2">
      <c r="A1258" s="48">
        <v>41592.345081018502</v>
      </c>
      <c r="B1258" s="49" t="s">
        <v>38</v>
      </c>
      <c r="C1258" s="50" t="s">
        <v>62</v>
      </c>
      <c r="D1258" s="67">
        <v>41579</v>
      </c>
      <c r="E1258" s="50" t="s">
        <v>2998</v>
      </c>
      <c r="F1258" s="50" t="s">
        <v>2999</v>
      </c>
      <c r="G1258" s="49" t="s">
        <v>26</v>
      </c>
      <c r="H1258" s="50" t="s">
        <v>3000</v>
      </c>
      <c r="I1258" s="50" t="s">
        <v>3001</v>
      </c>
      <c r="J1258" s="117">
        <v>1</v>
      </c>
      <c r="K1258" s="117">
        <v>6</v>
      </c>
      <c r="L1258" s="142">
        <v>30</v>
      </c>
      <c r="M1258" s="143" t="s">
        <v>22</v>
      </c>
      <c r="N1258" s="144"/>
      <c r="O1258" s="144"/>
      <c r="P1258" s="144"/>
      <c r="Q1258" s="144"/>
      <c r="R1258" s="144"/>
      <c r="S1258" s="144"/>
      <c r="T1258" s="144"/>
      <c r="U1258" s="144"/>
      <c r="V1258" s="50" t="s">
        <v>3002</v>
      </c>
    </row>
    <row r="1259" spans="1:25" s="26" customFormat="1" ht="15" customHeight="1" x14ac:dyDescent="0.2">
      <c r="A1259" s="48">
        <v>41592.345856481501</v>
      </c>
      <c r="B1259" s="49" t="s">
        <v>38</v>
      </c>
      <c r="C1259" s="50" t="s">
        <v>62</v>
      </c>
      <c r="D1259" s="67">
        <v>41579</v>
      </c>
      <c r="E1259" s="50" t="s">
        <v>1576</v>
      </c>
      <c r="F1259" s="50" t="s">
        <v>193</v>
      </c>
      <c r="G1259" s="49" t="s">
        <v>26</v>
      </c>
      <c r="H1259" s="50"/>
      <c r="I1259" s="50" t="s">
        <v>3001</v>
      </c>
      <c r="J1259" s="117">
        <v>1</v>
      </c>
      <c r="K1259" s="117">
        <v>2</v>
      </c>
      <c r="L1259" s="142">
        <v>10</v>
      </c>
      <c r="M1259" s="143" t="s">
        <v>22</v>
      </c>
      <c r="N1259" s="144"/>
      <c r="O1259" s="144"/>
      <c r="P1259" s="144"/>
      <c r="Q1259" s="144"/>
      <c r="R1259" s="144"/>
      <c r="S1259" s="144"/>
      <c r="T1259" s="144"/>
      <c r="U1259" s="144"/>
      <c r="V1259" s="50"/>
    </row>
    <row r="1260" spans="1:25" s="26" customFormat="1" ht="15" customHeight="1" x14ac:dyDescent="0.2">
      <c r="A1260" s="48">
        <v>41594.5463773148</v>
      </c>
      <c r="B1260" s="49" t="s">
        <v>38</v>
      </c>
      <c r="C1260" s="50" t="s">
        <v>62</v>
      </c>
      <c r="D1260" s="67">
        <v>41579</v>
      </c>
      <c r="E1260" s="50" t="s">
        <v>2828</v>
      </c>
      <c r="F1260" s="50" t="s">
        <v>3036</v>
      </c>
      <c r="G1260" s="49" t="s">
        <v>26</v>
      </c>
      <c r="H1260" s="50" t="s">
        <v>3037</v>
      </c>
      <c r="I1260" s="50" t="s">
        <v>3038</v>
      </c>
      <c r="J1260" s="117">
        <v>2</v>
      </c>
      <c r="K1260" s="117">
        <v>11</v>
      </c>
      <c r="L1260" s="142">
        <v>55</v>
      </c>
      <c r="M1260" s="143" t="s">
        <v>44</v>
      </c>
      <c r="N1260" s="144"/>
      <c r="O1260" s="144">
        <v>15</v>
      </c>
      <c r="P1260" s="144"/>
      <c r="Q1260" s="144"/>
      <c r="R1260" s="144"/>
      <c r="S1260" s="144"/>
      <c r="T1260" s="144"/>
      <c r="U1260" s="144"/>
      <c r="V1260" s="50" t="s">
        <v>3039</v>
      </c>
    </row>
    <row r="1261" spans="1:25" s="26" customFormat="1" ht="15" customHeight="1" x14ac:dyDescent="0.2">
      <c r="A1261" s="48">
        <v>41602.661030092597</v>
      </c>
      <c r="B1261" s="49" t="s">
        <v>38</v>
      </c>
      <c r="C1261" s="50" t="s">
        <v>62</v>
      </c>
      <c r="D1261" s="67">
        <v>41579</v>
      </c>
      <c r="E1261" s="50" t="s">
        <v>2098</v>
      </c>
      <c r="F1261" s="50" t="s">
        <v>3102</v>
      </c>
      <c r="G1261" s="49" t="s">
        <v>26</v>
      </c>
      <c r="H1261" s="50"/>
      <c r="I1261" s="50" t="s">
        <v>3038</v>
      </c>
      <c r="J1261" s="117">
        <v>1</v>
      </c>
      <c r="K1261" s="117">
        <v>5</v>
      </c>
      <c r="L1261" s="142"/>
      <c r="M1261" s="143" t="s">
        <v>44</v>
      </c>
      <c r="N1261" s="144"/>
      <c r="O1261" s="144"/>
      <c r="P1261" s="144">
        <v>6</v>
      </c>
      <c r="Q1261" s="144"/>
      <c r="R1261" s="144"/>
      <c r="S1261" s="144"/>
      <c r="T1261" s="144"/>
      <c r="U1261" s="144"/>
      <c r="V1261" s="50" t="s">
        <v>3103</v>
      </c>
    </row>
    <row r="1262" spans="1:25" s="26" customFormat="1" ht="15" customHeight="1" x14ac:dyDescent="0.2">
      <c r="A1262" s="48">
        <v>41623.650127314802</v>
      </c>
      <c r="B1262" s="49" t="s">
        <v>38</v>
      </c>
      <c r="C1262" s="50" t="s">
        <v>62</v>
      </c>
      <c r="D1262" s="67">
        <v>41579</v>
      </c>
      <c r="E1262" s="50" t="s">
        <v>3675</v>
      </c>
      <c r="F1262" s="50" t="s">
        <v>3676</v>
      </c>
      <c r="G1262" s="49" t="s">
        <v>156</v>
      </c>
      <c r="H1262" s="50" t="s">
        <v>3677</v>
      </c>
      <c r="I1262" s="50" t="s">
        <v>3678</v>
      </c>
      <c r="J1262" s="117">
        <v>1</v>
      </c>
      <c r="K1262" s="117">
        <v>30</v>
      </c>
      <c r="L1262" s="142"/>
      <c r="M1262" s="143"/>
      <c r="N1262" s="144"/>
      <c r="O1262" s="144"/>
      <c r="P1262" s="144"/>
      <c r="Q1262" s="144"/>
      <c r="R1262" s="144"/>
      <c r="S1262" s="144"/>
      <c r="T1262" s="144"/>
      <c r="U1262" s="144"/>
      <c r="V1262" s="50" t="s">
        <v>3679</v>
      </c>
    </row>
    <row r="1263" spans="1:25" s="26" customFormat="1" ht="15" customHeight="1" x14ac:dyDescent="0.2">
      <c r="A1263" s="32">
        <v>41622.555023148147</v>
      </c>
      <c r="B1263" s="26" t="s">
        <v>38</v>
      </c>
      <c r="C1263" s="26" t="s">
        <v>62</v>
      </c>
      <c r="D1263" s="68">
        <v>41609</v>
      </c>
      <c r="E1263" s="26" t="s">
        <v>2828</v>
      </c>
      <c r="F1263" s="26" t="s">
        <v>3748</v>
      </c>
      <c r="G1263" s="26" t="s">
        <v>26</v>
      </c>
      <c r="H1263" s="26" t="s">
        <v>3749</v>
      </c>
      <c r="I1263" s="26" t="s">
        <v>3678</v>
      </c>
      <c r="J1263" s="46">
        <v>2</v>
      </c>
      <c r="K1263" s="46">
        <v>8</v>
      </c>
      <c r="L1263" s="136">
        <v>40</v>
      </c>
      <c r="M1263" s="137" t="s">
        <v>44</v>
      </c>
      <c r="N1263" s="138"/>
      <c r="O1263" s="138">
        <v>15</v>
      </c>
      <c r="P1263" s="138"/>
      <c r="Q1263" s="138"/>
      <c r="R1263" s="138"/>
      <c r="S1263" s="138"/>
      <c r="T1263" s="138"/>
      <c r="U1263" s="138"/>
      <c r="V1263" s="26" t="s">
        <v>3750</v>
      </c>
    </row>
    <row r="1264" spans="1:25" s="26" customFormat="1" ht="15" customHeight="1" x14ac:dyDescent="0.2">
      <c r="A1264" s="53">
        <v>41640.829178240703</v>
      </c>
      <c r="B1264" s="54" t="s">
        <v>38</v>
      </c>
      <c r="C1264" s="52" t="s">
        <v>62</v>
      </c>
      <c r="D1264" s="69">
        <v>41640</v>
      </c>
      <c r="E1264" s="54" t="s">
        <v>4132</v>
      </c>
      <c r="F1264" s="54" t="s">
        <v>4129</v>
      </c>
      <c r="G1264" s="54" t="s">
        <v>26</v>
      </c>
      <c r="H1264" s="54" t="s">
        <v>4133</v>
      </c>
      <c r="I1264" s="54" t="s">
        <v>3678</v>
      </c>
      <c r="J1264" s="95">
        <v>1</v>
      </c>
      <c r="K1264" s="118">
        <v>7</v>
      </c>
      <c r="L1264" s="145">
        <v>35</v>
      </c>
      <c r="M1264" s="146" t="s">
        <v>44</v>
      </c>
      <c r="N1264" s="147"/>
      <c r="O1264" s="147">
        <v>15</v>
      </c>
      <c r="P1264" s="147"/>
      <c r="Q1264" s="147"/>
      <c r="R1264" s="147"/>
      <c r="S1264" s="147"/>
      <c r="T1264" s="147"/>
      <c r="U1264" s="147"/>
      <c r="V1264" s="54"/>
      <c r="W1264" s="52"/>
      <c r="X1264" s="52"/>
      <c r="Y1264" s="52"/>
    </row>
    <row r="1265" spans="1:25" s="26" customFormat="1" ht="15" customHeight="1" x14ac:dyDescent="0.2">
      <c r="A1265" s="55">
        <v>41658.383819444403</v>
      </c>
      <c r="B1265" s="52" t="s">
        <v>38</v>
      </c>
      <c r="C1265" s="52" t="s">
        <v>62</v>
      </c>
      <c r="D1265" s="69">
        <v>41640</v>
      </c>
      <c r="E1265" s="52" t="s">
        <v>2958</v>
      </c>
      <c r="F1265" s="52" t="s">
        <v>3748</v>
      </c>
      <c r="G1265" s="52" t="s">
        <v>26</v>
      </c>
      <c r="H1265" s="52" t="s">
        <v>4211</v>
      </c>
      <c r="I1265" s="52" t="s">
        <v>3038</v>
      </c>
      <c r="J1265" s="95">
        <v>2</v>
      </c>
      <c r="K1265" s="118">
        <v>12</v>
      </c>
      <c r="L1265" s="148">
        <v>60</v>
      </c>
      <c r="M1265" s="146" t="s">
        <v>44</v>
      </c>
      <c r="N1265" s="147"/>
      <c r="O1265" s="147">
        <v>5</v>
      </c>
      <c r="P1265" s="147"/>
      <c r="Q1265" s="147"/>
      <c r="R1265" s="147"/>
      <c r="S1265" s="147"/>
      <c r="T1265" s="147"/>
      <c r="U1265" s="149"/>
      <c r="V1265" s="52" t="s">
        <v>4212</v>
      </c>
      <c r="W1265" s="52"/>
      <c r="X1265" s="52"/>
      <c r="Y1265" s="52"/>
    </row>
    <row r="1266" spans="1:25" s="26" customFormat="1" ht="15" customHeight="1" x14ac:dyDescent="0.2">
      <c r="A1266" s="55">
        <v>41658.384803240697</v>
      </c>
      <c r="B1266" s="52" t="s">
        <v>38</v>
      </c>
      <c r="C1266" s="52" t="s">
        <v>62</v>
      </c>
      <c r="D1266" s="69">
        <v>41640</v>
      </c>
      <c r="E1266" s="52" t="s">
        <v>4213</v>
      </c>
      <c r="F1266" s="52" t="s">
        <v>4214</v>
      </c>
      <c r="G1266" s="52" t="s">
        <v>26</v>
      </c>
      <c r="H1266" s="52" t="s">
        <v>4215</v>
      </c>
      <c r="I1266" s="52" t="s">
        <v>3038</v>
      </c>
      <c r="J1266" s="95">
        <v>1</v>
      </c>
      <c r="K1266" s="118">
        <v>2</v>
      </c>
      <c r="L1266" s="148">
        <v>10</v>
      </c>
      <c r="M1266" s="146" t="s">
        <v>44</v>
      </c>
      <c r="N1266" s="147"/>
      <c r="O1266" s="147"/>
      <c r="P1266" s="147"/>
      <c r="Q1266" s="147"/>
      <c r="R1266" s="147"/>
      <c r="S1266" s="147">
        <v>20</v>
      </c>
      <c r="T1266" s="147"/>
      <c r="U1266" s="149"/>
      <c r="V1266" s="52"/>
      <c r="W1266" s="52"/>
      <c r="X1266" s="52"/>
      <c r="Y1266" s="52"/>
    </row>
    <row r="1267" spans="1:25" s="26" customFormat="1" ht="15" customHeight="1" x14ac:dyDescent="0.2">
      <c r="A1267" s="55">
        <v>41664.562465277799</v>
      </c>
      <c r="B1267" s="52" t="s">
        <v>38</v>
      </c>
      <c r="C1267" s="52" t="s">
        <v>62</v>
      </c>
      <c r="D1267" s="69">
        <v>41640</v>
      </c>
      <c r="E1267" s="52" t="s">
        <v>4251</v>
      </c>
      <c r="F1267" s="52" t="s">
        <v>4252</v>
      </c>
      <c r="G1267" s="52" t="s">
        <v>26</v>
      </c>
      <c r="H1267" s="52" t="s">
        <v>4253</v>
      </c>
      <c r="I1267" s="52" t="s">
        <v>3001</v>
      </c>
      <c r="J1267" s="95">
        <v>1</v>
      </c>
      <c r="K1267" s="118">
        <v>3</v>
      </c>
      <c r="L1267" s="148">
        <v>15</v>
      </c>
      <c r="M1267" s="146" t="s">
        <v>44</v>
      </c>
      <c r="N1267" s="147"/>
      <c r="O1267" s="147">
        <v>10</v>
      </c>
      <c r="P1267" s="147"/>
      <c r="Q1267" s="147"/>
      <c r="R1267" s="147"/>
      <c r="S1267" s="147"/>
      <c r="T1267" s="147"/>
      <c r="U1267" s="149"/>
      <c r="V1267" s="52" t="s">
        <v>4254</v>
      </c>
      <c r="W1267" s="52"/>
      <c r="X1267" s="52"/>
      <c r="Y1267" s="52"/>
    </row>
    <row r="1268" spans="1:25" s="26" customFormat="1" ht="15" customHeight="1" x14ac:dyDescent="0.2">
      <c r="A1268" s="55">
        <v>41671.547256944446</v>
      </c>
      <c r="B1268" s="52" t="s">
        <v>38</v>
      </c>
      <c r="C1268" s="52" t="s">
        <v>62</v>
      </c>
      <c r="D1268" s="69">
        <v>41671</v>
      </c>
      <c r="E1268" s="52" t="s">
        <v>4539</v>
      </c>
      <c r="F1268" s="52" t="s">
        <v>2805</v>
      </c>
      <c r="G1268" s="52" t="s">
        <v>26</v>
      </c>
      <c r="H1268" s="52" t="s">
        <v>4540</v>
      </c>
      <c r="I1268" s="52" t="s">
        <v>3038</v>
      </c>
      <c r="J1268" s="95">
        <v>1</v>
      </c>
      <c r="K1268" s="118">
        <v>21</v>
      </c>
      <c r="L1268" s="148"/>
      <c r="M1268" s="146" t="s">
        <v>44</v>
      </c>
      <c r="N1268" s="147"/>
      <c r="O1268" s="147">
        <v>50</v>
      </c>
      <c r="P1268" s="147">
        <v>39.4</v>
      </c>
      <c r="Q1268" s="147"/>
      <c r="R1268" s="147"/>
      <c r="S1268" s="147"/>
      <c r="T1268" s="147"/>
      <c r="U1268" s="149"/>
      <c r="V1268" s="52" t="s">
        <v>4541</v>
      </c>
      <c r="W1268" s="52"/>
      <c r="X1268" s="52"/>
      <c r="Y1268" s="52"/>
    </row>
    <row r="1269" spans="1:25" s="26" customFormat="1" ht="15" customHeight="1" x14ac:dyDescent="0.2">
      <c r="A1269" s="32">
        <v>41681.627523148149</v>
      </c>
      <c r="B1269" s="26" t="s">
        <v>38</v>
      </c>
      <c r="C1269" s="26" t="s">
        <v>62</v>
      </c>
      <c r="D1269" s="33">
        <v>41671</v>
      </c>
      <c r="E1269" s="26" t="s">
        <v>4577</v>
      </c>
      <c r="F1269" s="26" t="s">
        <v>4578</v>
      </c>
      <c r="G1269" s="26" t="s">
        <v>26</v>
      </c>
      <c r="H1269" s="26" t="s">
        <v>4579</v>
      </c>
      <c r="I1269" s="26" t="s">
        <v>3678</v>
      </c>
      <c r="J1269" s="46">
        <v>1</v>
      </c>
      <c r="K1269" s="46">
        <v>4</v>
      </c>
      <c r="L1269" s="136">
        <v>20</v>
      </c>
      <c r="M1269" s="137" t="s">
        <v>44</v>
      </c>
      <c r="N1269" s="138"/>
      <c r="O1269" s="138">
        <v>10</v>
      </c>
      <c r="P1269" s="138"/>
      <c r="Q1269" s="138"/>
      <c r="R1269" s="138"/>
      <c r="S1269" s="138"/>
      <c r="T1269" s="138"/>
      <c r="U1269" s="138"/>
      <c r="V1269" s="26" t="s">
        <v>4580</v>
      </c>
    </row>
    <row r="1270" spans="1:25" s="26" customFormat="1" ht="15" customHeight="1" x14ac:dyDescent="0.2">
      <c r="A1270" s="32">
        <v>41685.558263888888</v>
      </c>
      <c r="B1270" s="26" t="s">
        <v>38</v>
      </c>
      <c r="C1270" s="26" t="s">
        <v>62</v>
      </c>
      <c r="D1270" s="33">
        <v>41671</v>
      </c>
      <c r="E1270" s="26" t="s">
        <v>2828</v>
      </c>
      <c r="F1270" s="26" t="s">
        <v>4588</v>
      </c>
      <c r="G1270" s="26" t="s">
        <v>26</v>
      </c>
      <c r="H1270" s="26" t="s">
        <v>4211</v>
      </c>
      <c r="I1270" s="26" t="s">
        <v>3678</v>
      </c>
      <c r="J1270" s="46">
        <v>2</v>
      </c>
      <c r="K1270" s="46">
        <v>10</v>
      </c>
      <c r="L1270" s="136">
        <v>50</v>
      </c>
      <c r="M1270" s="137" t="s">
        <v>44</v>
      </c>
      <c r="N1270" s="138"/>
      <c r="O1270" s="138">
        <v>10</v>
      </c>
      <c r="P1270" s="138"/>
      <c r="Q1270" s="138"/>
      <c r="R1270" s="138"/>
      <c r="S1270" s="138"/>
      <c r="T1270" s="138"/>
      <c r="U1270" s="138"/>
      <c r="V1270" s="26" t="s">
        <v>4589</v>
      </c>
    </row>
    <row r="1271" spans="1:25" s="26" customFormat="1" ht="15" customHeight="1" x14ac:dyDescent="0.2">
      <c r="A1271" s="32">
        <v>41687.371041666665</v>
      </c>
      <c r="B1271" s="26" t="s">
        <v>38</v>
      </c>
      <c r="C1271" s="26" t="s">
        <v>62</v>
      </c>
      <c r="D1271" s="33">
        <v>41671</v>
      </c>
      <c r="E1271" s="26" t="s">
        <v>4598</v>
      </c>
      <c r="F1271" s="26" t="s">
        <v>4599</v>
      </c>
      <c r="G1271" s="26" t="s">
        <v>26</v>
      </c>
      <c r="H1271" s="26" t="s">
        <v>4600</v>
      </c>
      <c r="I1271" s="26" t="s">
        <v>4601</v>
      </c>
      <c r="J1271" s="46">
        <v>4</v>
      </c>
      <c r="K1271" s="46">
        <v>38</v>
      </c>
      <c r="L1271" s="136">
        <v>190</v>
      </c>
      <c r="M1271" s="137" t="s">
        <v>44</v>
      </c>
      <c r="N1271" s="138"/>
      <c r="O1271" s="138">
        <v>30</v>
      </c>
      <c r="P1271" s="138"/>
      <c r="Q1271" s="138"/>
      <c r="R1271" s="138">
        <v>110</v>
      </c>
      <c r="S1271" s="138"/>
      <c r="T1271" s="138"/>
      <c r="U1271" s="138"/>
      <c r="V1271" s="26" t="s">
        <v>4602</v>
      </c>
    </row>
    <row r="1272" spans="1:25" s="26" customFormat="1" ht="15" customHeight="1" x14ac:dyDescent="0.2">
      <c r="A1272" s="32">
        <v>41693.690416666665</v>
      </c>
      <c r="B1272" s="26" t="s">
        <v>38</v>
      </c>
      <c r="C1272" s="26" t="s">
        <v>62</v>
      </c>
      <c r="D1272" s="33">
        <v>41671</v>
      </c>
      <c r="E1272" s="26" t="s">
        <v>4664</v>
      </c>
      <c r="F1272" s="26" t="s">
        <v>4579</v>
      </c>
      <c r="G1272" s="26" t="s">
        <v>26</v>
      </c>
      <c r="H1272" s="26" t="s">
        <v>4665</v>
      </c>
      <c r="I1272" s="26" t="s">
        <v>3038</v>
      </c>
      <c r="J1272" s="46">
        <v>1</v>
      </c>
      <c r="K1272" s="46">
        <v>17</v>
      </c>
      <c r="L1272" s="136">
        <v>85</v>
      </c>
      <c r="M1272" s="137" t="s">
        <v>44</v>
      </c>
      <c r="N1272" s="138"/>
      <c r="O1272" s="138">
        <v>15</v>
      </c>
      <c r="P1272" s="138">
        <v>10</v>
      </c>
      <c r="Q1272" s="138"/>
      <c r="R1272" s="138"/>
      <c r="S1272" s="138"/>
      <c r="T1272" s="138"/>
      <c r="U1272" s="138"/>
      <c r="V1272" s="26" t="s">
        <v>4666</v>
      </c>
    </row>
    <row r="1273" spans="1:25" s="26" customFormat="1" ht="15" customHeight="1" x14ac:dyDescent="0.2">
      <c r="A1273" s="32">
        <v>41693.694189814814</v>
      </c>
      <c r="B1273" s="26" t="s">
        <v>38</v>
      </c>
      <c r="C1273" s="26" t="s">
        <v>62</v>
      </c>
      <c r="D1273" s="33">
        <v>41671</v>
      </c>
      <c r="E1273" s="26" t="s">
        <v>4671</v>
      </c>
      <c r="F1273" s="26" t="s">
        <v>4672</v>
      </c>
      <c r="G1273" s="26" t="s">
        <v>26</v>
      </c>
      <c r="H1273" s="26" t="s">
        <v>4673</v>
      </c>
      <c r="I1273" s="26" t="s">
        <v>3678</v>
      </c>
      <c r="J1273" s="46">
        <v>1</v>
      </c>
      <c r="K1273" s="46">
        <v>6</v>
      </c>
      <c r="L1273" s="136"/>
      <c r="M1273" s="137" t="s">
        <v>22</v>
      </c>
      <c r="N1273" s="138"/>
      <c r="O1273" s="138"/>
      <c r="P1273" s="138"/>
      <c r="Q1273" s="138"/>
      <c r="R1273" s="138"/>
      <c r="S1273" s="138"/>
      <c r="T1273" s="138"/>
      <c r="U1273" s="138"/>
      <c r="V1273" s="26" t="s">
        <v>4674</v>
      </c>
    </row>
    <row r="1274" spans="1:25" s="26" customFormat="1" ht="15" customHeight="1" x14ac:dyDescent="0.2">
      <c r="A1274" s="32">
        <v>41699.696539351855</v>
      </c>
      <c r="B1274" s="26" t="s">
        <v>38</v>
      </c>
      <c r="C1274" s="26" t="s">
        <v>62</v>
      </c>
      <c r="D1274" s="33">
        <v>41699</v>
      </c>
      <c r="E1274" s="26" t="s">
        <v>4755</v>
      </c>
      <c r="F1274" s="26" t="s">
        <v>4668</v>
      </c>
      <c r="G1274" s="26" t="s">
        <v>26</v>
      </c>
      <c r="H1274" s="26" t="s">
        <v>4756</v>
      </c>
      <c r="I1274" s="26" t="s">
        <v>3038</v>
      </c>
      <c r="J1274" s="46">
        <v>1</v>
      </c>
      <c r="K1274" s="46">
        <v>22</v>
      </c>
      <c r="L1274" s="136"/>
      <c r="M1274" s="137" t="s">
        <v>44</v>
      </c>
      <c r="N1274" s="138"/>
      <c r="O1274" s="138">
        <v>15</v>
      </c>
      <c r="P1274" s="138">
        <v>20</v>
      </c>
      <c r="Q1274" s="138"/>
      <c r="R1274" s="138"/>
      <c r="S1274" s="138"/>
      <c r="T1274" s="138"/>
      <c r="U1274" s="138"/>
    </row>
    <row r="1275" spans="1:25" s="26" customFormat="1" ht="15" customHeight="1" x14ac:dyDescent="0.2">
      <c r="A1275" s="32">
        <v>41699.697835648149</v>
      </c>
      <c r="B1275" s="26" t="s">
        <v>38</v>
      </c>
      <c r="C1275" s="26" t="s">
        <v>62</v>
      </c>
      <c r="D1275" s="33">
        <v>41699</v>
      </c>
      <c r="E1275" s="26" t="s">
        <v>4213</v>
      </c>
      <c r="F1275" s="26" t="s">
        <v>4757</v>
      </c>
      <c r="G1275" s="26" t="s">
        <v>26</v>
      </c>
      <c r="H1275" s="26" t="s">
        <v>4758</v>
      </c>
      <c r="I1275" s="26" t="s">
        <v>3038</v>
      </c>
      <c r="J1275" s="46">
        <v>2</v>
      </c>
      <c r="K1275" s="46">
        <v>10</v>
      </c>
      <c r="L1275" s="136">
        <v>50</v>
      </c>
      <c r="M1275" s="137" t="s">
        <v>44</v>
      </c>
      <c r="N1275" s="138"/>
      <c r="O1275" s="138">
        <v>5</v>
      </c>
      <c r="P1275" s="138"/>
      <c r="Q1275" s="138"/>
      <c r="R1275" s="138"/>
      <c r="S1275" s="138"/>
      <c r="T1275" s="138"/>
      <c r="U1275" s="138"/>
    </row>
    <row r="1276" spans="1:25" s="26" customFormat="1" ht="15" customHeight="1" x14ac:dyDescent="0.2">
      <c r="A1276" s="32">
        <v>41717.409050925926</v>
      </c>
      <c r="B1276" s="26" t="s">
        <v>38</v>
      </c>
      <c r="C1276" s="26" t="s">
        <v>62</v>
      </c>
      <c r="D1276" s="33">
        <v>41699</v>
      </c>
      <c r="E1276" s="26" t="s">
        <v>5181</v>
      </c>
      <c r="F1276" s="26" t="s">
        <v>2916</v>
      </c>
      <c r="G1276" s="26" t="s">
        <v>20</v>
      </c>
      <c r="H1276" s="26" t="s">
        <v>5182</v>
      </c>
      <c r="I1276" s="26" t="s">
        <v>3038</v>
      </c>
      <c r="J1276" s="46">
        <v>1</v>
      </c>
      <c r="K1276" s="46">
        <v>14</v>
      </c>
      <c r="L1276" s="136">
        <v>42</v>
      </c>
      <c r="M1276" s="137" t="s">
        <v>22</v>
      </c>
      <c r="N1276" s="138"/>
      <c r="O1276" s="138"/>
      <c r="P1276" s="138"/>
      <c r="Q1276" s="138"/>
      <c r="R1276" s="138"/>
      <c r="S1276" s="138"/>
      <c r="T1276" s="138"/>
      <c r="U1276" s="138"/>
    </row>
    <row r="1277" spans="1:25" s="26" customFormat="1" ht="15" customHeight="1" x14ac:dyDescent="0.2">
      <c r="A1277" s="32">
        <v>41717.410937499997</v>
      </c>
      <c r="B1277" s="26" t="s">
        <v>38</v>
      </c>
      <c r="C1277" s="26" t="s">
        <v>62</v>
      </c>
      <c r="D1277" s="33">
        <v>41699</v>
      </c>
      <c r="E1277" s="26" t="s">
        <v>5183</v>
      </c>
      <c r="F1277" s="26" t="s">
        <v>3748</v>
      </c>
      <c r="G1277" s="26" t="s">
        <v>26</v>
      </c>
      <c r="H1277" s="26" t="s">
        <v>5184</v>
      </c>
      <c r="I1277" s="26" t="s">
        <v>6072</v>
      </c>
      <c r="J1277" s="46">
        <v>2</v>
      </c>
      <c r="K1277" s="46">
        <v>6</v>
      </c>
      <c r="L1277" s="136">
        <v>30</v>
      </c>
      <c r="M1277" s="137" t="s">
        <v>44</v>
      </c>
      <c r="N1277" s="138"/>
      <c r="O1277" s="138">
        <v>10</v>
      </c>
      <c r="P1277" s="138"/>
      <c r="Q1277" s="138"/>
      <c r="R1277" s="138"/>
      <c r="S1277" s="138"/>
      <c r="T1277" s="138"/>
      <c r="U1277" s="138"/>
    </row>
    <row r="1278" spans="1:25" s="26" customFormat="1" ht="15" customHeight="1" x14ac:dyDescent="0.2">
      <c r="A1278" s="32">
        <v>41717.41207175926</v>
      </c>
      <c r="B1278" s="26" t="s">
        <v>38</v>
      </c>
      <c r="C1278" s="26" t="s">
        <v>62</v>
      </c>
      <c r="D1278" s="33">
        <v>41699</v>
      </c>
      <c r="E1278" s="26" t="s">
        <v>5185</v>
      </c>
      <c r="F1278" s="26" t="s">
        <v>5186</v>
      </c>
      <c r="G1278" s="26" t="s">
        <v>26</v>
      </c>
      <c r="H1278" s="26" t="s">
        <v>5187</v>
      </c>
      <c r="I1278" s="26" t="s">
        <v>6072</v>
      </c>
      <c r="J1278" s="46">
        <v>1</v>
      </c>
      <c r="K1278" s="46">
        <v>12</v>
      </c>
      <c r="L1278" s="136">
        <v>180</v>
      </c>
      <c r="M1278" s="137" t="s">
        <v>44</v>
      </c>
      <c r="N1278" s="138"/>
      <c r="O1278" s="138">
        <v>20</v>
      </c>
      <c r="P1278" s="138"/>
      <c r="Q1278" s="138"/>
      <c r="R1278" s="138"/>
      <c r="S1278" s="138"/>
      <c r="T1278" s="138"/>
      <c r="U1278" s="138"/>
    </row>
    <row r="1279" spans="1:25" s="26" customFormat="1" ht="15" customHeight="1" x14ac:dyDescent="0.2">
      <c r="A1279" s="32">
        <v>41733.543564814812</v>
      </c>
      <c r="B1279" s="26" t="s">
        <v>38</v>
      </c>
      <c r="C1279" s="26" t="s">
        <v>62</v>
      </c>
      <c r="D1279" s="33">
        <v>41699</v>
      </c>
      <c r="E1279" s="26" t="s">
        <v>5645</v>
      </c>
      <c r="F1279" s="26" t="s">
        <v>5646</v>
      </c>
      <c r="G1279" s="26" t="s">
        <v>42</v>
      </c>
      <c r="H1279" s="26" t="s">
        <v>5647</v>
      </c>
      <c r="I1279" s="26" t="s">
        <v>5648</v>
      </c>
      <c r="J1279" s="46">
        <v>1</v>
      </c>
      <c r="K1279" s="46">
        <v>10</v>
      </c>
      <c r="L1279" s="136"/>
      <c r="M1279" s="137"/>
      <c r="N1279" s="138"/>
      <c r="O1279" s="138"/>
      <c r="P1279" s="138"/>
      <c r="Q1279" s="138"/>
      <c r="R1279" s="138"/>
      <c r="S1279" s="138"/>
      <c r="T1279" s="138"/>
      <c r="U1279" s="138"/>
      <c r="V1279" s="26" t="s">
        <v>5649</v>
      </c>
    </row>
    <row r="1280" spans="1:25" s="26" customFormat="1" ht="15" customHeight="1" x14ac:dyDescent="0.2">
      <c r="A1280" s="32">
        <v>41733.545185185183</v>
      </c>
      <c r="B1280" s="26" t="s">
        <v>38</v>
      </c>
      <c r="C1280" s="26" t="s">
        <v>62</v>
      </c>
      <c r="D1280" s="33">
        <v>41699</v>
      </c>
      <c r="E1280" s="26" t="s">
        <v>5650</v>
      </c>
      <c r="F1280" s="26" t="s">
        <v>5651</v>
      </c>
      <c r="G1280" s="26" t="s">
        <v>26</v>
      </c>
      <c r="H1280" s="26" t="s">
        <v>5652</v>
      </c>
      <c r="J1280" s="46">
        <v>1</v>
      </c>
      <c r="K1280" s="46">
        <v>17</v>
      </c>
      <c r="L1280" s="136">
        <v>85</v>
      </c>
      <c r="M1280" s="137" t="s">
        <v>44</v>
      </c>
      <c r="N1280" s="138"/>
      <c r="O1280" s="138">
        <v>10</v>
      </c>
      <c r="P1280" s="138"/>
      <c r="Q1280" s="138"/>
      <c r="R1280" s="138"/>
      <c r="S1280" s="138"/>
      <c r="T1280" s="138"/>
      <c r="U1280" s="138"/>
    </row>
    <row r="1281" spans="1:25" s="26" customFormat="1" ht="15" customHeight="1" x14ac:dyDescent="0.2">
      <c r="A1281" s="32">
        <v>41733.549247685187</v>
      </c>
      <c r="B1281" s="26" t="s">
        <v>38</v>
      </c>
      <c r="C1281" s="26" t="s">
        <v>62</v>
      </c>
      <c r="D1281" s="33">
        <v>41699</v>
      </c>
      <c r="E1281" s="26" t="s">
        <v>5653</v>
      </c>
      <c r="F1281" s="26" t="s">
        <v>1311</v>
      </c>
      <c r="G1281" s="26" t="s">
        <v>26</v>
      </c>
      <c r="I1281" s="26" t="s">
        <v>3678</v>
      </c>
      <c r="J1281" s="46">
        <v>1</v>
      </c>
      <c r="K1281" s="46">
        <v>8</v>
      </c>
      <c r="L1281" s="136">
        <v>75</v>
      </c>
      <c r="M1281" s="137" t="s">
        <v>44</v>
      </c>
      <c r="N1281" s="138"/>
      <c r="O1281" s="138">
        <v>10</v>
      </c>
      <c r="P1281" s="138"/>
      <c r="Q1281" s="138">
        <v>58</v>
      </c>
      <c r="R1281" s="138"/>
      <c r="S1281" s="138"/>
      <c r="T1281" s="138"/>
      <c r="U1281" s="138"/>
      <c r="V1281" s="26" t="s">
        <v>5654</v>
      </c>
    </row>
    <row r="1282" spans="1:25" s="26" customFormat="1" ht="15" customHeight="1" x14ac:dyDescent="0.2">
      <c r="A1282" s="92">
        <v>41734.601064814815</v>
      </c>
      <c r="B1282" s="91" t="s">
        <v>38</v>
      </c>
      <c r="C1282" s="26" t="s">
        <v>62</v>
      </c>
      <c r="D1282" s="33">
        <v>41730</v>
      </c>
      <c r="E1282" s="91" t="s">
        <v>4664</v>
      </c>
      <c r="F1282" s="91" t="s">
        <v>5703</v>
      </c>
      <c r="G1282" s="91" t="s">
        <v>26</v>
      </c>
      <c r="H1282" s="91" t="s">
        <v>5704</v>
      </c>
      <c r="I1282" s="91" t="s">
        <v>3001</v>
      </c>
      <c r="J1282" s="46">
        <v>1</v>
      </c>
      <c r="K1282" s="46">
        <v>2</v>
      </c>
      <c r="L1282" s="138">
        <v>10</v>
      </c>
      <c r="M1282" s="137" t="s">
        <v>44</v>
      </c>
      <c r="N1282" s="138"/>
      <c r="O1282" s="138">
        <v>5</v>
      </c>
      <c r="P1282" s="138"/>
      <c r="Q1282" s="138"/>
      <c r="R1282" s="138"/>
      <c r="S1282" s="138"/>
      <c r="T1282" s="138"/>
      <c r="U1282" s="138"/>
      <c r="V1282" s="91" t="s">
        <v>5705</v>
      </c>
      <c r="W1282" s="91"/>
      <c r="X1282" s="91"/>
      <c r="Y1282" s="91"/>
    </row>
    <row r="1283" spans="1:25" s="26" customFormat="1" ht="15" customHeight="1" x14ac:dyDescent="0.2">
      <c r="A1283" s="92">
        <v>41745.365358796298</v>
      </c>
      <c r="B1283" s="91" t="s">
        <v>38</v>
      </c>
      <c r="C1283" s="26" t="s">
        <v>62</v>
      </c>
      <c r="D1283" s="33">
        <v>41730</v>
      </c>
      <c r="E1283" s="91" t="s">
        <v>4664</v>
      </c>
      <c r="F1283" s="91" t="s">
        <v>5971</v>
      </c>
      <c r="G1283" s="91" t="s">
        <v>26</v>
      </c>
      <c r="H1283" s="91"/>
      <c r="I1283" s="91" t="s">
        <v>3001</v>
      </c>
      <c r="J1283" s="46">
        <v>1</v>
      </c>
      <c r="K1283" s="46">
        <v>2</v>
      </c>
      <c r="L1283" s="138">
        <v>10</v>
      </c>
      <c r="M1283" s="137" t="s">
        <v>44</v>
      </c>
      <c r="N1283" s="138"/>
      <c r="O1283" s="138">
        <v>5</v>
      </c>
      <c r="P1283" s="138"/>
      <c r="Q1283" s="138"/>
      <c r="R1283" s="138"/>
      <c r="S1283" s="138"/>
      <c r="T1283" s="138"/>
      <c r="U1283" s="138"/>
      <c r="V1283" s="91"/>
      <c r="W1283" s="91"/>
      <c r="X1283" s="91"/>
      <c r="Y1283" s="91"/>
    </row>
    <row r="1284" spans="1:25" s="26" customFormat="1" ht="15" customHeight="1" x14ac:dyDescent="0.2">
      <c r="A1284" s="92">
        <v>41745.371562499997</v>
      </c>
      <c r="B1284" s="91" t="s">
        <v>38</v>
      </c>
      <c r="C1284" s="26" t="s">
        <v>62</v>
      </c>
      <c r="D1284" s="33">
        <v>41730</v>
      </c>
      <c r="E1284" s="91" t="s">
        <v>3375</v>
      </c>
      <c r="F1284" s="91" t="s">
        <v>273</v>
      </c>
      <c r="G1284" s="91" t="s">
        <v>26</v>
      </c>
      <c r="H1284" s="91" t="s">
        <v>5972</v>
      </c>
      <c r="I1284" s="91"/>
      <c r="J1284" s="46">
        <v>1</v>
      </c>
      <c r="K1284" s="46">
        <v>21</v>
      </c>
      <c r="L1284" s="138">
        <v>307.5</v>
      </c>
      <c r="M1284" s="137" t="s">
        <v>44</v>
      </c>
      <c r="N1284" s="138"/>
      <c r="O1284" s="138">
        <v>15</v>
      </c>
      <c r="P1284" s="138"/>
      <c r="Q1284" s="138">
        <v>58</v>
      </c>
      <c r="R1284" s="138"/>
      <c r="S1284" s="138"/>
      <c r="T1284" s="138"/>
      <c r="U1284" s="138"/>
      <c r="V1284" s="91"/>
      <c r="W1284" s="91"/>
      <c r="X1284" s="91"/>
      <c r="Y1284" s="91"/>
    </row>
    <row r="1285" spans="1:25" s="26" customFormat="1" ht="15" customHeight="1" x14ac:dyDescent="0.2">
      <c r="A1285" s="92">
        <v>41745.375902777778</v>
      </c>
      <c r="B1285" s="91" t="s">
        <v>38</v>
      </c>
      <c r="C1285" s="26" t="s">
        <v>62</v>
      </c>
      <c r="D1285" s="33">
        <v>41730</v>
      </c>
      <c r="E1285" s="91" t="s">
        <v>5973</v>
      </c>
      <c r="F1285" s="91" t="s">
        <v>273</v>
      </c>
      <c r="G1285" s="91" t="s">
        <v>26</v>
      </c>
      <c r="H1285" s="91" t="s">
        <v>5972</v>
      </c>
      <c r="I1285" s="91" t="s">
        <v>5974</v>
      </c>
      <c r="J1285" s="46">
        <v>1</v>
      </c>
      <c r="K1285" s="46">
        <v>19</v>
      </c>
      <c r="L1285" s="138">
        <v>285</v>
      </c>
      <c r="M1285" s="137" t="s">
        <v>44</v>
      </c>
      <c r="N1285" s="138"/>
      <c r="O1285" s="138">
        <v>15</v>
      </c>
      <c r="P1285" s="138"/>
      <c r="Q1285" s="138"/>
      <c r="R1285" s="138"/>
      <c r="S1285" s="138"/>
      <c r="T1285" s="138"/>
      <c r="U1285" s="138"/>
      <c r="V1285" s="91"/>
      <c r="W1285" s="91"/>
      <c r="X1285" s="91"/>
      <c r="Y1285" s="91"/>
    </row>
    <row r="1286" spans="1:25" s="26" customFormat="1" ht="15" customHeight="1" x14ac:dyDescent="0.2">
      <c r="A1286" s="32">
        <v>41745.670474537037</v>
      </c>
      <c r="B1286" s="26" t="s">
        <v>38</v>
      </c>
      <c r="C1286" s="26" t="s">
        <v>62</v>
      </c>
      <c r="D1286" s="33">
        <v>41730</v>
      </c>
      <c r="E1286" s="26" t="s">
        <v>5980</v>
      </c>
      <c r="F1286" s="26" t="s">
        <v>5981</v>
      </c>
      <c r="G1286" s="26" t="s">
        <v>20</v>
      </c>
      <c r="H1286" s="26" t="s">
        <v>5982</v>
      </c>
      <c r="I1286" s="26" t="s">
        <v>5983</v>
      </c>
      <c r="J1286" s="46">
        <v>1</v>
      </c>
      <c r="K1286" s="46">
        <v>17</v>
      </c>
      <c r="L1286" s="138">
        <v>36</v>
      </c>
      <c r="M1286" s="137"/>
      <c r="N1286" s="138"/>
      <c r="O1286" s="138"/>
      <c r="P1286" s="138"/>
      <c r="Q1286" s="138"/>
      <c r="R1286" s="138"/>
      <c r="S1286" s="138"/>
      <c r="T1286" s="138"/>
      <c r="U1286" s="138"/>
      <c r="V1286" s="26" t="s">
        <v>5984</v>
      </c>
    </row>
    <row r="1287" spans="1:25" s="26" customFormat="1" ht="15" customHeight="1" x14ac:dyDescent="0.2">
      <c r="A1287" s="93">
        <v>41755.760150463</v>
      </c>
      <c r="B1287" s="89" t="s">
        <v>38</v>
      </c>
      <c r="C1287" s="52" t="s">
        <v>62</v>
      </c>
      <c r="D1287" s="87" t="s">
        <v>6076</v>
      </c>
      <c r="E1287" s="89" t="s">
        <v>6119</v>
      </c>
      <c r="F1287" s="89" t="s">
        <v>6120</v>
      </c>
      <c r="G1287" s="89" t="s">
        <v>26</v>
      </c>
      <c r="H1287" s="89"/>
      <c r="I1287" s="89" t="s">
        <v>3038</v>
      </c>
      <c r="J1287" s="95">
        <v>1</v>
      </c>
      <c r="K1287" s="95">
        <v>13</v>
      </c>
      <c r="L1287" s="149"/>
      <c r="M1287" s="146" t="s">
        <v>44</v>
      </c>
      <c r="N1287" s="149"/>
      <c r="O1287" s="149">
        <v>10</v>
      </c>
      <c r="P1287" s="149"/>
      <c r="Q1287" s="149"/>
      <c r="R1287" s="149"/>
      <c r="S1287" s="149"/>
      <c r="T1287" s="149"/>
      <c r="U1287" s="149"/>
      <c r="V1287" s="89" t="s">
        <v>6121</v>
      </c>
      <c r="W1287" s="91"/>
      <c r="X1287" s="91"/>
      <c r="Y1287" s="91"/>
    </row>
    <row r="1288" spans="1:25" s="26" customFormat="1" ht="15" customHeight="1" x14ac:dyDescent="0.2">
      <c r="A1288" s="93">
        <v>41755.763252314799</v>
      </c>
      <c r="B1288" s="89" t="s">
        <v>38</v>
      </c>
      <c r="C1288" s="52" t="s">
        <v>62</v>
      </c>
      <c r="D1288" s="87" t="s">
        <v>6076</v>
      </c>
      <c r="E1288" s="89" t="s">
        <v>6122</v>
      </c>
      <c r="F1288" s="89" t="s">
        <v>4668</v>
      </c>
      <c r="G1288" s="89" t="s">
        <v>26</v>
      </c>
      <c r="H1288" s="89" t="s">
        <v>6123</v>
      </c>
      <c r="I1288" s="89" t="s">
        <v>3038</v>
      </c>
      <c r="J1288" s="95">
        <v>1</v>
      </c>
      <c r="K1288" s="95">
        <v>5</v>
      </c>
      <c r="L1288" s="149"/>
      <c r="M1288" s="146" t="s">
        <v>44</v>
      </c>
      <c r="N1288" s="149"/>
      <c r="O1288" s="149">
        <v>10</v>
      </c>
      <c r="P1288" s="149"/>
      <c r="Q1288" s="149"/>
      <c r="R1288" s="149"/>
      <c r="S1288" s="149"/>
      <c r="T1288" s="149"/>
      <c r="U1288" s="149"/>
      <c r="V1288" s="89" t="s">
        <v>6124</v>
      </c>
      <c r="W1288" s="91"/>
      <c r="X1288" s="91"/>
      <c r="Y1288" s="91"/>
    </row>
    <row r="1289" spans="1:25" s="26" customFormat="1" ht="15" customHeight="1" x14ac:dyDescent="0.2">
      <c r="A1289" s="93">
        <v>41760.558414351799</v>
      </c>
      <c r="B1289" s="89" t="s">
        <v>38</v>
      </c>
      <c r="C1289" s="52" t="s">
        <v>62</v>
      </c>
      <c r="D1289" s="87" t="s">
        <v>6076</v>
      </c>
      <c r="E1289" s="89" t="s">
        <v>5973</v>
      </c>
      <c r="F1289" s="89" t="s">
        <v>1311</v>
      </c>
      <c r="G1289" s="89" t="s">
        <v>26</v>
      </c>
      <c r="H1289" s="89" t="s">
        <v>5972</v>
      </c>
      <c r="I1289" s="89" t="s">
        <v>3678</v>
      </c>
      <c r="J1289" s="95">
        <v>1</v>
      </c>
      <c r="K1289" s="95">
        <v>18</v>
      </c>
      <c r="L1289" s="149">
        <v>285</v>
      </c>
      <c r="M1289" s="146" t="s">
        <v>44</v>
      </c>
      <c r="N1289" s="149"/>
      <c r="O1289" s="149">
        <v>15</v>
      </c>
      <c r="P1289" s="149"/>
      <c r="Q1289" s="149"/>
      <c r="R1289" s="149"/>
      <c r="S1289" s="149"/>
      <c r="T1289" s="149"/>
      <c r="U1289" s="149"/>
      <c r="V1289" s="89"/>
      <c r="W1289" s="91"/>
      <c r="X1289" s="91"/>
      <c r="Y1289" s="91"/>
    </row>
    <row r="1290" spans="1:25" s="26" customFormat="1" ht="15" customHeight="1" x14ac:dyDescent="0.2">
      <c r="A1290" s="93">
        <v>41792.644629629598</v>
      </c>
      <c r="B1290" s="89" t="s">
        <v>152</v>
      </c>
      <c r="C1290" s="52" t="s">
        <v>707</v>
      </c>
      <c r="D1290" s="87" t="s">
        <v>6224</v>
      </c>
      <c r="E1290" s="89" t="s">
        <v>779</v>
      </c>
      <c r="F1290" s="89" t="s">
        <v>7125</v>
      </c>
      <c r="G1290" s="89" t="s">
        <v>156</v>
      </c>
      <c r="H1290" s="89" t="s">
        <v>7126</v>
      </c>
      <c r="I1290" s="89" t="s">
        <v>3001</v>
      </c>
      <c r="J1290" s="95">
        <v>1</v>
      </c>
      <c r="K1290" s="95">
        <v>200</v>
      </c>
      <c r="L1290" s="150">
        <v>32</v>
      </c>
      <c r="M1290" s="146" t="s">
        <v>44</v>
      </c>
      <c r="N1290" s="149"/>
      <c r="O1290" s="149">
        <v>100</v>
      </c>
      <c r="P1290" s="149"/>
      <c r="Q1290" s="149"/>
      <c r="R1290" s="149"/>
      <c r="S1290" s="149"/>
      <c r="T1290" s="149"/>
      <c r="U1290" s="149"/>
      <c r="V1290" s="89"/>
      <c r="W1290" s="91"/>
      <c r="X1290" s="91"/>
      <c r="Y1290" s="91"/>
    </row>
    <row r="1291" spans="1:25" s="26" customFormat="1" ht="15" customHeight="1" x14ac:dyDescent="0.2">
      <c r="A1291" s="93">
        <v>41792.645717592597</v>
      </c>
      <c r="B1291" s="89" t="s">
        <v>152</v>
      </c>
      <c r="C1291" s="52" t="s">
        <v>707</v>
      </c>
      <c r="D1291" s="87" t="s">
        <v>6224</v>
      </c>
      <c r="E1291" s="89" t="s">
        <v>6497</v>
      </c>
      <c r="F1291" s="89" t="s">
        <v>6492</v>
      </c>
      <c r="G1291" s="89" t="s">
        <v>26</v>
      </c>
      <c r="H1291" s="89" t="s">
        <v>6493</v>
      </c>
      <c r="I1291" s="89" t="s">
        <v>3001</v>
      </c>
      <c r="J1291" s="95">
        <v>1</v>
      </c>
      <c r="K1291" s="95">
        <v>18</v>
      </c>
      <c r="L1291" s="150">
        <v>8</v>
      </c>
      <c r="M1291" s="146" t="s">
        <v>22</v>
      </c>
      <c r="N1291" s="149"/>
      <c r="O1291" s="149"/>
      <c r="P1291" s="149"/>
      <c r="Q1291" s="149"/>
      <c r="R1291" s="149"/>
      <c r="S1291" s="149"/>
      <c r="T1291" s="149"/>
      <c r="U1291" s="149"/>
      <c r="V1291" s="89"/>
      <c r="W1291" s="91"/>
      <c r="X1291" s="91"/>
      <c r="Y1291" s="91"/>
    </row>
    <row r="1292" spans="1:25" s="26" customFormat="1" ht="15" customHeight="1" x14ac:dyDescent="0.2">
      <c r="A1292" s="93">
        <v>41792.6473611111</v>
      </c>
      <c r="B1292" s="89" t="s">
        <v>152</v>
      </c>
      <c r="C1292" s="52" t="s">
        <v>707</v>
      </c>
      <c r="D1292" s="87" t="s">
        <v>6224</v>
      </c>
      <c r="E1292" s="89" t="s">
        <v>7127</v>
      </c>
      <c r="F1292" s="89" t="s">
        <v>7128</v>
      </c>
      <c r="G1292" s="89" t="s">
        <v>156</v>
      </c>
      <c r="H1292" s="89" t="s">
        <v>7129</v>
      </c>
      <c r="I1292" s="89" t="s">
        <v>7130</v>
      </c>
      <c r="J1292" s="95">
        <v>1</v>
      </c>
      <c r="K1292" s="95">
        <v>200</v>
      </c>
      <c r="L1292" s="150"/>
      <c r="M1292" s="146" t="s">
        <v>44</v>
      </c>
      <c r="N1292" s="149"/>
      <c r="O1292" s="149">
        <v>100</v>
      </c>
      <c r="P1292" s="149"/>
      <c r="Q1292" s="149"/>
      <c r="R1292" s="149"/>
      <c r="S1292" s="149"/>
      <c r="T1292" s="149"/>
      <c r="U1292" s="149"/>
      <c r="V1292" s="89" t="s">
        <v>7131</v>
      </c>
      <c r="W1292" s="91"/>
      <c r="X1292" s="91"/>
      <c r="Y1292" s="91"/>
    </row>
    <row r="1293" spans="1:25" s="26" customFormat="1" ht="15" customHeight="1" x14ac:dyDescent="0.2">
      <c r="A1293" s="93">
        <v>41792.648553240702</v>
      </c>
      <c r="B1293" s="89" t="s">
        <v>152</v>
      </c>
      <c r="C1293" s="52" t="s">
        <v>707</v>
      </c>
      <c r="D1293" s="87" t="s">
        <v>6224</v>
      </c>
      <c r="E1293" s="89" t="s">
        <v>6508</v>
      </c>
      <c r="F1293" s="89" t="s">
        <v>1885</v>
      </c>
      <c r="G1293" s="89" t="s">
        <v>26</v>
      </c>
      <c r="H1293" s="89" t="s">
        <v>7132</v>
      </c>
      <c r="I1293" s="89" t="s">
        <v>3001</v>
      </c>
      <c r="J1293" s="95">
        <v>1</v>
      </c>
      <c r="K1293" s="95">
        <v>18</v>
      </c>
      <c r="L1293" s="150"/>
      <c r="M1293" s="146" t="s">
        <v>22</v>
      </c>
      <c r="N1293" s="149"/>
      <c r="O1293" s="149"/>
      <c r="P1293" s="149"/>
      <c r="Q1293" s="149"/>
      <c r="R1293" s="149"/>
      <c r="S1293" s="149"/>
      <c r="T1293" s="149"/>
      <c r="U1293" s="149"/>
      <c r="V1293" s="89"/>
      <c r="W1293" s="91"/>
      <c r="X1293" s="91"/>
      <c r="Y1293" s="91"/>
    </row>
    <row r="1294" spans="1:25" s="26" customFormat="1" ht="15" customHeight="1" x14ac:dyDescent="0.2">
      <c r="A1294" s="93">
        <v>41792.650289351899</v>
      </c>
      <c r="B1294" s="89" t="s">
        <v>152</v>
      </c>
      <c r="C1294" s="52" t="s">
        <v>707</v>
      </c>
      <c r="D1294" s="87" t="s">
        <v>6224</v>
      </c>
      <c r="E1294" s="89" t="s">
        <v>7133</v>
      </c>
      <c r="F1294" s="89" t="s">
        <v>7134</v>
      </c>
      <c r="G1294" s="89" t="s">
        <v>26</v>
      </c>
      <c r="H1294" s="89" t="s">
        <v>7135</v>
      </c>
      <c r="I1294" s="89" t="s">
        <v>3001</v>
      </c>
      <c r="J1294" s="95">
        <v>2</v>
      </c>
      <c r="K1294" s="95">
        <v>18</v>
      </c>
      <c r="L1294" s="150"/>
      <c r="M1294" s="146" t="s">
        <v>44</v>
      </c>
      <c r="N1294" s="149"/>
      <c r="O1294" s="149">
        <v>10</v>
      </c>
      <c r="P1294" s="149"/>
      <c r="Q1294" s="149"/>
      <c r="R1294" s="149"/>
      <c r="S1294" s="149"/>
      <c r="T1294" s="149"/>
      <c r="U1294" s="149"/>
      <c r="V1294" s="89"/>
      <c r="W1294" s="91"/>
      <c r="X1294" s="91"/>
      <c r="Y1294" s="91"/>
    </row>
    <row r="1295" spans="1:25" s="26" customFormat="1" ht="15" customHeight="1" x14ac:dyDescent="0.2">
      <c r="A1295" s="93">
        <v>41792.652962963002</v>
      </c>
      <c r="B1295" s="89" t="s">
        <v>152</v>
      </c>
      <c r="C1295" s="52" t="s">
        <v>707</v>
      </c>
      <c r="D1295" s="87" t="s">
        <v>6224</v>
      </c>
      <c r="E1295" s="89" t="s">
        <v>7136</v>
      </c>
      <c r="F1295" s="89" t="s">
        <v>7137</v>
      </c>
      <c r="G1295" s="89" t="s">
        <v>26</v>
      </c>
      <c r="H1295" s="89">
        <v>2</v>
      </c>
      <c r="I1295" s="89" t="s">
        <v>3001</v>
      </c>
      <c r="J1295" s="95">
        <v>2</v>
      </c>
      <c r="K1295" s="95">
        <v>14</v>
      </c>
      <c r="L1295" s="150"/>
      <c r="M1295" s="146" t="s">
        <v>22</v>
      </c>
      <c r="N1295" s="149"/>
      <c r="O1295" s="149"/>
      <c r="P1295" s="149"/>
      <c r="Q1295" s="149"/>
      <c r="R1295" s="149"/>
      <c r="S1295" s="149"/>
      <c r="T1295" s="149"/>
      <c r="U1295" s="149"/>
      <c r="V1295" s="89"/>
      <c r="W1295" s="91"/>
      <c r="X1295" s="91"/>
      <c r="Y1295" s="91"/>
    </row>
    <row r="1296" spans="1:25" s="26" customFormat="1" ht="15" customHeight="1" x14ac:dyDescent="0.2">
      <c r="A1296" s="93">
        <v>41792.6542708333</v>
      </c>
      <c r="B1296" s="89" t="s">
        <v>152</v>
      </c>
      <c r="C1296" s="52" t="s">
        <v>707</v>
      </c>
      <c r="D1296" s="87" t="s">
        <v>6224</v>
      </c>
      <c r="E1296" s="89" t="s">
        <v>757</v>
      </c>
      <c r="F1296" s="89" t="s">
        <v>120</v>
      </c>
      <c r="G1296" s="89" t="s">
        <v>26</v>
      </c>
      <c r="H1296" s="89"/>
      <c r="I1296" s="89" t="s">
        <v>3001</v>
      </c>
      <c r="J1296" s="95">
        <v>2</v>
      </c>
      <c r="K1296" s="95">
        <v>19</v>
      </c>
      <c r="L1296" s="150"/>
      <c r="M1296" s="146" t="s">
        <v>22</v>
      </c>
      <c r="N1296" s="149"/>
      <c r="O1296" s="149"/>
      <c r="P1296" s="149"/>
      <c r="Q1296" s="149"/>
      <c r="R1296" s="149"/>
      <c r="S1296" s="149"/>
      <c r="T1296" s="149"/>
      <c r="U1296" s="149"/>
      <c r="V1296" s="89" t="s">
        <v>7138</v>
      </c>
      <c r="W1296" s="91"/>
      <c r="X1296" s="91"/>
      <c r="Y1296" s="91"/>
    </row>
    <row r="1297" spans="1:25" s="26" customFormat="1" ht="15" customHeight="1" x14ac:dyDescent="0.2">
      <c r="A1297" s="93">
        <v>41792.655740740702</v>
      </c>
      <c r="B1297" s="89" t="s">
        <v>152</v>
      </c>
      <c r="C1297" s="52" t="s">
        <v>707</v>
      </c>
      <c r="D1297" s="87" t="s">
        <v>6224</v>
      </c>
      <c r="E1297" s="89" t="s">
        <v>7139</v>
      </c>
      <c r="F1297" s="89" t="s">
        <v>7140</v>
      </c>
      <c r="G1297" s="89" t="s">
        <v>20</v>
      </c>
      <c r="H1297" s="89" t="s">
        <v>7141</v>
      </c>
      <c r="I1297" s="89" t="s">
        <v>3001</v>
      </c>
      <c r="J1297" s="95">
        <v>3</v>
      </c>
      <c r="K1297" s="95">
        <v>86</v>
      </c>
      <c r="L1297" s="150">
        <v>258</v>
      </c>
      <c r="M1297" s="146" t="s">
        <v>22</v>
      </c>
      <c r="N1297" s="149"/>
      <c r="O1297" s="149"/>
      <c r="P1297" s="149"/>
      <c r="Q1297" s="149"/>
      <c r="R1297" s="149"/>
      <c r="S1297" s="149"/>
      <c r="T1297" s="149"/>
      <c r="U1297" s="149"/>
      <c r="V1297" s="89"/>
      <c r="W1297" s="91"/>
      <c r="X1297" s="91"/>
      <c r="Y1297" s="91"/>
    </row>
    <row r="1298" spans="1:25" s="26" customFormat="1" ht="15" customHeight="1" x14ac:dyDescent="0.2">
      <c r="A1298" s="93">
        <v>41792.657210648198</v>
      </c>
      <c r="B1298" s="89" t="s">
        <v>152</v>
      </c>
      <c r="C1298" s="52" t="s">
        <v>707</v>
      </c>
      <c r="D1298" s="87" t="s">
        <v>6224</v>
      </c>
      <c r="E1298" s="89" t="s">
        <v>779</v>
      </c>
      <c r="F1298" s="89" t="s">
        <v>7142</v>
      </c>
      <c r="G1298" s="89" t="s">
        <v>26</v>
      </c>
      <c r="H1298" s="89" t="s">
        <v>751</v>
      </c>
      <c r="I1298" s="89" t="s">
        <v>3001</v>
      </c>
      <c r="J1298" s="95">
        <v>1</v>
      </c>
      <c r="K1298" s="95">
        <v>32</v>
      </c>
      <c r="L1298" s="150"/>
      <c r="M1298" s="146" t="s">
        <v>22</v>
      </c>
      <c r="N1298" s="149"/>
      <c r="O1298" s="149"/>
      <c r="P1298" s="149"/>
      <c r="Q1298" s="149"/>
      <c r="R1298" s="149"/>
      <c r="S1298" s="149"/>
      <c r="T1298" s="149"/>
      <c r="U1298" s="149"/>
      <c r="V1298" s="89"/>
      <c r="W1298" s="91"/>
      <c r="X1298" s="91"/>
      <c r="Y1298" s="91"/>
    </row>
    <row r="1299" spans="1:25" s="26" customFormat="1" ht="15" customHeight="1" x14ac:dyDescent="0.2">
      <c r="A1299" s="93">
        <v>41792.657858796301</v>
      </c>
      <c r="B1299" s="89" t="s">
        <v>152</v>
      </c>
      <c r="C1299" s="52" t="s">
        <v>707</v>
      </c>
      <c r="D1299" s="87" t="s">
        <v>6224</v>
      </c>
      <c r="E1299" s="89" t="s">
        <v>779</v>
      </c>
      <c r="F1299" s="89" t="s">
        <v>753</v>
      </c>
      <c r="G1299" s="89" t="s">
        <v>26</v>
      </c>
      <c r="H1299" s="89"/>
      <c r="I1299" s="89" t="s">
        <v>3001</v>
      </c>
      <c r="J1299" s="95">
        <v>1</v>
      </c>
      <c r="K1299" s="95">
        <v>8</v>
      </c>
      <c r="L1299" s="150">
        <v>16</v>
      </c>
      <c r="M1299" s="146" t="s">
        <v>22</v>
      </c>
      <c r="N1299" s="149"/>
      <c r="O1299" s="149"/>
      <c r="P1299" s="149"/>
      <c r="Q1299" s="149"/>
      <c r="R1299" s="149"/>
      <c r="S1299" s="149"/>
      <c r="T1299" s="149"/>
      <c r="U1299" s="149"/>
      <c r="V1299" s="89"/>
      <c r="W1299" s="91"/>
      <c r="X1299" s="91"/>
      <c r="Y1299" s="91"/>
    </row>
    <row r="1300" spans="1:25" s="26" customFormat="1" ht="15" customHeight="1" x14ac:dyDescent="0.2">
      <c r="A1300" s="93">
        <v>41792.697615740697</v>
      </c>
      <c r="B1300" s="89" t="s">
        <v>16</v>
      </c>
      <c r="C1300" s="52" t="s">
        <v>23</v>
      </c>
      <c r="D1300" s="87" t="s">
        <v>6224</v>
      </c>
      <c r="E1300" s="89" t="s">
        <v>7143</v>
      </c>
      <c r="F1300" s="89" t="s">
        <v>7144</v>
      </c>
      <c r="G1300" s="89" t="s">
        <v>26</v>
      </c>
      <c r="H1300" s="89" t="s">
        <v>7145</v>
      </c>
      <c r="I1300" s="89"/>
      <c r="J1300" s="95">
        <v>1</v>
      </c>
      <c r="K1300" s="95">
        <v>14</v>
      </c>
      <c r="L1300" s="150"/>
      <c r="M1300" s="146" t="s">
        <v>22</v>
      </c>
      <c r="N1300" s="149"/>
      <c r="O1300" s="149"/>
      <c r="P1300" s="149"/>
      <c r="Q1300" s="149"/>
      <c r="R1300" s="149"/>
      <c r="S1300" s="149"/>
      <c r="T1300" s="149"/>
      <c r="U1300" s="149"/>
      <c r="V1300" s="89" t="s">
        <v>7146</v>
      </c>
      <c r="W1300" s="91"/>
      <c r="X1300" s="91"/>
      <c r="Y1300" s="91"/>
    </row>
    <row r="1301" spans="1:25" s="26" customFormat="1" ht="15" customHeight="1" x14ac:dyDescent="0.2">
      <c r="A1301" s="93">
        <v>41793.386435185203</v>
      </c>
      <c r="B1301" s="89" t="s">
        <v>38</v>
      </c>
      <c r="C1301" s="52" t="s">
        <v>697</v>
      </c>
      <c r="D1301" s="87" t="s">
        <v>6224</v>
      </c>
      <c r="E1301" s="89" t="s">
        <v>7150</v>
      </c>
      <c r="F1301" s="89" t="s">
        <v>7151</v>
      </c>
      <c r="G1301" s="89" t="s">
        <v>20</v>
      </c>
      <c r="H1301" s="89" t="s">
        <v>7152</v>
      </c>
      <c r="I1301" s="89" t="s">
        <v>2986</v>
      </c>
      <c r="J1301" s="95">
        <v>1</v>
      </c>
      <c r="K1301" s="95">
        <v>53</v>
      </c>
      <c r="L1301" s="150">
        <v>265</v>
      </c>
      <c r="M1301" s="146" t="s">
        <v>22</v>
      </c>
      <c r="N1301" s="149"/>
      <c r="O1301" s="149"/>
      <c r="P1301" s="149"/>
      <c r="Q1301" s="149"/>
      <c r="R1301" s="149"/>
      <c r="S1301" s="149"/>
      <c r="T1301" s="149"/>
      <c r="U1301" s="149"/>
      <c r="V1301" s="89"/>
      <c r="W1301" s="91"/>
      <c r="X1301" s="91"/>
      <c r="Y1301" s="91"/>
    </row>
    <row r="1302" spans="1:25" s="26" customFormat="1" ht="15" customHeight="1" x14ac:dyDescent="0.2">
      <c r="A1302" s="93">
        <v>41793.387754629599</v>
      </c>
      <c r="B1302" s="89" t="s">
        <v>38</v>
      </c>
      <c r="C1302" s="52" t="s">
        <v>697</v>
      </c>
      <c r="D1302" s="87" t="s">
        <v>6224</v>
      </c>
      <c r="E1302" s="89" t="s">
        <v>7153</v>
      </c>
      <c r="F1302" s="89" t="s">
        <v>7154</v>
      </c>
      <c r="G1302" s="89" t="s">
        <v>26</v>
      </c>
      <c r="H1302" s="89" t="s">
        <v>270</v>
      </c>
      <c r="I1302" s="89" t="s">
        <v>2986</v>
      </c>
      <c r="J1302" s="95">
        <v>1</v>
      </c>
      <c r="K1302" s="95">
        <v>4</v>
      </c>
      <c r="L1302" s="150">
        <v>20</v>
      </c>
      <c r="M1302" s="146" t="s">
        <v>22</v>
      </c>
      <c r="N1302" s="149"/>
      <c r="O1302" s="149"/>
      <c r="P1302" s="149"/>
      <c r="Q1302" s="149"/>
      <c r="R1302" s="149"/>
      <c r="S1302" s="149"/>
      <c r="T1302" s="149"/>
      <c r="U1302" s="149"/>
      <c r="V1302" s="89"/>
      <c r="W1302" s="91"/>
      <c r="X1302" s="91"/>
      <c r="Y1302" s="91"/>
    </row>
    <row r="1303" spans="1:25" s="26" customFormat="1" ht="15" customHeight="1" x14ac:dyDescent="0.2">
      <c r="A1303" s="93">
        <v>41793.389305555596</v>
      </c>
      <c r="B1303" s="89" t="s">
        <v>38</v>
      </c>
      <c r="C1303" s="52" t="s">
        <v>697</v>
      </c>
      <c r="D1303" s="87" t="s">
        <v>6224</v>
      </c>
      <c r="E1303" s="89" t="s">
        <v>7155</v>
      </c>
      <c r="F1303" s="89" t="s">
        <v>7156</v>
      </c>
      <c r="G1303" s="89" t="s">
        <v>42</v>
      </c>
      <c r="H1303" s="89" t="s">
        <v>828</v>
      </c>
      <c r="I1303" s="89" t="s">
        <v>2986</v>
      </c>
      <c r="J1303" s="95">
        <v>1</v>
      </c>
      <c r="K1303" s="95">
        <v>13</v>
      </c>
      <c r="L1303" s="150">
        <v>65</v>
      </c>
      <c r="M1303" s="146" t="s">
        <v>22</v>
      </c>
      <c r="N1303" s="149"/>
      <c r="O1303" s="149"/>
      <c r="P1303" s="149"/>
      <c r="Q1303" s="149"/>
      <c r="R1303" s="149"/>
      <c r="S1303" s="149"/>
      <c r="T1303" s="149"/>
      <c r="U1303" s="149"/>
      <c r="V1303" s="89"/>
      <c r="W1303" s="91"/>
      <c r="X1303" s="91"/>
      <c r="Y1303" s="91"/>
    </row>
    <row r="1304" spans="1:25" s="26" customFormat="1" ht="15" customHeight="1" x14ac:dyDescent="0.2">
      <c r="A1304" s="93">
        <v>41793.390613425901</v>
      </c>
      <c r="B1304" s="89" t="s">
        <v>38</v>
      </c>
      <c r="C1304" s="52" t="s">
        <v>697</v>
      </c>
      <c r="D1304" s="87" t="s">
        <v>6224</v>
      </c>
      <c r="E1304" s="89" t="s">
        <v>7157</v>
      </c>
      <c r="F1304" s="89" t="s">
        <v>7158</v>
      </c>
      <c r="G1304" s="89" t="s">
        <v>20</v>
      </c>
      <c r="H1304" s="89" t="s">
        <v>700</v>
      </c>
      <c r="I1304" s="89" t="s">
        <v>2986</v>
      </c>
      <c r="J1304" s="95" t="s">
        <v>7159</v>
      </c>
      <c r="K1304" s="95">
        <v>16</v>
      </c>
      <c r="L1304" s="150">
        <v>85</v>
      </c>
      <c r="M1304" s="146" t="s">
        <v>22</v>
      </c>
      <c r="N1304" s="149"/>
      <c r="O1304" s="149"/>
      <c r="P1304" s="149"/>
      <c r="Q1304" s="149"/>
      <c r="R1304" s="149"/>
      <c r="S1304" s="149"/>
      <c r="T1304" s="149"/>
      <c r="U1304" s="149"/>
      <c r="V1304" s="89"/>
      <c r="W1304" s="91"/>
      <c r="X1304" s="91"/>
      <c r="Y1304" s="91"/>
    </row>
    <row r="1305" spans="1:25" s="26" customFormat="1" ht="15" customHeight="1" x14ac:dyDescent="0.2">
      <c r="A1305" s="93">
        <v>41793.391909722202</v>
      </c>
      <c r="B1305" s="89" t="s">
        <v>38</v>
      </c>
      <c r="C1305" s="52" t="s">
        <v>697</v>
      </c>
      <c r="D1305" s="87" t="s">
        <v>6224</v>
      </c>
      <c r="E1305" s="89" t="s">
        <v>7160</v>
      </c>
      <c r="F1305" s="89" t="s">
        <v>7161</v>
      </c>
      <c r="G1305" s="89" t="s">
        <v>20</v>
      </c>
      <c r="H1305" s="89" t="s">
        <v>700</v>
      </c>
      <c r="I1305" s="89" t="s">
        <v>2986</v>
      </c>
      <c r="J1305" s="95">
        <v>1</v>
      </c>
      <c r="K1305" s="95">
        <v>60</v>
      </c>
      <c r="L1305" s="150">
        <v>300</v>
      </c>
      <c r="M1305" s="146" t="s">
        <v>22</v>
      </c>
      <c r="N1305" s="149"/>
      <c r="O1305" s="149"/>
      <c r="P1305" s="149"/>
      <c r="Q1305" s="149"/>
      <c r="R1305" s="149"/>
      <c r="S1305" s="149"/>
      <c r="T1305" s="149"/>
      <c r="U1305" s="149"/>
      <c r="V1305" s="89"/>
      <c r="W1305" s="91"/>
      <c r="X1305" s="91"/>
      <c r="Y1305" s="91"/>
    </row>
    <row r="1306" spans="1:25" s="26" customFormat="1" ht="15" customHeight="1" x14ac:dyDescent="0.2">
      <c r="A1306" s="93">
        <v>41793.3930092593</v>
      </c>
      <c r="B1306" s="89" t="s">
        <v>38</v>
      </c>
      <c r="C1306" s="52" t="s">
        <v>697</v>
      </c>
      <c r="D1306" s="87" t="s">
        <v>6224</v>
      </c>
      <c r="E1306" s="89" t="s">
        <v>7162</v>
      </c>
      <c r="F1306" s="89" t="s">
        <v>7163</v>
      </c>
      <c r="G1306" s="89" t="s">
        <v>20</v>
      </c>
      <c r="H1306" s="89" t="s">
        <v>700</v>
      </c>
      <c r="I1306" s="89" t="s">
        <v>2986</v>
      </c>
      <c r="J1306" s="95">
        <v>1</v>
      </c>
      <c r="K1306" s="95">
        <v>90</v>
      </c>
      <c r="L1306" s="150">
        <v>450</v>
      </c>
      <c r="M1306" s="146" t="s">
        <v>22</v>
      </c>
      <c r="N1306" s="149"/>
      <c r="O1306" s="149"/>
      <c r="P1306" s="149"/>
      <c r="Q1306" s="149"/>
      <c r="R1306" s="149"/>
      <c r="S1306" s="149"/>
      <c r="T1306" s="149"/>
      <c r="U1306" s="149"/>
      <c r="V1306" s="89"/>
      <c r="W1306" s="91"/>
      <c r="X1306" s="91"/>
      <c r="Y1306" s="91"/>
    </row>
    <row r="1307" spans="1:25" s="26" customFormat="1" ht="15" customHeight="1" x14ac:dyDescent="0.2">
      <c r="A1307" s="37">
        <v>41488.475243055596</v>
      </c>
      <c r="B1307" s="26" t="s">
        <v>38</v>
      </c>
      <c r="C1307" s="26" t="s">
        <v>590</v>
      </c>
      <c r="D1307" s="33">
        <v>41456</v>
      </c>
      <c r="E1307" s="26" t="s">
        <v>591</v>
      </c>
      <c r="F1307" s="26" t="s">
        <v>592</v>
      </c>
      <c r="G1307" s="26" t="s">
        <v>26</v>
      </c>
      <c r="H1307" s="26" t="s">
        <v>593</v>
      </c>
      <c r="J1307" s="115">
        <v>1</v>
      </c>
      <c r="K1307" s="115">
        <v>0</v>
      </c>
      <c r="L1307" s="136"/>
      <c r="M1307" s="137" t="s">
        <v>22</v>
      </c>
      <c r="N1307" s="138"/>
      <c r="O1307" s="138"/>
      <c r="P1307" s="138"/>
      <c r="Q1307" s="138"/>
      <c r="R1307" s="138"/>
      <c r="S1307" s="138"/>
      <c r="T1307" s="138"/>
      <c r="U1307" s="138">
        <v>0</v>
      </c>
      <c r="V1307" s="26" t="s">
        <v>594</v>
      </c>
    </row>
    <row r="1308" spans="1:25" s="26" customFormat="1" ht="15" customHeight="1" x14ac:dyDescent="0.2">
      <c r="A1308" s="37">
        <v>41488.475972222201</v>
      </c>
      <c r="B1308" s="26" t="s">
        <v>38</v>
      </c>
      <c r="C1308" s="26" t="s">
        <v>590</v>
      </c>
      <c r="D1308" s="33">
        <v>41456</v>
      </c>
      <c r="E1308" s="26" t="s">
        <v>595</v>
      </c>
      <c r="F1308" s="26" t="s">
        <v>149</v>
      </c>
      <c r="G1308" s="26" t="s">
        <v>26</v>
      </c>
      <c r="H1308" s="26" t="s">
        <v>596</v>
      </c>
      <c r="J1308" s="115">
        <v>1</v>
      </c>
      <c r="K1308" s="115">
        <v>0</v>
      </c>
      <c r="L1308" s="136"/>
      <c r="M1308" s="137" t="s">
        <v>22</v>
      </c>
      <c r="N1308" s="138"/>
      <c r="O1308" s="138"/>
      <c r="P1308" s="138"/>
      <c r="Q1308" s="138"/>
      <c r="R1308" s="138"/>
      <c r="S1308" s="138"/>
      <c r="T1308" s="138"/>
      <c r="U1308" s="138">
        <v>0</v>
      </c>
      <c r="V1308" s="26" t="s">
        <v>597</v>
      </c>
    </row>
    <row r="1309" spans="1:25" s="26" customFormat="1" ht="15" customHeight="1" x14ac:dyDescent="0.2">
      <c r="A1309" s="37">
        <v>41488.480219907397</v>
      </c>
      <c r="B1309" s="26" t="s">
        <v>38</v>
      </c>
      <c r="C1309" s="26" t="s">
        <v>590</v>
      </c>
      <c r="D1309" s="33">
        <v>41456</v>
      </c>
      <c r="E1309" s="26" t="s">
        <v>598</v>
      </c>
      <c r="F1309" s="26" t="s">
        <v>599</v>
      </c>
      <c r="G1309" s="26" t="s">
        <v>26</v>
      </c>
      <c r="H1309" s="26" t="s">
        <v>600</v>
      </c>
      <c r="J1309" s="115">
        <v>1</v>
      </c>
      <c r="K1309" s="115">
        <v>4</v>
      </c>
      <c r="L1309" s="136">
        <v>20</v>
      </c>
      <c r="M1309" s="137" t="s">
        <v>44</v>
      </c>
      <c r="N1309" s="138"/>
      <c r="O1309" s="138">
        <v>5</v>
      </c>
      <c r="P1309" s="138"/>
      <c r="Q1309" s="138"/>
      <c r="R1309" s="138"/>
      <c r="S1309" s="138"/>
      <c r="T1309" s="138"/>
      <c r="U1309" s="138">
        <v>0</v>
      </c>
      <c r="V1309" s="26" t="s">
        <v>601</v>
      </c>
    </row>
    <row r="1310" spans="1:25" s="26" customFormat="1" ht="15" customHeight="1" x14ac:dyDescent="0.2">
      <c r="A1310" s="37">
        <v>41488.481087963002</v>
      </c>
      <c r="B1310" s="26" t="s">
        <v>38</v>
      </c>
      <c r="C1310" s="26" t="s">
        <v>590</v>
      </c>
      <c r="D1310" s="33">
        <v>41456</v>
      </c>
      <c r="E1310" s="26" t="s">
        <v>602</v>
      </c>
      <c r="F1310" s="26" t="s">
        <v>603</v>
      </c>
      <c r="G1310" s="26" t="s">
        <v>26</v>
      </c>
      <c r="H1310" s="26" t="s">
        <v>604</v>
      </c>
      <c r="J1310" s="115">
        <v>1</v>
      </c>
      <c r="K1310" s="115">
        <v>0</v>
      </c>
      <c r="L1310" s="136"/>
      <c r="M1310" s="137" t="s">
        <v>22</v>
      </c>
      <c r="N1310" s="138"/>
      <c r="O1310" s="138"/>
      <c r="P1310" s="138"/>
      <c r="Q1310" s="138"/>
      <c r="R1310" s="138"/>
      <c r="S1310" s="138"/>
      <c r="T1310" s="138"/>
      <c r="U1310" s="138"/>
      <c r="V1310" s="26" t="s">
        <v>605</v>
      </c>
    </row>
    <row r="1311" spans="1:25" s="26" customFormat="1" ht="15" customHeight="1" x14ac:dyDescent="0.2">
      <c r="A1311" s="37">
        <v>41488.481712963003</v>
      </c>
      <c r="B1311" s="26" t="s">
        <v>38</v>
      </c>
      <c r="C1311" s="26" t="s">
        <v>590</v>
      </c>
      <c r="D1311" s="33">
        <v>41456</v>
      </c>
      <c r="E1311" s="26" t="s">
        <v>606</v>
      </c>
      <c r="F1311" s="26" t="s">
        <v>607</v>
      </c>
      <c r="G1311" s="26" t="s">
        <v>26</v>
      </c>
      <c r="H1311" s="26" t="s">
        <v>608</v>
      </c>
      <c r="J1311" s="115">
        <v>1</v>
      </c>
      <c r="K1311" s="115">
        <v>0</v>
      </c>
      <c r="L1311" s="136"/>
      <c r="M1311" s="137" t="s">
        <v>22</v>
      </c>
      <c r="N1311" s="138"/>
      <c r="O1311" s="138"/>
      <c r="P1311" s="138"/>
      <c r="Q1311" s="138"/>
      <c r="R1311" s="138"/>
      <c r="S1311" s="138"/>
      <c r="T1311" s="138"/>
      <c r="U1311" s="138"/>
      <c r="V1311" s="26" t="s">
        <v>609</v>
      </c>
    </row>
    <row r="1312" spans="1:25" s="26" customFormat="1" ht="15" customHeight="1" x14ac:dyDescent="0.2">
      <c r="A1312" s="37">
        <v>41488.4823032407</v>
      </c>
      <c r="B1312" s="26" t="s">
        <v>38</v>
      </c>
      <c r="C1312" s="26" t="s">
        <v>590</v>
      </c>
      <c r="D1312" s="33">
        <v>41456</v>
      </c>
      <c r="E1312" s="26" t="s">
        <v>610</v>
      </c>
      <c r="F1312" s="26" t="s">
        <v>611</v>
      </c>
      <c r="G1312" s="26" t="s">
        <v>26</v>
      </c>
      <c r="H1312" s="26" t="s">
        <v>612</v>
      </c>
      <c r="J1312" s="115">
        <v>1</v>
      </c>
      <c r="K1312" s="115">
        <v>10</v>
      </c>
      <c r="L1312" s="136"/>
      <c r="M1312" s="137" t="s">
        <v>22</v>
      </c>
      <c r="N1312" s="138"/>
      <c r="O1312" s="138"/>
      <c r="P1312" s="138"/>
      <c r="Q1312" s="138"/>
      <c r="R1312" s="138"/>
      <c r="S1312" s="138"/>
      <c r="T1312" s="138"/>
      <c r="U1312" s="138"/>
    </row>
    <row r="1313" spans="1:22" s="26" customFormat="1" ht="15" customHeight="1" x14ac:dyDescent="0.2">
      <c r="A1313" s="37">
        <v>41488.493101851898</v>
      </c>
      <c r="B1313" s="26" t="s">
        <v>38</v>
      </c>
      <c r="C1313" s="26" t="s">
        <v>590</v>
      </c>
      <c r="D1313" s="33">
        <v>41456</v>
      </c>
      <c r="E1313" s="26" t="s">
        <v>613</v>
      </c>
      <c r="F1313" s="26" t="s">
        <v>599</v>
      </c>
      <c r="G1313" s="26" t="s">
        <v>26</v>
      </c>
      <c r="H1313" s="26" t="s">
        <v>600</v>
      </c>
      <c r="J1313" s="115">
        <v>1</v>
      </c>
      <c r="K1313" s="115">
        <v>0</v>
      </c>
      <c r="L1313" s="136"/>
      <c r="M1313" s="137" t="s">
        <v>22</v>
      </c>
      <c r="N1313" s="138"/>
      <c r="O1313" s="138"/>
      <c r="P1313" s="138"/>
      <c r="Q1313" s="138"/>
      <c r="R1313" s="138"/>
      <c r="S1313" s="138"/>
      <c r="T1313" s="138"/>
      <c r="U1313" s="138"/>
    </row>
    <row r="1314" spans="1:22" s="26" customFormat="1" ht="15" customHeight="1" x14ac:dyDescent="0.2">
      <c r="A1314" s="37">
        <v>41488.4937152778</v>
      </c>
      <c r="B1314" s="26" t="s">
        <v>38</v>
      </c>
      <c r="C1314" s="26" t="s">
        <v>590</v>
      </c>
      <c r="D1314" s="33">
        <v>41456</v>
      </c>
      <c r="E1314" s="26" t="s">
        <v>614</v>
      </c>
      <c r="F1314" s="26" t="s">
        <v>615</v>
      </c>
      <c r="G1314" s="26" t="s">
        <v>26</v>
      </c>
      <c r="H1314" s="26" t="s">
        <v>616</v>
      </c>
      <c r="J1314" s="115">
        <v>1</v>
      </c>
      <c r="K1314" s="115">
        <v>2</v>
      </c>
      <c r="L1314" s="136">
        <v>8</v>
      </c>
      <c r="M1314" s="137" t="s">
        <v>22</v>
      </c>
      <c r="N1314" s="138"/>
      <c r="O1314" s="138"/>
      <c r="P1314" s="138"/>
      <c r="Q1314" s="138"/>
      <c r="R1314" s="138"/>
      <c r="S1314" s="138"/>
      <c r="T1314" s="138"/>
      <c r="U1314" s="138"/>
    </row>
    <row r="1315" spans="1:22" s="26" customFormat="1" ht="15" customHeight="1" x14ac:dyDescent="0.2">
      <c r="A1315" s="37">
        <v>41488.496307870402</v>
      </c>
      <c r="B1315" s="26" t="s">
        <v>38</v>
      </c>
      <c r="C1315" s="26" t="s">
        <v>590</v>
      </c>
      <c r="D1315" s="33">
        <v>41456</v>
      </c>
      <c r="E1315" s="26" t="s">
        <v>617</v>
      </c>
      <c r="F1315" s="26" t="s">
        <v>618</v>
      </c>
      <c r="G1315" s="26" t="s">
        <v>42</v>
      </c>
      <c r="H1315" s="26" t="s">
        <v>619</v>
      </c>
      <c r="J1315" s="115">
        <v>1</v>
      </c>
      <c r="K1315" s="115">
        <v>25</v>
      </c>
      <c r="L1315" s="136"/>
      <c r="M1315" s="137" t="s">
        <v>22</v>
      </c>
      <c r="N1315" s="138"/>
      <c r="O1315" s="138"/>
      <c r="P1315" s="138"/>
      <c r="Q1315" s="138"/>
      <c r="R1315" s="138"/>
      <c r="S1315" s="138"/>
      <c r="T1315" s="138"/>
      <c r="U1315" s="138"/>
    </row>
    <row r="1316" spans="1:22" s="26" customFormat="1" ht="15" customHeight="1" x14ac:dyDescent="0.2">
      <c r="A1316" s="37">
        <v>41488.4968518518</v>
      </c>
      <c r="B1316" s="26" t="s">
        <v>38</v>
      </c>
      <c r="C1316" s="26" t="s">
        <v>590</v>
      </c>
      <c r="D1316" s="33">
        <v>41456</v>
      </c>
      <c r="E1316" s="26" t="s">
        <v>620</v>
      </c>
      <c r="F1316" s="26" t="s">
        <v>621</v>
      </c>
      <c r="G1316" s="26" t="s">
        <v>26</v>
      </c>
      <c r="H1316" s="26" t="s">
        <v>622</v>
      </c>
      <c r="J1316" s="115">
        <v>1</v>
      </c>
      <c r="K1316" s="115">
        <v>0</v>
      </c>
      <c r="L1316" s="136"/>
      <c r="M1316" s="137" t="s">
        <v>22</v>
      </c>
      <c r="N1316" s="138"/>
      <c r="O1316" s="138"/>
      <c r="P1316" s="138"/>
      <c r="Q1316" s="138"/>
      <c r="R1316" s="138"/>
      <c r="S1316" s="138"/>
      <c r="T1316" s="138"/>
      <c r="U1316" s="138"/>
    </row>
    <row r="1317" spans="1:22" s="26" customFormat="1" ht="15" customHeight="1" x14ac:dyDescent="0.2">
      <c r="A1317" s="37">
        <v>41488.497638888897</v>
      </c>
      <c r="B1317" s="26" t="s">
        <v>38</v>
      </c>
      <c r="C1317" s="26" t="s">
        <v>590</v>
      </c>
      <c r="D1317" s="33">
        <v>41456</v>
      </c>
      <c r="E1317" s="26" t="s">
        <v>623</v>
      </c>
      <c r="F1317" s="26" t="s">
        <v>624</v>
      </c>
      <c r="G1317" s="26" t="s">
        <v>20</v>
      </c>
      <c r="H1317" s="26" t="s">
        <v>604</v>
      </c>
      <c r="J1317" s="115">
        <v>1</v>
      </c>
      <c r="K1317" s="115">
        <v>6</v>
      </c>
      <c r="L1317" s="136">
        <v>30</v>
      </c>
      <c r="M1317" s="137" t="s">
        <v>44</v>
      </c>
      <c r="N1317" s="138"/>
      <c r="O1317" s="138">
        <v>10</v>
      </c>
      <c r="P1317" s="138"/>
      <c r="Q1317" s="138"/>
      <c r="R1317" s="138"/>
      <c r="S1317" s="138"/>
      <c r="T1317" s="138"/>
      <c r="U1317" s="138"/>
    </row>
    <row r="1318" spans="1:22" s="26" customFormat="1" ht="15" customHeight="1" x14ac:dyDescent="0.2">
      <c r="A1318" s="37">
        <v>41488.500104166698</v>
      </c>
      <c r="B1318" s="26" t="s">
        <v>38</v>
      </c>
      <c r="C1318" s="26" t="s">
        <v>590</v>
      </c>
      <c r="D1318" s="33">
        <v>41456</v>
      </c>
      <c r="E1318" s="26" t="s">
        <v>595</v>
      </c>
      <c r="F1318" s="26" t="s">
        <v>625</v>
      </c>
      <c r="G1318" s="26" t="s">
        <v>26</v>
      </c>
      <c r="H1318" s="26" t="s">
        <v>626</v>
      </c>
      <c r="J1318" s="115">
        <v>1</v>
      </c>
      <c r="K1318" s="115">
        <v>3</v>
      </c>
      <c r="L1318" s="136">
        <v>15</v>
      </c>
      <c r="M1318" s="137" t="s">
        <v>22</v>
      </c>
      <c r="N1318" s="138"/>
      <c r="O1318" s="138"/>
      <c r="P1318" s="138"/>
      <c r="Q1318" s="138"/>
      <c r="R1318" s="138"/>
      <c r="S1318" s="138"/>
      <c r="T1318" s="138"/>
      <c r="U1318" s="138"/>
    </row>
    <row r="1319" spans="1:22" s="26" customFormat="1" ht="15" customHeight="1" x14ac:dyDescent="0.2">
      <c r="A1319" s="37">
        <v>41488.500729166699</v>
      </c>
      <c r="B1319" s="26" t="s">
        <v>38</v>
      </c>
      <c r="C1319" s="26" t="s">
        <v>590</v>
      </c>
      <c r="D1319" s="33">
        <v>41456</v>
      </c>
      <c r="E1319" s="26" t="s">
        <v>598</v>
      </c>
      <c r="F1319" s="26" t="s">
        <v>627</v>
      </c>
      <c r="G1319" s="26" t="s">
        <v>26</v>
      </c>
      <c r="H1319" s="26" t="s">
        <v>628</v>
      </c>
      <c r="J1319" s="115">
        <v>1</v>
      </c>
      <c r="K1319" s="115">
        <v>2</v>
      </c>
      <c r="L1319" s="136">
        <v>10</v>
      </c>
      <c r="M1319" s="137" t="s">
        <v>22</v>
      </c>
      <c r="N1319" s="138"/>
      <c r="O1319" s="138"/>
      <c r="P1319" s="138"/>
      <c r="Q1319" s="138"/>
      <c r="R1319" s="138"/>
      <c r="S1319" s="138"/>
      <c r="T1319" s="138"/>
      <c r="U1319" s="138"/>
    </row>
    <row r="1320" spans="1:22" s="26" customFormat="1" ht="15" customHeight="1" x14ac:dyDescent="0.2">
      <c r="A1320" s="37">
        <v>41488.501701388901</v>
      </c>
      <c r="B1320" s="26" t="s">
        <v>38</v>
      </c>
      <c r="C1320" s="26" t="s">
        <v>590</v>
      </c>
      <c r="D1320" s="33">
        <v>41456</v>
      </c>
      <c r="E1320" s="26" t="s">
        <v>629</v>
      </c>
      <c r="F1320" s="26" t="s">
        <v>630</v>
      </c>
      <c r="G1320" s="26" t="s">
        <v>26</v>
      </c>
      <c r="H1320" s="26" t="s">
        <v>631</v>
      </c>
      <c r="J1320" s="115">
        <v>1</v>
      </c>
      <c r="K1320" s="115">
        <v>8</v>
      </c>
      <c r="L1320" s="136">
        <v>35</v>
      </c>
      <c r="M1320" s="137" t="s">
        <v>44</v>
      </c>
      <c r="N1320" s="138"/>
      <c r="O1320" s="138">
        <v>5</v>
      </c>
      <c r="P1320" s="138"/>
      <c r="Q1320" s="138"/>
      <c r="R1320" s="138"/>
      <c r="S1320" s="138"/>
      <c r="T1320" s="138"/>
      <c r="U1320" s="138"/>
    </row>
    <row r="1321" spans="1:22" s="26" customFormat="1" ht="15" customHeight="1" x14ac:dyDescent="0.2">
      <c r="A1321" s="37">
        <v>41488.502476851798</v>
      </c>
      <c r="B1321" s="26" t="s">
        <v>38</v>
      </c>
      <c r="C1321" s="26" t="s">
        <v>590</v>
      </c>
      <c r="D1321" s="33">
        <v>41456</v>
      </c>
      <c r="E1321" s="26" t="s">
        <v>632</v>
      </c>
      <c r="F1321" s="26" t="s">
        <v>633</v>
      </c>
      <c r="G1321" s="26" t="s">
        <v>26</v>
      </c>
      <c r="H1321" s="26" t="s">
        <v>634</v>
      </c>
      <c r="J1321" s="115">
        <v>1</v>
      </c>
      <c r="K1321" s="115">
        <v>13</v>
      </c>
      <c r="L1321" s="136">
        <v>195</v>
      </c>
      <c r="M1321" s="137" t="s">
        <v>44</v>
      </c>
      <c r="N1321" s="138"/>
      <c r="O1321" s="138">
        <v>10</v>
      </c>
      <c r="P1321" s="138"/>
      <c r="Q1321" s="138"/>
      <c r="R1321" s="138"/>
      <c r="S1321" s="138"/>
      <c r="T1321" s="138"/>
      <c r="U1321" s="138"/>
      <c r="V1321" s="26" t="s">
        <v>635</v>
      </c>
    </row>
    <row r="1322" spans="1:22" s="26" customFormat="1" ht="15" customHeight="1" x14ac:dyDescent="0.2">
      <c r="A1322" s="37">
        <v>41488.503113425897</v>
      </c>
      <c r="B1322" s="26" t="s">
        <v>38</v>
      </c>
      <c r="C1322" s="26" t="s">
        <v>590</v>
      </c>
      <c r="D1322" s="33">
        <v>41456</v>
      </c>
      <c r="E1322" s="26" t="s">
        <v>636</v>
      </c>
      <c r="F1322" s="26" t="s">
        <v>637</v>
      </c>
      <c r="G1322" s="26" t="s">
        <v>26</v>
      </c>
      <c r="H1322" s="26" t="s">
        <v>638</v>
      </c>
      <c r="J1322" s="115">
        <v>1</v>
      </c>
      <c r="K1322" s="115">
        <v>3</v>
      </c>
      <c r="L1322" s="136">
        <v>15</v>
      </c>
      <c r="M1322" s="137" t="s">
        <v>44</v>
      </c>
      <c r="N1322" s="138"/>
      <c r="O1322" s="138">
        <v>5</v>
      </c>
      <c r="P1322" s="138"/>
      <c r="Q1322" s="138"/>
      <c r="R1322" s="138"/>
      <c r="S1322" s="138"/>
      <c r="T1322" s="138"/>
      <c r="U1322" s="138"/>
    </row>
    <row r="1323" spans="1:22" s="26" customFormat="1" ht="15" customHeight="1" x14ac:dyDescent="0.2">
      <c r="A1323" s="37">
        <v>41488.503715277802</v>
      </c>
      <c r="B1323" s="26" t="s">
        <v>38</v>
      </c>
      <c r="C1323" s="26" t="s">
        <v>590</v>
      </c>
      <c r="D1323" s="33">
        <v>41456</v>
      </c>
      <c r="E1323" s="26" t="s">
        <v>639</v>
      </c>
      <c r="F1323" s="26" t="s">
        <v>640</v>
      </c>
      <c r="G1323" s="26" t="s">
        <v>26</v>
      </c>
      <c r="H1323" s="26" t="s">
        <v>641</v>
      </c>
      <c r="J1323" s="115">
        <v>1</v>
      </c>
      <c r="K1323" s="115">
        <v>7</v>
      </c>
      <c r="L1323" s="136"/>
      <c r="M1323" s="137" t="s">
        <v>44</v>
      </c>
      <c r="N1323" s="138"/>
      <c r="O1323" s="138">
        <v>5</v>
      </c>
      <c r="P1323" s="138"/>
      <c r="Q1323" s="138"/>
      <c r="R1323" s="138"/>
      <c r="S1323" s="138"/>
      <c r="T1323" s="138"/>
      <c r="U1323" s="138"/>
    </row>
    <row r="1324" spans="1:22" s="26" customFormat="1" ht="15" customHeight="1" x14ac:dyDescent="0.2">
      <c r="A1324" s="37">
        <v>41488.504270833299</v>
      </c>
      <c r="B1324" s="26" t="s">
        <v>38</v>
      </c>
      <c r="C1324" s="26" t="s">
        <v>590</v>
      </c>
      <c r="D1324" s="33">
        <v>41456</v>
      </c>
      <c r="E1324" s="26" t="s">
        <v>617</v>
      </c>
      <c r="F1324" s="26" t="s">
        <v>618</v>
      </c>
      <c r="G1324" s="26" t="s">
        <v>42</v>
      </c>
      <c r="H1324" s="26" t="s">
        <v>619</v>
      </c>
      <c r="J1324" s="115">
        <v>1</v>
      </c>
      <c r="K1324" s="115">
        <v>25</v>
      </c>
      <c r="L1324" s="136"/>
      <c r="M1324" s="137" t="s">
        <v>22</v>
      </c>
      <c r="N1324" s="138"/>
      <c r="O1324" s="138"/>
      <c r="P1324" s="138"/>
      <c r="Q1324" s="138"/>
      <c r="R1324" s="138"/>
      <c r="S1324" s="138"/>
      <c r="T1324" s="138"/>
      <c r="U1324" s="138"/>
    </row>
    <row r="1325" spans="1:22" s="26" customFormat="1" ht="15" customHeight="1" x14ac:dyDescent="0.2">
      <c r="A1325" s="37">
        <v>41488.509583333303</v>
      </c>
      <c r="B1325" s="26" t="s">
        <v>38</v>
      </c>
      <c r="C1325" s="26" t="s">
        <v>590</v>
      </c>
      <c r="D1325" s="33">
        <v>41456</v>
      </c>
      <c r="E1325" s="26" t="s">
        <v>629</v>
      </c>
      <c r="F1325" s="26" t="s">
        <v>642</v>
      </c>
      <c r="G1325" s="26" t="s">
        <v>26</v>
      </c>
      <c r="H1325" s="26" t="s">
        <v>643</v>
      </c>
      <c r="J1325" s="115">
        <v>1</v>
      </c>
      <c r="K1325" s="115">
        <v>5</v>
      </c>
      <c r="L1325" s="136">
        <v>25</v>
      </c>
      <c r="M1325" s="137" t="s">
        <v>22</v>
      </c>
      <c r="N1325" s="138"/>
      <c r="O1325" s="138"/>
      <c r="P1325" s="138"/>
      <c r="Q1325" s="138"/>
      <c r="R1325" s="138"/>
      <c r="S1325" s="138"/>
      <c r="T1325" s="138"/>
      <c r="U1325" s="138"/>
    </row>
    <row r="1326" spans="1:22" s="26" customFormat="1" ht="15" customHeight="1" x14ac:dyDescent="0.2">
      <c r="A1326" s="37">
        <v>41488.511087963001</v>
      </c>
      <c r="B1326" s="26" t="s">
        <v>38</v>
      </c>
      <c r="C1326" s="26" t="s">
        <v>590</v>
      </c>
      <c r="D1326" s="33">
        <v>41456</v>
      </c>
      <c r="E1326" s="26" t="s">
        <v>629</v>
      </c>
      <c r="F1326" s="26" t="s">
        <v>615</v>
      </c>
      <c r="G1326" s="26" t="s">
        <v>26</v>
      </c>
      <c r="H1326" s="26" t="s">
        <v>616</v>
      </c>
      <c r="J1326" s="115">
        <v>1</v>
      </c>
      <c r="K1326" s="115">
        <v>2</v>
      </c>
      <c r="L1326" s="136">
        <v>8</v>
      </c>
      <c r="M1326" s="137" t="s">
        <v>22</v>
      </c>
      <c r="N1326" s="138"/>
      <c r="O1326" s="138"/>
      <c r="P1326" s="138"/>
      <c r="Q1326" s="138"/>
      <c r="R1326" s="138"/>
      <c r="S1326" s="138"/>
      <c r="T1326" s="138"/>
      <c r="U1326" s="138"/>
    </row>
    <row r="1327" spans="1:22" s="26" customFormat="1" ht="15" customHeight="1" x14ac:dyDescent="0.2">
      <c r="A1327" s="37">
        <v>41488.511527777802</v>
      </c>
      <c r="B1327" s="26" t="s">
        <v>38</v>
      </c>
      <c r="C1327" s="26" t="s">
        <v>590</v>
      </c>
      <c r="D1327" s="33">
        <v>41456</v>
      </c>
      <c r="E1327" s="26" t="s">
        <v>644</v>
      </c>
      <c r="F1327" s="26" t="s">
        <v>603</v>
      </c>
      <c r="G1327" s="26" t="s">
        <v>26</v>
      </c>
      <c r="H1327" s="26" t="s">
        <v>604</v>
      </c>
      <c r="J1327" s="115">
        <v>1</v>
      </c>
      <c r="K1327" s="115">
        <v>0</v>
      </c>
      <c r="L1327" s="136"/>
      <c r="M1327" s="137" t="s">
        <v>22</v>
      </c>
      <c r="N1327" s="138"/>
      <c r="O1327" s="138"/>
      <c r="P1327" s="138"/>
      <c r="Q1327" s="138"/>
      <c r="R1327" s="138"/>
      <c r="S1327" s="138"/>
      <c r="T1327" s="138"/>
      <c r="U1327" s="138"/>
    </row>
    <row r="1328" spans="1:22" s="26" customFormat="1" ht="15" customHeight="1" x14ac:dyDescent="0.2">
      <c r="A1328" s="37">
        <v>41488.512071759302</v>
      </c>
      <c r="B1328" s="26" t="s">
        <v>38</v>
      </c>
      <c r="C1328" s="26" t="s">
        <v>590</v>
      </c>
      <c r="D1328" s="33">
        <v>41456</v>
      </c>
      <c r="E1328" s="26" t="s">
        <v>629</v>
      </c>
      <c r="F1328" s="26" t="s">
        <v>599</v>
      </c>
      <c r="G1328" s="26" t="s">
        <v>26</v>
      </c>
      <c r="H1328" s="26" t="s">
        <v>600</v>
      </c>
      <c r="J1328" s="115">
        <v>1</v>
      </c>
      <c r="K1328" s="115">
        <v>6</v>
      </c>
      <c r="L1328" s="136">
        <v>30</v>
      </c>
      <c r="M1328" s="137" t="s">
        <v>44</v>
      </c>
      <c r="N1328" s="138"/>
      <c r="O1328" s="138">
        <v>10</v>
      </c>
      <c r="P1328" s="138"/>
      <c r="Q1328" s="138"/>
      <c r="R1328" s="138"/>
      <c r="S1328" s="138"/>
      <c r="T1328" s="138"/>
      <c r="U1328" s="138"/>
    </row>
    <row r="1329" spans="1:22" s="26" customFormat="1" ht="15" customHeight="1" x14ac:dyDescent="0.2">
      <c r="A1329" s="38">
        <v>41518.382337962961</v>
      </c>
      <c r="B1329" s="29" t="s">
        <v>38</v>
      </c>
      <c r="C1329" s="29" t="s">
        <v>590</v>
      </c>
      <c r="D1329" s="30">
        <v>41487</v>
      </c>
      <c r="E1329" s="31" t="s">
        <v>1465</v>
      </c>
      <c r="F1329" s="29" t="s">
        <v>1466</v>
      </c>
      <c r="G1329" s="29" t="s">
        <v>26</v>
      </c>
      <c r="H1329" s="29" t="s">
        <v>1467</v>
      </c>
      <c r="I1329" s="29"/>
      <c r="J1329" s="116">
        <v>1</v>
      </c>
      <c r="K1329" s="116">
        <v>5</v>
      </c>
      <c r="L1329" s="139">
        <v>25</v>
      </c>
      <c r="M1329" s="140" t="s">
        <v>44</v>
      </c>
      <c r="N1329" s="141"/>
      <c r="O1329" s="141">
        <v>5</v>
      </c>
      <c r="P1329" s="141"/>
      <c r="Q1329" s="141"/>
      <c r="R1329" s="141"/>
      <c r="S1329" s="141"/>
      <c r="T1329" s="141"/>
      <c r="U1329" s="141"/>
      <c r="V1329" s="29"/>
    </row>
    <row r="1330" spans="1:22" s="26" customFormat="1" ht="15" customHeight="1" x14ac:dyDescent="0.2">
      <c r="A1330" s="38">
        <v>41518.383194444446</v>
      </c>
      <c r="B1330" s="29" t="s">
        <v>38</v>
      </c>
      <c r="C1330" s="29" t="s">
        <v>590</v>
      </c>
      <c r="D1330" s="30">
        <v>41487</v>
      </c>
      <c r="E1330" s="31" t="s">
        <v>1465</v>
      </c>
      <c r="F1330" s="29" t="s">
        <v>599</v>
      </c>
      <c r="G1330" s="29" t="s">
        <v>26</v>
      </c>
      <c r="H1330" s="29" t="s">
        <v>1468</v>
      </c>
      <c r="I1330" s="29"/>
      <c r="J1330" s="116">
        <v>1</v>
      </c>
      <c r="K1330" s="116">
        <v>20</v>
      </c>
      <c r="L1330" s="139">
        <v>100</v>
      </c>
      <c r="M1330" s="140" t="s">
        <v>44</v>
      </c>
      <c r="N1330" s="141"/>
      <c r="O1330" s="141">
        <v>15</v>
      </c>
      <c r="P1330" s="141"/>
      <c r="Q1330" s="141"/>
      <c r="R1330" s="141"/>
      <c r="S1330" s="141"/>
      <c r="T1330" s="141"/>
      <c r="U1330" s="141">
        <v>0</v>
      </c>
      <c r="V1330" s="29"/>
    </row>
    <row r="1331" spans="1:22" s="26" customFormat="1" ht="15" customHeight="1" x14ac:dyDescent="0.2">
      <c r="A1331" s="38">
        <v>41518.384768518517</v>
      </c>
      <c r="B1331" s="29" t="s">
        <v>38</v>
      </c>
      <c r="C1331" s="29" t="s">
        <v>590</v>
      </c>
      <c r="D1331" s="30">
        <v>41487</v>
      </c>
      <c r="E1331" s="31" t="s">
        <v>1469</v>
      </c>
      <c r="F1331" s="29" t="s">
        <v>1470</v>
      </c>
      <c r="G1331" s="29" t="s">
        <v>26</v>
      </c>
      <c r="H1331" s="29" t="s">
        <v>1471</v>
      </c>
      <c r="I1331" s="29"/>
      <c r="J1331" s="116">
        <v>1</v>
      </c>
      <c r="K1331" s="116">
        <v>0</v>
      </c>
      <c r="L1331" s="139"/>
      <c r="M1331" s="140" t="s">
        <v>22</v>
      </c>
      <c r="N1331" s="141"/>
      <c r="O1331" s="141"/>
      <c r="P1331" s="141"/>
      <c r="Q1331" s="141"/>
      <c r="R1331" s="141"/>
      <c r="S1331" s="141"/>
      <c r="T1331" s="141"/>
      <c r="U1331" s="141"/>
      <c r="V1331" s="29" t="s">
        <v>1472</v>
      </c>
    </row>
    <row r="1332" spans="1:22" s="26" customFormat="1" ht="15" customHeight="1" x14ac:dyDescent="0.2">
      <c r="A1332" s="38">
        <v>41518.385995370372</v>
      </c>
      <c r="B1332" s="29" t="s">
        <v>38</v>
      </c>
      <c r="C1332" s="29" t="s">
        <v>590</v>
      </c>
      <c r="D1332" s="30">
        <v>41487</v>
      </c>
      <c r="E1332" s="31" t="s">
        <v>1465</v>
      </c>
      <c r="F1332" s="29" t="s">
        <v>1473</v>
      </c>
      <c r="G1332" s="29" t="s">
        <v>26</v>
      </c>
      <c r="H1332" s="29" t="s">
        <v>1474</v>
      </c>
      <c r="I1332" s="29"/>
      <c r="J1332" s="116">
        <v>1</v>
      </c>
      <c r="K1332" s="116">
        <v>0</v>
      </c>
      <c r="L1332" s="139"/>
      <c r="M1332" s="140" t="s">
        <v>22</v>
      </c>
      <c r="N1332" s="141"/>
      <c r="O1332" s="141"/>
      <c r="P1332" s="141"/>
      <c r="Q1332" s="141"/>
      <c r="R1332" s="141"/>
      <c r="S1332" s="141"/>
      <c r="T1332" s="141"/>
      <c r="U1332" s="141"/>
      <c r="V1332" s="29"/>
    </row>
    <row r="1333" spans="1:22" s="26" customFormat="1" ht="15" customHeight="1" x14ac:dyDescent="0.2">
      <c r="A1333" s="38">
        <v>41518.386782407404</v>
      </c>
      <c r="B1333" s="29" t="s">
        <v>38</v>
      </c>
      <c r="C1333" s="29" t="s">
        <v>590</v>
      </c>
      <c r="D1333" s="30">
        <v>41487</v>
      </c>
      <c r="E1333" s="31" t="s">
        <v>1475</v>
      </c>
      <c r="F1333" s="29" t="s">
        <v>1476</v>
      </c>
      <c r="G1333" s="29" t="s">
        <v>26</v>
      </c>
      <c r="H1333" s="29" t="s">
        <v>1477</v>
      </c>
      <c r="I1333" s="29"/>
      <c r="J1333" s="116">
        <v>1</v>
      </c>
      <c r="K1333" s="116">
        <v>3</v>
      </c>
      <c r="L1333" s="139">
        <v>15</v>
      </c>
      <c r="M1333" s="140" t="s">
        <v>22</v>
      </c>
      <c r="N1333" s="141"/>
      <c r="O1333" s="141"/>
      <c r="P1333" s="141"/>
      <c r="Q1333" s="141"/>
      <c r="R1333" s="141"/>
      <c r="S1333" s="141"/>
      <c r="T1333" s="141"/>
      <c r="U1333" s="141"/>
      <c r="V1333" s="29" t="s">
        <v>1478</v>
      </c>
    </row>
    <row r="1334" spans="1:22" s="26" customFormat="1" ht="15" customHeight="1" x14ac:dyDescent="0.2">
      <c r="A1334" s="38">
        <v>41518.387291666666</v>
      </c>
      <c r="B1334" s="29" t="s">
        <v>38</v>
      </c>
      <c r="C1334" s="29" t="s">
        <v>590</v>
      </c>
      <c r="D1334" s="30">
        <v>41487</v>
      </c>
      <c r="E1334" s="31" t="s">
        <v>1465</v>
      </c>
      <c r="F1334" s="29" t="s">
        <v>599</v>
      </c>
      <c r="G1334" s="29" t="s">
        <v>26</v>
      </c>
      <c r="H1334" s="29" t="s">
        <v>1468</v>
      </c>
      <c r="I1334" s="29"/>
      <c r="J1334" s="116">
        <v>1</v>
      </c>
      <c r="K1334" s="116">
        <v>7</v>
      </c>
      <c r="L1334" s="139">
        <v>35</v>
      </c>
      <c r="M1334" s="140" t="s">
        <v>22</v>
      </c>
      <c r="N1334" s="141"/>
      <c r="O1334" s="141"/>
      <c r="P1334" s="141"/>
      <c r="Q1334" s="141"/>
      <c r="R1334" s="141"/>
      <c r="S1334" s="141"/>
      <c r="T1334" s="141"/>
      <c r="U1334" s="141"/>
      <c r="V1334" s="29"/>
    </row>
    <row r="1335" spans="1:22" s="26" customFormat="1" ht="15" customHeight="1" x14ac:dyDescent="0.2">
      <c r="A1335" s="38">
        <v>41518.38790509259</v>
      </c>
      <c r="B1335" s="29" t="s">
        <v>38</v>
      </c>
      <c r="C1335" s="29" t="s">
        <v>590</v>
      </c>
      <c r="D1335" s="30">
        <v>41487</v>
      </c>
      <c r="E1335" s="31" t="s">
        <v>602</v>
      </c>
      <c r="F1335" s="29" t="s">
        <v>1479</v>
      </c>
      <c r="G1335" s="29" t="s">
        <v>26</v>
      </c>
      <c r="H1335" s="29" t="s">
        <v>1480</v>
      </c>
      <c r="I1335" s="29"/>
      <c r="J1335" s="116">
        <v>1</v>
      </c>
      <c r="K1335" s="116">
        <v>0</v>
      </c>
      <c r="L1335" s="139"/>
      <c r="M1335" s="140" t="s">
        <v>22</v>
      </c>
      <c r="N1335" s="141"/>
      <c r="O1335" s="141"/>
      <c r="P1335" s="141"/>
      <c r="Q1335" s="141"/>
      <c r="R1335" s="141"/>
      <c r="S1335" s="141"/>
      <c r="T1335" s="141"/>
      <c r="U1335" s="141"/>
      <c r="V1335" s="29"/>
    </row>
    <row r="1336" spans="1:22" s="26" customFormat="1" ht="15" customHeight="1" x14ac:dyDescent="0.2">
      <c r="A1336" s="38">
        <v>41518.389849537038</v>
      </c>
      <c r="B1336" s="29" t="s">
        <v>38</v>
      </c>
      <c r="C1336" s="29" t="s">
        <v>590</v>
      </c>
      <c r="D1336" s="30">
        <v>41487</v>
      </c>
      <c r="E1336" s="31" t="s">
        <v>1481</v>
      </c>
      <c r="F1336" s="29" t="s">
        <v>633</v>
      </c>
      <c r="G1336" s="29" t="s">
        <v>26</v>
      </c>
      <c r="H1336" s="29" t="s">
        <v>1482</v>
      </c>
      <c r="I1336" s="29"/>
      <c r="J1336" s="116">
        <v>1</v>
      </c>
      <c r="K1336" s="116">
        <v>21</v>
      </c>
      <c r="L1336" s="139">
        <v>315</v>
      </c>
      <c r="M1336" s="140" t="s">
        <v>44</v>
      </c>
      <c r="N1336" s="141"/>
      <c r="O1336" s="141">
        <v>10</v>
      </c>
      <c r="P1336" s="141"/>
      <c r="Q1336" s="141"/>
      <c r="R1336" s="141"/>
      <c r="S1336" s="141"/>
      <c r="T1336" s="141"/>
      <c r="U1336" s="141"/>
      <c r="V1336" s="29" t="s">
        <v>1483</v>
      </c>
    </row>
    <row r="1337" spans="1:22" s="26" customFormat="1" ht="15" customHeight="1" x14ac:dyDescent="0.2">
      <c r="A1337" s="38">
        <v>41518.389965277776</v>
      </c>
      <c r="B1337" s="29" t="s">
        <v>38</v>
      </c>
      <c r="C1337" s="29" t="s">
        <v>590</v>
      </c>
      <c r="D1337" s="30">
        <v>41487</v>
      </c>
      <c r="E1337" s="31" t="s">
        <v>1481</v>
      </c>
      <c r="F1337" s="29" t="s">
        <v>633</v>
      </c>
      <c r="G1337" s="29" t="s">
        <v>26</v>
      </c>
      <c r="H1337" s="29" t="s">
        <v>1482</v>
      </c>
      <c r="I1337" s="29"/>
      <c r="J1337" s="116">
        <v>1</v>
      </c>
      <c r="K1337" s="116">
        <v>21</v>
      </c>
      <c r="L1337" s="139">
        <v>315</v>
      </c>
      <c r="M1337" s="140" t="s">
        <v>44</v>
      </c>
      <c r="N1337" s="141"/>
      <c r="O1337" s="141">
        <v>10</v>
      </c>
      <c r="P1337" s="141"/>
      <c r="Q1337" s="141"/>
      <c r="R1337" s="141"/>
      <c r="S1337" s="141"/>
      <c r="T1337" s="141"/>
      <c r="U1337" s="141"/>
      <c r="V1337" s="29" t="s">
        <v>1483</v>
      </c>
    </row>
    <row r="1338" spans="1:22" s="26" customFormat="1" ht="15" customHeight="1" x14ac:dyDescent="0.2">
      <c r="A1338" s="32">
        <v>41550.708321759259</v>
      </c>
      <c r="B1338" s="26" t="s">
        <v>38</v>
      </c>
      <c r="C1338" s="26" t="s">
        <v>590</v>
      </c>
      <c r="D1338" s="30">
        <v>41518</v>
      </c>
      <c r="E1338" s="26" t="s">
        <v>2386</v>
      </c>
      <c r="F1338" s="26" t="s">
        <v>1473</v>
      </c>
      <c r="G1338" s="26" t="s">
        <v>26</v>
      </c>
      <c r="H1338" s="26" t="s">
        <v>1474</v>
      </c>
      <c r="J1338" s="46">
        <v>1</v>
      </c>
      <c r="K1338" s="46">
        <v>0</v>
      </c>
      <c r="L1338" s="136"/>
      <c r="M1338" s="137" t="s">
        <v>22</v>
      </c>
      <c r="N1338" s="138"/>
      <c r="O1338" s="138"/>
      <c r="P1338" s="138"/>
      <c r="Q1338" s="138"/>
      <c r="R1338" s="138"/>
      <c r="S1338" s="138"/>
      <c r="T1338" s="138"/>
      <c r="U1338" s="138"/>
    </row>
    <row r="1339" spans="1:22" s="26" customFormat="1" ht="15" customHeight="1" x14ac:dyDescent="0.2">
      <c r="A1339" s="32">
        <v>41550.70921296296</v>
      </c>
      <c r="B1339" s="26" t="s">
        <v>38</v>
      </c>
      <c r="C1339" s="26" t="s">
        <v>590</v>
      </c>
      <c r="D1339" s="30">
        <v>41518</v>
      </c>
      <c r="E1339" s="26" t="s">
        <v>639</v>
      </c>
      <c r="F1339" s="26" t="s">
        <v>2387</v>
      </c>
      <c r="G1339" s="26" t="s">
        <v>26</v>
      </c>
      <c r="H1339" s="26" t="s">
        <v>2388</v>
      </c>
      <c r="J1339" s="46">
        <v>1</v>
      </c>
      <c r="K1339" s="46">
        <v>4</v>
      </c>
      <c r="L1339" s="136">
        <v>5</v>
      </c>
      <c r="M1339" s="137" t="s">
        <v>22</v>
      </c>
      <c r="N1339" s="138"/>
      <c r="O1339" s="138"/>
      <c r="P1339" s="138"/>
      <c r="Q1339" s="138"/>
      <c r="R1339" s="138"/>
      <c r="S1339" s="138"/>
      <c r="T1339" s="138"/>
      <c r="U1339" s="138"/>
    </row>
    <row r="1340" spans="1:22" s="26" customFormat="1" ht="15" customHeight="1" x14ac:dyDescent="0.2">
      <c r="A1340" s="32">
        <v>41550.709849537037</v>
      </c>
      <c r="B1340" s="26" t="s">
        <v>38</v>
      </c>
      <c r="C1340" s="26" t="s">
        <v>590</v>
      </c>
      <c r="D1340" s="30">
        <v>41518</v>
      </c>
      <c r="E1340" s="26" t="s">
        <v>2389</v>
      </c>
      <c r="F1340" s="26" t="s">
        <v>2390</v>
      </c>
      <c r="G1340" s="26" t="s">
        <v>26</v>
      </c>
      <c r="H1340" s="26" t="s">
        <v>2391</v>
      </c>
      <c r="J1340" s="46">
        <v>1</v>
      </c>
      <c r="K1340" s="46">
        <v>0</v>
      </c>
      <c r="L1340" s="136"/>
      <c r="M1340" s="137" t="s">
        <v>22</v>
      </c>
      <c r="N1340" s="138"/>
      <c r="O1340" s="138"/>
      <c r="P1340" s="138"/>
      <c r="Q1340" s="138"/>
      <c r="R1340" s="138"/>
      <c r="S1340" s="138"/>
      <c r="T1340" s="138"/>
      <c r="U1340" s="138"/>
    </row>
    <row r="1341" spans="1:22" s="26" customFormat="1" ht="15" customHeight="1" x14ac:dyDescent="0.2">
      <c r="A1341" s="48">
        <v>41615.366932870398</v>
      </c>
      <c r="B1341" s="49" t="s">
        <v>38</v>
      </c>
      <c r="C1341" s="50" t="s">
        <v>590</v>
      </c>
      <c r="D1341" s="67">
        <v>41579</v>
      </c>
      <c r="E1341" s="50" t="s">
        <v>3495</v>
      </c>
      <c r="F1341" s="50" t="s">
        <v>3496</v>
      </c>
      <c r="G1341" s="49" t="s">
        <v>26</v>
      </c>
      <c r="H1341" s="50" t="s">
        <v>3497</v>
      </c>
      <c r="I1341" s="50" t="s">
        <v>2986</v>
      </c>
      <c r="J1341" s="117">
        <v>1</v>
      </c>
      <c r="K1341" s="117">
        <v>0</v>
      </c>
      <c r="L1341" s="142"/>
      <c r="M1341" s="143" t="s">
        <v>22</v>
      </c>
      <c r="N1341" s="144"/>
      <c r="O1341" s="144"/>
      <c r="P1341" s="144"/>
      <c r="Q1341" s="144"/>
      <c r="R1341" s="144"/>
      <c r="S1341" s="144"/>
      <c r="T1341" s="144"/>
      <c r="U1341" s="144"/>
      <c r="V1341" s="50"/>
    </row>
    <row r="1342" spans="1:22" s="26" customFormat="1" ht="15" customHeight="1" x14ac:dyDescent="0.2">
      <c r="A1342" s="48">
        <v>41615.367986111101</v>
      </c>
      <c r="B1342" s="49" t="s">
        <v>38</v>
      </c>
      <c r="C1342" s="50" t="s">
        <v>590</v>
      </c>
      <c r="D1342" s="67">
        <v>41579</v>
      </c>
      <c r="E1342" s="50" t="s">
        <v>3498</v>
      </c>
      <c r="F1342" s="50" t="s">
        <v>3499</v>
      </c>
      <c r="G1342" s="49" t="s">
        <v>26</v>
      </c>
      <c r="H1342" s="50" t="s">
        <v>3500</v>
      </c>
      <c r="I1342" s="50" t="s">
        <v>2986</v>
      </c>
      <c r="J1342" s="117">
        <v>1</v>
      </c>
      <c r="K1342" s="117">
        <v>0</v>
      </c>
      <c r="L1342" s="142"/>
      <c r="M1342" s="143" t="s">
        <v>22</v>
      </c>
      <c r="N1342" s="144"/>
      <c r="O1342" s="144"/>
      <c r="P1342" s="144"/>
      <c r="Q1342" s="144"/>
      <c r="R1342" s="144"/>
      <c r="S1342" s="144"/>
      <c r="T1342" s="144"/>
      <c r="U1342" s="144"/>
      <c r="V1342" s="50"/>
    </row>
    <row r="1343" spans="1:22" s="26" customFormat="1" ht="15" customHeight="1" x14ac:dyDescent="0.2">
      <c r="A1343" s="48">
        <v>41615.370092592602</v>
      </c>
      <c r="B1343" s="49" t="s">
        <v>38</v>
      </c>
      <c r="C1343" s="50" t="s">
        <v>590</v>
      </c>
      <c r="D1343" s="67">
        <v>41579</v>
      </c>
      <c r="E1343" s="50" t="s">
        <v>3501</v>
      </c>
      <c r="F1343" s="50" t="s">
        <v>3502</v>
      </c>
      <c r="G1343" s="49" t="s">
        <v>26</v>
      </c>
      <c r="H1343" s="50" t="s">
        <v>3503</v>
      </c>
      <c r="I1343" s="50" t="s">
        <v>2986</v>
      </c>
      <c r="J1343" s="117">
        <v>2</v>
      </c>
      <c r="K1343" s="117">
        <v>11</v>
      </c>
      <c r="L1343" s="142"/>
      <c r="M1343" s="143" t="s">
        <v>44</v>
      </c>
      <c r="N1343" s="144"/>
      <c r="O1343" s="144">
        <v>45</v>
      </c>
      <c r="P1343" s="144"/>
      <c r="Q1343" s="144"/>
      <c r="R1343" s="144"/>
      <c r="S1343" s="144"/>
      <c r="T1343" s="144"/>
      <c r="U1343" s="144"/>
      <c r="V1343" s="50"/>
    </row>
    <row r="1344" spans="1:22" s="26" customFormat="1" ht="15" customHeight="1" x14ac:dyDescent="0.2">
      <c r="A1344" s="48">
        <v>41615.371203703697</v>
      </c>
      <c r="B1344" s="49" t="s">
        <v>38</v>
      </c>
      <c r="C1344" s="50" t="s">
        <v>590</v>
      </c>
      <c r="D1344" s="67">
        <v>41579</v>
      </c>
      <c r="E1344" s="50" t="s">
        <v>3504</v>
      </c>
      <c r="F1344" s="50" t="s">
        <v>3505</v>
      </c>
      <c r="G1344" s="49" t="s">
        <v>26</v>
      </c>
      <c r="H1344" s="50" t="s">
        <v>3506</v>
      </c>
      <c r="I1344" s="50" t="s">
        <v>2986</v>
      </c>
      <c r="J1344" s="117">
        <v>1</v>
      </c>
      <c r="K1344" s="117">
        <v>0</v>
      </c>
      <c r="L1344" s="142"/>
      <c r="M1344" s="143" t="s">
        <v>22</v>
      </c>
      <c r="N1344" s="144"/>
      <c r="O1344" s="144"/>
      <c r="P1344" s="144"/>
      <c r="Q1344" s="144"/>
      <c r="R1344" s="144"/>
      <c r="S1344" s="144"/>
      <c r="T1344" s="144"/>
      <c r="U1344" s="144"/>
      <c r="V1344" s="50"/>
    </row>
    <row r="1345" spans="1:22" s="26" customFormat="1" ht="15" customHeight="1" x14ac:dyDescent="0.2">
      <c r="A1345" s="48">
        <v>41615.372222222199</v>
      </c>
      <c r="B1345" s="49" t="s">
        <v>38</v>
      </c>
      <c r="C1345" s="50" t="s">
        <v>590</v>
      </c>
      <c r="D1345" s="67">
        <v>41579</v>
      </c>
      <c r="E1345" s="50" t="s">
        <v>3507</v>
      </c>
      <c r="F1345" s="50" t="s">
        <v>3508</v>
      </c>
      <c r="G1345" s="49" t="s">
        <v>26</v>
      </c>
      <c r="H1345" s="50" t="s">
        <v>3509</v>
      </c>
      <c r="I1345" s="50" t="s">
        <v>2986</v>
      </c>
      <c r="J1345" s="117">
        <v>0</v>
      </c>
      <c r="K1345" s="117">
        <v>6</v>
      </c>
      <c r="L1345" s="142">
        <v>15</v>
      </c>
      <c r="M1345" s="143" t="s">
        <v>44</v>
      </c>
      <c r="N1345" s="144"/>
      <c r="O1345" s="144">
        <v>10</v>
      </c>
      <c r="P1345" s="144"/>
      <c r="Q1345" s="144"/>
      <c r="R1345" s="144"/>
      <c r="S1345" s="144"/>
      <c r="T1345" s="144"/>
      <c r="U1345" s="144"/>
      <c r="V1345" s="50"/>
    </row>
    <row r="1346" spans="1:22" s="26" customFormat="1" ht="15" customHeight="1" x14ac:dyDescent="0.2">
      <c r="A1346" s="48">
        <v>41615.373124999998</v>
      </c>
      <c r="B1346" s="49" t="s">
        <v>38</v>
      </c>
      <c r="C1346" s="50" t="s">
        <v>590</v>
      </c>
      <c r="D1346" s="67">
        <v>41579</v>
      </c>
      <c r="E1346" s="50" t="s">
        <v>3504</v>
      </c>
      <c r="F1346" s="50" t="s">
        <v>3499</v>
      </c>
      <c r="G1346" s="49" t="s">
        <v>26</v>
      </c>
      <c r="H1346" s="50" t="s">
        <v>3510</v>
      </c>
      <c r="I1346" s="50" t="s">
        <v>3038</v>
      </c>
      <c r="J1346" s="117">
        <v>1</v>
      </c>
      <c r="K1346" s="117">
        <v>6</v>
      </c>
      <c r="L1346" s="142">
        <v>25</v>
      </c>
      <c r="M1346" s="143" t="s">
        <v>44</v>
      </c>
      <c r="N1346" s="144"/>
      <c r="O1346" s="144">
        <v>5</v>
      </c>
      <c r="P1346" s="144"/>
      <c r="Q1346" s="144"/>
      <c r="R1346" s="144"/>
      <c r="S1346" s="144"/>
      <c r="T1346" s="144"/>
      <c r="U1346" s="144"/>
      <c r="V1346" s="50"/>
    </row>
    <row r="1347" spans="1:22" s="26" customFormat="1" ht="15" customHeight="1" x14ac:dyDescent="0.2">
      <c r="A1347" s="48">
        <v>41615.374421296299</v>
      </c>
      <c r="B1347" s="49" t="s">
        <v>38</v>
      </c>
      <c r="C1347" s="50" t="s">
        <v>590</v>
      </c>
      <c r="D1347" s="67">
        <v>41579</v>
      </c>
      <c r="E1347" s="50" t="s">
        <v>3511</v>
      </c>
      <c r="F1347" s="50" t="s">
        <v>3512</v>
      </c>
      <c r="G1347" s="49" t="s">
        <v>26</v>
      </c>
      <c r="H1347" s="50" t="s">
        <v>3513</v>
      </c>
      <c r="I1347" s="50" t="s">
        <v>2986</v>
      </c>
      <c r="J1347" s="117">
        <v>1</v>
      </c>
      <c r="K1347" s="117">
        <v>1</v>
      </c>
      <c r="L1347" s="142">
        <v>5</v>
      </c>
      <c r="M1347" s="143" t="s">
        <v>44</v>
      </c>
      <c r="N1347" s="144"/>
      <c r="O1347" s="144">
        <v>5</v>
      </c>
      <c r="P1347" s="144">
        <v>5</v>
      </c>
      <c r="Q1347" s="144"/>
      <c r="R1347" s="144"/>
      <c r="S1347" s="144"/>
      <c r="T1347" s="144"/>
      <c r="U1347" s="144"/>
      <c r="V1347" s="50" t="s">
        <v>3514</v>
      </c>
    </row>
    <row r="1348" spans="1:22" s="26" customFormat="1" ht="15" customHeight="1" x14ac:dyDescent="0.2">
      <c r="A1348" s="48">
        <v>41615.375486111101</v>
      </c>
      <c r="B1348" s="49" t="s">
        <v>38</v>
      </c>
      <c r="C1348" s="50" t="s">
        <v>590</v>
      </c>
      <c r="D1348" s="67">
        <v>41579</v>
      </c>
      <c r="E1348" s="50" t="s">
        <v>3515</v>
      </c>
      <c r="F1348" s="50" t="s">
        <v>3516</v>
      </c>
      <c r="G1348" s="49" t="s">
        <v>26</v>
      </c>
      <c r="H1348" s="50" t="s">
        <v>3517</v>
      </c>
      <c r="I1348" s="50" t="s">
        <v>2986</v>
      </c>
      <c r="J1348" s="117">
        <v>1</v>
      </c>
      <c r="K1348" s="117">
        <v>0</v>
      </c>
      <c r="L1348" s="142"/>
      <c r="M1348" s="143" t="s">
        <v>22</v>
      </c>
      <c r="N1348" s="144"/>
      <c r="O1348" s="144"/>
      <c r="P1348" s="144"/>
      <c r="Q1348" s="144"/>
      <c r="R1348" s="144"/>
      <c r="S1348" s="144"/>
      <c r="T1348" s="144"/>
      <c r="U1348" s="144"/>
      <c r="V1348" s="50"/>
    </row>
    <row r="1349" spans="1:22" s="26" customFormat="1" ht="15" customHeight="1" x14ac:dyDescent="0.2">
      <c r="A1349" s="48">
        <v>41615.376597222203</v>
      </c>
      <c r="B1349" s="49" t="s">
        <v>38</v>
      </c>
      <c r="C1349" s="50" t="s">
        <v>590</v>
      </c>
      <c r="D1349" s="67">
        <v>41579</v>
      </c>
      <c r="E1349" s="50" t="s">
        <v>3518</v>
      </c>
      <c r="F1349" s="50" t="s">
        <v>3519</v>
      </c>
      <c r="G1349" s="49" t="s">
        <v>26</v>
      </c>
      <c r="H1349" s="50" t="s">
        <v>3520</v>
      </c>
      <c r="I1349" s="50" t="s">
        <v>2986</v>
      </c>
      <c r="J1349" s="117">
        <v>1</v>
      </c>
      <c r="K1349" s="117">
        <v>0</v>
      </c>
      <c r="L1349" s="142"/>
      <c r="M1349" s="143" t="s">
        <v>22</v>
      </c>
      <c r="N1349" s="144"/>
      <c r="O1349" s="144"/>
      <c r="P1349" s="144"/>
      <c r="Q1349" s="144"/>
      <c r="R1349" s="144"/>
      <c r="S1349" s="144"/>
      <c r="T1349" s="144"/>
      <c r="U1349" s="144"/>
      <c r="V1349" s="50"/>
    </row>
    <row r="1350" spans="1:22" s="26" customFormat="1" ht="15" customHeight="1" x14ac:dyDescent="0.2">
      <c r="A1350" s="48">
        <v>41615.377372685201</v>
      </c>
      <c r="B1350" s="49" t="s">
        <v>38</v>
      </c>
      <c r="C1350" s="50" t="s">
        <v>590</v>
      </c>
      <c r="D1350" s="67">
        <v>41579</v>
      </c>
      <c r="E1350" s="50" t="s">
        <v>3521</v>
      </c>
      <c r="F1350" s="50" t="s">
        <v>3499</v>
      </c>
      <c r="G1350" s="49" t="s">
        <v>26</v>
      </c>
      <c r="H1350" s="50" t="s">
        <v>3510</v>
      </c>
      <c r="I1350" s="50" t="s">
        <v>2986</v>
      </c>
      <c r="J1350" s="117">
        <v>1</v>
      </c>
      <c r="K1350" s="117">
        <v>0</v>
      </c>
      <c r="L1350" s="142"/>
      <c r="M1350" s="143" t="s">
        <v>22</v>
      </c>
      <c r="N1350" s="144"/>
      <c r="O1350" s="144"/>
      <c r="P1350" s="144"/>
      <c r="Q1350" s="144"/>
      <c r="R1350" s="144"/>
      <c r="S1350" s="144"/>
      <c r="T1350" s="144"/>
      <c r="U1350" s="144"/>
      <c r="V1350" s="50"/>
    </row>
    <row r="1351" spans="1:22" s="26" customFormat="1" ht="15" customHeight="1" x14ac:dyDescent="0.2">
      <c r="A1351" s="48">
        <v>41615.378541666701</v>
      </c>
      <c r="B1351" s="49" t="s">
        <v>38</v>
      </c>
      <c r="C1351" s="50" t="s">
        <v>590</v>
      </c>
      <c r="D1351" s="67">
        <v>41579</v>
      </c>
      <c r="E1351" s="50" t="s">
        <v>3522</v>
      </c>
      <c r="F1351" s="50" t="s">
        <v>3523</v>
      </c>
      <c r="G1351" s="49" t="s">
        <v>26</v>
      </c>
      <c r="H1351" s="50" t="s">
        <v>3524</v>
      </c>
      <c r="I1351" s="50" t="s">
        <v>2986</v>
      </c>
      <c r="J1351" s="117">
        <v>1</v>
      </c>
      <c r="K1351" s="117">
        <v>0</v>
      </c>
      <c r="L1351" s="142"/>
      <c r="M1351" s="143" t="s">
        <v>22</v>
      </c>
      <c r="N1351" s="144"/>
      <c r="O1351" s="144"/>
      <c r="P1351" s="144"/>
      <c r="Q1351" s="144"/>
      <c r="R1351" s="144"/>
      <c r="S1351" s="144"/>
      <c r="T1351" s="144"/>
      <c r="U1351" s="144"/>
      <c r="V1351" s="50"/>
    </row>
    <row r="1352" spans="1:22" s="26" customFormat="1" ht="15" customHeight="1" x14ac:dyDescent="0.2">
      <c r="A1352" s="48">
        <v>41615.379745370403</v>
      </c>
      <c r="B1352" s="49" t="s">
        <v>38</v>
      </c>
      <c r="C1352" s="50" t="s">
        <v>590</v>
      </c>
      <c r="D1352" s="67">
        <v>41579</v>
      </c>
      <c r="E1352" s="50" t="s">
        <v>3525</v>
      </c>
      <c r="F1352" s="50" t="s">
        <v>3526</v>
      </c>
      <c r="G1352" s="49" t="s">
        <v>26</v>
      </c>
      <c r="H1352" s="50" t="s">
        <v>3527</v>
      </c>
      <c r="I1352" s="50" t="s">
        <v>2986</v>
      </c>
      <c r="J1352" s="117">
        <v>1</v>
      </c>
      <c r="K1352" s="117">
        <v>0</v>
      </c>
      <c r="L1352" s="142"/>
      <c r="M1352" s="143" t="s">
        <v>22</v>
      </c>
      <c r="N1352" s="144"/>
      <c r="O1352" s="144"/>
      <c r="P1352" s="144"/>
      <c r="Q1352" s="144"/>
      <c r="R1352" s="144"/>
      <c r="S1352" s="144"/>
      <c r="T1352" s="144"/>
      <c r="U1352" s="144"/>
      <c r="V1352" s="50"/>
    </row>
    <row r="1353" spans="1:22" s="26" customFormat="1" ht="15" customHeight="1" x14ac:dyDescent="0.2">
      <c r="A1353" s="48">
        <v>41615.381400462997</v>
      </c>
      <c r="B1353" s="49" t="s">
        <v>38</v>
      </c>
      <c r="C1353" s="50" t="s">
        <v>590</v>
      </c>
      <c r="D1353" s="67">
        <v>41579</v>
      </c>
      <c r="E1353" s="50" t="s">
        <v>3528</v>
      </c>
      <c r="F1353" s="50" t="s">
        <v>3529</v>
      </c>
      <c r="G1353" s="49" t="s">
        <v>26</v>
      </c>
      <c r="H1353" s="50" t="s">
        <v>3530</v>
      </c>
      <c r="I1353" s="50" t="s">
        <v>3265</v>
      </c>
      <c r="J1353" s="117">
        <v>1</v>
      </c>
      <c r="K1353" s="117">
        <v>10</v>
      </c>
      <c r="L1353" s="142">
        <v>100</v>
      </c>
      <c r="M1353" s="143" t="s">
        <v>44</v>
      </c>
      <c r="N1353" s="144"/>
      <c r="O1353" s="144">
        <v>17</v>
      </c>
      <c r="P1353" s="144"/>
      <c r="Q1353" s="144"/>
      <c r="R1353" s="144"/>
      <c r="S1353" s="144"/>
      <c r="T1353" s="144"/>
      <c r="U1353" s="144"/>
      <c r="V1353" s="50" t="s">
        <v>3531</v>
      </c>
    </row>
    <row r="1354" spans="1:22" s="26" customFormat="1" ht="15" customHeight="1" x14ac:dyDescent="0.2">
      <c r="A1354" s="48">
        <v>41615.3829050926</v>
      </c>
      <c r="B1354" s="49" t="s">
        <v>38</v>
      </c>
      <c r="C1354" s="50" t="s">
        <v>590</v>
      </c>
      <c r="D1354" s="67">
        <v>41579</v>
      </c>
      <c r="E1354" s="50" t="s">
        <v>3532</v>
      </c>
      <c r="F1354" s="50" t="s">
        <v>3533</v>
      </c>
      <c r="G1354" s="49" t="s">
        <v>26</v>
      </c>
      <c r="H1354" s="50" t="s">
        <v>3534</v>
      </c>
      <c r="I1354" s="50" t="s">
        <v>2986</v>
      </c>
      <c r="J1354" s="117">
        <v>1</v>
      </c>
      <c r="K1354" s="117">
        <v>1</v>
      </c>
      <c r="L1354" s="142">
        <v>12</v>
      </c>
      <c r="M1354" s="143" t="s">
        <v>44</v>
      </c>
      <c r="N1354" s="144"/>
      <c r="O1354" s="144">
        <v>5</v>
      </c>
      <c r="P1354" s="144"/>
      <c r="Q1354" s="144"/>
      <c r="R1354" s="144"/>
      <c r="S1354" s="144"/>
      <c r="T1354" s="144"/>
      <c r="U1354" s="144"/>
      <c r="V1354" s="50" t="s">
        <v>3535</v>
      </c>
    </row>
    <row r="1355" spans="1:22" s="26" customFormat="1" ht="15" customHeight="1" x14ac:dyDescent="0.2">
      <c r="A1355" s="48">
        <v>41615.3841203704</v>
      </c>
      <c r="B1355" s="49" t="s">
        <v>38</v>
      </c>
      <c r="C1355" s="50" t="s">
        <v>590</v>
      </c>
      <c r="D1355" s="67">
        <v>41579</v>
      </c>
      <c r="E1355" s="50" t="s">
        <v>3536</v>
      </c>
      <c r="F1355" s="50" t="s">
        <v>3537</v>
      </c>
      <c r="G1355" s="49" t="s">
        <v>26</v>
      </c>
      <c r="H1355" s="50" t="s">
        <v>3538</v>
      </c>
      <c r="I1355" s="50" t="s">
        <v>2986</v>
      </c>
      <c r="J1355" s="117">
        <v>1</v>
      </c>
      <c r="K1355" s="117">
        <v>5</v>
      </c>
      <c r="L1355" s="142">
        <v>20</v>
      </c>
      <c r="M1355" s="143" t="s">
        <v>44</v>
      </c>
      <c r="N1355" s="144"/>
      <c r="O1355" s="144">
        <v>15</v>
      </c>
      <c r="P1355" s="144"/>
      <c r="Q1355" s="144"/>
      <c r="R1355" s="144"/>
      <c r="S1355" s="144"/>
      <c r="T1355" s="144"/>
      <c r="U1355" s="144"/>
      <c r="V1355" s="50"/>
    </row>
    <row r="1356" spans="1:22" s="26" customFormat="1" ht="15" customHeight="1" x14ac:dyDescent="0.2">
      <c r="A1356" s="48">
        <v>41615.385011574101</v>
      </c>
      <c r="B1356" s="49" t="s">
        <v>38</v>
      </c>
      <c r="C1356" s="50" t="s">
        <v>590</v>
      </c>
      <c r="D1356" s="67">
        <v>41579</v>
      </c>
      <c r="E1356" s="50" t="s">
        <v>3539</v>
      </c>
      <c r="F1356" s="50" t="s">
        <v>3540</v>
      </c>
      <c r="G1356" s="49" t="s">
        <v>26</v>
      </c>
      <c r="H1356" s="50" t="s">
        <v>3541</v>
      </c>
      <c r="I1356" s="50" t="s">
        <v>2986</v>
      </c>
      <c r="J1356" s="117">
        <v>1</v>
      </c>
      <c r="K1356" s="117">
        <v>0</v>
      </c>
      <c r="L1356" s="142"/>
      <c r="M1356" s="143" t="s">
        <v>22</v>
      </c>
      <c r="N1356" s="144"/>
      <c r="O1356" s="144"/>
      <c r="P1356" s="144"/>
      <c r="Q1356" s="144"/>
      <c r="R1356" s="144"/>
      <c r="S1356" s="144"/>
      <c r="T1356" s="144"/>
      <c r="U1356" s="144"/>
      <c r="V1356" s="50"/>
    </row>
    <row r="1357" spans="1:22" s="26" customFormat="1" ht="15" customHeight="1" x14ac:dyDescent="0.2">
      <c r="A1357" s="48">
        <v>41615.385925925897</v>
      </c>
      <c r="B1357" s="49" t="s">
        <v>38</v>
      </c>
      <c r="C1357" s="50" t="s">
        <v>590</v>
      </c>
      <c r="D1357" s="67">
        <v>41579</v>
      </c>
      <c r="E1357" s="50" t="s">
        <v>3542</v>
      </c>
      <c r="F1357" s="50" t="s">
        <v>3499</v>
      </c>
      <c r="G1357" s="49" t="s">
        <v>26</v>
      </c>
      <c r="H1357" s="50" t="s">
        <v>3543</v>
      </c>
      <c r="I1357" s="50" t="s">
        <v>2986</v>
      </c>
      <c r="J1357" s="117">
        <v>1</v>
      </c>
      <c r="K1357" s="117">
        <v>2</v>
      </c>
      <c r="L1357" s="142">
        <v>10</v>
      </c>
      <c r="M1357" s="143" t="s">
        <v>44</v>
      </c>
      <c r="N1357" s="144"/>
      <c r="O1357" s="144">
        <v>5</v>
      </c>
      <c r="P1357" s="144"/>
      <c r="Q1357" s="144"/>
      <c r="R1357" s="144"/>
      <c r="S1357" s="144"/>
      <c r="T1357" s="144"/>
      <c r="U1357" s="144"/>
      <c r="V1357" s="50"/>
    </row>
    <row r="1358" spans="1:22" s="26" customFormat="1" ht="15" customHeight="1" x14ac:dyDescent="0.2">
      <c r="A1358" s="32">
        <v>41643.419386574074</v>
      </c>
      <c r="B1358" s="26" t="s">
        <v>38</v>
      </c>
      <c r="C1358" s="26" t="s">
        <v>590</v>
      </c>
      <c r="D1358" s="68">
        <v>41609</v>
      </c>
      <c r="E1358" s="26" t="s">
        <v>3946</v>
      </c>
      <c r="F1358" s="26" t="s">
        <v>3540</v>
      </c>
      <c r="G1358" s="26" t="s">
        <v>26</v>
      </c>
      <c r="H1358" s="26" t="s">
        <v>3947</v>
      </c>
      <c r="I1358" s="26" t="s">
        <v>2986</v>
      </c>
      <c r="J1358" s="46">
        <v>1</v>
      </c>
      <c r="K1358" s="46">
        <v>0</v>
      </c>
      <c r="L1358" s="136"/>
      <c r="M1358" s="137" t="s">
        <v>22</v>
      </c>
      <c r="N1358" s="138"/>
      <c r="O1358" s="138"/>
      <c r="P1358" s="138"/>
      <c r="Q1358" s="138"/>
      <c r="R1358" s="138"/>
      <c r="S1358" s="138"/>
      <c r="T1358" s="138"/>
      <c r="U1358" s="138"/>
    </row>
    <row r="1359" spans="1:22" s="26" customFormat="1" ht="15" customHeight="1" x14ac:dyDescent="0.2">
      <c r="A1359" s="32">
        <v>41643.420787037037</v>
      </c>
      <c r="B1359" s="26" t="s">
        <v>38</v>
      </c>
      <c r="C1359" s="26" t="s">
        <v>590</v>
      </c>
      <c r="D1359" s="68">
        <v>41609</v>
      </c>
      <c r="E1359" s="26" t="s">
        <v>3948</v>
      </c>
      <c r="F1359" s="26" t="s">
        <v>3499</v>
      </c>
      <c r="G1359" s="26" t="s">
        <v>26</v>
      </c>
      <c r="H1359" s="26" t="s">
        <v>3949</v>
      </c>
      <c r="I1359" s="26" t="s">
        <v>2986</v>
      </c>
      <c r="J1359" s="46">
        <v>2</v>
      </c>
      <c r="K1359" s="46">
        <v>6</v>
      </c>
      <c r="L1359" s="136">
        <v>30</v>
      </c>
      <c r="M1359" s="137" t="s">
        <v>44</v>
      </c>
      <c r="N1359" s="138"/>
      <c r="O1359" s="138">
        <v>20</v>
      </c>
      <c r="P1359" s="138"/>
      <c r="Q1359" s="138"/>
      <c r="R1359" s="138"/>
      <c r="S1359" s="138"/>
      <c r="T1359" s="138"/>
      <c r="U1359" s="138"/>
    </row>
    <row r="1360" spans="1:22" s="26" customFormat="1" ht="15" customHeight="1" x14ac:dyDescent="0.2">
      <c r="A1360" s="32">
        <v>41643.423113425924</v>
      </c>
      <c r="B1360" s="26" t="s">
        <v>38</v>
      </c>
      <c r="C1360" s="26" t="s">
        <v>590</v>
      </c>
      <c r="D1360" s="68">
        <v>41609</v>
      </c>
      <c r="E1360" s="26" t="s">
        <v>3950</v>
      </c>
      <c r="F1360" s="26" t="s">
        <v>3512</v>
      </c>
      <c r="G1360" s="26" t="s">
        <v>26</v>
      </c>
      <c r="H1360" s="26" t="s">
        <v>3951</v>
      </c>
      <c r="I1360" s="26" t="s">
        <v>2986</v>
      </c>
      <c r="J1360" s="46">
        <v>1</v>
      </c>
      <c r="K1360" s="46">
        <v>1</v>
      </c>
      <c r="L1360" s="136">
        <v>5</v>
      </c>
      <c r="M1360" s="137" t="s">
        <v>44</v>
      </c>
      <c r="N1360" s="138"/>
      <c r="O1360" s="138">
        <v>5</v>
      </c>
      <c r="P1360" s="138"/>
      <c r="Q1360" s="138"/>
      <c r="R1360" s="138"/>
      <c r="S1360" s="138"/>
      <c r="T1360" s="138"/>
      <c r="U1360" s="138"/>
    </row>
    <row r="1361" spans="1:25" s="26" customFormat="1" ht="15" customHeight="1" x14ac:dyDescent="0.2">
      <c r="A1361" s="32">
        <v>41643.42396990741</v>
      </c>
      <c r="B1361" s="26" t="s">
        <v>38</v>
      </c>
      <c r="C1361" s="26" t="s">
        <v>590</v>
      </c>
      <c r="D1361" s="68">
        <v>41609</v>
      </c>
      <c r="E1361" s="26" t="s">
        <v>3952</v>
      </c>
      <c r="F1361" s="26" t="s">
        <v>3502</v>
      </c>
      <c r="G1361" s="26" t="s">
        <v>26</v>
      </c>
      <c r="H1361" s="26" t="s">
        <v>3953</v>
      </c>
      <c r="I1361" s="26" t="s">
        <v>2986</v>
      </c>
      <c r="J1361" s="46">
        <v>1</v>
      </c>
      <c r="K1361" s="46">
        <v>0</v>
      </c>
      <c r="L1361" s="136"/>
      <c r="M1361" s="137" t="s">
        <v>22</v>
      </c>
      <c r="N1361" s="138"/>
      <c r="O1361" s="138"/>
      <c r="P1361" s="138"/>
      <c r="Q1361" s="138"/>
      <c r="R1361" s="138"/>
      <c r="S1361" s="138"/>
      <c r="T1361" s="138"/>
      <c r="U1361" s="138"/>
    </row>
    <row r="1362" spans="1:25" s="26" customFormat="1" ht="15" customHeight="1" x14ac:dyDescent="0.2">
      <c r="A1362" s="32">
        <v>41643.425069444442</v>
      </c>
      <c r="B1362" s="26" t="s">
        <v>38</v>
      </c>
      <c r="C1362" s="26" t="s">
        <v>590</v>
      </c>
      <c r="D1362" s="68">
        <v>41609</v>
      </c>
      <c r="E1362" s="26" t="s">
        <v>3954</v>
      </c>
      <c r="F1362" s="26" t="s">
        <v>3955</v>
      </c>
      <c r="G1362" s="26" t="s">
        <v>26</v>
      </c>
      <c r="H1362" s="26" t="s">
        <v>3956</v>
      </c>
      <c r="I1362" s="26" t="s">
        <v>2986</v>
      </c>
      <c r="J1362" s="46">
        <v>1</v>
      </c>
      <c r="K1362" s="46">
        <v>0</v>
      </c>
      <c r="L1362" s="136"/>
      <c r="M1362" s="137" t="s">
        <v>22</v>
      </c>
      <c r="N1362" s="138"/>
      <c r="O1362" s="138"/>
      <c r="P1362" s="138"/>
      <c r="Q1362" s="138"/>
      <c r="R1362" s="138"/>
      <c r="S1362" s="138"/>
      <c r="T1362" s="138"/>
      <c r="U1362" s="138"/>
    </row>
    <row r="1363" spans="1:25" s="26" customFormat="1" ht="15" customHeight="1" x14ac:dyDescent="0.2">
      <c r="A1363" s="55">
        <v>41676.451134259303</v>
      </c>
      <c r="B1363" s="52" t="s">
        <v>38</v>
      </c>
      <c r="C1363" s="52" t="s">
        <v>590</v>
      </c>
      <c r="D1363" s="69">
        <v>41640</v>
      </c>
      <c r="E1363" s="52" t="s">
        <v>4393</v>
      </c>
      <c r="F1363" s="52" t="s">
        <v>4120</v>
      </c>
      <c r="G1363" s="52" t="s">
        <v>26</v>
      </c>
      <c r="H1363" s="52" t="s">
        <v>4394</v>
      </c>
      <c r="I1363" s="52" t="s">
        <v>3038</v>
      </c>
      <c r="J1363" s="95">
        <v>1</v>
      </c>
      <c r="K1363" s="118">
        <v>26</v>
      </c>
      <c r="L1363" s="148">
        <v>130</v>
      </c>
      <c r="M1363" s="146" t="s">
        <v>44</v>
      </c>
      <c r="N1363" s="147"/>
      <c r="O1363" s="147">
        <v>60</v>
      </c>
      <c r="P1363" s="147"/>
      <c r="Q1363" s="147"/>
      <c r="R1363" s="147"/>
      <c r="S1363" s="147"/>
      <c r="T1363" s="147">
        <v>10.4</v>
      </c>
      <c r="U1363" s="149"/>
      <c r="V1363" s="52"/>
      <c r="W1363" s="52"/>
      <c r="X1363" s="52"/>
      <c r="Y1363" s="52"/>
    </row>
    <row r="1364" spans="1:25" s="26" customFormat="1" ht="15" customHeight="1" x14ac:dyDescent="0.2">
      <c r="A1364" s="55">
        <v>41676.452280092599</v>
      </c>
      <c r="B1364" s="52" t="s">
        <v>38</v>
      </c>
      <c r="C1364" s="52" t="s">
        <v>590</v>
      </c>
      <c r="D1364" s="69">
        <v>41640</v>
      </c>
      <c r="E1364" s="52" t="s">
        <v>1215</v>
      </c>
      <c r="F1364" s="52" t="s">
        <v>3512</v>
      </c>
      <c r="G1364" s="52" t="s">
        <v>26</v>
      </c>
      <c r="H1364" s="52" t="s">
        <v>4395</v>
      </c>
      <c r="I1364" s="52" t="s">
        <v>2986</v>
      </c>
      <c r="J1364" s="95">
        <v>1</v>
      </c>
      <c r="K1364" s="118">
        <v>5</v>
      </c>
      <c r="L1364" s="148">
        <v>25</v>
      </c>
      <c r="M1364" s="146" t="s">
        <v>44</v>
      </c>
      <c r="N1364" s="147"/>
      <c r="O1364" s="147">
        <v>20</v>
      </c>
      <c r="P1364" s="147"/>
      <c r="Q1364" s="147"/>
      <c r="R1364" s="147"/>
      <c r="S1364" s="147"/>
      <c r="T1364" s="147"/>
      <c r="U1364" s="149"/>
      <c r="V1364" s="52"/>
      <c r="W1364" s="52"/>
      <c r="X1364" s="52"/>
      <c r="Y1364" s="52"/>
    </row>
    <row r="1365" spans="1:25" s="26" customFormat="1" ht="15" customHeight="1" x14ac:dyDescent="0.2">
      <c r="A1365" s="55">
        <v>41676.4527662037</v>
      </c>
      <c r="B1365" s="52" t="s">
        <v>38</v>
      </c>
      <c r="C1365" s="52" t="s">
        <v>590</v>
      </c>
      <c r="D1365" s="69">
        <v>41640</v>
      </c>
      <c r="E1365" s="52" t="s">
        <v>2827</v>
      </c>
      <c r="F1365" s="52" t="s">
        <v>4396</v>
      </c>
      <c r="G1365" s="52" t="s">
        <v>26</v>
      </c>
      <c r="H1365" s="52" t="s">
        <v>3953</v>
      </c>
      <c r="I1365" s="52" t="s">
        <v>2986</v>
      </c>
      <c r="J1365" s="95">
        <v>1</v>
      </c>
      <c r="K1365" s="118">
        <v>7</v>
      </c>
      <c r="L1365" s="148">
        <v>40</v>
      </c>
      <c r="M1365" s="146" t="s">
        <v>44</v>
      </c>
      <c r="N1365" s="147"/>
      <c r="O1365" s="147">
        <v>10</v>
      </c>
      <c r="P1365" s="147"/>
      <c r="Q1365" s="147"/>
      <c r="R1365" s="147"/>
      <c r="S1365" s="147"/>
      <c r="T1365" s="147"/>
      <c r="U1365" s="149"/>
      <c r="V1365" s="52"/>
      <c r="W1365" s="52"/>
      <c r="X1365" s="52"/>
      <c r="Y1365" s="52"/>
    </row>
    <row r="1366" spans="1:25" s="26" customFormat="1" ht="15" customHeight="1" x14ac:dyDescent="0.2">
      <c r="A1366" s="55">
        <v>41676.453182870398</v>
      </c>
      <c r="B1366" s="52" t="s">
        <v>38</v>
      </c>
      <c r="C1366" s="52" t="s">
        <v>590</v>
      </c>
      <c r="D1366" s="69">
        <v>41640</v>
      </c>
      <c r="E1366" s="52" t="s">
        <v>1215</v>
      </c>
      <c r="F1366" s="52" t="s">
        <v>3499</v>
      </c>
      <c r="G1366" s="52" t="s">
        <v>26</v>
      </c>
      <c r="H1366" s="52" t="s">
        <v>3949</v>
      </c>
      <c r="I1366" s="52" t="s">
        <v>2986</v>
      </c>
      <c r="J1366" s="95">
        <v>1</v>
      </c>
      <c r="K1366" s="118">
        <v>0</v>
      </c>
      <c r="L1366" s="148"/>
      <c r="M1366" s="146" t="s">
        <v>22</v>
      </c>
      <c r="N1366" s="147"/>
      <c r="O1366" s="147"/>
      <c r="P1366" s="147"/>
      <c r="Q1366" s="147"/>
      <c r="R1366" s="147"/>
      <c r="S1366" s="147"/>
      <c r="T1366" s="147"/>
      <c r="U1366" s="149"/>
      <c r="V1366" s="52"/>
      <c r="W1366" s="52"/>
      <c r="X1366" s="52"/>
      <c r="Y1366" s="52"/>
    </row>
    <row r="1367" spans="1:25" s="26" customFormat="1" ht="15" customHeight="1" x14ac:dyDescent="0.2">
      <c r="A1367" s="55">
        <v>41680.8674537037</v>
      </c>
      <c r="B1367" s="52" t="s">
        <v>38</v>
      </c>
      <c r="C1367" s="52" t="s">
        <v>590</v>
      </c>
      <c r="D1367" s="69">
        <v>41640</v>
      </c>
      <c r="E1367" s="52" t="s">
        <v>2827</v>
      </c>
      <c r="F1367" s="52" t="s">
        <v>4512</v>
      </c>
      <c r="G1367" s="52" t="s">
        <v>26</v>
      </c>
      <c r="H1367" s="52" t="s">
        <v>3947</v>
      </c>
      <c r="I1367" s="52" t="s">
        <v>2986</v>
      </c>
      <c r="J1367" s="95">
        <v>1</v>
      </c>
      <c r="K1367" s="118">
        <v>0</v>
      </c>
      <c r="L1367" s="148"/>
      <c r="M1367" s="146" t="s">
        <v>22</v>
      </c>
      <c r="N1367" s="147"/>
      <c r="O1367" s="147"/>
      <c r="P1367" s="147"/>
      <c r="Q1367" s="147"/>
      <c r="R1367" s="147"/>
      <c r="S1367" s="147"/>
      <c r="T1367" s="147"/>
      <c r="U1367" s="149"/>
      <c r="V1367" s="52"/>
      <c r="W1367" s="52"/>
      <c r="X1367" s="52"/>
      <c r="Y1367" s="52"/>
    </row>
    <row r="1368" spans="1:25" s="26" customFormat="1" ht="15" customHeight="1" x14ac:dyDescent="0.2">
      <c r="A1368" s="55">
        <v>41680.868287037003</v>
      </c>
      <c r="B1368" s="52" t="s">
        <v>38</v>
      </c>
      <c r="C1368" s="52" t="s">
        <v>590</v>
      </c>
      <c r="D1368" s="69">
        <v>41640</v>
      </c>
      <c r="E1368" s="52" t="s">
        <v>2307</v>
      </c>
      <c r="F1368" s="52" t="s">
        <v>4513</v>
      </c>
      <c r="G1368" s="52" t="s">
        <v>26</v>
      </c>
      <c r="H1368" s="52" t="s">
        <v>4514</v>
      </c>
      <c r="I1368" s="52" t="s">
        <v>3038</v>
      </c>
      <c r="J1368" s="95">
        <v>1</v>
      </c>
      <c r="K1368" s="118">
        <v>8</v>
      </c>
      <c r="L1368" s="148">
        <v>30</v>
      </c>
      <c r="M1368" s="146" t="s">
        <v>44</v>
      </c>
      <c r="N1368" s="147"/>
      <c r="O1368" s="147">
        <v>10</v>
      </c>
      <c r="P1368" s="147"/>
      <c r="Q1368" s="147"/>
      <c r="R1368" s="147"/>
      <c r="S1368" s="147"/>
      <c r="T1368" s="147"/>
      <c r="U1368" s="149"/>
      <c r="V1368" s="52"/>
      <c r="W1368" s="52"/>
      <c r="X1368" s="52"/>
      <c r="Y1368" s="52"/>
    </row>
    <row r="1369" spans="1:25" s="26" customFormat="1" ht="15" customHeight="1" x14ac:dyDescent="0.2">
      <c r="A1369" s="55">
        <v>41680.868946759299</v>
      </c>
      <c r="B1369" s="52" t="s">
        <v>38</v>
      </c>
      <c r="C1369" s="52" t="s">
        <v>590</v>
      </c>
      <c r="D1369" s="69">
        <v>41640</v>
      </c>
      <c r="E1369" s="52" t="s">
        <v>1215</v>
      </c>
      <c r="F1369" s="52" t="s">
        <v>4515</v>
      </c>
      <c r="G1369" s="52" t="s">
        <v>26</v>
      </c>
      <c r="H1369" s="52" t="s">
        <v>4516</v>
      </c>
      <c r="I1369" s="52" t="s">
        <v>2986</v>
      </c>
      <c r="J1369" s="95">
        <v>1</v>
      </c>
      <c r="K1369" s="118">
        <v>3</v>
      </c>
      <c r="L1369" s="148">
        <v>10</v>
      </c>
      <c r="M1369" s="146" t="s">
        <v>22</v>
      </c>
      <c r="N1369" s="147"/>
      <c r="O1369" s="147"/>
      <c r="P1369" s="147"/>
      <c r="Q1369" s="147"/>
      <c r="R1369" s="147"/>
      <c r="S1369" s="147"/>
      <c r="T1369" s="147"/>
      <c r="U1369" s="149"/>
      <c r="V1369" s="52"/>
      <c r="W1369" s="52"/>
      <c r="X1369" s="52"/>
      <c r="Y1369" s="52"/>
    </row>
    <row r="1370" spans="1:25" s="26" customFormat="1" ht="15" customHeight="1" x14ac:dyDescent="0.2">
      <c r="A1370" s="55">
        <v>41680.869664351798</v>
      </c>
      <c r="B1370" s="52" t="s">
        <v>38</v>
      </c>
      <c r="C1370" s="52" t="s">
        <v>590</v>
      </c>
      <c r="D1370" s="69">
        <v>41640</v>
      </c>
      <c r="E1370" s="52" t="s">
        <v>1215</v>
      </c>
      <c r="F1370" s="52" t="s">
        <v>4517</v>
      </c>
      <c r="G1370" s="52" t="s">
        <v>26</v>
      </c>
      <c r="H1370" s="52" t="s">
        <v>4518</v>
      </c>
      <c r="I1370" s="52" t="s">
        <v>2986</v>
      </c>
      <c r="J1370" s="95">
        <v>1</v>
      </c>
      <c r="K1370" s="118">
        <v>0</v>
      </c>
      <c r="L1370" s="148"/>
      <c r="M1370" s="146" t="s">
        <v>22</v>
      </c>
      <c r="N1370" s="147"/>
      <c r="O1370" s="147"/>
      <c r="P1370" s="147"/>
      <c r="Q1370" s="147"/>
      <c r="R1370" s="147"/>
      <c r="S1370" s="147"/>
      <c r="T1370" s="147"/>
      <c r="U1370" s="149"/>
      <c r="V1370" s="52"/>
      <c r="W1370" s="52"/>
      <c r="X1370" s="52"/>
      <c r="Y1370" s="52"/>
    </row>
    <row r="1371" spans="1:25" s="26" customFormat="1" ht="15" customHeight="1" x14ac:dyDescent="0.2">
      <c r="A1371" s="55">
        <v>41680.870324074102</v>
      </c>
      <c r="B1371" s="52" t="s">
        <v>38</v>
      </c>
      <c r="C1371" s="52" t="s">
        <v>590</v>
      </c>
      <c r="D1371" s="69">
        <v>41640</v>
      </c>
      <c r="E1371" s="52" t="s">
        <v>2827</v>
      </c>
      <c r="F1371" s="52" t="s">
        <v>4519</v>
      </c>
      <c r="G1371" s="52" t="s">
        <v>26</v>
      </c>
      <c r="H1371" s="52" t="s">
        <v>4520</v>
      </c>
      <c r="I1371" s="52" t="s">
        <v>2986</v>
      </c>
      <c r="J1371" s="95">
        <v>1</v>
      </c>
      <c r="K1371" s="118">
        <v>0</v>
      </c>
      <c r="L1371" s="148"/>
      <c r="M1371" s="146" t="s">
        <v>22</v>
      </c>
      <c r="N1371" s="147"/>
      <c r="O1371" s="147"/>
      <c r="P1371" s="147"/>
      <c r="Q1371" s="147"/>
      <c r="R1371" s="147"/>
      <c r="S1371" s="147"/>
      <c r="T1371" s="147"/>
      <c r="U1371" s="149"/>
      <c r="V1371" s="52"/>
      <c r="W1371" s="52"/>
      <c r="X1371" s="52"/>
      <c r="Y1371" s="52"/>
    </row>
    <row r="1372" spans="1:25" s="26" customFormat="1" ht="15" customHeight="1" x14ac:dyDescent="0.2">
      <c r="A1372" s="55">
        <v>41680.870868055601</v>
      </c>
      <c r="B1372" s="52" t="s">
        <v>38</v>
      </c>
      <c r="C1372" s="52" t="s">
        <v>590</v>
      </c>
      <c r="D1372" s="69">
        <v>41640</v>
      </c>
      <c r="E1372" s="52" t="s">
        <v>1215</v>
      </c>
      <c r="F1372" s="52" t="s">
        <v>4521</v>
      </c>
      <c r="G1372" s="52" t="s">
        <v>26</v>
      </c>
      <c r="H1372" s="52"/>
      <c r="I1372" s="52" t="s">
        <v>3265</v>
      </c>
      <c r="J1372" s="95">
        <v>1</v>
      </c>
      <c r="K1372" s="118">
        <v>6</v>
      </c>
      <c r="L1372" s="148">
        <v>120</v>
      </c>
      <c r="M1372" s="146" t="s">
        <v>44</v>
      </c>
      <c r="N1372" s="147"/>
      <c r="O1372" s="147">
        <v>20</v>
      </c>
      <c r="P1372" s="147"/>
      <c r="Q1372" s="147"/>
      <c r="R1372" s="147"/>
      <c r="S1372" s="147"/>
      <c r="T1372" s="147"/>
      <c r="U1372" s="149"/>
      <c r="V1372" s="52"/>
      <c r="W1372" s="52"/>
      <c r="X1372" s="52"/>
      <c r="Y1372" s="52"/>
    </row>
    <row r="1373" spans="1:25" s="26" customFormat="1" ht="15" customHeight="1" x14ac:dyDescent="0.2">
      <c r="A1373" s="55">
        <v>41680.871597222198</v>
      </c>
      <c r="B1373" s="52" t="s">
        <v>38</v>
      </c>
      <c r="C1373" s="52" t="s">
        <v>590</v>
      </c>
      <c r="D1373" s="69">
        <v>41640</v>
      </c>
      <c r="E1373" s="52" t="s">
        <v>1215</v>
      </c>
      <c r="F1373" s="52" t="s">
        <v>4522</v>
      </c>
      <c r="G1373" s="52" t="s">
        <v>26</v>
      </c>
      <c r="H1373" s="52" t="s">
        <v>4523</v>
      </c>
      <c r="I1373" s="52" t="s">
        <v>3265</v>
      </c>
      <c r="J1373" s="95">
        <v>1</v>
      </c>
      <c r="K1373" s="118">
        <v>9</v>
      </c>
      <c r="L1373" s="148">
        <v>24</v>
      </c>
      <c r="M1373" s="146" t="s">
        <v>44</v>
      </c>
      <c r="N1373" s="147"/>
      <c r="O1373" s="147">
        <v>15</v>
      </c>
      <c r="P1373" s="147"/>
      <c r="Q1373" s="147"/>
      <c r="R1373" s="147"/>
      <c r="S1373" s="147"/>
      <c r="T1373" s="147"/>
      <c r="U1373" s="149"/>
      <c r="V1373" s="52"/>
      <c r="W1373" s="52"/>
      <c r="X1373" s="52"/>
      <c r="Y1373" s="52"/>
    </row>
    <row r="1374" spans="1:25" s="26" customFormat="1" ht="15" customHeight="1" x14ac:dyDescent="0.2">
      <c r="A1374" s="55">
        <v>41680.872037036999</v>
      </c>
      <c r="B1374" s="52" t="s">
        <v>38</v>
      </c>
      <c r="C1374" s="52" t="s">
        <v>590</v>
      </c>
      <c r="D1374" s="69">
        <v>41640</v>
      </c>
      <c r="E1374" s="52" t="s">
        <v>2827</v>
      </c>
      <c r="F1374" s="52" t="s">
        <v>3533</v>
      </c>
      <c r="G1374" s="52" t="s">
        <v>26</v>
      </c>
      <c r="H1374" s="52" t="s">
        <v>4524</v>
      </c>
      <c r="I1374" s="52" t="s">
        <v>3265</v>
      </c>
      <c r="J1374" s="95">
        <v>1</v>
      </c>
      <c r="K1374" s="118">
        <v>0</v>
      </c>
      <c r="L1374" s="148"/>
      <c r="M1374" s="146" t="s">
        <v>22</v>
      </c>
      <c r="N1374" s="147"/>
      <c r="O1374" s="147"/>
      <c r="P1374" s="147"/>
      <c r="Q1374" s="147"/>
      <c r="R1374" s="147"/>
      <c r="S1374" s="147"/>
      <c r="T1374" s="147"/>
      <c r="U1374" s="149"/>
      <c r="V1374" s="52"/>
      <c r="W1374" s="52"/>
      <c r="X1374" s="52"/>
      <c r="Y1374" s="52"/>
    </row>
    <row r="1375" spans="1:25" s="26" customFormat="1" ht="15" customHeight="1" x14ac:dyDescent="0.2">
      <c r="A1375" s="32">
        <v>41704.595810185187</v>
      </c>
      <c r="B1375" s="26" t="s">
        <v>38</v>
      </c>
      <c r="C1375" s="26" t="s">
        <v>590</v>
      </c>
      <c r="D1375" s="33">
        <v>41671</v>
      </c>
      <c r="E1375" s="26" t="s">
        <v>4985</v>
      </c>
      <c r="F1375" s="26" t="s">
        <v>209</v>
      </c>
      <c r="G1375" s="26" t="s">
        <v>26</v>
      </c>
      <c r="H1375" s="26" t="s">
        <v>3949</v>
      </c>
      <c r="I1375" s="26" t="s">
        <v>3038</v>
      </c>
      <c r="J1375" s="46">
        <v>1</v>
      </c>
      <c r="K1375" s="46">
        <v>1</v>
      </c>
      <c r="L1375" s="136">
        <v>5</v>
      </c>
      <c r="M1375" s="137" t="s">
        <v>44</v>
      </c>
      <c r="N1375" s="138"/>
      <c r="O1375" s="138"/>
      <c r="P1375" s="138">
        <v>13.75</v>
      </c>
      <c r="Q1375" s="138"/>
      <c r="R1375" s="138"/>
      <c r="S1375" s="138"/>
      <c r="T1375" s="138"/>
      <c r="U1375" s="138"/>
    </row>
    <row r="1376" spans="1:25" s="26" customFormat="1" ht="15" customHeight="1" x14ac:dyDescent="0.2">
      <c r="A1376" s="32">
        <v>41704.596446759257</v>
      </c>
      <c r="B1376" s="26" t="s">
        <v>38</v>
      </c>
      <c r="C1376" s="26" t="s">
        <v>590</v>
      </c>
      <c r="D1376" s="33">
        <v>41671</v>
      </c>
      <c r="E1376" s="26" t="s">
        <v>4986</v>
      </c>
      <c r="F1376" s="26" t="s">
        <v>4987</v>
      </c>
      <c r="G1376" s="26" t="s">
        <v>26</v>
      </c>
      <c r="H1376" s="26" t="s">
        <v>4988</v>
      </c>
      <c r="I1376" s="26" t="s">
        <v>3038</v>
      </c>
      <c r="J1376" s="46">
        <v>1</v>
      </c>
      <c r="K1376" s="46">
        <v>0</v>
      </c>
      <c r="L1376" s="136"/>
      <c r="M1376" s="137" t="s">
        <v>22</v>
      </c>
      <c r="N1376" s="138"/>
      <c r="O1376" s="138"/>
      <c r="P1376" s="138"/>
      <c r="Q1376" s="138"/>
      <c r="R1376" s="138"/>
      <c r="S1376" s="138"/>
      <c r="T1376" s="138"/>
      <c r="U1376" s="138"/>
    </row>
    <row r="1377" spans="1:25" s="26" customFormat="1" ht="15" customHeight="1" x14ac:dyDescent="0.2">
      <c r="A1377" s="32">
        <v>41704.597187500003</v>
      </c>
      <c r="B1377" s="26" t="s">
        <v>38</v>
      </c>
      <c r="C1377" s="26" t="s">
        <v>590</v>
      </c>
      <c r="D1377" s="33">
        <v>41671</v>
      </c>
      <c r="E1377" s="26" t="s">
        <v>4989</v>
      </c>
      <c r="F1377" s="26" t="s">
        <v>4990</v>
      </c>
      <c r="G1377" s="26" t="s">
        <v>26</v>
      </c>
      <c r="H1377" s="26" t="s">
        <v>4514</v>
      </c>
      <c r="I1377" s="26" t="s">
        <v>3038</v>
      </c>
      <c r="J1377" s="46">
        <v>1</v>
      </c>
      <c r="K1377" s="46">
        <v>6</v>
      </c>
      <c r="L1377" s="136">
        <v>30</v>
      </c>
      <c r="M1377" s="137" t="s">
        <v>22</v>
      </c>
      <c r="N1377" s="138"/>
      <c r="O1377" s="138"/>
      <c r="P1377" s="138"/>
      <c r="Q1377" s="138"/>
      <c r="R1377" s="138"/>
      <c r="S1377" s="138"/>
      <c r="T1377" s="138"/>
      <c r="U1377" s="138"/>
    </row>
    <row r="1378" spans="1:25" s="26" customFormat="1" ht="15" customHeight="1" x14ac:dyDescent="0.2">
      <c r="A1378" s="32">
        <v>41704.597777777781</v>
      </c>
      <c r="B1378" s="26" t="s">
        <v>38</v>
      </c>
      <c r="C1378" s="26" t="s">
        <v>590</v>
      </c>
      <c r="D1378" s="33">
        <v>41671</v>
      </c>
      <c r="E1378" s="26" t="s">
        <v>4991</v>
      </c>
      <c r="F1378" s="26" t="s">
        <v>209</v>
      </c>
      <c r="G1378" s="26" t="s">
        <v>26</v>
      </c>
      <c r="H1378" s="26" t="s">
        <v>3949</v>
      </c>
      <c r="I1378" s="26" t="s">
        <v>3038</v>
      </c>
      <c r="J1378" s="46">
        <v>1</v>
      </c>
      <c r="K1378" s="46">
        <v>20</v>
      </c>
      <c r="L1378" s="136">
        <v>100</v>
      </c>
      <c r="M1378" s="137" t="s">
        <v>44</v>
      </c>
      <c r="N1378" s="138"/>
      <c r="O1378" s="138">
        <v>20</v>
      </c>
      <c r="P1378" s="138"/>
      <c r="Q1378" s="138"/>
      <c r="R1378" s="138"/>
      <c r="S1378" s="138"/>
      <c r="T1378" s="138"/>
      <c r="U1378" s="138"/>
    </row>
    <row r="1379" spans="1:25" s="26" customFormat="1" ht="15" customHeight="1" x14ac:dyDescent="0.2">
      <c r="A1379" s="32">
        <v>41704.598576388889</v>
      </c>
      <c r="B1379" s="26" t="s">
        <v>38</v>
      </c>
      <c r="C1379" s="26" t="s">
        <v>590</v>
      </c>
      <c r="D1379" s="33">
        <v>41671</v>
      </c>
      <c r="E1379" s="26" t="s">
        <v>4992</v>
      </c>
      <c r="F1379" s="26" t="s">
        <v>4080</v>
      </c>
      <c r="G1379" s="26" t="s">
        <v>26</v>
      </c>
      <c r="H1379" s="26" t="s">
        <v>4993</v>
      </c>
      <c r="I1379" s="26" t="s">
        <v>3038</v>
      </c>
      <c r="J1379" s="46">
        <v>1</v>
      </c>
      <c r="K1379" s="46">
        <v>5</v>
      </c>
      <c r="L1379" s="136">
        <v>25</v>
      </c>
      <c r="M1379" s="137" t="s">
        <v>44</v>
      </c>
      <c r="N1379" s="138"/>
      <c r="O1379" s="138"/>
      <c r="P1379" s="138">
        <v>20.3</v>
      </c>
      <c r="Q1379" s="138"/>
      <c r="R1379" s="138"/>
      <c r="S1379" s="138"/>
      <c r="T1379" s="138"/>
      <c r="U1379" s="138"/>
    </row>
    <row r="1380" spans="1:25" s="26" customFormat="1" ht="15" customHeight="1" x14ac:dyDescent="0.2">
      <c r="A1380" s="32">
        <v>41704.599247685182</v>
      </c>
      <c r="B1380" s="26" t="s">
        <v>38</v>
      </c>
      <c r="C1380" s="26" t="s">
        <v>590</v>
      </c>
      <c r="D1380" s="33">
        <v>41671</v>
      </c>
      <c r="E1380" s="26" t="s">
        <v>4994</v>
      </c>
      <c r="F1380" s="26" t="s">
        <v>4995</v>
      </c>
      <c r="G1380" s="26" t="s">
        <v>26</v>
      </c>
      <c r="H1380" s="26" t="s">
        <v>4520</v>
      </c>
      <c r="I1380" s="26" t="s">
        <v>2986</v>
      </c>
      <c r="J1380" s="46">
        <v>1</v>
      </c>
      <c r="K1380" s="46">
        <v>6</v>
      </c>
      <c r="L1380" s="136">
        <v>60</v>
      </c>
      <c r="M1380" s="137" t="s">
        <v>44</v>
      </c>
      <c r="N1380" s="138"/>
      <c r="O1380" s="138">
        <v>15</v>
      </c>
      <c r="P1380" s="138">
        <v>13.5</v>
      </c>
      <c r="Q1380" s="138"/>
      <c r="R1380" s="138"/>
      <c r="S1380" s="138"/>
      <c r="T1380" s="138"/>
      <c r="U1380" s="138"/>
    </row>
    <row r="1381" spans="1:25" s="26" customFormat="1" ht="15" customHeight="1" x14ac:dyDescent="0.2">
      <c r="A1381" s="32">
        <v>41730.450787037036</v>
      </c>
      <c r="B1381" s="26" t="s">
        <v>38</v>
      </c>
      <c r="C1381" s="26" t="s">
        <v>590</v>
      </c>
      <c r="D1381" s="33">
        <v>41699</v>
      </c>
      <c r="E1381" s="26" t="s">
        <v>5369</v>
      </c>
      <c r="F1381" s="26" t="s">
        <v>5370</v>
      </c>
      <c r="G1381" s="26" t="s">
        <v>26</v>
      </c>
      <c r="H1381" s="26" t="s">
        <v>5371</v>
      </c>
      <c r="I1381" s="26" t="s">
        <v>3038</v>
      </c>
      <c r="J1381" s="46">
        <v>1</v>
      </c>
      <c r="K1381" s="46">
        <v>0</v>
      </c>
      <c r="L1381" s="136"/>
      <c r="M1381" s="137" t="s">
        <v>22</v>
      </c>
      <c r="N1381" s="138"/>
      <c r="O1381" s="138"/>
      <c r="P1381" s="138"/>
      <c r="Q1381" s="138"/>
      <c r="R1381" s="138"/>
      <c r="S1381" s="138"/>
      <c r="T1381" s="138"/>
      <c r="U1381" s="138"/>
    </row>
    <row r="1382" spans="1:25" s="26" customFormat="1" ht="15" customHeight="1" x14ac:dyDescent="0.2">
      <c r="A1382" s="32">
        <v>41730.450150462966</v>
      </c>
      <c r="B1382" s="26" t="s">
        <v>38</v>
      </c>
      <c r="C1382" s="26" t="s">
        <v>590</v>
      </c>
      <c r="D1382" s="33">
        <v>41699</v>
      </c>
      <c r="E1382" s="26" t="s">
        <v>5372</v>
      </c>
      <c r="F1382" s="26" t="s">
        <v>599</v>
      </c>
      <c r="G1382" s="26" t="s">
        <v>26</v>
      </c>
      <c r="H1382" s="26" t="s">
        <v>600</v>
      </c>
      <c r="I1382" s="26" t="s">
        <v>3038</v>
      </c>
      <c r="J1382" s="46">
        <v>1</v>
      </c>
      <c r="K1382" s="46">
        <v>5</v>
      </c>
      <c r="L1382" s="136">
        <v>25</v>
      </c>
      <c r="M1382" s="137" t="s">
        <v>22</v>
      </c>
      <c r="N1382" s="138"/>
      <c r="O1382" s="138"/>
      <c r="P1382" s="138"/>
      <c r="Q1382" s="138"/>
      <c r="R1382" s="138"/>
      <c r="S1382" s="138"/>
      <c r="T1382" s="138"/>
      <c r="U1382" s="138"/>
    </row>
    <row r="1383" spans="1:25" s="26" customFormat="1" ht="15" customHeight="1" x14ac:dyDescent="0.2">
      <c r="A1383" s="32">
        <v>41730.451122685183</v>
      </c>
      <c r="B1383" s="26" t="s">
        <v>38</v>
      </c>
      <c r="C1383" s="26" t="s">
        <v>590</v>
      </c>
      <c r="D1383" s="33">
        <v>41699</v>
      </c>
      <c r="E1383" s="26" t="s">
        <v>5369</v>
      </c>
      <c r="F1383" s="26" t="s">
        <v>5370</v>
      </c>
      <c r="G1383" s="26" t="s">
        <v>26</v>
      </c>
      <c r="H1383" s="26" t="s">
        <v>5371</v>
      </c>
      <c r="I1383" s="26" t="s">
        <v>3038</v>
      </c>
      <c r="J1383" s="46">
        <v>1</v>
      </c>
      <c r="K1383" s="46">
        <v>0</v>
      </c>
      <c r="L1383" s="136"/>
      <c r="M1383" s="137" t="s">
        <v>22</v>
      </c>
      <c r="N1383" s="138"/>
      <c r="O1383" s="138"/>
      <c r="P1383" s="138"/>
      <c r="Q1383" s="138"/>
      <c r="R1383" s="138"/>
      <c r="S1383" s="138"/>
      <c r="T1383" s="138"/>
      <c r="U1383" s="138"/>
    </row>
    <row r="1384" spans="1:25" s="26" customFormat="1" ht="15" customHeight="1" x14ac:dyDescent="0.2">
      <c r="A1384" s="32">
        <v>41730.452962962961</v>
      </c>
      <c r="B1384" s="26" t="s">
        <v>38</v>
      </c>
      <c r="C1384" s="26" t="s">
        <v>590</v>
      </c>
      <c r="D1384" s="33">
        <v>41699</v>
      </c>
      <c r="E1384" s="26" t="s">
        <v>5376</v>
      </c>
      <c r="F1384" s="26" t="s">
        <v>5377</v>
      </c>
      <c r="G1384" s="26" t="s">
        <v>26</v>
      </c>
      <c r="H1384" s="26" t="s">
        <v>5378</v>
      </c>
      <c r="I1384" s="26" t="s">
        <v>3265</v>
      </c>
      <c r="J1384" s="46">
        <v>1</v>
      </c>
      <c r="K1384" s="46">
        <v>11</v>
      </c>
      <c r="L1384" s="136">
        <v>220</v>
      </c>
      <c r="M1384" s="137" t="s">
        <v>44</v>
      </c>
      <c r="N1384" s="138"/>
      <c r="O1384" s="138">
        <v>25</v>
      </c>
      <c r="P1384" s="138"/>
      <c r="Q1384" s="138"/>
      <c r="R1384" s="138"/>
      <c r="S1384" s="138"/>
      <c r="T1384" s="138"/>
      <c r="U1384" s="138"/>
    </row>
    <row r="1385" spans="1:25" s="26" customFormat="1" ht="15" customHeight="1" x14ac:dyDescent="0.2">
      <c r="A1385" s="32">
        <v>41730.452141203707</v>
      </c>
      <c r="B1385" s="26" t="s">
        <v>38</v>
      </c>
      <c r="C1385" s="26" t="s">
        <v>590</v>
      </c>
      <c r="D1385" s="33">
        <v>41699</v>
      </c>
      <c r="E1385" s="26" t="s">
        <v>5379</v>
      </c>
      <c r="F1385" s="26" t="s">
        <v>4513</v>
      </c>
      <c r="G1385" s="26" t="s">
        <v>26</v>
      </c>
      <c r="H1385" s="26" t="s">
        <v>626</v>
      </c>
      <c r="I1385" s="26" t="s">
        <v>3038</v>
      </c>
      <c r="J1385" s="46">
        <v>1</v>
      </c>
      <c r="K1385" s="46">
        <v>9</v>
      </c>
      <c r="L1385" s="136">
        <v>45</v>
      </c>
      <c r="M1385" s="137" t="s">
        <v>44</v>
      </c>
      <c r="N1385" s="138"/>
      <c r="O1385" s="138">
        <v>15</v>
      </c>
      <c r="P1385" s="138"/>
      <c r="Q1385" s="138"/>
      <c r="R1385" s="138"/>
      <c r="S1385" s="138"/>
      <c r="T1385" s="138"/>
      <c r="U1385" s="138"/>
    </row>
    <row r="1386" spans="1:25" s="26" customFormat="1" ht="15" customHeight="1" x14ac:dyDescent="0.2">
      <c r="A1386" s="32">
        <v>41730.453414351854</v>
      </c>
      <c r="B1386" s="26" t="s">
        <v>38</v>
      </c>
      <c r="C1386" s="26" t="s">
        <v>590</v>
      </c>
      <c r="D1386" s="33">
        <v>41699</v>
      </c>
      <c r="E1386" s="26" t="s">
        <v>5380</v>
      </c>
      <c r="F1386" s="26" t="s">
        <v>1038</v>
      </c>
      <c r="G1386" s="26" t="s">
        <v>26</v>
      </c>
      <c r="I1386" s="26" t="s">
        <v>3038</v>
      </c>
      <c r="J1386" s="46">
        <v>1</v>
      </c>
      <c r="K1386" s="46">
        <v>0</v>
      </c>
      <c r="L1386" s="136"/>
      <c r="M1386" s="137" t="s">
        <v>22</v>
      </c>
      <c r="N1386" s="138"/>
      <c r="O1386" s="138"/>
      <c r="P1386" s="138"/>
      <c r="Q1386" s="138"/>
      <c r="R1386" s="138"/>
      <c r="S1386" s="138"/>
      <c r="T1386" s="138"/>
      <c r="U1386" s="138"/>
    </row>
    <row r="1387" spans="1:25" s="26" customFormat="1" ht="15" customHeight="1" x14ac:dyDescent="0.2">
      <c r="A1387" s="32">
        <v>41730.453993055555</v>
      </c>
      <c r="B1387" s="26" t="s">
        <v>38</v>
      </c>
      <c r="C1387" s="26" t="s">
        <v>590</v>
      </c>
      <c r="D1387" s="33">
        <v>41699</v>
      </c>
      <c r="E1387" s="26" t="s">
        <v>5372</v>
      </c>
      <c r="F1387" s="26" t="s">
        <v>5381</v>
      </c>
      <c r="G1387" s="26" t="s">
        <v>26</v>
      </c>
      <c r="I1387" s="26" t="s">
        <v>2812</v>
      </c>
      <c r="J1387" s="46">
        <v>1</v>
      </c>
      <c r="K1387" s="46">
        <v>3</v>
      </c>
      <c r="L1387" s="136">
        <v>30</v>
      </c>
      <c r="M1387" s="137" t="s">
        <v>44</v>
      </c>
      <c r="N1387" s="138"/>
      <c r="O1387" s="138">
        <v>5</v>
      </c>
      <c r="P1387" s="138"/>
      <c r="Q1387" s="138"/>
      <c r="R1387" s="138"/>
      <c r="S1387" s="138"/>
      <c r="T1387" s="138"/>
      <c r="U1387" s="138"/>
    </row>
    <row r="1388" spans="1:25" s="26" customFormat="1" ht="15" customHeight="1" x14ac:dyDescent="0.2">
      <c r="A1388" s="32">
        <v>41730.454861111109</v>
      </c>
      <c r="B1388" s="26" t="s">
        <v>38</v>
      </c>
      <c r="C1388" s="26" t="s">
        <v>590</v>
      </c>
      <c r="D1388" s="33">
        <v>41699</v>
      </c>
      <c r="E1388" s="26" t="s">
        <v>5383</v>
      </c>
      <c r="F1388" s="26" t="s">
        <v>5384</v>
      </c>
      <c r="G1388" s="26" t="s">
        <v>26</v>
      </c>
      <c r="H1388" s="26" t="s">
        <v>5385</v>
      </c>
      <c r="I1388" s="26" t="s">
        <v>3038</v>
      </c>
      <c r="J1388" s="46">
        <v>1</v>
      </c>
      <c r="K1388" s="46">
        <v>10</v>
      </c>
      <c r="L1388" s="136"/>
      <c r="M1388" s="137" t="s">
        <v>22</v>
      </c>
      <c r="N1388" s="138"/>
      <c r="O1388" s="138"/>
      <c r="P1388" s="138"/>
      <c r="Q1388" s="138"/>
      <c r="R1388" s="138"/>
      <c r="S1388" s="138"/>
      <c r="T1388" s="138"/>
      <c r="U1388" s="138"/>
      <c r="V1388" s="26" t="s">
        <v>5386</v>
      </c>
    </row>
    <row r="1389" spans="1:25" s="26" customFormat="1" ht="15" customHeight="1" x14ac:dyDescent="0.2">
      <c r="A1389" s="32">
        <v>41730.45548611111</v>
      </c>
      <c r="B1389" s="26" t="s">
        <v>38</v>
      </c>
      <c r="C1389" s="26" t="s">
        <v>590</v>
      </c>
      <c r="D1389" s="33">
        <v>41699</v>
      </c>
      <c r="E1389" s="26" t="s">
        <v>4986</v>
      </c>
      <c r="F1389" s="26" t="s">
        <v>5387</v>
      </c>
      <c r="G1389" s="26" t="s">
        <v>26</v>
      </c>
      <c r="H1389" s="26" t="s">
        <v>5388</v>
      </c>
      <c r="I1389" s="26" t="s">
        <v>3038</v>
      </c>
      <c r="J1389" s="46">
        <v>1</v>
      </c>
      <c r="K1389" s="46">
        <v>0</v>
      </c>
      <c r="L1389" s="136"/>
      <c r="M1389" s="137" t="s">
        <v>22</v>
      </c>
      <c r="N1389" s="138"/>
      <c r="O1389" s="138"/>
      <c r="P1389" s="138"/>
      <c r="Q1389" s="138"/>
      <c r="R1389" s="138"/>
      <c r="S1389" s="138"/>
      <c r="T1389" s="138"/>
      <c r="U1389" s="138"/>
    </row>
    <row r="1390" spans="1:25" s="26" customFormat="1" ht="15" customHeight="1" x14ac:dyDescent="0.2">
      <c r="A1390" s="32">
        <v>41730.457037037035</v>
      </c>
      <c r="B1390" s="26" t="s">
        <v>38</v>
      </c>
      <c r="C1390" s="26" t="s">
        <v>590</v>
      </c>
      <c r="D1390" s="33">
        <v>41699</v>
      </c>
      <c r="E1390" s="26" t="s">
        <v>5372</v>
      </c>
      <c r="F1390" s="26" t="s">
        <v>599</v>
      </c>
      <c r="G1390" s="26" t="s">
        <v>26</v>
      </c>
      <c r="H1390" s="26" t="s">
        <v>600</v>
      </c>
      <c r="I1390" s="26" t="s">
        <v>3038</v>
      </c>
      <c r="J1390" s="46">
        <v>1</v>
      </c>
      <c r="K1390" s="46">
        <v>18</v>
      </c>
      <c r="L1390" s="136">
        <v>90</v>
      </c>
      <c r="M1390" s="137" t="s">
        <v>22</v>
      </c>
      <c r="N1390" s="138"/>
      <c r="O1390" s="138"/>
      <c r="P1390" s="138"/>
      <c r="Q1390" s="138"/>
      <c r="R1390" s="138"/>
      <c r="S1390" s="138"/>
      <c r="T1390" s="138"/>
      <c r="U1390" s="138"/>
    </row>
    <row r="1391" spans="1:25" s="26" customFormat="1" ht="15" customHeight="1" x14ac:dyDescent="0.2">
      <c r="A1391" s="32">
        <v>41730.458194444444</v>
      </c>
      <c r="B1391" s="26" t="s">
        <v>38</v>
      </c>
      <c r="C1391" s="26" t="s">
        <v>590</v>
      </c>
      <c r="D1391" s="33">
        <v>41699</v>
      </c>
      <c r="E1391" s="26" t="s">
        <v>602</v>
      </c>
      <c r="F1391" s="26" t="s">
        <v>4226</v>
      </c>
      <c r="G1391" s="26" t="s">
        <v>26</v>
      </c>
      <c r="H1391" s="26" t="s">
        <v>5390</v>
      </c>
      <c r="I1391" s="26" t="s">
        <v>2812</v>
      </c>
      <c r="J1391" s="46">
        <v>1</v>
      </c>
      <c r="K1391" s="46">
        <v>26</v>
      </c>
      <c r="L1391" s="136">
        <v>40</v>
      </c>
      <c r="M1391" s="137" t="s">
        <v>44</v>
      </c>
      <c r="N1391" s="138"/>
      <c r="O1391" s="138">
        <v>15</v>
      </c>
      <c r="P1391" s="138"/>
      <c r="Q1391" s="138"/>
      <c r="R1391" s="138"/>
      <c r="S1391" s="138"/>
      <c r="T1391" s="138"/>
      <c r="U1391" s="138"/>
      <c r="V1391" s="26" t="s">
        <v>5391</v>
      </c>
    </row>
    <row r="1392" spans="1:25" s="26" customFormat="1" ht="15" customHeight="1" x14ac:dyDescent="0.2">
      <c r="A1392" s="93">
        <v>41770.346076388902</v>
      </c>
      <c r="B1392" s="89" t="s">
        <v>38</v>
      </c>
      <c r="C1392" s="52" t="s">
        <v>590</v>
      </c>
      <c r="D1392" s="87" t="s">
        <v>6076</v>
      </c>
      <c r="E1392" s="89" t="s">
        <v>6798</v>
      </c>
      <c r="F1392" s="89" t="s">
        <v>6799</v>
      </c>
      <c r="G1392" s="89" t="s">
        <v>26</v>
      </c>
      <c r="H1392" s="89" t="s">
        <v>6800</v>
      </c>
      <c r="I1392" s="89" t="s">
        <v>3038</v>
      </c>
      <c r="J1392" s="95">
        <v>1</v>
      </c>
      <c r="K1392" s="95">
        <v>0</v>
      </c>
      <c r="L1392" s="149"/>
      <c r="M1392" s="146" t="s">
        <v>22</v>
      </c>
      <c r="N1392" s="149"/>
      <c r="O1392" s="149"/>
      <c r="P1392" s="149"/>
      <c r="Q1392" s="149"/>
      <c r="R1392" s="149"/>
      <c r="S1392" s="149"/>
      <c r="T1392" s="149"/>
      <c r="U1392" s="149"/>
      <c r="V1392" s="89"/>
      <c r="W1392" s="91"/>
      <c r="X1392" s="91"/>
      <c r="Y1392" s="91"/>
    </row>
    <row r="1393" spans="1:25" s="26" customFormat="1" ht="15" customHeight="1" x14ac:dyDescent="0.2">
      <c r="A1393" s="55">
        <v>41770.347048611096</v>
      </c>
      <c r="B1393" s="52" t="s">
        <v>38</v>
      </c>
      <c r="C1393" s="52" t="s">
        <v>590</v>
      </c>
      <c r="D1393" s="88" t="s">
        <v>6076</v>
      </c>
      <c r="E1393" s="52" t="s">
        <v>5372</v>
      </c>
      <c r="F1393" s="52" t="s">
        <v>6801</v>
      </c>
      <c r="G1393" s="52" t="s">
        <v>42</v>
      </c>
      <c r="H1393" s="52" t="s">
        <v>6802</v>
      </c>
      <c r="I1393" s="52" t="s">
        <v>3038</v>
      </c>
      <c r="J1393" s="95">
        <v>1</v>
      </c>
      <c r="K1393" s="95">
        <v>33</v>
      </c>
      <c r="L1393" s="149">
        <v>99</v>
      </c>
      <c r="M1393" s="146" t="s">
        <v>22</v>
      </c>
      <c r="N1393" s="149"/>
      <c r="O1393" s="149"/>
      <c r="P1393" s="149"/>
      <c r="Q1393" s="149"/>
      <c r="R1393" s="149"/>
      <c r="S1393" s="149"/>
      <c r="T1393" s="149"/>
      <c r="U1393" s="149"/>
      <c r="V1393" s="52"/>
    </row>
    <row r="1394" spans="1:25" s="26" customFormat="1" ht="15" customHeight="1" x14ac:dyDescent="0.2">
      <c r="A1394" s="55">
        <v>41770.347673611097</v>
      </c>
      <c r="B1394" s="52" t="s">
        <v>38</v>
      </c>
      <c r="C1394" s="52" t="s">
        <v>590</v>
      </c>
      <c r="D1394" s="88" t="s">
        <v>6076</v>
      </c>
      <c r="E1394" s="52" t="s">
        <v>2411</v>
      </c>
      <c r="F1394" s="52" t="s">
        <v>6803</v>
      </c>
      <c r="G1394" s="52" t="s">
        <v>42</v>
      </c>
      <c r="H1394" s="52" t="s">
        <v>6804</v>
      </c>
      <c r="I1394" s="52" t="s">
        <v>3038</v>
      </c>
      <c r="J1394" s="95">
        <v>1</v>
      </c>
      <c r="K1394" s="95"/>
      <c r="L1394" s="149"/>
      <c r="M1394" s="146" t="s">
        <v>22</v>
      </c>
      <c r="N1394" s="149"/>
      <c r="O1394" s="149"/>
      <c r="P1394" s="149"/>
      <c r="Q1394" s="149"/>
      <c r="R1394" s="149"/>
      <c r="S1394" s="149"/>
      <c r="T1394" s="149"/>
      <c r="U1394" s="149"/>
      <c r="V1394" s="52"/>
    </row>
    <row r="1395" spans="1:25" s="26" customFormat="1" ht="15" customHeight="1" x14ac:dyDescent="0.2">
      <c r="A1395" s="55">
        <v>41770.348483796297</v>
      </c>
      <c r="B1395" s="52" t="s">
        <v>38</v>
      </c>
      <c r="C1395" s="52" t="s">
        <v>590</v>
      </c>
      <c r="D1395" s="88" t="s">
        <v>6076</v>
      </c>
      <c r="E1395" s="52" t="s">
        <v>6805</v>
      </c>
      <c r="F1395" s="52" t="s">
        <v>6806</v>
      </c>
      <c r="G1395" s="52" t="s">
        <v>42</v>
      </c>
      <c r="H1395" s="52" t="s">
        <v>6807</v>
      </c>
      <c r="I1395" s="52" t="s">
        <v>3038</v>
      </c>
      <c r="J1395" s="95">
        <v>1</v>
      </c>
      <c r="K1395" s="95">
        <v>13</v>
      </c>
      <c r="L1395" s="149">
        <v>39</v>
      </c>
      <c r="M1395" s="146" t="s">
        <v>44</v>
      </c>
      <c r="N1395" s="149"/>
      <c r="O1395" s="149">
        <v>15</v>
      </c>
      <c r="P1395" s="149"/>
      <c r="Q1395" s="149"/>
      <c r="R1395" s="149"/>
      <c r="S1395" s="149"/>
      <c r="T1395" s="149"/>
      <c r="U1395" s="149"/>
      <c r="V1395" s="52"/>
    </row>
    <row r="1396" spans="1:25" s="26" customFormat="1" ht="15" customHeight="1" x14ac:dyDescent="0.2">
      <c r="A1396" s="55">
        <v>41770.349965277797</v>
      </c>
      <c r="B1396" s="52" t="s">
        <v>38</v>
      </c>
      <c r="C1396" s="52" t="s">
        <v>590</v>
      </c>
      <c r="D1396" s="88" t="s">
        <v>6076</v>
      </c>
      <c r="E1396" s="52" t="s">
        <v>1481</v>
      </c>
      <c r="F1396" s="52" t="s">
        <v>6808</v>
      </c>
      <c r="G1396" s="52" t="s">
        <v>42</v>
      </c>
      <c r="H1396" s="52" t="s">
        <v>6809</v>
      </c>
      <c r="I1396" s="52" t="s">
        <v>3038</v>
      </c>
      <c r="J1396" s="95">
        <v>1</v>
      </c>
      <c r="K1396" s="95">
        <v>12</v>
      </c>
      <c r="L1396" s="149">
        <v>144</v>
      </c>
      <c r="M1396" s="146" t="s">
        <v>22</v>
      </c>
      <c r="N1396" s="149"/>
      <c r="O1396" s="149"/>
      <c r="P1396" s="149"/>
      <c r="Q1396" s="149"/>
      <c r="R1396" s="149"/>
      <c r="S1396" s="149"/>
      <c r="T1396" s="149"/>
      <c r="U1396" s="149"/>
      <c r="V1396" s="52"/>
    </row>
    <row r="1397" spans="1:25" s="26" customFormat="1" ht="15" customHeight="1" x14ac:dyDescent="0.2">
      <c r="A1397" s="55">
        <v>41770.350775462997</v>
      </c>
      <c r="B1397" s="52" t="s">
        <v>38</v>
      </c>
      <c r="C1397" s="52" t="s">
        <v>590</v>
      </c>
      <c r="D1397" s="88" t="s">
        <v>6076</v>
      </c>
      <c r="E1397" s="52" t="s">
        <v>6810</v>
      </c>
      <c r="F1397" s="52" t="s">
        <v>6811</v>
      </c>
      <c r="G1397" s="52" t="s">
        <v>42</v>
      </c>
      <c r="H1397" s="52" t="s">
        <v>6812</v>
      </c>
      <c r="I1397" s="52" t="s">
        <v>3038</v>
      </c>
      <c r="J1397" s="95">
        <v>1</v>
      </c>
      <c r="K1397" s="95">
        <v>26</v>
      </c>
      <c r="L1397" s="149">
        <v>54</v>
      </c>
      <c r="M1397" s="146" t="s">
        <v>22</v>
      </c>
      <c r="N1397" s="149"/>
      <c r="O1397" s="149"/>
      <c r="P1397" s="149"/>
      <c r="Q1397" s="149"/>
      <c r="R1397" s="149"/>
      <c r="S1397" s="149"/>
      <c r="T1397" s="149"/>
      <c r="U1397" s="149"/>
      <c r="V1397" s="52"/>
    </row>
    <row r="1398" spans="1:25" s="26" customFormat="1" ht="15" customHeight="1" x14ac:dyDescent="0.2">
      <c r="A1398" s="55">
        <v>41770.351504629602</v>
      </c>
      <c r="B1398" s="52" t="s">
        <v>38</v>
      </c>
      <c r="C1398" s="52" t="s">
        <v>590</v>
      </c>
      <c r="D1398" s="88" t="s">
        <v>6076</v>
      </c>
      <c r="E1398" s="52" t="s">
        <v>5369</v>
      </c>
      <c r="F1398" s="52" t="s">
        <v>5370</v>
      </c>
      <c r="G1398" s="52" t="s">
        <v>42</v>
      </c>
      <c r="H1398" s="52" t="s">
        <v>6813</v>
      </c>
      <c r="I1398" s="52" t="s">
        <v>3038</v>
      </c>
      <c r="J1398" s="95">
        <v>1</v>
      </c>
      <c r="K1398" s="95">
        <v>0</v>
      </c>
      <c r="L1398" s="149"/>
      <c r="M1398" s="146" t="s">
        <v>22</v>
      </c>
      <c r="N1398" s="149"/>
      <c r="O1398" s="149"/>
      <c r="P1398" s="149"/>
      <c r="Q1398" s="149"/>
      <c r="R1398" s="149"/>
      <c r="S1398" s="149"/>
      <c r="T1398" s="149"/>
      <c r="U1398" s="149"/>
      <c r="V1398" s="52"/>
    </row>
    <row r="1399" spans="1:25" s="26" customFormat="1" ht="15" customHeight="1" x14ac:dyDescent="0.2">
      <c r="A1399" s="93">
        <v>41770.3520601852</v>
      </c>
      <c r="B1399" s="89" t="s">
        <v>38</v>
      </c>
      <c r="C1399" s="52" t="s">
        <v>590</v>
      </c>
      <c r="D1399" s="87" t="s">
        <v>6076</v>
      </c>
      <c r="E1399" s="89" t="s">
        <v>2411</v>
      </c>
      <c r="F1399" s="89" t="s">
        <v>5803</v>
      </c>
      <c r="G1399" s="89" t="s">
        <v>26</v>
      </c>
      <c r="H1399" s="89" t="s">
        <v>6814</v>
      </c>
      <c r="I1399" s="89" t="s">
        <v>3038</v>
      </c>
      <c r="J1399" s="95">
        <v>1</v>
      </c>
      <c r="K1399" s="95">
        <v>0</v>
      </c>
      <c r="L1399" s="149"/>
      <c r="M1399" s="146" t="s">
        <v>22</v>
      </c>
      <c r="N1399" s="149"/>
      <c r="O1399" s="149"/>
      <c r="P1399" s="149"/>
      <c r="Q1399" s="149"/>
      <c r="R1399" s="149"/>
      <c r="S1399" s="149"/>
      <c r="T1399" s="149"/>
      <c r="U1399" s="149"/>
      <c r="V1399" s="89"/>
      <c r="W1399" s="91"/>
      <c r="X1399" s="91"/>
      <c r="Y1399" s="91"/>
    </row>
    <row r="1400" spans="1:25" s="26" customFormat="1" ht="15" customHeight="1" x14ac:dyDescent="0.2">
      <c r="A1400" s="93">
        <v>41770.3534953704</v>
      </c>
      <c r="B1400" s="89" t="s">
        <v>38</v>
      </c>
      <c r="C1400" s="52" t="s">
        <v>590</v>
      </c>
      <c r="D1400" s="87" t="s">
        <v>6076</v>
      </c>
      <c r="E1400" s="89" t="s">
        <v>6810</v>
      </c>
      <c r="F1400" s="89" t="s">
        <v>6815</v>
      </c>
      <c r="G1400" s="89" t="s">
        <v>26</v>
      </c>
      <c r="H1400" s="89" t="s">
        <v>6816</v>
      </c>
      <c r="I1400" s="89" t="s">
        <v>3038</v>
      </c>
      <c r="J1400" s="95">
        <v>1</v>
      </c>
      <c r="K1400" s="95">
        <v>500</v>
      </c>
      <c r="L1400" s="149"/>
      <c r="M1400" s="146" t="s">
        <v>44</v>
      </c>
      <c r="N1400" s="149"/>
      <c r="O1400" s="149">
        <v>1000</v>
      </c>
      <c r="P1400" s="149"/>
      <c r="Q1400" s="149">
        <v>50</v>
      </c>
      <c r="R1400" s="149"/>
      <c r="S1400" s="149">
        <v>200</v>
      </c>
      <c r="T1400" s="149"/>
      <c r="U1400" s="149">
        <v>200</v>
      </c>
      <c r="V1400" s="89" t="s">
        <v>6817</v>
      </c>
      <c r="W1400" s="91"/>
      <c r="X1400" s="91"/>
      <c r="Y1400" s="91"/>
    </row>
    <row r="1401" spans="1:25" s="26" customFormat="1" ht="15" customHeight="1" x14ac:dyDescent="0.2">
      <c r="A1401" s="93">
        <v>41770.354074074101</v>
      </c>
      <c r="B1401" s="89" t="s">
        <v>38</v>
      </c>
      <c r="C1401" s="52" t="s">
        <v>590</v>
      </c>
      <c r="D1401" s="87" t="s">
        <v>6076</v>
      </c>
      <c r="E1401" s="89" t="s">
        <v>6818</v>
      </c>
      <c r="F1401" s="89" t="s">
        <v>6819</v>
      </c>
      <c r="G1401" s="89" t="s">
        <v>26</v>
      </c>
      <c r="H1401" s="89" t="s">
        <v>120</v>
      </c>
      <c r="I1401" s="89" t="s">
        <v>3038</v>
      </c>
      <c r="J1401" s="95">
        <v>1</v>
      </c>
      <c r="K1401" s="95">
        <v>10</v>
      </c>
      <c r="L1401" s="149">
        <v>50</v>
      </c>
      <c r="M1401" s="146" t="s">
        <v>44</v>
      </c>
      <c r="N1401" s="149"/>
      <c r="O1401" s="149">
        <v>10</v>
      </c>
      <c r="P1401" s="149"/>
      <c r="Q1401" s="149"/>
      <c r="R1401" s="149"/>
      <c r="S1401" s="149"/>
      <c r="T1401" s="149"/>
      <c r="U1401" s="149"/>
      <c r="V1401" s="89"/>
      <c r="W1401" s="91"/>
      <c r="X1401" s="91"/>
      <c r="Y1401" s="91"/>
    </row>
    <row r="1402" spans="1:25" s="26" customFormat="1" ht="15" customHeight="1" x14ac:dyDescent="0.2">
      <c r="A1402" s="93">
        <v>41770.354699074102</v>
      </c>
      <c r="B1402" s="89" t="s">
        <v>38</v>
      </c>
      <c r="C1402" s="52" t="s">
        <v>590</v>
      </c>
      <c r="D1402" s="87" t="s">
        <v>6076</v>
      </c>
      <c r="E1402" s="89" t="s">
        <v>5372</v>
      </c>
      <c r="F1402" s="89" t="s">
        <v>599</v>
      </c>
      <c r="G1402" s="89" t="s">
        <v>26</v>
      </c>
      <c r="H1402" s="89" t="s">
        <v>6820</v>
      </c>
      <c r="I1402" s="89" t="s">
        <v>3038</v>
      </c>
      <c r="J1402" s="95">
        <v>1</v>
      </c>
      <c r="K1402" s="95">
        <v>13</v>
      </c>
      <c r="L1402" s="149">
        <v>65</v>
      </c>
      <c r="M1402" s="146" t="s">
        <v>44</v>
      </c>
      <c r="N1402" s="149"/>
      <c r="O1402" s="149">
        <v>5</v>
      </c>
      <c r="P1402" s="149"/>
      <c r="Q1402" s="149"/>
      <c r="R1402" s="149"/>
      <c r="S1402" s="149"/>
      <c r="T1402" s="149"/>
      <c r="U1402" s="149"/>
      <c r="V1402" s="89"/>
      <c r="W1402" s="91"/>
      <c r="X1402" s="91"/>
      <c r="Y1402" s="91"/>
    </row>
    <row r="1403" spans="1:25" s="26" customFormat="1" ht="15" customHeight="1" x14ac:dyDescent="0.2">
      <c r="A1403" s="55">
        <v>41770.355358796303</v>
      </c>
      <c r="B1403" s="52" t="s">
        <v>38</v>
      </c>
      <c r="C1403" s="52" t="s">
        <v>590</v>
      </c>
      <c r="D1403" s="88" t="s">
        <v>6076</v>
      </c>
      <c r="E1403" s="52" t="s">
        <v>2411</v>
      </c>
      <c r="F1403" s="52" t="s">
        <v>6821</v>
      </c>
      <c r="G1403" s="52" t="s">
        <v>42</v>
      </c>
      <c r="H1403" s="52" t="s">
        <v>6822</v>
      </c>
      <c r="I1403" s="52" t="s">
        <v>3038</v>
      </c>
      <c r="J1403" s="95">
        <v>1</v>
      </c>
      <c r="K1403" s="95">
        <v>9</v>
      </c>
      <c r="L1403" s="149">
        <v>27</v>
      </c>
      <c r="M1403" s="146" t="s">
        <v>22</v>
      </c>
      <c r="N1403" s="149"/>
      <c r="O1403" s="149"/>
      <c r="P1403" s="149"/>
      <c r="Q1403" s="149"/>
      <c r="R1403" s="149"/>
      <c r="S1403" s="149"/>
      <c r="T1403" s="149"/>
      <c r="U1403" s="149"/>
      <c r="V1403" s="52"/>
    </row>
    <row r="1404" spans="1:25" s="26" customFormat="1" ht="15" customHeight="1" x14ac:dyDescent="0.2">
      <c r="A1404" s="93">
        <v>41770.355925925898</v>
      </c>
      <c r="B1404" s="89" t="s">
        <v>38</v>
      </c>
      <c r="C1404" s="52" t="s">
        <v>590</v>
      </c>
      <c r="D1404" s="87" t="s">
        <v>6076</v>
      </c>
      <c r="E1404" s="89" t="s">
        <v>6823</v>
      </c>
      <c r="F1404" s="89" t="s">
        <v>6824</v>
      </c>
      <c r="G1404" s="89" t="s">
        <v>26</v>
      </c>
      <c r="H1404" s="89" t="s">
        <v>6825</v>
      </c>
      <c r="I1404" s="89" t="s">
        <v>3038</v>
      </c>
      <c r="J1404" s="95">
        <v>1</v>
      </c>
      <c r="K1404" s="95">
        <v>14</v>
      </c>
      <c r="L1404" s="149">
        <v>210</v>
      </c>
      <c r="M1404" s="146" t="s">
        <v>22</v>
      </c>
      <c r="N1404" s="149"/>
      <c r="O1404" s="149"/>
      <c r="P1404" s="149"/>
      <c r="Q1404" s="149"/>
      <c r="R1404" s="149"/>
      <c r="S1404" s="149"/>
      <c r="T1404" s="149"/>
      <c r="U1404" s="149"/>
      <c r="V1404" s="89"/>
      <c r="W1404" s="91"/>
      <c r="X1404" s="91"/>
      <c r="Y1404" s="91"/>
    </row>
    <row r="1405" spans="1:25" s="26" customFormat="1" ht="15" customHeight="1" x14ac:dyDescent="0.2">
      <c r="A1405" s="93">
        <v>41770.356423611098</v>
      </c>
      <c r="B1405" s="89" t="s">
        <v>38</v>
      </c>
      <c r="C1405" s="52" t="s">
        <v>590</v>
      </c>
      <c r="D1405" s="87" t="s">
        <v>6076</v>
      </c>
      <c r="E1405" s="89" t="s">
        <v>6826</v>
      </c>
      <c r="F1405" s="89" t="s">
        <v>6827</v>
      </c>
      <c r="G1405" s="89" t="s">
        <v>26</v>
      </c>
      <c r="H1405" s="89" t="s">
        <v>4520</v>
      </c>
      <c r="I1405" s="89" t="s">
        <v>3038</v>
      </c>
      <c r="J1405" s="95">
        <v>1</v>
      </c>
      <c r="K1405" s="95">
        <v>0</v>
      </c>
      <c r="L1405" s="149"/>
      <c r="M1405" s="146" t="s">
        <v>22</v>
      </c>
      <c r="N1405" s="149"/>
      <c r="O1405" s="149"/>
      <c r="P1405" s="149"/>
      <c r="Q1405" s="149"/>
      <c r="R1405" s="149"/>
      <c r="S1405" s="149"/>
      <c r="T1405" s="149"/>
      <c r="U1405" s="149"/>
      <c r="V1405" s="89"/>
      <c r="W1405" s="91"/>
      <c r="X1405" s="91"/>
      <c r="Y1405" s="91"/>
    </row>
    <row r="1406" spans="1:25" s="26" customFormat="1" ht="15" customHeight="1" x14ac:dyDescent="0.2">
      <c r="A1406" s="93">
        <v>41793.394270833298</v>
      </c>
      <c r="B1406" s="89" t="s">
        <v>38</v>
      </c>
      <c r="C1406" s="52" t="s">
        <v>697</v>
      </c>
      <c r="D1406" s="87" t="s">
        <v>6224</v>
      </c>
      <c r="E1406" s="89" t="s">
        <v>5757</v>
      </c>
      <c r="F1406" s="89" t="s">
        <v>7164</v>
      </c>
      <c r="G1406" s="89" t="s">
        <v>20</v>
      </c>
      <c r="H1406" s="89" t="s">
        <v>700</v>
      </c>
      <c r="I1406" s="89" t="s">
        <v>2986</v>
      </c>
      <c r="J1406" s="95">
        <v>1</v>
      </c>
      <c r="K1406" s="95">
        <v>100</v>
      </c>
      <c r="L1406" s="150">
        <v>500</v>
      </c>
      <c r="M1406" s="146" t="s">
        <v>22</v>
      </c>
      <c r="N1406" s="149"/>
      <c r="O1406" s="149"/>
      <c r="P1406" s="149"/>
      <c r="Q1406" s="149"/>
      <c r="R1406" s="149"/>
      <c r="S1406" s="149"/>
      <c r="T1406" s="149"/>
      <c r="U1406" s="149"/>
      <c r="V1406" s="89"/>
      <c r="W1406" s="91"/>
      <c r="X1406" s="91"/>
      <c r="Y1406" s="91"/>
    </row>
    <row r="1407" spans="1:25" s="26" customFormat="1" ht="15" customHeight="1" x14ac:dyDescent="0.2">
      <c r="A1407" s="93">
        <v>41793.396238425899</v>
      </c>
      <c r="B1407" s="89" t="s">
        <v>38</v>
      </c>
      <c r="C1407" s="52" t="s">
        <v>697</v>
      </c>
      <c r="D1407" s="87" t="s">
        <v>6224</v>
      </c>
      <c r="E1407" s="89" t="s">
        <v>7165</v>
      </c>
      <c r="F1407" s="89" t="s">
        <v>7166</v>
      </c>
      <c r="G1407" s="89" t="s">
        <v>20</v>
      </c>
      <c r="H1407" s="89" t="s">
        <v>700</v>
      </c>
      <c r="I1407" s="89" t="s">
        <v>2986</v>
      </c>
      <c r="J1407" s="95">
        <v>1</v>
      </c>
      <c r="K1407" s="95">
        <v>71</v>
      </c>
      <c r="L1407" s="150">
        <v>355</v>
      </c>
      <c r="M1407" s="146" t="s">
        <v>22</v>
      </c>
      <c r="N1407" s="149"/>
      <c r="O1407" s="149"/>
      <c r="P1407" s="149"/>
      <c r="Q1407" s="149"/>
      <c r="R1407" s="149"/>
      <c r="S1407" s="149"/>
      <c r="T1407" s="149"/>
      <c r="U1407" s="149"/>
      <c r="V1407" s="89"/>
      <c r="W1407" s="91"/>
      <c r="X1407" s="91"/>
      <c r="Y1407" s="91"/>
    </row>
    <row r="1408" spans="1:25" s="26" customFormat="1" ht="15" customHeight="1" x14ac:dyDescent="0.2">
      <c r="A1408" s="32">
        <v>41688.468831018516</v>
      </c>
      <c r="B1408" s="26" t="s">
        <v>16</v>
      </c>
      <c r="C1408" s="26" t="s">
        <v>4617</v>
      </c>
      <c r="D1408" s="33">
        <v>41456</v>
      </c>
      <c r="E1408" s="26" t="s">
        <v>4618</v>
      </c>
      <c r="F1408" s="26" t="s">
        <v>4619</v>
      </c>
      <c r="G1408" s="26" t="s">
        <v>26</v>
      </c>
      <c r="H1408" s="26" t="s">
        <v>4620</v>
      </c>
      <c r="I1408" s="26" t="s">
        <v>2986</v>
      </c>
      <c r="J1408" s="46">
        <v>68</v>
      </c>
      <c r="K1408" s="46">
        <v>489</v>
      </c>
      <c r="L1408" s="136"/>
      <c r="M1408" s="137" t="s">
        <v>44</v>
      </c>
      <c r="N1408" s="138">
        <v>3067.5</v>
      </c>
      <c r="O1408" s="138"/>
      <c r="P1408" s="138">
        <v>970.82</v>
      </c>
      <c r="Q1408" s="138"/>
      <c r="R1408" s="138"/>
      <c r="S1408" s="138"/>
      <c r="T1408" s="138"/>
      <c r="U1408" s="138"/>
    </row>
    <row r="1409" spans="1:25" s="26" customFormat="1" ht="15" customHeight="1" x14ac:dyDescent="0.2">
      <c r="A1409" s="32">
        <v>41688.469849537039</v>
      </c>
      <c r="B1409" s="26" t="s">
        <v>16</v>
      </c>
      <c r="C1409" s="26" t="s">
        <v>4617</v>
      </c>
      <c r="D1409" s="33">
        <v>41487</v>
      </c>
      <c r="E1409" s="26" t="s">
        <v>4618</v>
      </c>
      <c r="F1409" s="26" t="s">
        <v>4619</v>
      </c>
      <c r="G1409" s="26" t="s">
        <v>26</v>
      </c>
      <c r="H1409" s="26" t="s">
        <v>4620</v>
      </c>
      <c r="I1409" s="26" t="s">
        <v>2986</v>
      </c>
      <c r="J1409" s="46">
        <v>78</v>
      </c>
      <c r="K1409" s="46">
        <v>426</v>
      </c>
      <c r="L1409" s="136">
        <v>26</v>
      </c>
      <c r="M1409" s="137" t="s">
        <v>44</v>
      </c>
      <c r="N1409" s="138">
        <v>2462.5</v>
      </c>
      <c r="O1409" s="138"/>
      <c r="P1409" s="138">
        <v>660.52</v>
      </c>
      <c r="Q1409" s="138"/>
      <c r="R1409" s="138"/>
      <c r="S1409" s="138"/>
      <c r="T1409" s="138"/>
      <c r="U1409" s="138"/>
    </row>
    <row r="1410" spans="1:25" s="26" customFormat="1" ht="15" customHeight="1" x14ac:dyDescent="0.2">
      <c r="A1410" s="32">
        <v>41688.470636574071</v>
      </c>
      <c r="B1410" s="26" t="s">
        <v>16</v>
      </c>
      <c r="C1410" s="26" t="s">
        <v>4617</v>
      </c>
      <c r="D1410" s="33">
        <v>41518</v>
      </c>
      <c r="E1410" s="26" t="s">
        <v>4618</v>
      </c>
      <c r="F1410" s="26" t="s">
        <v>4619</v>
      </c>
      <c r="G1410" s="26" t="s">
        <v>26</v>
      </c>
      <c r="H1410" s="26" t="s">
        <v>4620</v>
      </c>
      <c r="I1410" s="26" t="s">
        <v>2986</v>
      </c>
      <c r="J1410" s="46">
        <v>66</v>
      </c>
      <c r="K1410" s="46">
        <v>412</v>
      </c>
      <c r="L1410" s="136">
        <v>16</v>
      </c>
      <c r="M1410" s="137" t="s">
        <v>44</v>
      </c>
      <c r="N1410" s="138">
        <v>1828</v>
      </c>
      <c r="O1410" s="138"/>
      <c r="P1410" s="138">
        <v>597.02</v>
      </c>
      <c r="Q1410" s="138"/>
      <c r="R1410" s="138"/>
      <c r="S1410" s="138"/>
      <c r="T1410" s="138"/>
      <c r="U1410" s="138"/>
    </row>
    <row r="1411" spans="1:25" s="26" customFormat="1" ht="15" customHeight="1" x14ac:dyDescent="0.2">
      <c r="A1411" s="32">
        <v>41688.471412037034</v>
      </c>
      <c r="B1411" s="26" t="s">
        <v>16</v>
      </c>
      <c r="C1411" s="26" t="s">
        <v>4617</v>
      </c>
      <c r="D1411" s="33">
        <v>41548</v>
      </c>
      <c r="E1411" s="26" t="s">
        <v>4618</v>
      </c>
      <c r="F1411" s="26" t="s">
        <v>4619</v>
      </c>
      <c r="G1411" s="26" t="s">
        <v>26</v>
      </c>
      <c r="H1411" s="26" t="s">
        <v>4620</v>
      </c>
      <c r="I1411" s="26" t="s">
        <v>2986</v>
      </c>
      <c r="J1411" s="46">
        <v>86</v>
      </c>
      <c r="K1411" s="46">
        <v>564</v>
      </c>
      <c r="L1411" s="136">
        <v>54</v>
      </c>
      <c r="M1411" s="137" t="s">
        <v>44</v>
      </c>
      <c r="N1411" s="138">
        <v>4675</v>
      </c>
      <c r="O1411" s="138"/>
      <c r="P1411" s="138">
        <v>1592.8</v>
      </c>
      <c r="Q1411" s="138"/>
      <c r="R1411" s="138"/>
      <c r="S1411" s="138"/>
      <c r="T1411" s="138"/>
      <c r="U1411" s="138"/>
    </row>
    <row r="1412" spans="1:25" s="26" customFormat="1" ht="15" customHeight="1" x14ac:dyDescent="0.2">
      <c r="A1412" s="32">
        <v>41688.472094907411</v>
      </c>
      <c r="B1412" s="26" t="s">
        <v>16</v>
      </c>
      <c r="C1412" s="26" t="s">
        <v>4617</v>
      </c>
      <c r="D1412" s="33">
        <v>41579</v>
      </c>
      <c r="E1412" s="26" t="s">
        <v>4618</v>
      </c>
      <c r="F1412" s="26" t="s">
        <v>4619</v>
      </c>
      <c r="G1412" s="26" t="s">
        <v>26</v>
      </c>
      <c r="H1412" s="26" t="s">
        <v>4620</v>
      </c>
      <c r="I1412" s="26" t="s">
        <v>2986</v>
      </c>
      <c r="J1412" s="46">
        <v>75</v>
      </c>
      <c r="K1412" s="46">
        <v>380</v>
      </c>
      <c r="L1412" s="136">
        <v>27</v>
      </c>
      <c r="M1412" s="137" t="s">
        <v>44</v>
      </c>
      <c r="N1412" s="138">
        <v>2155.5</v>
      </c>
      <c r="O1412" s="138"/>
      <c r="P1412" s="138">
        <v>903.84</v>
      </c>
      <c r="Q1412" s="138"/>
      <c r="R1412" s="138"/>
      <c r="S1412" s="138"/>
      <c r="T1412" s="138"/>
      <c r="U1412" s="138"/>
    </row>
    <row r="1413" spans="1:25" s="26" customFormat="1" ht="15" customHeight="1" x14ac:dyDescent="0.2">
      <c r="A1413" s="32">
        <v>41688.473229166666</v>
      </c>
      <c r="B1413" s="26" t="s">
        <v>16</v>
      </c>
      <c r="C1413" s="26" t="s">
        <v>4617</v>
      </c>
      <c r="D1413" s="33">
        <v>41609</v>
      </c>
      <c r="E1413" s="26" t="s">
        <v>4618</v>
      </c>
      <c r="F1413" s="26" t="s">
        <v>4619</v>
      </c>
      <c r="G1413" s="26" t="s">
        <v>26</v>
      </c>
      <c r="H1413" s="26" t="s">
        <v>4620</v>
      </c>
      <c r="I1413" s="26" t="s">
        <v>2986</v>
      </c>
      <c r="J1413" s="46">
        <v>52</v>
      </c>
      <c r="K1413" s="46">
        <v>886</v>
      </c>
      <c r="L1413" s="136">
        <v>3868</v>
      </c>
      <c r="M1413" s="137" t="s">
        <v>44</v>
      </c>
      <c r="N1413" s="138">
        <v>1656</v>
      </c>
      <c r="O1413" s="138"/>
      <c r="P1413" s="138">
        <v>904.26</v>
      </c>
      <c r="Q1413" s="138"/>
      <c r="R1413" s="138"/>
      <c r="S1413" s="138"/>
      <c r="T1413" s="138"/>
      <c r="U1413" s="138"/>
      <c r="V1413" s="26" t="s">
        <v>4621</v>
      </c>
    </row>
    <row r="1414" spans="1:25" s="26" customFormat="1" ht="15" customHeight="1" x14ac:dyDescent="0.2">
      <c r="A1414" s="32">
        <v>41688.473877314813</v>
      </c>
      <c r="B1414" s="26" t="s">
        <v>16</v>
      </c>
      <c r="C1414" s="26" t="s">
        <v>4617</v>
      </c>
      <c r="D1414" s="33">
        <v>41640</v>
      </c>
      <c r="E1414" s="26" t="s">
        <v>4618</v>
      </c>
      <c r="F1414" s="26" t="s">
        <v>4619</v>
      </c>
      <c r="G1414" s="26" t="s">
        <v>26</v>
      </c>
      <c r="H1414" s="26" t="s">
        <v>4620</v>
      </c>
      <c r="I1414" s="26" t="s">
        <v>2986</v>
      </c>
      <c r="J1414" s="46">
        <v>72</v>
      </c>
      <c r="K1414" s="46">
        <v>431</v>
      </c>
      <c r="L1414" s="136">
        <v>10</v>
      </c>
      <c r="M1414" s="137" t="s">
        <v>44</v>
      </c>
      <c r="N1414" s="138">
        <v>2472.12</v>
      </c>
      <c r="O1414" s="138"/>
      <c r="P1414" s="138">
        <v>698.52</v>
      </c>
      <c r="Q1414" s="138"/>
      <c r="R1414" s="138"/>
      <c r="S1414" s="138"/>
      <c r="T1414" s="138"/>
      <c r="U1414" s="138"/>
    </row>
    <row r="1415" spans="1:25" s="26" customFormat="1" ht="15" customHeight="1" x14ac:dyDescent="0.2">
      <c r="A1415" s="32">
        <v>41705.454872685186</v>
      </c>
      <c r="B1415" s="26" t="s">
        <v>16</v>
      </c>
      <c r="C1415" s="26" t="s">
        <v>4617</v>
      </c>
      <c r="D1415" s="33">
        <v>41671</v>
      </c>
      <c r="E1415" s="26" t="s">
        <v>4618</v>
      </c>
      <c r="F1415" s="26" t="s">
        <v>4619</v>
      </c>
      <c r="G1415" s="26" t="s">
        <v>26</v>
      </c>
      <c r="H1415" s="26" t="s">
        <v>4620</v>
      </c>
      <c r="I1415" s="26" t="s">
        <v>2986</v>
      </c>
      <c r="J1415" s="46">
        <v>68</v>
      </c>
      <c r="K1415" s="46">
        <v>543</v>
      </c>
      <c r="L1415" s="136"/>
      <c r="M1415" s="137" t="s">
        <v>44</v>
      </c>
      <c r="N1415" s="138">
        <v>3543</v>
      </c>
      <c r="O1415" s="138"/>
      <c r="P1415" s="138">
        <v>1110.46</v>
      </c>
      <c r="Q1415" s="138"/>
      <c r="R1415" s="138"/>
      <c r="S1415" s="138"/>
      <c r="T1415" s="138"/>
      <c r="U1415" s="138"/>
    </row>
    <row r="1416" spans="1:25" s="26" customFormat="1" ht="15" customHeight="1" x14ac:dyDescent="0.2">
      <c r="A1416" s="32">
        <v>41737.392326388886</v>
      </c>
      <c r="B1416" s="26" t="s">
        <v>16</v>
      </c>
      <c r="C1416" s="26" t="s">
        <v>4617</v>
      </c>
      <c r="D1416" s="33">
        <v>41699</v>
      </c>
      <c r="E1416" s="26" t="s">
        <v>5779</v>
      </c>
      <c r="F1416" s="26" t="s">
        <v>5780</v>
      </c>
      <c r="G1416" s="26" t="s">
        <v>26</v>
      </c>
      <c r="H1416" s="26" t="s">
        <v>5781</v>
      </c>
      <c r="I1416" s="26" t="s">
        <v>2986</v>
      </c>
      <c r="J1416" s="46">
        <v>94</v>
      </c>
      <c r="K1416" s="46">
        <v>964</v>
      </c>
      <c r="L1416" s="136"/>
      <c r="M1416" s="137" t="s">
        <v>44</v>
      </c>
      <c r="N1416" s="138"/>
      <c r="O1416" s="138">
        <v>25</v>
      </c>
      <c r="P1416" s="138">
        <v>2247.83</v>
      </c>
      <c r="Q1416" s="138"/>
      <c r="R1416" s="138"/>
      <c r="S1416" s="138">
        <v>135</v>
      </c>
      <c r="T1416" s="138"/>
      <c r="U1416" s="138"/>
    </row>
    <row r="1417" spans="1:25" s="26" customFormat="1" ht="15" customHeight="1" x14ac:dyDescent="0.2">
      <c r="A1417" s="93">
        <v>41767.691064814797</v>
      </c>
      <c r="B1417" s="89" t="s">
        <v>16</v>
      </c>
      <c r="C1417" s="52" t="s">
        <v>4617</v>
      </c>
      <c r="D1417" s="87" t="s">
        <v>6076</v>
      </c>
      <c r="E1417" s="89" t="s">
        <v>5779</v>
      </c>
      <c r="F1417" s="89" t="s">
        <v>5780</v>
      </c>
      <c r="G1417" s="89" t="s">
        <v>26</v>
      </c>
      <c r="H1417" s="89" t="s">
        <v>5781</v>
      </c>
      <c r="I1417" s="89" t="s">
        <v>2986</v>
      </c>
      <c r="J1417" s="95">
        <v>75</v>
      </c>
      <c r="K1417" s="95">
        <v>594</v>
      </c>
      <c r="L1417" s="149">
        <v>140</v>
      </c>
      <c r="M1417" s="146" t="s">
        <v>44</v>
      </c>
      <c r="N1417" s="149">
        <v>5169.7</v>
      </c>
      <c r="O1417" s="149"/>
      <c r="P1417" s="149">
        <v>1344.53</v>
      </c>
      <c r="Q1417" s="149"/>
      <c r="R1417" s="149"/>
      <c r="S1417" s="149"/>
      <c r="T1417" s="149"/>
      <c r="U1417" s="149"/>
      <c r="V1417" s="89"/>
      <c r="W1417" s="91"/>
      <c r="X1417" s="91"/>
      <c r="Y1417" s="91"/>
    </row>
    <row r="1418" spans="1:25" s="26" customFormat="1" ht="15" customHeight="1" x14ac:dyDescent="0.2">
      <c r="A1418" s="93">
        <v>41793.397777777798</v>
      </c>
      <c r="B1418" s="89" t="s">
        <v>38</v>
      </c>
      <c r="C1418" s="52" t="s">
        <v>697</v>
      </c>
      <c r="D1418" s="87" t="s">
        <v>6224</v>
      </c>
      <c r="E1418" s="89" t="s">
        <v>7165</v>
      </c>
      <c r="F1418" s="89" t="s">
        <v>7167</v>
      </c>
      <c r="G1418" s="89" t="s">
        <v>20</v>
      </c>
      <c r="H1418" s="89" t="s">
        <v>700</v>
      </c>
      <c r="I1418" s="89"/>
      <c r="J1418" s="95">
        <v>1</v>
      </c>
      <c r="K1418" s="95">
        <v>125</v>
      </c>
      <c r="L1418" s="150">
        <v>750</v>
      </c>
      <c r="M1418" s="146" t="s">
        <v>22</v>
      </c>
      <c r="N1418" s="149"/>
      <c r="O1418" s="149"/>
      <c r="P1418" s="149"/>
      <c r="Q1418" s="149"/>
      <c r="R1418" s="149"/>
      <c r="S1418" s="149"/>
      <c r="T1418" s="149"/>
      <c r="U1418" s="149"/>
      <c r="V1418" s="89"/>
      <c r="W1418" s="91"/>
      <c r="X1418" s="91"/>
      <c r="Y1418" s="91"/>
    </row>
    <row r="1419" spans="1:25" s="26" customFormat="1" ht="15" customHeight="1" x14ac:dyDescent="0.2">
      <c r="A1419" s="38">
        <v>41523.42</v>
      </c>
      <c r="B1419" s="29" t="s">
        <v>38</v>
      </c>
      <c r="C1419" s="29" t="s">
        <v>1716</v>
      </c>
      <c r="D1419" s="30">
        <v>41487</v>
      </c>
      <c r="E1419" s="31" t="s">
        <v>1717</v>
      </c>
      <c r="F1419" s="29" t="s">
        <v>42</v>
      </c>
      <c r="G1419" s="29" t="s">
        <v>351</v>
      </c>
      <c r="H1419" s="29"/>
      <c r="I1419" s="29"/>
      <c r="J1419" s="116">
        <v>1</v>
      </c>
      <c r="K1419" s="116">
        <v>78</v>
      </c>
      <c r="L1419" s="139"/>
      <c r="M1419" s="140" t="s">
        <v>22</v>
      </c>
      <c r="N1419" s="141"/>
      <c r="O1419" s="141"/>
      <c r="P1419" s="141"/>
      <c r="Q1419" s="141"/>
      <c r="R1419" s="141"/>
      <c r="S1419" s="141"/>
      <c r="T1419" s="141"/>
      <c r="U1419" s="141"/>
      <c r="V1419" s="29"/>
    </row>
    <row r="1420" spans="1:25" s="26" customFormat="1" ht="15" customHeight="1" x14ac:dyDescent="0.2">
      <c r="A1420" s="32">
        <v>41550.50990740741</v>
      </c>
      <c r="B1420" s="26" t="s">
        <v>38</v>
      </c>
      <c r="C1420" s="26" t="s">
        <v>1716</v>
      </c>
      <c r="D1420" s="30">
        <v>41518</v>
      </c>
      <c r="E1420" s="26" t="s">
        <v>2367</v>
      </c>
      <c r="F1420" s="26" t="s">
        <v>2368</v>
      </c>
      <c r="G1420" s="26" t="s">
        <v>42</v>
      </c>
      <c r="H1420" s="26" t="s">
        <v>2369</v>
      </c>
      <c r="J1420" s="46">
        <v>1</v>
      </c>
      <c r="K1420" s="46">
        <v>50</v>
      </c>
      <c r="L1420" s="136"/>
      <c r="M1420" s="137" t="s">
        <v>22</v>
      </c>
      <c r="N1420" s="138"/>
      <c r="O1420" s="138"/>
      <c r="P1420" s="138"/>
      <c r="Q1420" s="138"/>
      <c r="R1420" s="138"/>
      <c r="S1420" s="138"/>
      <c r="T1420" s="138"/>
      <c r="U1420" s="138"/>
    </row>
    <row r="1421" spans="1:25" s="26" customFormat="1" ht="15" customHeight="1" x14ac:dyDescent="0.2">
      <c r="A1421" s="32">
        <v>41550.51289351852</v>
      </c>
      <c r="B1421" s="26" t="s">
        <v>38</v>
      </c>
      <c r="C1421" s="26" t="s">
        <v>1716</v>
      </c>
      <c r="D1421" s="30">
        <v>41518</v>
      </c>
      <c r="E1421" s="26" t="s">
        <v>2370</v>
      </c>
      <c r="F1421" s="26" t="s">
        <v>2371</v>
      </c>
      <c r="G1421" s="26" t="s">
        <v>20</v>
      </c>
      <c r="H1421" s="26" t="s">
        <v>2372</v>
      </c>
      <c r="J1421" s="46">
        <v>1</v>
      </c>
      <c r="K1421" s="46">
        <v>27</v>
      </c>
      <c r="L1421" s="136">
        <v>54</v>
      </c>
      <c r="M1421" s="137" t="s">
        <v>22</v>
      </c>
      <c r="N1421" s="138"/>
      <c r="O1421" s="138"/>
      <c r="P1421" s="138"/>
      <c r="Q1421" s="138"/>
      <c r="R1421" s="138"/>
      <c r="S1421" s="138"/>
      <c r="T1421" s="138"/>
      <c r="U1421" s="138"/>
    </row>
    <row r="1422" spans="1:25" s="26" customFormat="1" ht="15" customHeight="1" x14ac:dyDescent="0.2">
      <c r="A1422" s="32">
        <v>41550.515601851854</v>
      </c>
      <c r="B1422" s="26" t="s">
        <v>38</v>
      </c>
      <c r="C1422" s="26" t="s">
        <v>1716</v>
      </c>
      <c r="D1422" s="30">
        <v>41518</v>
      </c>
      <c r="E1422" s="26" t="s">
        <v>2375</v>
      </c>
      <c r="F1422" s="26" t="s">
        <v>2376</v>
      </c>
      <c r="G1422" s="26" t="s">
        <v>156</v>
      </c>
      <c r="H1422" s="26" t="s">
        <v>1455</v>
      </c>
      <c r="J1422" s="46">
        <v>1</v>
      </c>
      <c r="K1422" s="46">
        <v>150</v>
      </c>
      <c r="L1422" s="136"/>
      <c r="M1422" s="137" t="s">
        <v>22</v>
      </c>
      <c r="N1422" s="138"/>
      <c r="O1422" s="138"/>
      <c r="P1422" s="138"/>
      <c r="Q1422" s="138"/>
      <c r="R1422" s="138"/>
      <c r="S1422" s="138"/>
      <c r="T1422" s="138"/>
      <c r="U1422" s="138"/>
    </row>
    <row r="1423" spans="1:25" s="26" customFormat="1" ht="15" customHeight="1" x14ac:dyDescent="0.2">
      <c r="A1423" s="32">
        <v>41704.465902777774</v>
      </c>
      <c r="B1423" s="26" t="s">
        <v>38</v>
      </c>
      <c r="C1423" s="26" t="s">
        <v>1716</v>
      </c>
      <c r="D1423" s="33">
        <v>41671</v>
      </c>
      <c r="E1423" s="26" t="s">
        <v>4976</v>
      </c>
      <c r="F1423" s="26" t="s">
        <v>4977</v>
      </c>
      <c r="G1423" s="26" t="s">
        <v>26</v>
      </c>
      <c r="H1423" s="26" t="s">
        <v>120</v>
      </c>
      <c r="I1423" s="26" t="s">
        <v>2986</v>
      </c>
      <c r="J1423" s="46">
        <v>1</v>
      </c>
      <c r="K1423" s="46">
        <v>10</v>
      </c>
      <c r="L1423" s="136">
        <v>30</v>
      </c>
      <c r="M1423" s="137" t="s">
        <v>22</v>
      </c>
      <c r="N1423" s="138"/>
      <c r="O1423" s="138"/>
      <c r="P1423" s="138"/>
      <c r="Q1423" s="138"/>
      <c r="R1423" s="138"/>
      <c r="S1423" s="138"/>
      <c r="T1423" s="138"/>
      <c r="U1423" s="138">
        <v>7.95</v>
      </c>
    </row>
    <row r="1424" spans="1:25" s="26" customFormat="1" ht="15" customHeight="1" x14ac:dyDescent="0.2">
      <c r="A1424" s="32">
        <v>41734.576932870368</v>
      </c>
      <c r="B1424" s="26" t="s">
        <v>38</v>
      </c>
      <c r="C1424" s="26" t="s">
        <v>1716</v>
      </c>
      <c r="D1424" s="33">
        <v>41699</v>
      </c>
      <c r="E1424" s="26" t="s">
        <v>5695</v>
      </c>
      <c r="F1424" s="26" t="s">
        <v>5696</v>
      </c>
      <c r="G1424" s="26" t="s">
        <v>26</v>
      </c>
      <c r="H1424" s="26" t="s">
        <v>5697</v>
      </c>
      <c r="I1424" s="26" t="s">
        <v>2986</v>
      </c>
      <c r="J1424" s="46">
        <v>1</v>
      </c>
      <c r="K1424" s="46">
        <v>17</v>
      </c>
      <c r="L1424" s="136"/>
      <c r="M1424" s="137" t="s">
        <v>22</v>
      </c>
      <c r="N1424" s="138"/>
      <c r="O1424" s="138"/>
      <c r="P1424" s="138"/>
      <c r="Q1424" s="138"/>
      <c r="R1424" s="138"/>
      <c r="S1424" s="138"/>
      <c r="T1424" s="138"/>
      <c r="U1424" s="138"/>
    </row>
    <row r="1425" spans="1:25" s="26" customFormat="1" ht="15" customHeight="1" x14ac:dyDescent="0.2">
      <c r="A1425" s="93">
        <v>41774.467766203699</v>
      </c>
      <c r="B1425" s="89" t="s">
        <v>38</v>
      </c>
      <c r="C1425" s="52" t="s">
        <v>1716</v>
      </c>
      <c r="D1425" s="87" t="s">
        <v>6076</v>
      </c>
      <c r="E1425" s="89" t="s">
        <v>6896</v>
      </c>
      <c r="F1425" s="89" t="s">
        <v>5696</v>
      </c>
      <c r="G1425" s="89" t="s">
        <v>26</v>
      </c>
      <c r="H1425" s="89" t="s">
        <v>6897</v>
      </c>
      <c r="I1425" s="89" t="s">
        <v>2986</v>
      </c>
      <c r="J1425" s="95">
        <v>1</v>
      </c>
      <c r="K1425" s="95">
        <v>51</v>
      </c>
      <c r="L1425" s="149"/>
      <c r="M1425" s="146" t="s">
        <v>44</v>
      </c>
      <c r="N1425" s="149"/>
      <c r="O1425" s="149">
        <v>15</v>
      </c>
      <c r="P1425" s="149"/>
      <c r="Q1425" s="149"/>
      <c r="R1425" s="149"/>
      <c r="S1425" s="149"/>
      <c r="T1425" s="149"/>
      <c r="U1425" s="149">
        <v>8.51</v>
      </c>
      <c r="V1425" s="89" t="s">
        <v>6898</v>
      </c>
      <c r="W1425" s="91"/>
      <c r="X1425" s="91"/>
      <c r="Y1425" s="91"/>
    </row>
    <row r="1426" spans="1:25" s="26" customFormat="1" ht="15" customHeight="1" x14ac:dyDescent="0.2">
      <c r="A1426" s="93">
        <v>41774.469479166699</v>
      </c>
      <c r="B1426" s="89" t="s">
        <v>38</v>
      </c>
      <c r="C1426" s="52" t="s">
        <v>1716</v>
      </c>
      <c r="D1426" s="87" t="s">
        <v>6076</v>
      </c>
      <c r="E1426" s="89" t="s">
        <v>6896</v>
      </c>
      <c r="F1426" s="89" t="s">
        <v>5696</v>
      </c>
      <c r="G1426" s="89" t="s">
        <v>26</v>
      </c>
      <c r="H1426" s="89" t="s">
        <v>6899</v>
      </c>
      <c r="I1426" s="89" t="s">
        <v>2986</v>
      </c>
      <c r="J1426" s="95">
        <v>1</v>
      </c>
      <c r="K1426" s="95">
        <v>51</v>
      </c>
      <c r="L1426" s="149"/>
      <c r="M1426" s="146" t="s">
        <v>44</v>
      </c>
      <c r="N1426" s="149"/>
      <c r="O1426" s="149">
        <v>15</v>
      </c>
      <c r="P1426" s="149"/>
      <c r="Q1426" s="149"/>
      <c r="R1426" s="149"/>
      <c r="S1426" s="149"/>
      <c r="T1426" s="149"/>
      <c r="U1426" s="149">
        <v>8.51</v>
      </c>
      <c r="V1426" s="89" t="s">
        <v>6900</v>
      </c>
      <c r="W1426" s="91"/>
      <c r="X1426" s="91"/>
      <c r="Y1426" s="91"/>
    </row>
    <row r="1427" spans="1:25" s="26" customFormat="1" ht="15" customHeight="1" x14ac:dyDescent="0.2">
      <c r="A1427" s="55">
        <v>41774.474710648101</v>
      </c>
      <c r="B1427" s="52" t="s">
        <v>38</v>
      </c>
      <c r="C1427" s="52" t="s">
        <v>1716</v>
      </c>
      <c r="D1427" s="88" t="s">
        <v>6076</v>
      </c>
      <c r="E1427" s="89" t="s">
        <v>6901</v>
      </c>
      <c r="F1427" s="89" t="s">
        <v>6902</v>
      </c>
      <c r="G1427" s="52" t="s">
        <v>351</v>
      </c>
      <c r="H1427" s="89" t="s">
        <v>6903</v>
      </c>
      <c r="I1427" s="52" t="s">
        <v>2986</v>
      </c>
      <c r="J1427" s="95">
        <v>1</v>
      </c>
      <c r="K1427" s="95">
        <v>300</v>
      </c>
      <c r="L1427" s="149"/>
      <c r="M1427" s="146" t="s">
        <v>22</v>
      </c>
      <c r="N1427" s="149"/>
      <c r="O1427" s="149"/>
      <c r="P1427" s="149"/>
      <c r="Q1427" s="149"/>
      <c r="R1427" s="149"/>
      <c r="S1427" s="149"/>
      <c r="T1427" s="149"/>
      <c r="U1427" s="149"/>
      <c r="V1427" s="52" t="s">
        <v>6904</v>
      </c>
    </row>
    <row r="1428" spans="1:25" s="26" customFormat="1" ht="15" customHeight="1" x14ac:dyDescent="0.2">
      <c r="A1428" s="93">
        <v>41774.479861111096</v>
      </c>
      <c r="B1428" s="89" t="s">
        <v>38</v>
      </c>
      <c r="C1428" s="52" t="s">
        <v>1716</v>
      </c>
      <c r="D1428" s="87" t="s">
        <v>6076</v>
      </c>
      <c r="E1428" s="89" t="s">
        <v>6905</v>
      </c>
      <c r="F1428" s="89" t="s">
        <v>6906</v>
      </c>
      <c r="G1428" s="89" t="s">
        <v>156</v>
      </c>
      <c r="H1428" s="94" t="s">
        <v>7664</v>
      </c>
      <c r="I1428" s="89" t="s">
        <v>2986</v>
      </c>
      <c r="J1428" s="95">
        <v>1</v>
      </c>
      <c r="K1428" s="95">
        <v>36</v>
      </c>
      <c r="L1428" s="149">
        <v>100</v>
      </c>
      <c r="M1428" s="146" t="s">
        <v>44</v>
      </c>
      <c r="N1428" s="149"/>
      <c r="O1428" s="149">
        <v>55</v>
      </c>
      <c r="P1428" s="149"/>
      <c r="Q1428" s="149"/>
      <c r="R1428" s="149"/>
      <c r="S1428" s="149">
        <v>97.43</v>
      </c>
      <c r="T1428" s="149"/>
      <c r="U1428" s="149">
        <v>57.73</v>
      </c>
      <c r="V1428" s="89" t="s">
        <v>6907</v>
      </c>
      <c r="W1428" s="91"/>
      <c r="X1428" s="91"/>
      <c r="Y1428" s="91"/>
    </row>
    <row r="1429" spans="1:25" s="26" customFormat="1" ht="15" customHeight="1" x14ac:dyDescent="0.2">
      <c r="A1429" s="93">
        <v>41793.399409722202</v>
      </c>
      <c r="B1429" s="89" t="s">
        <v>38</v>
      </c>
      <c r="C1429" s="52" t="s">
        <v>693</v>
      </c>
      <c r="D1429" s="87" t="s">
        <v>6224</v>
      </c>
      <c r="E1429" s="89" t="s">
        <v>7168</v>
      </c>
      <c r="F1429" s="89" t="s">
        <v>7169</v>
      </c>
      <c r="G1429" s="89" t="s">
        <v>42</v>
      </c>
      <c r="H1429" s="89" t="s">
        <v>1155</v>
      </c>
      <c r="I1429" s="89" t="s">
        <v>2986</v>
      </c>
      <c r="J1429" s="95">
        <v>1</v>
      </c>
      <c r="K1429" s="95">
        <v>6</v>
      </c>
      <c r="L1429" s="150">
        <v>35</v>
      </c>
      <c r="M1429" s="146" t="s">
        <v>22</v>
      </c>
      <c r="N1429" s="149"/>
      <c r="O1429" s="149"/>
      <c r="P1429" s="149"/>
      <c r="Q1429" s="149"/>
      <c r="R1429" s="149"/>
      <c r="S1429" s="149"/>
      <c r="T1429" s="149"/>
      <c r="U1429" s="149"/>
      <c r="V1429" s="89"/>
      <c r="W1429" s="91"/>
      <c r="X1429" s="91"/>
      <c r="Y1429" s="91"/>
    </row>
    <row r="1430" spans="1:25" s="26" customFormat="1" ht="15" customHeight="1" x14ac:dyDescent="0.2">
      <c r="A1430" s="93">
        <v>41793.402372685203</v>
      </c>
      <c r="B1430" s="89" t="s">
        <v>38</v>
      </c>
      <c r="C1430" s="52" t="s">
        <v>693</v>
      </c>
      <c r="D1430" s="87" t="s">
        <v>6224</v>
      </c>
      <c r="E1430" s="89" t="s">
        <v>7170</v>
      </c>
      <c r="F1430" s="89" t="s">
        <v>7171</v>
      </c>
      <c r="G1430" s="89" t="s">
        <v>26</v>
      </c>
      <c r="H1430" s="89" t="s">
        <v>7172</v>
      </c>
      <c r="I1430" s="89" t="s">
        <v>2986</v>
      </c>
      <c r="J1430" s="95">
        <v>18</v>
      </c>
      <c r="K1430" s="95">
        <v>135</v>
      </c>
      <c r="L1430" s="150">
        <v>675</v>
      </c>
      <c r="M1430" s="146" t="s">
        <v>22</v>
      </c>
      <c r="N1430" s="149"/>
      <c r="O1430" s="149"/>
      <c r="P1430" s="149"/>
      <c r="Q1430" s="149"/>
      <c r="R1430" s="149"/>
      <c r="S1430" s="149"/>
      <c r="T1430" s="149"/>
      <c r="U1430" s="149">
        <v>75</v>
      </c>
      <c r="V1430" s="89"/>
      <c r="W1430" s="91"/>
      <c r="X1430" s="91"/>
      <c r="Y1430" s="91"/>
    </row>
    <row r="1431" spans="1:25" s="26" customFormat="1" ht="15" customHeight="1" x14ac:dyDescent="0.2">
      <c r="A1431" s="93">
        <v>41793.430023148103</v>
      </c>
      <c r="B1431" s="89" t="s">
        <v>16</v>
      </c>
      <c r="C1431" s="52" t="s">
        <v>799</v>
      </c>
      <c r="D1431" s="87" t="s">
        <v>6224</v>
      </c>
      <c r="E1431" s="89" t="s">
        <v>2806</v>
      </c>
      <c r="F1431" s="89" t="s">
        <v>7173</v>
      </c>
      <c r="G1431" s="89" t="s">
        <v>42</v>
      </c>
      <c r="H1431" s="89" t="s">
        <v>7174</v>
      </c>
      <c r="I1431" s="89" t="s">
        <v>3001</v>
      </c>
      <c r="J1431" s="95">
        <v>1</v>
      </c>
      <c r="K1431" s="95">
        <v>10</v>
      </c>
      <c r="L1431" s="150">
        <v>50</v>
      </c>
      <c r="M1431" s="146" t="s">
        <v>22</v>
      </c>
      <c r="N1431" s="149"/>
      <c r="O1431" s="149"/>
      <c r="P1431" s="149"/>
      <c r="Q1431" s="149"/>
      <c r="R1431" s="149"/>
      <c r="S1431" s="149"/>
      <c r="T1431" s="149"/>
      <c r="U1431" s="149"/>
      <c r="V1431" s="89"/>
      <c r="W1431" s="91"/>
      <c r="X1431" s="91"/>
      <c r="Y1431" s="91"/>
    </row>
    <row r="1432" spans="1:25" s="26" customFormat="1" ht="15" customHeight="1" x14ac:dyDescent="0.2">
      <c r="A1432" s="93">
        <v>41793.430671296301</v>
      </c>
      <c r="B1432" s="89" t="s">
        <v>16</v>
      </c>
      <c r="C1432" s="52" t="s">
        <v>799</v>
      </c>
      <c r="D1432" s="87" t="s">
        <v>6224</v>
      </c>
      <c r="E1432" s="89" t="s">
        <v>2806</v>
      </c>
      <c r="F1432" s="89" t="s">
        <v>4160</v>
      </c>
      <c r="G1432" s="89" t="s">
        <v>42</v>
      </c>
      <c r="H1432" s="89" t="s">
        <v>6220</v>
      </c>
      <c r="I1432" s="89" t="s">
        <v>3001</v>
      </c>
      <c r="J1432" s="95">
        <v>1</v>
      </c>
      <c r="K1432" s="95">
        <v>11</v>
      </c>
      <c r="L1432" s="150">
        <v>55</v>
      </c>
      <c r="M1432" s="146" t="s">
        <v>22</v>
      </c>
      <c r="N1432" s="149"/>
      <c r="O1432" s="149"/>
      <c r="P1432" s="149"/>
      <c r="Q1432" s="149"/>
      <c r="R1432" s="149"/>
      <c r="S1432" s="149"/>
      <c r="T1432" s="149"/>
      <c r="U1432" s="149"/>
      <c r="V1432" s="89"/>
      <c r="W1432" s="91"/>
      <c r="X1432" s="91"/>
      <c r="Y1432" s="91"/>
    </row>
    <row r="1433" spans="1:25" s="26" customFormat="1" ht="15" customHeight="1" x14ac:dyDescent="0.2">
      <c r="A1433" s="93">
        <v>41793.590335648201</v>
      </c>
      <c r="B1433" s="89" t="s">
        <v>38</v>
      </c>
      <c r="C1433" s="52" t="s">
        <v>328</v>
      </c>
      <c r="D1433" s="87" t="s">
        <v>6224</v>
      </c>
      <c r="E1433" s="89" t="s">
        <v>7178</v>
      </c>
      <c r="F1433" s="89" t="s">
        <v>7179</v>
      </c>
      <c r="G1433" s="89" t="s">
        <v>42</v>
      </c>
      <c r="H1433" s="89" t="s">
        <v>7180</v>
      </c>
      <c r="I1433" s="89" t="s">
        <v>2812</v>
      </c>
      <c r="J1433" s="95">
        <v>1</v>
      </c>
      <c r="K1433" s="95">
        <v>55</v>
      </c>
      <c r="L1433" s="150">
        <v>70</v>
      </c>
      <c r="M1433" s="146" t="s">
        <v>44</v>
      </c>
      <c r="N1433" s="149"/>
      <c r="O1433" s="149">
        <v>150</v>
      </c>
      <c r="P1433" s="149"/>
      <c r="Q1433" s="149"/>
      <c r="R1433" s="149"/>
      <c r="S1433" s="149"/>
      <c r="T1433" s="149"/>
      <c r="U1433" s="149"/>
      <c r="V1433" s="89" t="s">
        <v>7181</v>
      </c>
      <c r="W1433" s="91"/>
      <c r="X1433" s="91"/>
      <c r="Y1433" s="91"/>
    </row>
    <row r="1434" spans="1:25" s="26" customFormat="1" ht="15" customHeight="1" x14ac:dyDescent="0.2">
      <c r="A1434" s="93">
        <v>41794.415000000001</v>
      </c>
      <c r="B1434" s="89" t="s">
        <v>152</v>
      </c>
      <c r="C1434" s="52" t="s">
        <v>281</v>
      </c>
      <c r="D1434" s="87" t="s">
        <v>6224</v>
      </c>
      <c r="E1434" s="89" t="s">
        <v>7182</v>
      </c>
      <c r="F1434" s="89" t="s">
        <v>7183</v>
      </c>
      <c r="G1434" s="89" t="s">
        <v>156</v>
      </c>
      <c r="H1434" s="89" t="s">
        <v>7184</v>
      </c>
      <c r="I1434" s="89" t="s">
        <v>2812</v>
      </c>
      <c r="J1434" s="95">
        <v>1</v>
      </c>
      <c r="K1434" s="95">
        <v>300</v>
      </c>
      <c r="L1434" s="150"/>
      <c r="M1434" s="146" t="s">
        <v>44</v>
      </c>
      <c r="N1434" s="149"/>
      <c r="O1434" s="149">
        <v>225</v>
      </c>
      <c r="P1434" s="149"/>
      <c r="Q1434" s="149">
        <v>150</v>
      </c>
      <c r="R1434" s="149"/>
      <c r="S1434" s="149"/>
      <c r="T1434" s="149"/>
      <c r="U1434" s="149"/>
      <c r="V1434" s="89" t="s">
        <v>7185</v>
      </c>
      <c r="W1434" s="91"/>
      <c r="X1434" s="91"/>
      <c r="Y1434" s="91"/>
    </row>
    <row r="1435" spans="1:25" s="26" customFormat="1" ht="15" customHeight="1" x14ac:dyDescent="0.2">
      <c r="A1435" s="37">
        <v>41477.6225694444</v>
      </c>
      <c r="B1435" s="26" t="s">
        <v>152</v>
      </c>
      <c r="C1435" s="26" t="s">
        <v>281</v>
      </c>
      <c r="D1435" s="33">
        <v>41456</v>
      </c>
      <c r="E1435" s="26" t="s">
        <v>282</v>
      </c>
      <c r="F1435" s="26" t="s">
        <v>283</v>
      </c>
      <c r="G1435" s="26" t="s">
        <v>156</v>
      </c>
      <c r="H1435" s="26" t="s">
        <v>284</v>
      </c>
      <c r="J1435" s="115">
        <v>1</v>
      </c>
      <c r="K1435" s="115">
        <v>72</v>
      </c>
      <c r="L1435" s="136"/>
      <c r="M1435" s="137" t="s">
        <v>44</v>
      </c>
      <c r="N1435" s="138"/>
      <c r="O1435" s="138">
        <v>125</v>
      </c>
      <c r="P1435" s="138">
        <v>21.5</v>
      </c>
      <c r="Q1435" s="138"/>
      <c r="R1435" s="138"/>
      <c r="S1435" s="138">
        <v>30</v>
      </c>
      <c r="T1435" s="138"/>
      <c r="U1435" s="138"/>
      <c r="V1435" s="26" t="s">
        <v>285</v>
      </c>
    </row>
    <row r="1436" spans="1:25" s="26" customFormat="1" ht="15" customHeight="1" x14ac:dyDescent="0.2">
      <c r="A1436" s="32">
        <v>41661.453576388885</v>
      </c>
      <c r="B1436" s="26" t="s">
        <v>152</v>
      </c>
      <c r="C1436" s="26" t="s">
        <v>281</v>
      </c>
      <c r="D1436" s="68">
        <v>41609</v>
      </c>
      <c r="E1436" s="26" t="s">
        <v>4113</v>
      </c>
      <c r="F1436" s="26" t="s">
        <v>4114</v>
      </c>
      <c r="G1436" s="26" t="s">
        <v>156</v>
      </c>
      <c r="H1436" s="26" t="s">
        <v>4115</v>
      </c>
      <c r="I1436" s="26" t="s">
        <v>2812</v>
      </c>
      <c r="J1436" s="46">
        <v>1</v>
      </c>
      <c r="K1436" s="46">
        <v>752</v>
      </c>
      <c r="L1436" s="136"/>
      <c r="M1436" s="137" t="s">
        <v>22</v>
      </c>
      <c r="N1436" s="138"/>
      <c r="O1436" s="138"/>
      <c r="P1436" s="138"/>
      <c r="Q1436" s="138"/>
      <c r="R1436" s="138"/>
      <c r="S1436" s="138"/>
      <c r="T1436" s="138"/>
      <c r="U1436" s="138">
        <v>1000</v>
      </c>
      <c r="V1436" s="26" t="s">
        <v>4116</v>
      </c>
    </row>
    <row r="1437" spans="1:25" s="26" customFormat="1" ht="15" customHeight="1" x14ac:dyDescent="0.2">
      <c r="A1437" s="55">
        <v>41661.4602199074</v>
      </c>
      <c r="B1437" s="52" t="s">
        <v>152</v>
      </c>
      <c r="C1437" s="52" t="s">
        <v>281</v>
      </c>
      <c r="D1437" s="69">
        <v>41640</v>
      </c>
      <c r="E1437" s="52" t="s">
        <v>4240</v>
      </c>
      <c r="F1437" s="52" t="s">
        <v>4120</v>
      </c>
      <c r="G1437" s="52" t="s">
        <v>26</v>
      </c>
      <c r="H1437" s="52" t="s">
        <v>4241</v>
      </c>
      <c r="I1437" s="52" t="s">
        <v>2925</v>
      </c>
      <c r="J1437" s="95">
        <v>1</v>
      </c>
      <c r="K1437" s="118">
        <v>25</v>
      </c>
      <c r="L1437" s="148"/>
      <c r="M1437" s="146" t="s">
        <v>44</v>
      </c>
      <c r="N1437" s="147"/>
      <c r="O1437" s="147">
        <v>55</v>
      </c>
      <c r="P1437" s="147">
        <v>12</v>
      </c>
      <c r="Q1437" s="147"/>
      <c r="R1437" s="147"/>
      <c r="S1437" s="147"/>
      <c r="T1437" s="147"/>
      <c r="U1437" s="149"/>
      <c r="V1437" s="52"/>
      <c r="W1437" s="52"/>
      <c r="X1437" s="52"/>
      <c r="Y1437" s="52"/>
    </row>
    <row r="1438" spans="1:25" s="26" customFormat="1" ht="15" customHeight="1" x14ac:dyDescent="0.2">
      <c r="A1438" s="93">
        <v>41768.645497685196</v>
      </c>
      <c r="B1438" s="89" t="s">
        <v>152</v>
      </c>
      <c r="C1438" s="52" t="s">
        <v>281</v>
      </c>
      <c r="D1438" s="87" t="s">
        <v>6076</v>
      </c>
      <c r="E1438" s="89" t="s">
        <v>6604</v>
      </c>
      <c r="F1438" s="89" t="s">
        <v>6605</v>
      </c>
      <c r="G1438" s="89" t="s">
        <v>156</v>
      </c>
      <c r="H1438" s="89" t="s">
        <v>6014</v>
      </c>
      <c r="I1438" s="89" t="s">
        <v>2925</v>
      </c>
      <c r="J1438" s="95">
        <v>1</v>
      </c>
      <c r="K1438" s="95">
        <v>324</v>
      </c>
      <c r="L1438" s="149">
        <v>0</v>
      </c>
      <c r="M1438" s="146" t="s">
        <v>44</v>
      </c>
      <c r="N1438" s="149"/>
      <c r="O1438" s="149">
        <v>540</v>
      </c>
      <c r="P1438" s="149"/>
      <c r="Q1438" s="149">
        <v>280</v>
      </c>
      <c r="R1438" s="149">
        <v>150</v>
      </c>
      <c r="S1438" s="149"/>
      <c r="T1438" s="149"/>
      <c r="U1438" s="149"/>
      <c r="V1438" s="89" t="s">
        <v>6606</v>
      </c>
      <c r="W1438" s="91"/>
      <c r="X1438" s="91"/>
      <c r="Y1438" s="91"/>
    </row>
    <row r="1439" spans="1:25" s="26" customFormat="1" ht="15" customHeight="1" x14ac:dyDescent="0.2">
      <c r="A1439" s="93">
        <v>41768.648541666698</v>
      </c>
      <c r="B1439" s="89" t="s">
        <v>152</v>
      </c>
      <c r="C1439" s="52" t="s">
        <v>281</v>
      </c>
      <c r="D1439" s="87" t="s">
        <v>6076</v>
      </c>
      <c r="E1439" s="89" t="s">
        <v>6607</v>
      </c>
      <c r="F1439" s="89" t="s">
        <v>6608</v>
      </c>
      <c r="G1439" s="89" t="s">
        <v>156</v>
      </c>
      <c r="H1439" s="89" t="s">
        <v>6609</v>
      </c>
      <c r="I1439" s="89" t="s">
        <v>3265</v>
      </c>
      <c r="J1439" s="95">
        <v>1</v>
      </c>
      <c r="K1439" s="95">
        <v>250</v>
      </c>
      <c r="L1439" s="149">
        <v>3</v>
      </c>
      <c r="M1439" s="146" t="s">
        <v>44</v>
      </c>
      <c r="N1439" s="149"/>
      <c r="O1439" s="149">
        <v>200</v>
      </c>
      <c r="P1439" s="149">
        <v>110</v>
      </c>
      <c r="Q1439" s="149">
        <v>125</v>
      </c>
      <c r="R1439" s="149"/>
      <c r="S1439" s="149">
        <v>300</v>
      </c>
      <c r="T1439" s="149"/>
      <c r="U1439" s="149"/>
      <c r="V1439" s="89" t="s">
        <v>6610</v>
      </c>
      <c r="W1439" s="91"/>
      <c r="X1439" s="91"/>
      <c r="Y1439" s="91"/>
    </row>
    <row r="1440" spans="1:25" s="26" customFormat="1" ht="15" customHeight="1" x14ac:dyDescent="0.2">
      <c r="A1440" s="93">
        <v>41794.472534722197</v>
      </c>
      <c r="B1440" s="89" t="s">
        <v>16</v>
      </c>
      <c r="C1440" s="52" t="s">
        <v>986</v>
      </c>
      <c r="D1440" s="87" t="s">
        <v>6224</v>
      </c>
      <c r="E1440" s="89" t="s">
        <v>3555</v>
      </c>
      <c r="F1440" s="89" t="s">
        <v>7186</v>
      </c>
      <c r="G1440" s="89" t="s">
        <v>42</v>
      </c>
      <c r="H1440" s="89" t="s">
        <v>7187</v>
      </c>
      <c r="I1440" s="89" t="s">
        <v>2986</v>
      </c>
      <c r="J1440" s="95">
        <v>1</v>
      </c>
      <c r="K1440" s="95">
        <v>32</v>
      </c>
      <c r="L1440" s="150">
        <v>225</v>
      </c>
      <c r="M1440" s="146" t="s">
        <v>22</v>
      </c>
      <c r="N1440" s="149"/>
      <c r="O1440" s="149"/>
      <c r="P1440" s="149"/>
      <c r="Q1440" s="149"/>
      <c r="R1440" s="149"/>
      <c r="S1440" s="149"/>
      <c r="T1440" s="149"/>
      <c r="U1440" s="149">
        <v>68</v>
      </c>
      <c r="V1440" s="89"/>
      <c r="W1440" s="91"/>
      <c r="X1440" s="91"/>
      <c r="Y1440" s="91"/>
    </row>
    <row r="1441" spans="1:22" s="26" customFormat="1" ht="15" customHeight="1" x14ac:dyDescent="0.2">
      <c r="A1441" s="37">
        <v>41494.458078703698</v>
      </c>
      <c r="B1441" s="26" t="s">
        <v>38</v>
      </c>
      <c r="C1441" s="26" t="s">
        <v>1030</v>
      </c>
      <c r="D1441" s="33">
        <v>41456</v>
      </c>
      <c r="E1441" s="26" t="s">
        <v>1031</v>
      </c>
      <c r="F1441" s="26" t="s">
        <v>1032</v>
      </c>
      <c r="G1441" s="26" t="s">
        <v>42</v>
      </c>
      <c r="H1441" s="26" t="s">
        <v>1033</v>
      </c>
      <c r="J1441" s="115">
        <v>1</v>
      </c>
      <c r="K1441" s="115">
        <v>16</v>
      </c>
      <c r="L1441" s="136">
        <v>52.5</v>
      </c>
      <c r="M1441" s="137" t="s">
        <v>22</v>
      </c>
      <c r="N1441" s="138"/>
      <c r="O1441" s="138"/>
      <c r="P1441" s="138"/>
      <c r="Q1441" s="138"/>
      <c r="R1441" s="138"/>
      <c r="S1441" s="138"/>
      <c r="T1441" s="138"/>
      <c r="U1441" s="138"/>
    </row>
    <row r="1442" spans="1:22" s="26" customFormat="1" ht="15" customHeight="1" x14ac:dyDescent="0.2">
      <c r="A1442" s="37">
        <v>41494.459826388898</v>
      </c>
      <c r="B1442" s="26" t="s">
        <v>38</v>
      </c>
      <c r="C1442" s="26" t="s">
        <v>1030</v>
      </c>
      <c r="D1442" s="33">
        <v>41456</v>
      </c>
      <c r="E1442" s="26" t="s">
        <v>1034</v>
      </c>
      <c r="F1442" s="26" t="s">
        <v>1035</v>
      </c>
      <c r="G1442" s="26" t="s">
        <v>42</v>
      </c>
      <c r="H1442" s="26" t="s">
        <v>1033</v>
      </c>
      <c r="J1442" s="115">
        <v>1</v>
      </c>
      <c r="K1442" s="115">
        <v>17</v>
      </c>
      <c r="L1442" s="136">
        <v>54</v>
      </c>
      <c r="M1442" s="137" t="s">
        <v>22</v>
      </c>
      <c r="N1442" s="138"/>
      <c r="O1442" s="138"/>
      <c r="P1442" s="138"/>
      <c r="Q1442" s="138"/>
      <c r="R1442" s="138"/>
      <c r="S1442" s="138"/>
      <c r="T1442" s="138"/>
      <c r="U1442" s="138"/>
    </row>
    <row r="1443" spans="1:22" s="26" customFormat="1" ht="15" customHeight="1" x14ac:dyDescent="0.2">
      <c r="A1443" s="37">
        <v>41494.654664351801</v>
      </c>
      <c r="B1443" s="26" t="s">
        <v>38</v>
      </c>
      <c r="C1443" s="26" t="s">
        <v>1030</v>
      </c>
      <c r="D1443" s="33">
        <v>41456</v>
      </c>
      <c r="E1443" s="26" t="s">
        <v>1131</v>
      </c>
      <c r="F1443" s="26" t="s">
        <v>1132</v>
      </c>
      <c r="G1443" s="26" t="s">
        <v>156</v>
      </c>
      <c r="H1443" s="26" t="s">
        <v>1133</v>
      </c>
      <c r="J1443" s="115">
        <v>1</v>
      </c>
      <c r="K1443" s="115">
        <v>183</v>
      </c>
      <c r="L1443" s="136">
        <v>776.5</v>
      </c>
      <c r="M1443" s="137" t="s">
        <v>44</v>
      </c>
      <c r="N1443" s="138"/>
      <c r="O1443" s="138"/>
      <c r="P1443" s="138">
        <v>387.36</v>
      </c>
      <c r="Q1443" s="138"/>
      <c r="R1443" s="138"/>
      <c r="S1443" s="138"/>
      <c r="T1443" s="138"/>
      <c r="U1443" s="138"/>
    </row>
    <row r="1444" spans="1:22" s="26" customFormat="1" ht="15" customHeight="1" x14ac:dyDescent="0.2">
      <c r="A1444" s="37">
        <v>41494.656435185199</v>
      </c>
      <c r="B1444" s="26" t="s">
        <v>38</v>
      </c>
      <c r="C1444" s="26" t="s">
        <v>1030</v>
      </c>
      <c r="D1444" s="33">
        <v>41456</v>
      </c>
      <c r="E1444" s="26" t="s">
        <v>1134</v>
      </c>
      <c r="F1444" s="26" t="s">
        <v>1135</v>
      </c>
      <c r="G1444" s="26" t="s">
        <v>26</v>
      </c>
      <c r="H1444" s="26" t="s">
        <v>1133</v>
      </c>
      <c r="J1444" s="115">
        <v>1</v>
      </c>
      <c r="K1444" s="115">
        <v>52</v>
      </c>
      <c r="L1444" s="136">
        <v>184.5</v>
      </c>
      <c r="M1444" s="137" t="s">
        <v>44</v>
      </c>
      <c r="N1444" s="138"/>
      <c r="O1444" s="138"/>
      <c r="P1444" s="138">
        <v>36.840000000000003</v>
      </c>
      <c r="Q1444" s="138"/>
      <c r="R1444" s="138"/>
      <c r="S1444" s="138"/>
      <c r="T1444" s="138"/>
      <c r="U1444" s="138"/>
    </row>
    <row r="1445" spans="1:22" s="26" customFormat="1" ht="15" customHeight="1" x14ac:dyDescent="0.2">
      <c r="A1445" s="38">
        <v>41523.418599537035</v>
      </c>
      <c r="B1445" s="29" t="s">
        <v>38</v>
      </c>
      <c r="C1445" s="29" t="s">
        <v>1030</v>
      </c>
      <c r="D1445" s="30">
        <v>41487</v>
      </c>
      <c r="E1445" s="31" t="s">
        <v>1713</v>
      </c>
      <c r="F1445" s="29" t="s">
        <v>1714</v>
      </c>
      <c r="G1445" s="29" t="s">
        <v>20</v>
      </c>
      <c r="H1445" s="29" t="s">
        <v>1715</v>
      </c>
      <c r="I1445" s="29"/>
      <c r="J1445" s="116">
        <v>1</v>
      </c>
      <c r="K1445" s="116">
        <v>18</v>
      </c>
      <c r="L1445" s="139">
        <v>90</v>
      </c>
      <c r="M1445" s="140" t="s">
        <v>22</v>
      </c>
      <c r="N1445" s="141"/>
      <c r="O1445" s="141"/>
      <c r="P1445" s="141"/>
      <c r="Q1445" s="141"/>
      <c r="R1445" s="141"/>
      <c r="S1445" s="141"/>
      <c r="T1445" s="141"/>
      <c r="U1445" s="141"/>
      <c r="V1445" s="29"/>
    </row>
    <row r="1446" spans="1:22" s="26" customFormat="1" ht="15" customHeight="1" x14ac:dyDescent="0.2">
      <c r="A1446" s="32">
        <v>41550.508009259262</v>
      </c>
      <c r="B1446" s="26" t="s">
        <v>38</v>
      </c>
      <c r="C1446" s="26" t="s">
        <v>1030</v>
      </c>
      <c r="D1446" s="30">
        <v>41518</v>
      </c>
      <c r="E1446" s="26" t="s">
        <v>2366</v>
      </c>
      <c r="F1446" s="34" t="s">
        <v>2798</v>
      </c>
      <c r="G1446" s="26" t="s">
        <v>42</v>
      </c>
      <c r="J1446" s="46">
        <v>1</v>
      </c>
      <c r="K1446" s="46">
        <v>19</v>
      </c>
      <c r="L1446" s="136">
        <v>85</v>
      </c>
      <c r="M1446" s="137" t="s">
        <v>22</v>
      </c>
      <c r="N1446" s="138"/>
      <c r="O1446" s="138"/>
      <c r="P1446" s="138"/>
      <c r="Q1446" s="138"/>
      <c r="R1446" s="138"/>
      <c r="S1446" s="138"/>
      <c r="T1446" s="138"/>
      <c r="U1446" s="138"/>
    </row>
    <row r="1447" spans="1:22" s="26" customFormat="1" ht="15" customHeight="1" x14ac:dyDescent="0.2">
      <c r="A1447" s="32">
        <v>41550.514525462961</v>
      </c>
      <c r="B1447" s="26" t="s">
        <v>38</v>
      </c>
      <c r="C1447" s="26" t="s">
        <v>1030</v>
      </c>
      <c r="D1447" s="30">
        <v>41518</v>
      </c>
      <c r="E1447" s="26" t="s">
        <v>2373</v>
      </c>
      <c r="F1447" s="26" t="s">
        <v>2374</v>
      </c>
      <c r="G1447" s="26" t="s">
        <v>20</v>
      </c>
      <c r="H1447" s="26" t="s">
        <v>2369</v>
      </c>
      <c r="J1447" s="46">
        <v>1</v>
      </c>
      <c r="K1447" s="46">
        <v>26</v>
      </c>
      <c r="L1447" s="136">
        <v>161</v>
      </c>
      <c r="M1447" s="137" t="s">
        <v>44</v>
      </c>
      <c r="N1447" s="138">
        <v>161</v>
      </c>
      <c r="O1447" s="138"/>
      <c r="P1447" s="138">
        <v>45.38</v>
      </c>
      <c r="Q1447" s="138"/>
      <c r="R1447" s="138"/>
      <c r="S1447" s="138"/>
      <c r="T1447" s="138"/>
      <c r="U1447" s="138"/>
    </row>
    <row r="1448" spans="1:22" s="26" customFormat="1" ht="15" customHeight="1" x14ac:dyDescent="0.2">
      <c r="A1448" s="32">
        <v>41552.57408564815</v>
      </c>
      <c r="B1448" s="26" t="s">
        <v>38</v>
      </c>
      <c r="C1448" s="26" t="s">
        <v>1030</v>
      </c>
      <c r="D1448" s="30">
        <v>41518</v>
      </c>
      <c r="E1448" s="26" t="s">
        <v>2450</v>
      </c>
      <c r="F1448" s="26" t="s">
        <v>2451</v>
      </c>
      <c r="G1448" s="26" t="s">
        <v>156</v>
      </c>
      <c r="H1448" s="26" t="s">
        <v>2452</v>
      </c>
      <c r="J1448" s="46">
        <v>1</v>
      </c>
      <c r="K1448" s="46">
        <v>7</v>
      </c>
      <c r="L1448" s="136"/>
      <c r="M1448" s="137" t="s">
        <v>22</v>
      </c>
      <c r="N1448" s="138"/>
      <c r="O1448" s="138"/>
      <c r="P1448" s="138"/>
      <c r="Q1448" s="138"/>
      <c r="R1448" s="138"/>
      <c r="S1448" s="138"/>
      <c r="T1448" s="138"/>
      <c r="U1448" s="138"/>
    </row>
    <row r="1449" spans="1:22" s="26" customFormat="1" ht="15" customHeight="1" x14ac:dyDescent="0.2">
      <c r="A1449" s="32">
        <v>41552.582094907404</v>
      </c>
      <c r="B1449" s="26" t="s">
        <v>38</v>
      </c>
      <c r="C1449" s="26" t="s">
        <v>1030</v>
      </c>
      <c r="D1449" s="30">
        <v>41518</v>
      </c>
      <c r="E1449" s="26" t="s">
        <v>2453</v>
      </c>
      <c r="F1449" s="26" t="s">
        <v>2257</v>
      </c>
      <c r="G1449" s="26" t="s">
        <v>351</v>
      </c>
      <c r="H1449" s="34" t="s">
        <v>2454</v>
      </c>
      <c r="I1449" s="34"/>
      <c r="J1449" s="46">
        <v>1</v>
      </c>
      <c r="K1449" s="46">
        <v>50</v>
      </c>
      <c r="L1449" s="136">
        <v>162</v>
      </c>
      <c r="M1449" s="137"/>
      <c r="N1449" s="138"/>
      <c r="O1449" s="138"/>
      <c r="P1449" s="138">
        <v>162</v>
      </c>
      <c r="Q1449" s="138"/>
      <c r="R1449" s="138"/>
      <c r="S1449" s="138"/>
      <c r="T1449" s="138"/>
      <c r="U1449" s="138"/>
    </row>
    <row r="1450" spans="1:22" s="26" customFormat="1" ht="15" customHeight="1" x14ac:dyDescent="0.2">
      <c r="A1450" s="48">
        <v>41620.609444444402</v>
      </c>
      <c r="B1450" s="49" t="s">
        <v>38</v>
      </c>
      <c r="C1450" s="50" t="s">
        <v>1030</v>
      </c>
      <c r="D1450" s="67">
        <v>41579</v>
      </c>
      <c r="E1450" s="50" t="s">
        <v>3662</v>
      </c>
      <c r="F1450" s="50" t="s">
        <v>3663</v>
      </c>
      <c r="G1450" s="49" t="s">
        <v>42</v>
      </c>
      <c r="H1450" s="50" t="s">
        <v>1033</v>
      </c>
      <c r="I1450" s="50" t="s">
        <v>2986</v>
      </c>
      <c r="J1450" s="117">
        <v>1</v>
      </c>
      <c r="K1450" s="117">
        <v>11</v>
      </c>
      <c r="L1450" s="142">
        <v>46.5</v>
      </c>
      <c r="M1450" s="143" t="s">
        <v>22</v>
      </c>
      <c r="N1450" s="144"/>
      <c r="O1450" s="144"/>
      <c r="P1450" s="144"/>
      <c r="Q1450" s="144"/>
      <c r="R1450" s="144"/>
      <c r="S1450" s="144"/>
      <c r="T1450" s="144"/>
      <c r="U1450" s="144"/>
      <c r="V1450" s="50"/>
    </row>
    <row r="1451" spans="1:22" s="26" customFormat="1" ht="15" customHeight="1" x14ac:dyDescent="0.2">
      <c r="A1451" s="48">
        <v>41620.611828703702</v>
      </c>
      <c r="B1451" s="49" t="s">
        <v>38</v>
      </c>
      <c r="C1451" s="50" t="s">
        <v>1030</v>
      </c>
      <c r="D1451" s="67">
        <v>41579</v>
      </c>
      <c r="E1451" s="50" t="s">
        <v>3664</v>
      </c>
      <c r="F1451" s="50" t="s">
        <v>3665</v>
      </c>
      <c r="G1451" s="49" t="s">
        <v>156</v>
      </c>
      <c r="H1451" s="50" t="s">
        <v>3666</v>
      </c>
      <c r="I1451" s="50" t="s">
        <v>2986</v>
      </c>
      <c r="J1451" s="117">
        <v>1</v>
      </c>
      <c r="K1451" s="117">
        <v>300</v>
      </c>
      <c r="L1451" s="142">
        <v>1228.5</v>
      </c>
      <c r="M1451" s="143" t="s">
        <v>44</v>
      </c>
      <c r="N1451" s="144">
        <v>1228.5</v>
      </c>
      <c r="O1451" s="144"/>
      <c r="P1451" s="144">
        <v>629.12</v>
      </c>
      <c r="Q1451" s="144"/>
      <c r="R1451" s="144"/>
      <c r="S1451" s="144"/>
      <c r="T1451" s="144"/>
      <c r="U1451" s="144">
        <v>370</v>
      </c>
      <c r="V1451" s="50"/>
    </row>
    <row r="1452" spans="1:22" s="26" customFormat="1" ht="15" customHeight="1" x14ac:dyDescent="0.2">
      <c r="A1452" s="48">
        <v>41620.613472222198</v>
      </c>
      <c r="B1452" s="49" t="s">
        <v>38</v>
      </c>
      <c r="C1452" s="50" t="s">
        <v>1030</v>
      </c>
      <c r="D1452" s="67">
        <v>41579</v>
      </c>
      <c r="E1452" s="50" t="s">
        <v>3667</v>
      </c>
      <c r="F1452" s="50" t="s">
        <v>3668</v>
      </c>
      <c r="G1452" s="49" t="s">
        <v>26</v>
      </c>
      <c r="H1452" s="50" t="s">
        <v>1033</v>
      </c>
      <c r="I1452" s="50" t="s">
        <v>2986</v>
      </c>
      <c r="J1452" s="117">
        <v>1</v>
      </c>
      <c r="K1452" s="117">
        <v>36</v>
      </c>
      <c r="L1452" s="142">
        <v>180</v>
      </c>
      <c r="M1452" s="143" t="s">
        <v>44</v>
      </c>
      <c r="N1452" s="144">
        <v>180</v>
      </c>
      <c r="O1452" s="144"/>
      <c r="P1452" s="144">
        <v>66.92</v>
      </c>
      <c r="Q1452" s="144"/>
      <c r="R1452" s="144"/>
      <c r="S1452" s="144"/>
      <c r="T1452" s="144"/>
      <c r="U1452" s="144"/>
      <c r="V1452" s="50"/>
    </row>
    <row r="1453" spans="1:22" s="26" customFormat="1" ht="15" customHeight="1" x14ac:dyDescent="0.2">
      <c r="A1453" s="48">
        <v>41620.614594907398</v>
      </c>
      <c r="B1453" s="49" t="s">
        <v>38</v>
      </c>
      <c r="C1453" s="50" t="s">
        <v>1030</v>
      </c>
      <c r="D1453" s="67">
        <v>41579</v>
      </c>
      <c r="E1453" s="50" t="s">
        <v>3667</v>
      </c>
      <c r="F1453" s="50" t="s">
        <v>3669</v>
      </c>
      <c r="G1453" s="49" t="s">
        <v>20</v>
      </c>
      <c r="H1453" s="50" t="s">
        <v>1033</v>
      </c>
      <c r="I1453" s="50" t="s">
        <v>2986</v>
      </c>
      <c r="J1453" s="117">
        <v>1</v>
      </c>
      <c r="K1453" s="117">
        <v>76</v>
      </c>
      <c r="L1453" s="142">
        <v>294.5</v>
      </c>
      <c r="M1453" s="143" t="s">
        <v>44</v>
      </c>
      <c r="N1453" s="144">
        <v>294.5</v>
      </c>
      <c r="O1453" s="144"/>
      <c r="P1453" s="144">
        <v>18.95</v>
      </c>
      <c r="Q1453" s="144"/>
      <c r="R1453" s="144"/>
      <c r="S1453" s="144"/>
      <c r="T1453" s="144"/>
      <c r="U1453" s="144"/>
      <c r="V1453" s="50"/>
    </row>
    <row r="1454" spans="1:22" s="26" customFormat="1" ht="15" customHeight="1" x14ac:dyDescent="0.2">
      <c r="A1454" s="48">
        <v>41620.616157407399</v>
      </c>
      <c r="B1454" s="49" t="s">
        <v>38</v>
      </c>
      <c r="C1454" s="50" t="s">
        <v>1030</v>
      </c>
      <c r="D1454" s="67">
        <v>41579</v>
      </c>
      <c r="E1454" s="50" t="s">
        <v>3670</v>
      </c>
      <c r="F1454" s="50" t="s">
        <v>3671</v>
      </c>
      <c r="G1454" s="49" t="s">
        <v>156</v>
      </c>
      <c r="H1454" s="50" t="s">
        <v>3672</v>
      </c>
      <c r="I1454" s="50" t="s">
        <v>2986</v>
      </c>
      <c r="J1454" s="117">
        <v>1</v>
      </c>
      <c r="K1454" s="117">
        <v>70</v>
      </c>
      <c r="L1454" s="142"/>
      <c r="M1454" s="143" t="s">
        <v>44</v>
      </c>
      <c r="N1454" s="144"/>
      <c r="O1454" s="144"/>
      <c r="P1454" s="144"/>
      <c r="Q1454" s="144"/>
      <c r="R1454" s="144"/>
      <c r="S1454" s="144"/>
      <c r="T1454" s="144"/>
      <c r="U1454" s="144">
        <v>200</v>
      </c>
      <c r="V1454" s="50"/>
    </row>
    <row r="1455" spans="1:22" s="26" customFormat="1" ht="15" customHeight="1" x14ac:dyDescent="0.2">
      <c r="A1455" s="48">
        <v>41622.581053240698</v>
      </c>
      <c r="B1455" s="49" t="s">
        <v>38</v>
      </c>
      <c r="C1455" s="50" t="s">
        <v>1030</v>
      </c>
      <c r="D1455" s="67">
        <v>41579</v>
      </c>
      <c r="E1455" s="50" t="s">
        <v>3673</v>
      </c>
      <c r="F1455" s="50" t="s">
        <v>3674</v>
      </c>
      <c r="G1455" s="49" t="s">
        <v>20</v>
      </c>
      <c r="H1455" s="50" t="s">
        <v>1033</v>
      </c>
      <c r="I1455" s="50" t="s">
        <v>2986</v>
      </c>
      <c r="J1455" s="117">
        <v>1</v>
      </c>
      <c r="K1455" s="117">
        <v>15</v>
      </c>
      <c r="L1455" s="142">
        <v>56.5</v>
      </c>
      <c r="M1455" s="143" t="s">
        <v>22</v>
      </c>
      <c r="N1455" s="144"/>
      <c r="O1455" s="144"/>
      <c r="P1455" s="144"/>
      <c r="Q1455" s="144"/>
      <c r="R1455" s="144"/>
      <c r="S1455" s="144"/>
      <c r="T1455" s="144"/>
      <c r="U1455" s="144"/>
      <c r="V1455" s="50"/>
    </row>
    <row r="1456" spans="1:22" s="26" customFormat="1" ht="15" customHeight="1" x14ac:dyDescent="0.2">
      <c r="A1456" s="32">
        <v>41648.549837962964</v>
      </c>
      <c r="B1456" s="26" t="s">
        <v>38</v>
      </c>
      <c r="C1456" s="26" t="s">
        <v>1030</v>
      </c>
      <c r="D1456" s="68">
        <v>41609</v>
      </c>
      <c r="E1456" s="26" t="s">
        <v>4090</v>
      </c>
      <c r="F1456" s="26" t="s">
        <v>4091</v>
      </c>
      <c r="G1456" s="26" t="s">
        <v>20</v>
      </c>
      <c r="H1456" s="26" t="s">
        <v>1033</v>
      </c>
      <c r="I1456" s="26" t="s">
        <v>2986</v>
      </c>
      <c r="J1456" s="46">
        <v>1</v>
      </c>
      <c r="K1456" s="46">
        <v>35</v>
      </c>
      <c r="L1456" s="136"/>
      <c r="M1456" s="137" t="s">
        <v>44</v>
      </c>
      <c r="N1456" s="138">
        <v>133</v>
      </c>
      <c r="O1456" s="138"/>
      <c r="P1456" s="138">
        <v>28.13</v>
      </c>
      <c r="Q1456" s="138"/>
      <c r="R1456" s="138"/>
      <c r="S1456" s="138"/>
      <c r="T1456" s="138"/>
      <c r="U1456" s="138"/>
    </row>
    <row r="1457" spans="1:25" s="26" customFormat="1" ht="15" customHeight="1" x14ac:dyDescent="0.2">
      <c r="A1457" s="32">
        <v>41648.552499999998</v>
      </c>
      <c r="B1457" s="26" t="s">
        <v>38</v>
      </c>
      <c r="C1457" s="26" t="s">
        <v>1030</v>
      </c>
      <c r="D1457" s="68">
        <v>41609</v>
      </c>
      <c r="E1457" s="26" t="s">
        <v>4092</v>
      </c>
      <c r="F1457" s="26" t="s">
        <v>4093</v>
      </c>
      <c r="G1457" s="26" t="s">
        <v>20</v>
      </c>
      <c r="H1457" s="26" t="s">
        <v>2085</v>
      </c>
      <c r="I1457" s="26" t="s">
        <v>2986</v>
      </c>
      <c r="J1457" s="46">
        <v>1</v>
      </c>
      <c r="K1457" s="46">
        <v>87</v>
      </c>
      <c r="L1457" s="136">
        <v>310.5</v>
      </c>
      <c r="M1457" s="137" t="s">
        <v>44</v>
      </c>
      <c r="N1457" s="138"/>
      <c r="O1457" s="138"/>
      <c r="P1457" s="138">
        <v>9.2100000000000009</v>
      </c>
      <c r="Q1457" s="138"/>
      <c r="R1457" s="138"/>
      <c r="S1457" s="138"/>
      <c r="T1457" s="138"/>
      <c r="U1457" s="138"/>
    </row>
    <row r="1458" spans="1:25" s="26" customFormat="1" ht="15" customHeight="1" x14ac:dyDescent="0.2">
      <c r="A1458" s="32">
        <v>41648.557974537034</v>
      </c>
      <c r="B1458" s="26" t="s">
        <v>38</v>
      </c>
      <c r="C1458" s="26" t="s">
        <v>1030</v>
      </c>
      <c r="D1458" s="68">
        <v>41609</v>
      </c>
      <c r="E1458" s="26" t="s">
        <v>4094</v>
      </c>
      <c r="F1458" s="26" t="s">
        <v>4095</v>
      </c>
      <c r="G1458" s="26" t="s">
        <v>20</v>
      </c>
      <c r="H1458" s="26" t="s">
        <v>2369</v>
      </c>
      <c r="I1458" s="26" t="s">
        <v>2986</v>
      </c>
      <c r="J1458" s="46">
        <v>1</v>
      </c>
      <c r="K1458" s="46">
        <v>69</v>
      </c>
      <c r="L1458" s="136">
        <v>247.5</v>
      </c>
      <c r="M1458" s="137" t="s">
        <v>22</v>
      </c>
      <c r="N1458" s="138"/>
      <c r="O1458" s="138"/>
      <c r="P1458" s="138"/>
      <c r="Q1458" s="138"/>
      <c r="R1458" s="138"/>
      <c r="S1458" s="138"/>
      <c r="T1458" s="138"/>
      <c r="U1458" s="138"/>
    </row>
    <row r="1459" spans="1:25" s="26" customFormat="1" ht="15" customHeight="1" x14ac:dyDescent="0.2">
      <c r="A1459" s="32">
        <v>41648.563437500001</v>
      </c>
      <c r="B1459" s="26" t="s">
        <v>38</v>
      </c>
      <c r="C1459" s="26" t="s">
        <v>1030</v>
      </c>
      <c r="D1459" s="68">
        <v>41609</v>
      </c>
      <c r="E1459" s="26" t="s">
        <v>4096</v>
      </c>
      <c r="F1459" s="26" t="s">
        <v>4097</v>
      </c>
      <c r="G1459" s="26" t="s">
        <v>20</v>
      </c>
      <c r="H1459" s="26" t="s">
        <v>2085</v>
      </c>
      <c r="I1459" s="26" t="s">
        <v>2986</v>
      </c>
      <c r="J1459" s="46">
        <v>1</v>
      </c>
      <c r="K1459" s="46">
        <v>35</v>
      </c>
      <c r="L1459" s="136">
        <v>133</v>
      </c>
      <c r="M1459" s="137" t="s">
        <v>44</v>
      </c>
      <c r="N1459" s="138"/>
      <c r="O1459" s="138"/>
      <c r="P1459" s="138">
        <v>28.13</v>
      </c>
      <c r="Q1459" s="138"/>
      <c r="R1459" s="138"/>
      <c r="S1459" s="138"/>
      <c r="T1459" s="138"/>
      <c r="U1459" s="138"/>
    </row>
    <row r="1460" spans="1:25" s="26" customFormat="1" ht="15" customHeight="1" x14ac:dyDescent="0.2">
      <c r="A1460" s="32">
        <v>41648.571493055555</v>
      </c>
      <c r="B1460" s="26" t="s">
        <v>38</v>
      </c>
      <c r="C1460" s="26" t="s">
        <v>1030</v>
      </c>
      <c r="D1460" s="68">
        <v>41609</v>
      </c>
      <c r="E1460" s="26" t="s">
        <v>4098</v>
      </c>
      <c r="F1460" s="26" t="s">
        <v>4099</v>
      </c>
      <c r="G1460" s="26" t="s">
        <v>156</v>
      </c>
      <c r="H1460" s="26" t="s">
        <v>4100</v>
      </c>
      <c r="I1460" s="26" t="s">
        <v>2812</v>
      </c>
      <c r="J1460" s="46">
        <v>1</v>
      </c>
      <c r="K1460" s="46">
        <v>65</v>
      </c>
      <c r="L1460" s="136">
        <v>325.5</v>
      </c>
      <c r="M1460" s="137" t="s">
        <v>44</v>
      </c>
      <c r="N1460" s="138"/>
      <c r="O1460" s="138"/>
      <c r="P1460" s="138">
        <v>115.29</v>
      </c>
      <c r="Q1460" s="138"/>
      <c r="R1460" s="138"/>
      <c r="S1460" s="138"/>
      <c r="T1460" s="138"/>
      <c r="U1460" s="138"/>
    </row>
    <row r="1461" spans="1:25" s="26" customFormat="1" ht="15" customHeight="1" x14ac:dyDescent="0.2">
      <c r="A1461" s="32">
        <v>41734.525381944448</v>
      </c>
      <c r="B1461" s="26" t="s">
        <v>38</v>
      </c>
      <c r="C1461" s="26" t="s">
        <v>1030</v>
      </c>
      <c r="D1461" s="33">
        <v>41699</v>
      </c>
      <c r="E1461" s="26" t="s">
        <v>5692</v>
      </c>
      <c r="F1461" s="26" t="s">
        <v>5693</v>
      </c>
      <c r="G1461" s="26" t="s">
        <v>42</v>
      </c>
      <c r="H1461" s="26" t="s">
        <v>5694</v>
      </c>
      <c r="I1461" s="26" t="s">
        <v>2986</v>
      </c>
      <c r="J1461" s="46">
        <v>1</v>
      </c>
      <c r="K1461" s="46">
        <v>43</v>
      </c>
      <c r="L1461" s="136"/>
      <c r="M1461" s="137" t="s">
        <v>44</v>
      </c>
      <c r="N1461" s="138">
        <v>150.5</v>
      </c>
      <c r="O1461" s="138"/>
      <c r="P1461" s="138">
        <v>39.479999999999997</v>
      </c>
      <c r="Q1461" s="138"/>
      <c r="R1461" s="138"/>
      <c r="S1461" s="138"/>
      <c r="T1461" s="138"/>
      <c r="U1461" s="138"/>
    </row>
    <row r="1462" spans="1:25" s="26" customFormat="1" ht="15" customHeight="1" x14ac:dyDescent="0.2">
      <c r="A1462" s="32">
        <v>41734.577974537038</v>
      </c>
      <c r="B1462" s="26" t="s">
        <v>38</v>
      </c>
      <c r="C1462" s="26" t="s">
        <v>1030</v>
      </c>
      <c r="D1462" s="33">
        <v>41699</v>
      </c>
      <c r="E1462" s="26" t="s">
        <v>5698</v>
      </c>
      <c r="F1462" s="26" t="s">
        <v>5699</v>
      </c>
      <c r="G1462" s="26" t="s">
        <v>20</v>
      </c>
      <c r="H1462" s="26" t="s">
        <v>2369</v>
      </c>
      <c r="I1462" s="26" t="s">
        <v>2986</v>
      </c>
      <c r="J1462" s="46">
        <v>1</v>
      </c>
      <c r="K1462" s="46">
        <v>86</v>
      </c>
      <c r="L1462" s="136">
        <v>305.5</v>
      </c>
      <c r="M1462" s="137" t="s">
        <v>22</v>
      </c>
      <c r="N1462" s="138"/>
      <c r="O1462" s="138"/>
      <c r="P1462" s="138"/>
      <c r="Q1462" s="138"/>
      <c r="R1462" s="138"/>
      <c r="S1462" s="138"/>
      <c r="T1462" s="138"/>
      <c r="U1462" s="138"/>
    </row>
    <row r="1463" spans="1:25" s="26" customFormat="1" ht="15" customHeight="1" x14ac:dyDescent="0.2">
      <c r="A1463" s="32">
        <v>41734.578761574077</v>
      </c>
      <c r="B1463" s="26" t="s">
        <v>38</v>
      </c>
      <c r="C1463" s="26" t="s">
        <v>1030</v>
      </c>
      <c r="D1463" s="33">
        <v>41699</v>
      </c>
      <c r="E1463" s="26" t="s">
        <v>5698</v>
      </c>
      <c r="F1463" s="26" t="s">
        <v>5700</v>
      </c>
      <c r="G1463" s="26" t="s">
        <v>20</v>
      </c>
      <c r="H1463" s="26" t="s">
        <v>2369</v>
      </c>
      <c r="I1463" s="26" t="s">
        <v>2986</v>
      </c>
      <c r="J1463" s="46">
        <v>1</v>
      </c>
      <c r="K1463" s="46">
        <v>24</v>
      </c>
      <c r="L1463" s="136">
        <v>84</v>
      </c>
      <c r="M1463" s="137" t="s">
        <v>22</v>
      </c>
      <c r="N1463" s="138"/>
      <c r="O1463" s="138"/>
      <c r="P1463" s="138"/>
      <c r="Q1463" s="138"/>
      <c r="R1463" s="138"/>
      <c r="S1463" s="138"/>
      <c r="T1463" s="138"/>
      <c r="U1463" s="138"/>
    </row>
    <row r="1464" spans="1:25" s="26" customFormat="1" ht="15" customHeight="1" x14ac:dyDescent="0.2">
      <c r="A1464" s="92">
        <v>41734.52244212963</v>
      </c>
      <c r="B1464" s="91" t="s">
        <v>38</v>
      </c>
      <c r="C1464" s="26" t="s">
        <v>1030</v>
      </c>
      <c r="D1464" s="33">
        <v>41730</v>
      </c>
      <c r="E1464" s="91" t="s">
        <v>5689</v>
      </c>
      <c r="F1464" s="91" t="s">
        <v>5690</v>
      </c>
      <c r="G1464" s="91" t="s">
        <v>156</v>
      </c>
      <c r="H1464" s="91" t="s">
        <v>5691</v>
      </c>
      <c r="I1464" s="91" t="s">
        <v>2986</v>
      </c>
      <c r="J1464" s="46">
        <v>1</v>
      </c>
      <c r="K1464" s="46">
        <v>9</v>
      </c>
      <c r="L1464" s="138"/>
      <c r="M1464" s="137" t="s">
        <v>44</v>
      </c>
      <c r="N1464" s="138">
        <v>31</v>
      </c>
      <c r="O1464" s="138"/>
      <c r="P1464" s="138"/>
      <c r="Q1464" s="138"/>
      <c r="R1464" s="138"/>
      <c r="S1464" s="138"/>
      <c r="T1464" s="138"/>
      <c r="U1464" s="138"/>
      <c r="V1464" s="91"/>
      <c r="W1464" s="91"/>
      <c r="X1464" s="91"/>
      <c r="Y1464" s="91"/>
    </row>
    <row r="1465" spans="1:25" s="26" customFormat="1" ht="15" customHeight="1" x14ac:dyDescent="0.2">
      <c r="A1465" s="55">
        <v>41774.453356481499</v>
      </c>
      <c r="B1465" s="52" t="s">
        <v>38</v>
      </c>
      <c r="C1465" s="52" t="s">
        <v>1030</v>
      </c>
      <c r="D1465" s="88" t="s">
        <v>6076</v>
      </c>
      <c r="E1465" s="52" t="s">
        <v>6888</v>
      </c>
      <c r="F1465" s="52" t="s">
        <v>6889</v>
      </c>
      <c r="G1465" s="52" t="s">
        <v>42</v>
      </c>
      <c r="H1465" s="52" t="s">
        <v>1033</v>
      </c>
      <c r="I1465" s="52" t="s">
        <v>2986</v>
      </c>
      <c r="J1465" s="95">
        <v>1</v>
      </c>
      <c r="K1465" s="95">
        <v>35</v>
      </c>
      <c r="L1465" s="149">
        <v>122.5</v>
      </c>
      <c r="M1465" s="146" t="s">
        <v>44</v>
      </c>
      <c r="N1465" s="149"/>
      <c r="O1465" s="149"/>
      <c r="P1465" s="149">
        <v>32.65</v>
      </c>
      <c r="Q1465" s="149"/>
      <c r="R1465" s="149"/>
      <c r="S1465" s="149"/>
      <c r="T1465" s="149"/>
      <c r="U1465" s="149"/>
      <c r="V1465" s="52"/>
    </row>
    <row r="1466" spans="1:25" s="26" customFormat="1" ht="15" customHeight="1" x14ac:dyDescent="0.2">
      <c r="A1466" s="55">
        <v>41774.456342592603</v>
      </c>
      <c r="B1466" s="52" t="s">
        <v>38</v>
      </c>
      <c r="C1466" s="52" t="s">
        <v>1030</v>
      </c>
      <c r="D1466" s="88" t="s">
        <v>6076</v>
      </c>
      <c r="E1466" s="52" t="s">
        <v>6890</v>
      </c>
      <c r="F1466" s="52" t="s">
        <v>6891</v>
      </c>
      <c r="G1466" s="52" t="s">
        <v>42</v>
      </c>
      <c r="H1466" s="52" t="s">
        <v>2369</v>
      </c>
      <c r="I1466" s="52" t="s">
        <v>2986</v>
      </c>
      <c r="J1466" s="95">
        <v>1</v>
      </c>
      <c r="K1466" s="95">
        <v>18</v>
      </c>
      <c r="L1466" s="149">
        <v>90</v>
      </c>
      <c r="M1466" s="146" t="s">
        <v>22</v>
      </c>
      <c r="N1466" s="149"/>
      <c r="O1466" s="149"/>
      <c r="P1466" s="149"/>
      <c r="Q1466" s="149"/>
      <c r="R1466" s="149"/>
      <c r="S1466" s="149"/>
      <c r="T1466" s="149"/>
      <c r="U1466" s="149"/>
      <c r="V1466" s="52"/>
    </row>
    <row r="1467" spans="1:25" s="26" customFormat="1" ht="15" customHeight="1" x14ac:dyDescent="0.2">
      <c r="A1467" s="55">
        <v>41774.457685185203</v>
      </c>
      <c r="B1467" s="52" t="s">
        <v>38</v>
      </c>
      <c r="C1467" s="52" t="s">
        <v>1030</v>
      </c>
      <c r="D1467" s="88" t="s">
        <v>6076</v>
      </c>
      <c r="E1467" s="52" t="s">
        <v>6892</v>
      </c>
      <c r="F1467" s="52" t="s">
        <v>5661</v>
      </c>
      <c r="G1467" s="52" t="s">
        <v>20</v>
      </c>
      <c r="H1467" s="52" t="s">
        <v>2369</v>
      </c>
      <c r="I1467" s="52" t="s">
        <v>2986</v>
      </c>
      <c r="J1467" s="95">
        <v>1</v>
      </c>
      <c r="K1467" s="95">
        <v>17</v>
      </c>
      <c r="L1467" s="149">
        <v>62.5</v>
      </c>
      <c r="M1467" s="146" t="s">
        <v>22</v>
      </c>
      <c r="N1467" s="149"/>
      <c r="O1467" s="149"/>
      <c r="P1467" s="149"/>
      <c r="Q1467" s="149"/>
      <c r="R1467" s="149"/>
      <c r="S1467" s="149"/>
      <c r="T1467" s="149"/>
      <c r="U1467" s="149"/>
      <c r="V1467" s="52"/>
    </row>
    <row r="1468" spans="1:25" s="26" customFormat="1" ht="15" customHeight="1" x14ac:dyDescent="0.2">
      <c r="A1468" s="55">
        <v>41774.462893518503</v>
      </c>
      <c r="B1468" s="52" t="s">
        <v>38</v>
      </c>
      <c r="C1468" s="52" t="s">
        <v>1030</v>
      </c>
      <c r="D1468" s="88" t="s">
        <v>6076</v>
      </c>
      <c r="E1468" s="89" t="s">
        <v>6893</v>
      </c>
      <c r="F1468" s="89" t="s">
        <v>6894</v>
      </c>
      <c r="G1468" s="52" t="s">
        <v>351</v>
      </c>
      <c r="H1468" s="89" t="s">
        <v>6895</v>
      </c>
      <c r="I1468" s="52" t="s">
        <v>2986</v>
      </c>
      <c r="J1468" s="95">
        <v>1</v>
      </c>
      <c r="K1468" s="95">
        <v>200</v>
      </c>
      <c r="L1468" s="149"/>
      <c r="M1468" s="146" t="s">
        <v>22</v>
      </c>
      <c r="N1468" s="149"/>
      <c r="O1468" s="149"/>
      <c r="P1468" s="149"/>
      <c r="Q1468" s="149"/>
      <c r="R1468" s="149"/>
      <c r="S1468" s="149"/>
      <c r="T1468" s="149"/>
      <c r="U1468" s="149">
        <v>9.36</v>
      </c>
      <c r="V1468" s="52"/>
    </row>
    <row r="1469" spans="1:25" s="26" customFormat="1" ht="15" customHeight="1" x14ac:dyDescent="0.2">
      <c r="A1469" s="37">
        <v>41491.429085648102</v>
      </c>
      <c r="B1469" s="26" t="s">
        <v>38</v>
      </c>
      <c r="C1469" s="26" t="s">
        <v>682</v>
      </c>
      <c r="D1469" s="33">
        <v>41456</v>
      </c>
      <c r="E1469" s="26" t="s">
        <v>683</v>
      </c>
      <c r="F1469" s="26" t="s">
        <v>684</v>
      </c>
      <c r="G1469" s="26" t="s">
        <v>20</v>
      </c>
      <c r="H1469" s="26" t="s">
        <v>685</v>
      </c>
      <c r="J1469" s="115">
        <v>1</v>
      </c>
      <c r="K1469" s="115">
        <v>22</v>
      </c>
      <c r="L1469" s="136"/>
      <c r="M1469" s="137" t="s">
        <v>44</v>
      </c>
      <c r="N1469" s="138">
        <v>66</v>
      </c>
      <c r="O1469" s="138"/>
      <c r="P1469" s="138">
        <v>50</v>
      </c>
      <c r="Q1469" s="138"/>
      <c r="R1469" s="138"/>
      <c r="S1469" s="138"/>
      <c r="T1469" s="138"/>
      <c r="U1469" s="138"/>
    </row>
    <row r="1470" spans="1:25" s="26" customFormat="1" ht="15" customHeight="1" x14ac:dyDescent="0.2">
      <c r="A1470" s="37">
        <v>41491.430173611101</v>
      </c>
      <c r="B1470" s="26" t="s">
        <v>38</v>
      </c>
      <c r="C1470" s="26" t="s">
        <v>682</v>
      </c>
      <c r="D1470" s="33">
        <v>41456</v>
      </c>
      <c r="E1470" s="26" t="s">
        <v>686</v>
      </c>
      <c r="F1470" s="26" t="s">
        <v>687</v>
      </c>
      <c r="G1470" s="26" t="s">
        <v>20</v>
      </c>
      <c r="H1470" s="26" t="s">
        <v>685</v>
      </c>
      <c r="J1470" s="115">
        <v>1</v>
      </c>
      <c r="K1470" s="115">
        <v>30</v>
      </c>
      <c r="L1470" s="136"/>
      <c r="M1470" s="137" t="s">
        <v>44</v>
      </c>
      <c r="N1470" s="138">
        <v>90</v>
      </c>
      <c r="O1470" s="138"/>
      <c r="P1470" s="138">
        <v>50</v>
      </c>
      <c r="Q1470" s="138"/>
      <c r="R1470" s="138"/>
      <c r="S1470" s="138"/>
      <c r="T1470" s="138"/>
      <c r="U1470" s="138"/>
    </row>
    <row r="1471" spans="1:25" s="26" customFormat="1" ht="15" customHeight="1" x14ac:dyDescent="0.2">
      <c r="A1471" s="37">
        <v>41491.4309490741</v>
      </c>
      <c r="B1471" s="26" t="s">
        <v>38</v>
      </c>
      <c r="C1471" s="26" t="s">
        <v>682</v>
      </c>
      <c r="D1471" s="33">
        <v>41456</v>
      </c>
      <c r="E1471" s="26" t="s">
        <v>688</v>
      </c>
      <c r="F1471" s="26" t="s">
        <v>689</v>
      </c>
      <c r="G1471" s="26" t="s">
        <v>26</v>
      </c>
      <c r="H1471" s="26" t="s">
        <v>690</v>
      </c>
      <c r="J1471" s="115">
        <v>1</v>
      </c>
      <c r="K1471" s="115">
        <v>22</v>
      </c>
      <c r="L1471" s="136">
        <v>1300</v>
      </c>
      <c r="M1471" s="137" t="s">
        <v>22</v>
      </c>
      <c r="N1471" s="138"/>
      <c r="O1471" s="138"/>
      <c r="P1471" s="138"/>
      <c r="Q1471" s="138"/>
      <c r="R1471" s="138"/>
      <c r="S1471" s="138"/>
      <c r="T1471" s="138"/>
      <c r="U1471" s="138"/>
    </row>
    <row r="1472" spans="1:25" s="26" customFormat="1" ht="15" customHeight="1" x14ac:dyDescent="0.2">
      <c r="A1472" s="37">
        <v>41491.432500000003</v>
      </c>
      <c r="B1472" s="26" t="s">
        <v>38</v>
      </c>
      <c r="C1472" s="26" t="s">
        <v>682</v>
      </c>
      <c r="D1472" s="33">
        <v>41456</v>
      </c>
      <c r="E1472" s="26" t="s">
        <v>691</v>
      </c>
      <c r="F1472" s="34" t="s">
        <v>2803</v>
      </c>
      <c r="G1472" s="26" t="s">
        <v>60</v>
      </c>
      <c r="H1472" s="26" t="s">
        <v>692</v>
      </c>
      <c r="J1472" s="115">
        <v>173</v>
      </c>
      <c r="K1472" s="115">
        <v>494</v>
      </c>
      <c r="L1472" s="136"/>
      <c r="M1472" s="137" t="s">
        <v>44</v>
      </c>
      <c r="N1472" s="138">
        <v>1800</v>
      </c>
      <c r="O1472" s="138"/>
      <c r="P1472" s="138">
        <v>500</v>
      </c>
      <c r="Q1472" s="138"/>
      <c r="R1472" s="138"/>
      <c r="S1472" s="138"/>
      <c r="T1472" s="138"/>
      <c r="U1472" s="138"/>
    </row>
    <row r="1473" spans="1:22" s="26" customFormat="1" ht="15" customHeight="1" x14ac:dyDescent="0.2">
      <c r="A1473" s="28">
        <v>41527.483518518522</v>
      </c>
      <c r="B1473" s="29" t="s">
        <v>38</v>
      </c>
      <c r="C1473" s="29" t="s">
        <v>682</v>
      </c>
      <c r="D1473" s="30">
        <v>41487</v>
      </c>
      <c r="E1473" s="29" t="s">
        <v>1937</v>
      </c>
      <c r="F1473" s="29" t="s">
        <v>2803</v>
      </c>
      <c r="G1473" s="29" t="s">
        <v>60</v>
      </c>
      <c r="H1473" s="29" t="s">
        <v>1938</v>
      </c>
      <c r="I1473" s="29"/>
      <c r="J1473" s="116">
        <v>101</v>
      </c>
      <c r="K1473" s="116">
        <v>343</v>
      </c>
      <c r="L1473" s="139"/>
      <c r="M1473" s="140" t="s">
        <v>44</v>
      </c>
      <c r="N1473" s="141"/>
      <c r="O1473" s="141"/>
      <c r="P1473" s="141"/>
      <c r="Q1473" s="141"/>
      <c r="R1473" s="141"/>
      <c r="S1473" s="141"/>
      <c r="T1473" s="141"/>
      <c r="U1473" s="141"/>
      <c r="V1473" s="29"/>
    </row>
    <row r="1474" spans="1:22" s="26" customFormat="1" ht="15" customHeight="1" x14ac:dyDescent="0.2">
      <c r="A1474" s="28">
        <v>41527.487627314818</v>
      </c>
      <c r="B1474" s="29" t="s">
        <v>38</v>
      </c>
      <c r="C1474" s="29" t="s">
        <v>682</v>
      </c>
      <c r="D1474" s="30">
        <v>41487</v>
      </c>
      <c r="E1474" s="29" t="s">
        <v>1939</v>
      </c>
      <c r="F1474" s="29" t="s">
        <v>1940</v>
      </c>
      <c r="G1474" s="29" t="s">
        <v>156</v>
      </c>
      <c r="H1474" s="29" t="s">
        <v>1941</v>
      </c>
      <c r="I1474" s="29"/>
      <c r="J1474" s="116">
        <v>1</v>
      </c>
      <c r="K1474" s="116">
        <v>177</v>
      </c>
      <c r="L1474" s="139">
        <v>4360</v>
      </c>
      <c r="M1474" s="140" t="s">
        <v>44</v>
      </c>
      <c r="N1474" s="141"/>
      <c r="O1474" s="141">
        <v>320</v>
      </c>
      <c r="P1474" s="141"/>
      <c r="Q1474" s="141"/>
      <c r="R1474" s="141"/>
      <c r="S1474" s="141"/>
      <c r="T1474" s="141"/>
      <c r="U1474" s="141">
        <v>1750</v>
      </c>
      <c r="V1474" s="29" t="s">
        <v>1942</v>
      </c>
    </row>
    <row r="1475" spans="1:22" s="26" customFormat="1" ht="15" customHeight="1" x14ac:dyDescent="0.2">
      <c r="A1475" s="28">
        <v>41527.489710648151</v>
      </c>
      <c r="B1475" s="29" t="s">
        <v>38</v>
      </c>
      <c r="C1475" s="29" t="s">
        <v>682</v>
      </c>
      <c r="D1475" s="30">
        <v>41487</v>
      </c>
      <c r="E1475" s="29" t="s">
        <v>1943</v>
      </c>
      <c r="F1475" s="29" t="s">
        <v>1944</v>
      </c>
      <c r="G1475" s="29" t="s">
        <v>20</v>
      </c>
      <c r="H1475" s="29" t="s">
        <v>685</v>
      </c>
      <c r="I1475" s="29"/>
      <c r="J1475" s="116">
        <v>1</v>
      </c>
      <c r="K1475" s="116">
        <v>36</v>
      </c>
      <c r="L1475" s="139"/>
      <c r="M1475" s="140" t="s">
        <v>44</v>
      </c>
      <c r="N1475" s="141">
        <v>102</v>
      </c>
      <c r="O1475" s="141"/>
      <c r="P1475" s="141"/>
      <c r="Q1475" s="141"/>
      <c r="R1475" s="141"/>
      <c r="S1475" s="141"/>
      <c r="T1475" s="141"/>
      <c r="U1475" s="141"/>
      <c r="V1475" s="29"/>
    </row>
    <row r="1476" spans="1:22" s="26" customFormat="1" ht="15" customHeight="1" x14ac:dyDescent="0.2">
      <c r="A1476" s="32">
        <v>41538.376655092594</v>
      </c>
      <c r="B1476" s="26" t="s">
        <v>38</v>
      </c>
      <c r="C1476" s="26" t="s">
        <v>682</v>
      </c>
      <c r="D1476" s="30">
        <v>41518</v>
      </c>
      <c r="E1476" s="26" t="s">
        <v>2144</v>
      </c>
      <c r="F1476" s="26" t="s">
        <v>2145</v>
      </c>
      <c r="G1476" s="26" t="s">
        <v>351</v>
      </c>
      <c r="H1476" s="26" t="s">
        <v>2146</v>
      </c>
      <c r="J1476" s="46">
        <v>1</v>
      </c>
      <c r="K1476" s="46">
        <v>30</v>
      </c>
      <c r="L1476" s="136"/>
      <c r="M1476" s="137" t="s">
        <v>22</v>
      </c>
      <c r="N1476" s="138"/>
      <c r="O1476" s="138"/>
      <c r="P1476" s="138"/>
      <c r="Q1476" s="138"/>
      <c r="R1476" s="138"/>
      <c r="S1476" s="138"/>
      <c r="T1476" s="138"/>
      <c r="U1476" s="138"/>
    </row>
    <row r="1477" spans="1:22" s="26" customFormat="1" ht="15" customHeight="1" x14ac:dyDescent="0.2">
      <c r="A1477" s="32">
        <v>41538.377500000002</v>
      </c>
      <c r="B1477" s="26" t="s">
        <v>38</v>
      </c>
      <c r="C1477" s="26" t="s">
        <v>682</v>
      </c>
      <c r="D1477" s="30">
        <v>41518</v>
      </c>
      <c r="E1477" s="26" t="s">
        <v>2147</v>
      </c>
      <c r="F1477" s="26" t="s">
        <v>2148</v>
      </c>
      <c r="G1477" s="26" t="s">
        <v>351</v>
      </c>
      <c r="H1477" s="26" t="s">
        <v>2146</v>
      </c>
      <c r="J1477" s="46">
        <v>1</v>
      </c>
      <c r="K1477" s="46">
        <v>40</v>
      </c>
      <c r="L1477" s="136"/>
      <c r="M1477" s="137" t="s">
        <v>22</v>
      </c>
      <c r="N1477" s="138"/>
      <c r="O1477" s="138"/>
      <c r="P1477" s="138"/>
      <c r="Q1477" s="138"/>
      <c r="R1477" s="138"/>
      <c r="S1477" s="138"/>
      <c r="T1477" s="138"/>
      <c r="U1477" s="138"/>
    </row>
    <row r="1478" spans="1:22" s="26" customFormat="1" ht="15" customHeight="1" x14ac:dyDescent="0.2">
      <c r="A1478" s="32">
        <v>41538.380173611113</v>
      </c>
      <c r="B1478" s="26" t="s">
        <v>38</v>
      </c>
      <c r="C1478" s="26" t="s">
        <v>682</v>
      </c>
      <c r="D1478" s="30">
        <v>41518</v>
      </c>
      <c r="E1478" s="26" t="s">
        <v>2149</v>
      </c>
      <c r="F1478" s="26" t="s">
        <v>2150</v>
      </c>
      <c r="G1478" s="26" t="s">
        <v>351</v>
      </c>
      <c r="H1478" s="26" t="s">
        <v>2151</v>
      </c>
      <c r="J1478" s="46">
        <v>1</v>
      </c>
      <c r="K1478" s="46">
        <v>100</v>
      </c>
      <c r="L1478" s="136"/>
      <c r="M1478" s="137" t="s">
        <v>22</v>
      </c>
      <c r="N1478" s="138"/>
      <c r="O1478" s="138"/>
      <c r="P1478" s="138"/>
      <c r="Q1478" s="138"/>
      <c r="R1478" s="138"/>
      <c r="S1478" s="138"/>
      <c r="T1478" s="138"/>
      <c r="U1478" s="138"/>
    </row>
    <row r="1479" spans="1:22" s="26" customFormat="1" ht="15" customHeight="1" x14ac:dyDescent="0.2">
      <c r="A1479" s="32">
        <v>41556.437523148146</v>
      </c>
      <c r="B1479" s="26" t="s">
        <v>38</v>
      </c>
      <c r="C1479" s="26" t="s">
        <v>682</v>
      </c>
      <c r="D1479" s="30">
        <v>41518</v>
      </c>
      <c r="E1479" s="26" t="s">
        <v>691</v>
      </c>
      <c r="F1479" s="34" t="s">
        <v>2799</v>
      </c>
      <c r="G1479" s="26" t="s">
        <v>60</v>
      </c>
      <c r="H1479" s="34" t="s">
        <v>2800</v>
      </c>
      <c r="I1479" s="34"/>
      <c r="J1479" s="46">
        <v>111</v>
      </c>
      <c r="K1479" s="46">
        <v>334</v>
      </c>
      <c r="L1479" s="136"/>
      <c r="M1479" s="137" t="s">
        <v>44</v>
      </c>
      <c r="N1479" s="138"/>
      <c r="O1479" s="138">
        <v>500</v>
      </c>
      <c r="P1479" s="138">
        <v>1520</v>
      </c>
      <c r="Q1479" s="138"/>
      <c r="R1479" s="138"/>
      <c r="S1479" s="138"/>
      <c r="T1479" s="138"/>
      <c r="U1479" s="138"/>
    </row>
    <row r="1480" spans="1:22" s="26" customFormat="1" ht="15" customHeight="1" x14ac:dyDescent="0.2">
      <c r="A1480" s="48">
        <v>41613.566250000003</v>
      </c>
      <c r="B1480" s="49" t="s">
        <v>38</v>
      </c>
      <c r="C1480" s="50" t="s">
        <v>682</v>
      </c>
      <c r="D1480" s="67">
        <v>41579</v>
      </c>
      <c r="E1480" s="50" t="s">
        <v>691</v>
      </c>
      <c r="F1480" s="34" t="s">
        <v>3698</v>
      </c>
      <c r="G1480" s="49" t="s">
        <v>60</v>
      </c>
      <c r="H1480" s="50" t="s">
        <v>3287</v>
      </c>
      <c r="I1480" s="50" t="s">
        <v>2923</v>
      </c>
      <c r="J1480" s="117">
        <v>161</v>
      </c>
      <c r="K1480" s="117">
        <v>412</v>
      </c>
      <c r="L1480" s="142"/>
      <c r="M1480" s="143" t="s">
        <v>44</v>
      </c>
      <c r="N1480" s="144"/>
      <c r="O1480" s="144"/>
      <c r="P1480" s="144">
        <v>1000</v>
      </c>
      <c r="Q1480" s="144"/>
      <c r="R1480" s="144"/>
      <c r="S1480" s="144">
        <v>692</v>
      </c>
      <c r="T1480" s="144"/>
      <c r="U1480" s="144"/>
      <c r="V1480" s="50"/>
    </row>
    <row r="1481" spans="1:22" s="26" customFormat="1" ht="15" customHeight="1" x14ac:dyDescent="0.2">
      <c r="A1481" s="48">
        <v>41613.5681944444</v>
      </c>
      <c r="B1481" s="49" t="s">
        <v>38</v>
      </c>
      <c r="C1481" s="50" t="s">
        <v>682</v>
      </c>
      <c r="D1481" s="67">
        <v>41579</v>
      </c>
      <c r="E1481" s="50" t="s">
        <v>3290</v>
      </c>
      <c r="F1481" s="50" t="s">
        <v>3291</v>
      </c>
      <c r="G1481" s="49" t="s">
        <v>20</v>
      </c>
      <c r="H1481" s="50" t="s">
        <v>685</v>
      </c>
      <c r="I1481" s="50" t="s">
        <v>2926</v>
      </c>
      <c r="J1481" s="117">
        <v>1</v>
      </c>
      <c r="K1481" s="117">
        <v>10</v>
      </c>
      <c r="L1481" s="142"/>
      <c r="M1481" s="143" t="s">
        <v>44</v>
      </c>
      <c r="N1481" s="144">
        <v>34</v>
      </c>
      <c r="O1481" s="144"/>
      <c r="P1481" s="144">
        <v>25</v>
      </c>
      <c r="Q1481" s="144"/>
      <c r="R1481" s="144"/>
      <c r="S1481" s="144"/>
      <c r="T1481" s="144"/>
      <c r="U1481" s="144"/>
      <c r="V1481" s="50"/>
    </row>
    <row r="1482" spans="1:22" s="26" customFormat="1" ht="15" customHeight="1" x14ac:dyDescent="0.2">
      <c r="A1482" s="48">
        <v>41613.5694097222</v>
      </c>
      <c r="B1482" s="49" t="s">
        <v>38</v>
      </c>
      <c r="C1482" s="50" t="s">
        <v>682</v>
      </c>
      <c r="D1482" s="67">
        <v>41579</v>
      </c>
      <c r="E1482" s="50" t="s">
        <v>2076</v>
      </c>
      <c r="F1482" s="50" t="s">
        <v>3294</v>
      </c>
      <c r="G1482" s="49" t="s">
        <v>20</v>
      </c>
      <c r="H1482" s="50" t="s">
        <v>685</v>
      </c>
      <c r="I1482" s="50" t="s">
        <v>2926</v>
      </c>
      <c r="J1482" s="117">
        <v>1</v>
      </c>
      <c r="K1482" s="117">
        <v>100</v>
      </c>
      <c r="L1482" s="142"/>
      <c r="M1482" s="143" t="s">
        <v>44</v>
      </c>
      <c r="N1482" s="144">
        <v>100</v>
      </c>
      <c r="O1482" s="144"/>
      <c r="P1482" s="144"/>
      <c r="Q1482" s="144"/>
      <c r="R1482" s="144"/>
      <c r="S1482" s="144"/>
      <c r="T1482" s="144"/>
      <c r="U1482" s="144"/>
      <c r="V1482" s="50"/>
    </row>
    <row r="1483" spans="1:22" s="26" customFormat="1" ht="15" customHeight="1" x14ac:dyDescent="0.2">
      <c r="A1483" s="48">
        <v>41613.570324074099</v>
      </c>
      <c r="B1483" s="49" t="s">
        <v>38</v>
      </c>
      <c r="C1483" s="50" t="s">
        <v>682</v>
      </c>
      <c r="D1483" s="67">
        <v>41579</v>
      </c>
      <c r="E1483" s="50" t="s">
        <v>3298</v>
      </c>
      <c r="F1483" s="50" t="s">
        <v>3299</v>
      </c>
      <c r="G1483" s="49" t="s">
        <v>20</v>
      </c>
      <c r="H1483" s="50" t="s">
        <v>685</v>
      </c>
      <c r="I1483" s="50" t="s">
        <v>2926</v>
      </c>
      <c r="J1483" s="117">
        <v>1</v>
      </c>
      <c r="K1483" s="117">
        <v>15</v>
      </c>
      <c r="L1483" s="142"/>
      <c r="M1483" s="143" t="s">
        <v>44</v>
      </c>
      <c r="N1483" s="144">
        <v>45</v>
      </c>
      <c r="O1483" s="144"/>
      <c r="P1483" s="144"/>
      <c r="Q1483" s="144"/>
      <c r="R1483" s="144"/>
      <c r="S1483" s="144"/>
      <c r="T1483" s="144"/>
      <c r="U1483" s="144"/>
      <c r="V1483" s="50"/>
    </row>
    <row r="1484" spans="1:22" s="26" customFormat="1" ht="15" customHeight="1" x14ac:dyDescent="0.2">
      <c r="A1484" s="48">
        <v>41613.571678240703</v>
      </c>
      <c r="B1484" s="49" t="s">
        <v>38</v>
      </c>
      <c r="C1484" s="50" t="s">
        <v>682</v>
      </c>
      <c r="D1484" s="67">
        <v>41579</v>
      </c>
      <c r="E1484" s="50" t="s">
        <v>3300</v>
      </c>
      <c r="F1484" s="50" t="s">
        <v>3301</v>
      </c>
      <c r="G1484" s="49" t="s">
        <v>20</v>
      </c>
      <c r="H1484" s="50" t="s">
        <v>685</v>
      </c>
      <c r="I1484" s="50" t="s">
        <v>2926</v>
      </c>
      <c r="J1484" s="117">
        <v>1</v>
      </c>
      <c r="K1484" s="117">
        <v>44</v>
      </c>
      <c r="L1484" s="142"/>
      <c r="M1484" s="143" t="s">
        <v>44</v>
      </c>
      <c r="N1484" s="144">
        <v>150</v>
      </c>
      <c r="O1484" s="144"/>
      <c r="P1484" s="144">
        <v>450</v>
      </c>
      <c r="Q1484" s="144"/>
      <c r="R1484" s="144"/>
      <c r="S1484" s="144"/>
      <c r="T1484" s="144"/>
      <c r="U1484" s="144"/>
      <c r="V1484" s="50"/>
    </row>
    <row r="1485" spans="1:22" s="26" customFormat="1" ht="15" customHeight="1" x14ac:dyDescent="0.2">
      <c r="A1485" s="48">
        <v>41613.572881944398</v>
      </c>
      <c r="B1485" s="49" t="s">
        <v>38</v>
      </c>
      <c r="C1485" s="50" t="s">
        <v>682</v>
      </c>
      <c r="D1485" s="67">
        <v>41579</v>
      </c>
      <c r="E1485" s="50" t="s">
        <v>3306</v>
      </c>
      <c r="F1485" s="50" t="s">
        <v>3307</v>
      </c>
      <c r="G1485" s="49" t="s">
        <v>20</v>
      </c>
      <c r="H1485" s="50" t="s">
        <v>685</v>
      </c>
      <c r="I1485" s="50" t="s">
        <v>3308</v>
      </c>
      <c r="J1485" s="117">
        <v>4</v>
      </c>
      <c r="K1485" s="117">
        <v>168</v>
      </c>
      <c r="L1485" s="142"/>
      <c r="M1485" s="143" t="s">
        <v>44</v>
      </c>
      <c r="N1485" s="144">
        <v>500</v>
      </c>
      <c r="O1485" s="144"/>
      <c r="P1485" s="144">
        <v>450</v>
      </c>
      <c r="Q1485" s="144"/>
      <c r="R1485" s="144"/>
      <c r="S1485" s="144"/>
      <c r="T1485" s="144"/>
      <c r="U1485" s="144"/>
      <c r="V1485" s="50"/>
    </row>
    <row r="1486" spans="1:22" s="26" customFormat="1" ht="15" customHeight="1" x14ac:dyDescent="0.2">
      <c r="A1486" s="48">
        <v>41613.574131944399</v>
      </c>
      <c r="B1486" s="49" t="s">
        <v>38</v>
      </c>
      <c r="C1486" s="50" t="s">
        <v>682</v>
      </c>
      <c r="D1486" s="67">
        <v>41579</v>
      </c>
      <c r="E1486" s="50" t="s">
        <v>2952</v>
      </c>
      <c r="F1486" s="50" t="s">
        <v>3312</v>
      </c>
      <c r="G1486" s="49" t="s">
        <v>20</v>
      </c>
      <c r="H1486" s="50" t="s">
        <v>685</v>
      </c>
      <c r="I1486" s="50" t="s">
        <v>3313</v>
      </c>
      <c r="J1486" s="117">
        <v>2</v>
      </c>
      <c r="K1486" s="117">
        <v>87</v>
      </c>
      <c r="L1486" s="142"/>
      <c r="M1486" s="143" t="s">
        <v>44</v>
      </c>
      <c r="N1486" s="144">
        <v>261</v>
      </c>
      <c r="O1486" s="144"/>
      <c r="P1486" s="144">
        <v>450</v>
      </c>
      <c r="Q1486" s="144"/>
      <c r="R1486" s="144"/>
      <c r="S1486" s="144"/>
      <c r="T1486" s="144"/>
      <c r="U1486" s="144"/>
      <c r="V1486" s="50"/>
    </row>
    <row r="1487" spans="1:22" s="26" customFormat="1" ht="15" customHeight="1" x14ac:dyDescent="0.2">
      <c r="A1487" s="48">
        <v>41613.575011574103</v>
      </c>
      <c r="B1487" s="49" t="s">
        <v>38</v>
      </c>
      <c r="C1487" s="50" t="s">
        <v>682</v>
      </c>
      <c r="D1487" s="67">
        <v>41579</v>
      </c>
      <c r="E1487" s="50" t="s">
        <v>675</v>
      </c>
      <c r="F1487" s="50" t="s">
        <v>3314</v>
      </c>
      <c r="G1487" s="49" t="s">
        <v>20</v>
      </c>
      <c r="H1487" s="50" t="s">
        <v>685</v>
      </c>
      <c r="I1487" s="50" t="s">
        <v>3313</v>
      </c>
      <c r="J1487" s="117">
        <v>2</v>
      </c>
      <c r="K1487" s="117">
        <v>77</v>
      </c>
      <c r="L1487" s="142"/>
      <c r="M1487" s="143" t="s">
        <v>44</v>
      </c>
      <c r="N1487" s="144">
        <v>231</v>
      </c>
      <c r="O1487" s="144"/>
      <c r="P1487" s="144">
        <v>450</v>
      </c>
      <c r="Q1487" s="144"/>
      <c r="R1487" s="144"/>
      <c r="S1487" s="144"/>
      <c r="T1487" s="144"/>
      <c r="U1487" s="144"/>
      <c r="V1487" s="50"/>
    </row>
    <row r="1488" spans="1:22" s="26" customFormat="1" ht="15" customHeight="1" x14ac:dyDescent="0.2">
      <c r="A1488" s="48">
        <v>41613.576249999998</v>
      </c>
      <c r="B1488" s="49" t="s">
        <v>38</v>
      </c>
      <c r="C1488" s="50" t="s">
        <v>682</v>
      </c>
      <c r="D1488" s="67">
        <v>41579</v>
      </c>
      <c r="E1488" s="50" t="s">
        <v>3317</v>
      </c>
      <c r="F1488" s="50" t="s">
        <v>3318</v>
      </c>
      <c r="G1488" s="49" t="s">
        <v>20</v>
      </c>
      <c r="H1488" s="50" t="s">
        <v>685</v>
      </c>
      <c r="I1488" s="50" t="s">
        <v>3001</v>
      </c>
      <c r="J1488" s="117">
        <v>1</v>
      </c>
      <c r="K1488" s="117">
        <v>17</v>
      </c>
      <c r="L1488" s="142"/>
      <c r="M1488" s="143" t="s">
        <v>44</v>
      </c>
      <c r="N1488" s="144">
        <v>51</v>
      </c>
      <c r="O1488" s="144"/>
      <c r="P1488" s="144">
        <v>30</v>
      </c>
      <c r="Q1488" s="144"/>
      <c r="R1488" s="144"/>
      <c r="S1488" s="144"/>
      <c r="T1488" s="144"/>
      <c r="U1488" s="144"/>
      <c r="V1488" s="50"/>
    </row>
    <row r="1489" spans="1:25" s="26" customFormat="1" ht="15" customHeight="1" x14ac:dyDescent="0.2">
      <c r="A1489" s="32">
        <v>41642.456990740742</v>
      </c>
      <c r="B1489" s="26" t="s">
        <v>38</v>
      </c>
      <c r="C1489" s="26" t="s">
        <v>682</v>
      </c>
      <c r="D1489" s="68">
        <v>41609</v>
      </c>
      <c r="E1489" s="26" t="s">
        <v>691</v>
      </c>
      <c r="F1489" s="26" t="s">
        <v>8</v>
      </c>
      <c r="G1489" s="26" t="s">
        <v>60</v>
      </c>
      <c r="H1489" s="26" t="s">
        <v>3899</v>
      </c>
      <c r="I1489" s="26" t="s">
        <v>3900</v>
      </c>
      <c r="J1489" s="46">
        <v>48</v>
      </c>
      <c r="K1489" s="46">
        <v>97</v>
      </c>
      <c r="L1489" s="136"/>
      <c r="M1489" s="137" t="s">
        <v>44</v>
      </c>
      <c r="N1489" s="138"/>
      <c r="O1489" s="138"/>
      <c r="P1489" s="138">
        <v>435</v>
      </c>
      <c r="Q1489" s="138"/>
      <c r="R1489" s="138"/>
      <c r="S1489" s="138"/>
      <c r="T1489" s="138"/>
      <c r="U1489" s="138"/>
    </row>
    <row r="1490" spans="1:25" s="26" customFormat="1" ht="15" customHeight="1" x14ac:dyDescent="0.2">
      <c r="A1490" s="32">
        <v>41642.459618055553</v>
      </c>
      <c r="B1490" s="26" t="s">
        <v>38</v>
      </c>
      <c r="C1490" s="26" t="s">
        <v>682</v>
      </c>
      <c r="D1490" s="68">
        <v>41609</v>
      </c>
      <c r="E1490" s="26" t="s">
        <v>598</v>
      </c>
      <c r="F1490" s="26" t="s">
        <v>3901</v>
      </c>
      <c r="G1490" s="26" t="s">
        <v>42</v>
      </c>
      <c r="H1490" s="26" t="s">
        <v>685</v>
      </c>
      <c r="I1490" s="26" t="s">
        <v>2925</v>
      </c>
      <c r="J1490" s="46">
        <v>1</v>
      </c>
      <c r="K1490" s="46">
        <v>23</v>
      </c>
      <c r="L1490" s="136"/>
      <c r="M1490" s="137" t="s">
        <v>44</v>
      </c>
      <c r="N1490" s="138">
        <v>69</v>
      </c>
      <c r="O1490" s="138"/>
      <c r="P1490" s="138">
        <v>150</v>
      </c>
      <c r="Q1490" s="138"/>
      <c r="R1490" s="138"/>
      <c r="S1490" s="138"/>
      <c r="T1490" s="138"/>
      <c r="U1490" s="138"/>
    </row>
    <row r="1491" spans="1:25" s="26" customFormat="1" ht="15" customHeight="1" x14ac:dyDescent="0.2">
      <c r="A1491" s="32">
        <v>41642.460868055554</v>
      </c>
      <c r="B1491" s="26" t="s">
        <v>38</v>
      </c>
      <c r="C1491" s="26" t="s">
        <v>682</v>
      </c>
      <c r="D1491" s="68">
        <v>41609</v>
      </c>
      <c r="E1491" s="26" t="s">
        <v>2180</v>
      </c>
      <c r="F1491" s="26" t="s">
        <v>3902</v>
      </c>
      <c r="G1491" s="26" t="s">
        <v>42</v>
      </c>
      <c r="H1491" s="26" t="s">
        <v>685</v>
      </c>
      <c r="I1491" s="26" t="s">
        <v>3001</v>
      </c>
      <c r="J1491" s="46">
        <v>1</v>
      </c>
      <c r="K1491" s="46">
        <v>21</v>
      </c>
      <c r="L1491" s="136"/>
      <c r="M1491" s="137" t="s">
        <v>44</v>
      </c>
      <c r="N1491" s="138">
        <v>63</v>
      </c>
      <c r="O1491" s="138"/>
      <c r="P1491" s="138">
        <v>75</v>
      </c>
      <c r="Q1491" s="138"/>
      <c r="R1491" s="138"/>
      <c r="S1491" s="138"/>
      <c r="T1491" s="138"/>
      <c r="U1491" s="138"/>
    </row>
    <row r="1492" spans="1:25" s="26" customFormat="1" ht="15" customHeight="1" x14ac:dyDescent="0.2">
      <c r="A1492" s="55">
        <v>41672.566689814797</v>
      </c>
      <c r="B1492" s="52" t="s">
        <v>38</v>
      </c>
      <c r="C1492" s="52" t="s">
        <v>682</v>
      </c>
      <c r="D1492" s="69">
        <v>41640</v>
      </c>
      <c r="E1492" s="52" t="s">
        <v>4348</v>
      </c>
      <c r="F1492" s="52" t="s">
        <v>4349</v>
      </c>
      <c r="G1492" s="56" t="s">
        <v>26</v>
      </c>
      <c r="H1492" s="52" t="s">
        <v>4350</v>
      </c>
      <c r="I1492" s="52" t="s">
        <v>2926</v>
      </c>
      <c r="J1492" s="95">
        <v>1</v>
      </c>
      <c r="K1492" s="118">
        <v>70</v>
      </c>
      <c r="L1492" s="148">
        <v>210</v>
      </c>
      <c r="M1492" s="146" t="s">
        <v>44</v>
      </c>
      <c r="N1492" s="147"/>
      <c r="O1492" s="147">
        <v>50</v>
      </c>
      <c r="P1492" s="147"/>
      <c r="Q1492" s="147"/>
      <c r="R1492" s="147"/>
      <c r="S1492" s="147"/>
      <c r="T1492" s="147"/>
      <c r="U1492" s="149">
        <v>50</v>
      </c>
      <c r="V1492" s="52" t="s">
        <v>4351</v>
      </c>
      <c r="W1492" s="52"/>
      <c r="X1492" s="52"/>
      <c r="Y1492" s="52"/>
    </row>
    <row r="1493" spans="1:25" s="26" customFormat="1" ht="15" customHeight="1" x14ac:dyDescent="0.2">
      <c r="A1493" s="55">
        <v>41672.571087962999</v>
      </c>
      <c r="B1493" s="52" t="s">
        <v>38</v>
      </c>
      <c r="C1493" s="52" t="s">
        <v>682</v>
      </c>
      <c r="D1493" s="69">
        <v>41640</v>
      </c>
      <c r="E1493" s="52" t="s">
        <v>4352</v>
      </c>
      <c r="F1493" s="52" t="s">
        <v>3299</v>
      </c>
      <c r="G1493" s="52" t="s">
        <v>42</v>
      </c>
      <c r="H1493" s="52" t="s">
        <v>4353</v>
      </c>
      <c r="I1493" s="52" t="s">
        <v>2926</v>
      </c>
      <c r="J1493" s="95">
        <v>1</v>
      </c>
      <c r="K1493" s="118">
        <v>20</v>
      </c>
      <c r="L1493" s="148">
        <v>400</v>
      </c>
      <c r="M1493" s="146" t="s">
        <v>22</v>
      </c>
      <c r="N1493" s="147"/>
      <c r="O1493" s="147"/>
      <c r="P1493" s="147"/>
      <c r="Q1493" s="147"/>
      <c r="R1493" s="147"/>
      <c r="S1493" s="147"/>
      <c r="T1493" s="147"/>
      <c r="U1493" s="149"/>
      <c r="V1493" s="52" t="s">
        <v>4354</v>
      </c>
      <c r="W1493" s="52"/>
      <c r="X1493" s="52"/>
      <c r="Y1493" s="52"/>
    </row>
    <row r="1494" spans="1:25" s="26" customFormat="1" ht="15" customHeight="1" x14ac:dyDescent="0.2">
      <c r="A1494" s="55">
        <v>41672.572233796302</v>
      </c>
      <c r="B1494" s="52" t="s">
        <v>38</v>
      </c>
      <c r="C1494" s="52" t="s">
        <v>682</v>
      </c>
      <c r="D1494" s="69">
        <v>41640</v>
      </c>
      <c r="E1494" s="52" t="s">
        <v>1890</v>
      </c>
      <c r="F1494" s="52" t="s">
        <v>4355</v>
      </c>
      <c r="G1494" s="52" t="s">
        <v>42</v>
      </c>
      <c r="H1494" s="52" t="s">
        <v>685</v>
      </c>
      <c r="I1494" s="52" t="s">
        <v>2926</v>
      </c>
      <c r="J1494" s="95">
        <v>1</v>
      </c>
      <c r="K1494" s="118">
        <v>15</v>
      </c>
      <c r="L1494" s="148"/>
      <c r="M1494" s="146" t="s">
        <v>22</v>
      </c>
      <c r="N1494" s="147"/>
      <c r="O1494" s="147"/>
      <c r="P1494" s="147"/>
      <c r="Q1494" s="147"/>
      <c r="R1494" s="147"/>
      <c r="S1494" s="147"/>
      <c r="T1494" s="147"/>
      <c r="U1494" s="149"/>
      <c r="V1494" s="52"/>
      <c r="W1494" s="52"/>
      <c r="X1494" s="52"/>
      <c r="Y1494" s="52"/>
    </row>
    <row r="1495" spans="1:25" s="26" customFormat="1" ht="15" customHeight="1" x14ac:dyDescent="0.2">
      <c r="A1495" s="32">
        <v>41703.439606481479</v>
      </c>
      <c r="B1495" s="26" t="s">
        <v>38</v>
      </c>
      <c r="C1495" s="26" t="s">
        <v>682</v>
      </c>
      <c r="D1495" s="33">
        <v>41671</v>
      </c>
      <c r="E1495" s="26" t="s">
        <v>4895</v>
      </c>
      <c r="F1495" s="26" t="s">
        <v>4896</v>
      </c>
      <c r="G1495" s="26" t="s">
        <v>20</v>
      </c>
      <c r="H1495" s="26" t="s">
        <v>4897</v>
      </c>
      <c r="I1495" s="26" t="s">
        <v>2925</v>
      </c>
      <c r="J1495" s="46">
        <v>1</v>
      </c>
      <c r="K1495" s="46">
        <v>42</v>
      </c>
      <c r="L1495" s="136">
        <v>126</v>
      </c>
      <c r="M1495" s="137" t="s">
        <v>44</v>
      </c>
      <c r="N1495" s="138"/>
      <c r="O1495" s="138"/>
      <c r="P1495" s="138">
        <v>20</v>
      </c>
      <c r="Q1495" s="138"/>
      <c r="R1495" s="138"/>
      <c r="S1495" s="138"/>
      <c r="T1495" s="138"/>
      <c r="U1495" s="138"/>
    </row>
    <row r="1496" spans="1:25" s="26" customFormat="1" ht="15" customHeight="1" x14ac:dyDescent="0.2">
      <c r="A1496" s="32">
        <v>41703.441701388889</v>
      </c>
      <c r="B1496" s="26" t="s">
        <v>38</v>
      </c>
      <c r="C1496" s="26" t="s">
        <v>682</v>
      </c>
      <c r="D1496" s="33">
        <v>41671</v>
      </c>
      <c r="E1496" s="26" t="s">
        <v>4898</v>
      </c>
      <c r="F1496" s="26" t="s">
        <v>4899</v>
      </c>
      <c r="G1496" s="26" t="s">
        <v>351</v>
      </c>
      <c r="H1496" s="26" t="s">
        <v>4900</v>
      </c>
      <c r="I1496" s="26" t="s">
        <v>2926</v>
      </c>
      <c r="J1496" s="46">
        <v>1</v>
      </c>
      <c r="K1496" s="46">
        <v>50</v>
      </c>
      <c r="L1496" s="136"/>
      <c r="M1496" s="137" t="s">
        <v>22</v>
      </c>
      <c r="N1496" s="138"/>
      <c r="O1496" s="138"/>
      <c r="P1496" s="138"/>
      <c r="Q1496" s="138"/>
      <c r="R1496" s="138"/>
      <c r="S1496" s="138"/>
      <c r="T1496" s="138"/>
      <c r="U1496" s="138"/>
    </row>
    <row r="1497" spans="1:25" s="26" customFormat="1" ht="15" customHeight="1" x14ac:dyDescent="0.2">
      <c r="A1497" s="32">
        <v>41703.443854166668</v>
      </c>
      <c r="B1497" s="26" t="s">
        <v>38</v>
      </c>
      <c r="C1497" s="26" t="s">
        <v>682</v>
      </c>
      <c r="D1497" s="33">
        <v>41671</v>
      </c>
      <c r="E1497" s="26" t="s">
        <v>3546</v>
      </c>
      <c r="F1497" s="26" t="s">
        <v>4901</v>
      </c>
      <c r="G1497" s="26" t="s">
        <v>20</v>
      </c>
      <c r="H1497" s="26" t="s">
        <v>4897</v>
      </c>
      <c r="I1497" s="26" t="s">
        <v>2926</v>
      </c>
      <c r="J1497" s="46">
        <v>1</v>
      </c>
      <c r="K1497" s="46">
        <v>28</v>
      </c>
      <c r="L1497" s="136">
        <v>84</v>
      </c>
      <c r="M1497" s="137" t="s">
        <v>44</v>
      </c>
      <c r="N1497" s="138"/>
      <c r="O1497" s="138"/>
      <c r="P1497" s="138">
        <v>25</v>
      </c>
      <c r="Q1497" s="138"/>
      <c r="R1497" s="138"/>
      <c r="S1497" s="138"/>
      <c r="T1497" s="138"/>
      <c r="U1497" s="138"/>
    </row>
    <row r="1498" spans="1:25" s="26" customFormat="1" ht="15" customHeight="1" x14ac:dyDescent="0.2">
      <c r="A1498" s="32">
        <v>41703.445486111108</v>
      </c>
      <c r="B1498" s="26" t="s">
        <v>38</v>
      </c>
      <c r="C1498" s="26" t="s">
        <v>682</v>
      </c>
      <c r="D1498" s="33">
        <v>41671</v>
      </c>
      <c r="E1498" s="26" t="s">
        <v>720</v>
      </c>
      <c r="F1498" s="26" t="s">
        <v>4902</v>
      </c>
      <c r="G1498" s="26" t="s">
        <v>20</v>
      </c>
      <c r="H1498" s="26" t="s">
        <v>4897</v>
      </c>
      <c r="I1498" s="26" t="s">
        <v>2926</v>
      </c>
      <c r="J1498" s="46">
        <v>2</v>
      </c>
      <c r="K1498" s="46">
        <v>33</v>
      </c>
      <c r="L1498" s="136">
        <v>99</v>
      </c>
      <c r="M1498" s="137" t="s">
        <v>44</v>
      </c>
      <c r="N1498" s="138"/>
      <c r="O1498" s="138"/>
      <c r="P1498" s="138">
        <v>20</v>
      </c>
      <c r="Q1498" s="138"/>
      <c r="R1498" s="138"/>
      <c r="S1498" s="138"/>
      <c r="T1498" s="138"/>
      <c r="U1498" s="138"/>
    </row>
    <row r="1499" spans="1:25" s="26" customFormat="1" ht="15" customHeight="1" x14ac:dyDescent="0.2">
      <c r="A1499" s="32">
        <v>41703.446631944447</v>
      </c>
      <c r="B1499" s="26" t="s">
        <v>38</v>
      </c>
      <c r="C1499" s="26" t="s">
        <v>682</v>
      </c>
      <c r="D1499" s="33">
        <v>41671</v>
      </c>
      <c r="E1499" s="26" t="s">
        <v>4898</v>
      </c>
      <c r="F1499" s="26" t="s">
        <v>4903</v>
      </c>
      <c r="G1499" s="26" t="s">
        <v>42</v>
      </c>
      <c r="H1499" s="26" t="s">
        <v>4897</v>
      </c>
      <c r="I1499" s="26" t="s">
        <v>2926</v>
      </c>
      <c r="J1499" s="46">
        <v>1</v>
      </c>
      <c r="K1499" s="46">
        <v>20</v>
      </c>
      <c r="L1499" s="136">
        <v>60</v>
      </c>
      <c r="M1499" s="137"/>
      <c r="N1499" s="138"/>
      <c r="O1499" s="138"/>
      <c r="P1499" s="138">
        <v>25</v>
      </c>
      <c r="Q1499" s="138"/>
      <c r="R1499" s="138"/>
      <c r="S1499" s="138"/>
      <c r="T1499" s="138"/>
      <c r="U1499" s="138"/>
    </row>
    <row r="1500" spans="1:25" s="26" customFormat="1" ht="15" customHeight="1" x14ac:dyDescent="0.2">
      <c r="A1500" s="32">
        <v>41703.451238425929</v>
      </c>
      <c r="B1500" s="26" t="s">
        <v>38</v>
      </c>
      <c r="C1500" s="26" t="s">
        <v>682</v>
      </c>
      <c r="D1500" s="33">
        <v>41671</v>
      </c>
      <c r="E1500" s="26" t="s">
        <v>4904</v>
      </c>
      <c r="F1500" s="26" t="s">
        <v>2351</v>
      </c>
      <c r="G1500" s="26" t="s">
        <v>26</v>
      </c>
      <c r="H1500" s="26" t="s">
        <v>2351</v>
      </c>
      <c r="I1500" s="26" t="s">
        <v>2926</v>
      </c>
      <c r="J1500" s="46">
        <v>59</v>
      </c>
      <c r="K1500" s="46">
        <v>247</v>
      </c>
      <c r="L1500" s="136"/>
      <c r="M1500" s="137" t="s">
        <v>44</v>
      </c>
      <c r="N1500" s="138"/>
      <c r="O1500" s="138">
        <v>230</v>
      </c>
      <c r="P1500" s="138">
        <v>1000</v>
      </c>
      <c r="Q1500" s="138"/>
      <c r="R1500" s="138"/>
      <c r="S1500" s="138"/>
      <c r="T1500" s="138"/>
      <c r="U1500" s="138"/>
    </row>
    <row r="1501" spans="1:25" s="26" customFormat="1" ht="15" customHeight="1" x14ac:dyDescent="0.2">
      <c r="A1501" s="32">
        <v>41731.41375</v>
      </c>
      <c r="B1501" s="26" t="s">
        <v>38</v>
      </c>
      <c r="C1501" s="26" t="s">
        <v>682</v>
      </c>
      <c r="D1501" s="33">
        <v>41699</v>
      </c>
      <c r="E1501" s="26" t="s">
        <v>5511</v>
      </c>
      <c r="F1501" s="26" t="s">
        <v>5512</v>
      </c>
      <c r="G1501" s="26" t="s">
        <v>20</v>
      </c>
      <c r="H1501" s="26" t="s">
        <v>5513</v>
      </c>
      <c r="I1501" s="26" t="s">
        <v>2926</v>
      </c>
      <c r="J1501" s="46">
        <v>1</v>
      </c>
      <c r="K1501" s="46">
        <v>146</v>
      </c>
      <c r="L1501" s="136">
        <v>429</v>
      </c>
      <c r="M1501" s="137" t="s">
        <v>44</v>
      </c>
      <c r="N1501" s="138"/>
      <c r="O1501" s="138"/>
      <c r="P1501" s="138">
        <v>25</v>
      </c>
      <c r="Q1501" s="138"/>
      <c r="R1501" s="138"/>
      <c r="S1501" s="138"/>
      <c r="T1501" s="138"/>
      <c r="U1501" s="138"/>
    </row>
    <row r="1502" spans="1:25" s="26" customFormat="1" ht="15" customHeight="1" x14ac:dyDescent="0.2">
      <c r="A1502" s="32">
        <v>41731.415451388886</v>
      </c>
      <c r="B1502" s="26" t="s">
        <v>38</v>
      </c>
      <c r="C1502" s="26" t="s">
        <v>682</v>
      </c>
      <c r="D1502" s="33">
        <v>41699</v>
      </c>
      <c r="E1502" s="26" t="s">
        <v>5515</v>
      </c>
      <c r="F1502" s="26" t="s">
        <v>5516</v>
      </c>
      <c r="G1502" s="26" t="s">
        <v>20</v>
      </c>
      <c r="H1502" s="26" t="s">
        <v>4897</v>
      </c>
      <c r="I1502" s="26" t="s">
        <v>2925</v>
      </c>
      <c r="J1502" s="46">
        <v>1</v>
      </c>
      <c r="K1502" s="46">
        <v>57</v>
      </c>
      <c r="L1502" s="136">
        <v>171</v>
      </c>
      <c r="M1502" s="137" t="s">
        <v>44</v>
      </c>
      <c r="N1502" s="138"/>
      <c r="O1502" s="138"/>
      <c r="P1502" s="138">
        <v>20</v>
      </c>
      <c r="Q1502" s="138"/>
      <c r="R1502" s="138"/>
      <c r="S1502" s="138"/>
      <c r="T1502" s="138"/>
      <c r="U1502" s="138"/>
    </row>
    <row r="1503" spans="1:25" s="26" customFormat="1" ht="15" customHeight="1" x14ac:dyDescent="0.2">
      <c r="A1503" s="32">
        <v>41731.428472222222</v>
      </c>
      <c r="B1503" s="26" t="s">
        <v>38</v>
      </c>
      <c r="C1503" s="26" t="s">
        <v>682</v>
      </c>
      <c r="D1503" s="33">
        <v>41699</v>
      </c>
      <c r="E1503" s="26" t="s">
        <v>5517</v>
      </c>
      <c r="F1503" s="26" t="s">
        <v>5518</v>
      </c>
      <c r="G1503" s="26" t="s">
        <v>42</v>
      </c>
      <c r="H1503" s="26" t="s">
        <v>4897</v>
      </c>
      <c r="I1503" s="26" t="s">
        <v>2925</v>
      </c>
      <c r="J1503" s="46">
        <v>1</v>
      </c>
      <c r="K1503" s="46">
        <v>17</v>
      </c>
      <c r="L1503" s="136">
        <v>60</v>
      </c>
      <c r="M1503" s="137" t="s">
        <v>22</v>
      </c>
      <c r="N1503" s="138"/>
      <c r="O1503" s="138"/>
      <c r="P1503" s="138"/>
      <c r="Q1503" s="138"/>
      <c r="R1503" s="138"/>
      <c r="S1503" s="138"/>
      <c r="T1503" s="138"/>
      <c r="U1503" s="138"/>
    </row>
    <row r="1504" spans="1:25" s="26" customFormat="1" ht="15" customHeight="1" x14ac:dyDescent="0.2">
      <c r="A1504" s="32">
        <v>41731.431388888886</v>
      </c>
      <c r="B1504" s="26" t="s">
        <v>38</v>
      </c>
      <c r="C1504" s="26" t="s">
        <v>682</v>
      </c>
      <c r="D1504" s="33">
        <v>41699</v>
      </c>
      <c r="E1504" s="74">
        <v>41699</v>
      </c>
      <c r="F1504" s="26" t="s">
        <v>5519</v>
      </c>
      <c r="G1504" s="26" t="s">
        <v>60</v>
      </c>
      <c r="H1504" s="26" t="s">
        <v>5520</v>
      </c>
      <c r="I1504" s="26" t="s">
        <v>5521</v>
      </c>
      <c r="J1504" s="46">
        <v>215</v>
      </c>
      <c r="K1504" s="46">
        <v>571</v>
      </c>
      <c r="L1504" s="136"/>
      <c r="M1504" s="137" t="s">
        <v>44</v>
      </c>
      <c r="N1504" s="138"/>
      <c r="O1504" s="138">
        <v>20</v>
      </c>
      <c r="P1504" s="138">
        <v>25</v>
      </c>
      <c r="Q1504" s="138"/>
      <c r="R1504" s="138"/>
      <c r="S1504" s="138"/>
      <c r="T1504" s="138"/>
      <c r="U1504" s="138"/>
    </row>
    <row r="1505" spans="1:25" s="26" customFormat="1" ht="15" customHeight="1" x14ac:dyDescent="0.2">
      <c r="A1505" s="78">
        <v>41763.579965277801</v>
      </c>
      <c r="B1505" s="63" t="s">
        <v>38</v>
      </c>
      <c r="C1505" s="63" t="s">
        <v>682</v>
      </c>
      <c r="D1505" s="97" t="s">
        <v>6076</v>
      </c>
      <c r="E1505" s="63" t="s">
        <v>6333</v>
      </c>
      <c r="F1505" s="63" t="s">
        <v>6334</v>
      </c>
      <c r="G1505" s="63" t="s">
        <v>42</v>
      </c>
      <c r="H1505" s="63" t="s">
        <v>685</v>
      </c>
      <c r="I1505" s="63" t="s">
        <v>2926</v>
      </c>
      <c r="J1505" s="108">
        <v>1</v>
      </c>
      <c r="K1505" s="108">
        <v>20</v>
      </c>
      <c r="L1505" s="154">
        <v>60</v>
      </c>
      <c r="M1505" s="155" t="s">
        <v>22</v>
      </c>
      <c r="N1505" s="154"/>
      <c r="O1505" s="154"/>
      <c r="P1505" s="154"/>
      <c r="Q1505" s="154"/>
      <c r="R1505" s="154"/>
      <c r="S1505" s="154"/>
      <c r="T1505" s="154"/>
      <c r="U1505" s="154"/>
      <c r="V1505" s="65"/>
    </row>
    <row r="1506" spans="1:25" s="26" customFormat="1" ht="15" customHeight="1" x14ac:dyDescent="0.2">
      <c r="A1506" s="78">
        <v>41763.581145833297</v>
      </c>
      <c r="B1506" s="63" t="s">
        <v>38</v>
      </c>
      <c r="C1506" s="63" t="s">
        <v>682</v>
      </c>
      <c r="D1506" s="97" t="s">
        <v>6076</v>
      </c>
      <c r="E1506" s="63" t="s">
        <v>6335</v>
      </c>
      <c r="F1506" s="63" t="s">
        <v>6336</v>
      </c>
      <c r="G1506" s="63" t="s">
        <v>20</v>
      </c>
      <c r="H1506" s="63" t="s">
        <v>685</v>
      </c>
      <c r="I1506" s="63" t="s">
        <v>2925</v>
      </c>
      <c r="J1506" s="108">
        <v>2</v>
      </c>
      <c r="K1506" s="108">
        <v>59</v>
      </c>
      <c r="L1506" s="154">
        <v>177</v>
      </c>
      <c r="M1506" s="155" t="s">
        <v>44</v>
      </c>
      <c r="N1506" s="154"/>
      <c r="O1506" s="154"/>
      <c r="P1506" s="154">
        <v>20</v>
      </c>
      <c r="Q1506" s="154"/>
      <c r="R1506" s="154"/>
      <c r="S1506" s="154"/>
      <c r="T1506" s="154"/>
      <c r="U1506" s="154"/>
      <c r="V1506" s="65"/>
    </row>
    <row r="1507" spans="1:25" s="26" customFormat="1" ht="15" customHeight="1" x14ac:dyDescent="0.2">
      <c r="A1507" s="103">
        <v>41763.5867939815</v>
      </c>
      <c r="B1507" s="104" t="s">
        <v>38</v>
      </c>
      <c r="C1507" s="63" t="s">
        <v>682</v>
      </c>
      <c r="D1507" s="81" t="s">
        <v>6076</v>
      </c>
      <c r="E1507" s="104" t="s">
        <v>6337</v>
      </c>
      <c r="F1507" s="104" t="s">
        <v>6338</v>
      </c>
      <c r="G1507" s="104" t="s">
        <v>26</v>
      </c>
      <c r="H1507" s="104" t="s">
        <v>6339</v>
      </c>
      <c r="I1507" s="104" t="s">
        <v>2926</v>
      </c>
      <c r="J1507" s="108">
        <v>1</v>
      </c>
      <c r="K1507" s="108">
        <v>500</v>
      </c>
      <c r="L1507" s="154">
        <v>420</v>
      </c>
      <c r="M1507" s="155" t="s">
        <v>22</v>
      </c>
      <c r="N1507" s="154"/>
      <c r="O1507" s="154"/>
      <c r="P1507" s="154"/>
      <c r="Q1507" s="154"/>
      <c r="R1507" s="154"/>
      <c r="S1507" s="154"/>
      <c r="T1507" s="154"/>
      <c r="U1507" s="154"/>
      <c r="V1507" s="110" t="s">
        <v>6340</v>
      </c>
      <c r="W1507" s="91"/>
      <c r="X1507" s="91"/>
      <c r="Y1507" s="91"/>
    </row>
    <row r="1508" spans="1:25" s="26" customFormat="1" ht="15" customHeight="1" x14ac:dyDescent="0.2">
      <c r="A1508" s="78">
        <v>41763.588807870401</v>
      </c>
      <c r="B1508" s="63" t="s">
        <v>38</v>
      </c>
      <c r="C1508" s="63" t="s">
        <v>682</v>
      </c>
      <c r="D1508" s="97" t="s">
        <v>6076</v>
      </c>
      <c r="E1508" s="63" t="s">
        <v>6341</v>
      </c>
      <c r="F1508" s="63" t="s">
        <v>6342</v>
      </c>
      <c r="G1508" s="63" t="s">
        <v>20</v>
      </c>
      <c r="H1508" s="63" t="s">
        <v>685</v>
      </c>
      <c r="I1508" s="63" t="s">
        <v>2925</v>
      </c>
      <c r="J1508" s="108">
        <v>1</v>
      </c>
      <c r="K1508" s="108">
        <v>45</v>
      </c>
      <c r="L1508" s="154">
        <v>135</v>
      </c>
      <c r="M1508" s="155" t="s">
        <v>22</v>
      </c>
      <c r="N1508" s="154"/>
      <c r="O1508" s="154"/>
      <c r="P1508" s="154"/>
      <c r="Q1508" s="154"/>
      <c r="R1508" s="154"/>
      <c r="S1508" s="154"/>
      <c r="T1508" s="154"/>
      <c r="U1508" s="154"/>
      <c r="V1508" s="65"/>
    </row>
    <row r="1509" spans="1:25" s="26" customFormat="1" ht="15" customHeight="1" x14ac:dyDescent="0.2">
      <c r="A1509" s="78">
        <v>41763.589675925898</v>
      </c>
      <c r="B1509" s="63" t="s">
        <v>38</v>
      </c>
      <c r="C1509" s="63" t="s">
        <v>682</v>
      </c>
      <c r="D1509" s="97" t="s">
        <v>6076</v>
      </c>
      <c r="E1509" s="63" t="s">
        <v>6343</v>
      </c>
      <c r="F1509" s="63" t="s">
        <v>6344</v>
      </c>
      <c r="G1509" s="63" t="s">
        <v>20</v>
      </c>
      <c r="H1509" s="63" t="s">
        <v>685</v>
      </c>
      <c r="I1509" s="63" t="s">
        <v>2925</v>
      </c>
      <c r="J1509" s="108">
        <v>3</v>
      </c>
      <c r="K1509" s="108">
        <v>111</v>
      </c>
      <c r="L1509" s="154">
        <v>333</v>
      </c>
      <c r="M1509" s="155" t="s">
        <v>22</v>
      </c>
      <c r="N1509" s="154"/>
      <c r="O1509" s="154"/>
      <c r="P1509" s="154"/>
      <c r="Q1509" s="154"/>
      <c r="R1509" s="154"/>
      <c r="S1509" s="154"/>
      <c r="T1509" s="154"/>
      <c r="U1509" s="154"/>
      <c r="V1509" s="65"/>
    </row>
    <row r="1510" spans="1:25" s="26" customFormat="1" ht="15" customHeight="1" x14ac:dyDescent="0.2">
      <c r="A1510" s="78">
        <v>41763.590740740699</v>
      </c>
      <c r="B1510" s="63" t="s">
        <v>38</v>
      </c>
      <c r="C1510" s="63" t="s">
        <v>682</v>
      </c>
      <c r="D1510" s="97" t="s">
        <v>6076</v>
      </c>
      <c r="E1510" s="63" t="s">
        <v>6345</v>
      </c>
      <c r="F1510" s="63" t="s">
        <v>6346</v>
      </c>
      <c r="G1510" s="63" t="s">
        <v>20</v>
      </c>
      <c r="H1510" s="63" t="s">
        <v>685</v>
      </c>
      <c r="I1510" s="63" t="s">
        <v>2925</v>
      </c>
      <c r="J1510" s="108">
        <v>1</v>
      </c>
      <c r="K1510" s="108">
        <v>25</v>
      </c>
      <c r="L1510" s="154">
        <v>75</v>
      </c>
      <c r="M1510" s="155" t="s">
        <v>44</v>
      </c>
      <c r="N1510" s="154"/>
      <c r="O1510" s="154"/>
      <c r="P1510" s="154">
        <v>25</v>
      </c>
      <c r="Q1510" s="154"/>
      <c r="R1510" s="154"/>
      <c r="S1510" s="154"/>
      <c r="T1510" s="154"/>
      <c r="U1510" s="154"/>
      <c r="V1510" s="65"/>
    </row>
    <row r="1511" spans="1:25" s="26" customFormat="1" ht="15" customHeight="1" x14ac:dyDescent="0.2">
      <c r="A1511" s="103">
        <v>41763.607881944401</v>
      </c>
      <c r="B1511" s="104" t="s">
        <v>38</v>
      </c>
      <c r="C1511" s="63" t="s">
        <v>682</v>
      </c>
      <c r="D1511" s="81" t="s">
        <v>6076</v>
      </c>
      <c r="E1511" s="104" t="s">
        <v>6347</v>
      </c>
      <c r="F1511" s="104" t="s">
        <v>6348</v>
      </c>
      <c r="G1511" s="104" t="s">
        <v>26</v>
      </c>
      <c r="H1511" s="104" t="s">
        <v>6348</v>
      </c>
      <c r="I1511" s="104" t="s">
        <v>6349</v>
      </c>
      <c r="J1511" s="108">
        <v>163</v>
      </c>
      <c r="K1511" s="108">
        <v>699</v>
      </c>
      <c r="L1511" s="154">
        <v>2800</v>
      </c>
      <c r="M1511" s="155" t="s">
        <v>44</v>
      </c>
      <c r="N1511" s="154"/>
      <c r="O1511" s="154"/>
      <c r="P1511" s="154">
        <v>200</v>
      </c>
      <c r="Q1511" s="154"/>
      <c r="R1511" s="154"/>
      <c r="S1511" s="154"/>
      <c r="T1511" s="154"/>
      <c r="U1511" s="154"/>
      <c r="V1511" s="110"/>
      <c r="W1511" s="91"/>
      <c r="X1511" s="91"/>
      <c r="Y1511" s="91"/>
    </row>
    <row r="1512" spans="1:25" s="26" customFormat="1" ht="15" customHeight="1" x14ac:dyDescent="0.2">
      <c r="A1512" s="103">
        <v>41794.476944444403</v>
      </c>
      <c r="B1512" s="104" t="s">
        <v>16</v>
      </c>
      <c r="C1512" s="63" t="s">
        <v>986</v>
      </c>
      <c r="D1512" s="81" t="s">
        <v>6224</v>
      </c>
      <c r="E1512" s="104" t="s">
        <v>7188</v>
      </c>
      <c r="F1512" s="104" t="s">
        <v>7189</v>
      </c>
      <c r="G1512" s="104" t="s">
        <v>20</v>
      </c>
      <c r="H1512" s="104" t="s">
        <v>7190</v>
      </c>
      <c r="I1512" s="104" t="s">
        <v>2986</v>
      </c>
      <c r="J1512" s="108">
        <v>1</v>
      </c>
      <c r="K1512" s="108">
        <v>16</v>
      </c>
      <c r="L1512" s="156">
        <v>64</v>
      </c>
      <c r="M1512" s="155" t="s">
        <v>22</v>
      </c>
      <c r="N1512" s="154"/>
      <c r="O1512" s="154"/>
      <c r="P1512" s="154"/>
      <c r="Q1512" s="154"/>
      <c r="R1512" s="154"/>
      <c r="S1512" s="154"/>
      <c r="T1512" s="154"/>
      <c r="U1512" s="154"/>
      <c r="V1512" s="110"/>
      <c r="W1512" s="91"/>
      <c r="X1512" s="91"/>
      <c r="Y1512" s="91"/>
    </row>
    <row r="1513" spans="1:25" s="26" customFormat="1" ht="15" customHeight="1" x14ac:dyDescent="0.2">
      <c r="A1513" s="103">
        <v>41794.503206018497</v>
      </c>
      <c r="B1513" s="104" t="s">
        <v>16</v>
      </c>
      <c r="C1513" s="63" t="s">
        <v>986</v>
      </c>
      <c r="D1513" s="81" t="s">
        <v>6224</v>
      </c>
      <c r="E1513" s="104" t="s">
        <v>7191</v>
      </c>
      <c r="F1513" s="104" t="s">
        <v>7192</v>
      </c>
      <c r="G1513" s="104" t="s">
        <v>20</v>
      </c>
      <c r="H1513" s="104" t="s">
        <v>7193</v>
      </c>
      <c r="I1513" s="104" t="s">
        <v>2986</v>
      </c>
      <c r="J1513" s="108">
        <v>1</v>
      </c>
      <c r="K1513" s="108">
        <v>27</v>
      </c>
      <c r="L1513" s="156">
        <v>108</v>
      </c>
      <c r="M1513" s="155" t="s">
        <v>22</v>
      </c>
      <c r="N1513" s="154"/>
      <c r="O1513" s="154"/>
      <c r="P1513" s="154"/>
      <c r="Q1513" s="154"/>
      <c r="R1513" s="154"/>
      <c r="S1513" s="154"/>
      <c r="T1513" s="154"/>
      <c r="U1513" s="154"/>
      <c r="V1513" s="110"/>
      <c r="W1513" s="91"/>
      <c r="X1513" s="91"/>
      <c r="Y1513" s="91"/>
    </row>
    <row r="1514" spans="1:25" s="26" customFormat="1" ht="15" customHeight="1" x14ac:dyDescent="0.2">
      <c r="A1514" s="103">
        <v>41794.599108796298</v>
      </c>
      <c r="B1514" s="104" t="s">
        <v>38</v>
      </c>
      <c r="C1514" s="63" t="s">
        <v>187</v>
      </c>
      <c r="D1514" s="81" t="s">
        <v>6224</v>
      </c>
      <c r="E1514" s="104" t="s">
        <v>7194</v>
      </c>
      <c r="F1514" s="104" t="s">
        <v>7195</v>
      </c>
      <c r="G1514" s="104" t="s">
        <v>26</v>
      </c>
      <c r="H1514" s="104" t="s">
        <v>7196</v>
      </c>
      <c r="I1514" s="104" t="s">
        <v>2812</v>
      </c>
      <c r="J1514" s="108">
        <v>2</v>
      </c>
      <c r="K1514" s="108">
        <v>21</v>
      </c>
      <c r="L1514" s="156">
        <v>147</v>
      </c>
      <c r="M1514" s="155" t="s">
        <v>22</v>
      </c>
      <c r="N1514" s="154"/>
      <c r="O1514" s="154"/>
      <c r="P1514" s="154"/>
      <c r="Q1514" s="154"/>
      <c r="R1514" s="154"/>
      <c r="S1514" s="154"/>
      <c r="T1514" s="154"/>
      <c r="U1514" s="154"/>
      <c r="V1514" s="110"/>
      <c r="W1514" s="91"/>
      <c r="X1514" s="91"/>
      <c r="Y1514" s="91"/>
    </row>
    <row r="1515" spans="1:25" s="26" customFormat="1" ht="15" customHeight="1" x14ac:dyDescent="0.2">
      <c r="A1515" s="103">
        <v>41794.601331018501</v>
      </c>
      <c r="B1515" s="104" t="s">
        <v>38</v>
      </c>
      <c r="C1515" s="63" t="s">
        <v>187</v>
      </c>
      <c r="D1515" s="81" t="s">
        <v>6224</v>
      </c>
      <c r="E1515" s="104" t="s">
        <v>4860</v>
      </c>
      <c r="F1515" s="104" t="s">
        <v>2402</v>
      </c>
      <c r="G1515" s="104" t="s">
        <v>26</v>
      </c>
      <c r="H1515" s="104" t="s">
        <v>2402</v>
      </c>
      <c r="I1515" s="104" t="s">
        <v>2812</v>
      </c>
      <c r="J1515" s="108">
        <v>2</v>
      </c>
      <c r="K1515" s="108">
        <v>3</v>
      </c>
      <c r="L1515" s="156">
        <v>21</v>
      </c>
      <c r="M1515" s="155" t="s">
        <v>22</v>
      </c>
      <c r="N1515" s="154"/>
      <c r="O1515" s="154"/>
      <c r="P1515" s="154"/>
      <c r="Q1515" s="154"/>
      <c r="R1515" s="154"/>
      <c r="S1515" s="154"/>
      <c r="T1515" s="154"/>
      <c r="U1515" s="154"/>
      <c r="V1515" s="110"/>
      <c r="W1515" s="91"/>
      <c r="X1515" s="91"/>
      <c r="Y1515" s="91"/>
    </row>
    <row r="1516" spans="1:25" s="26" customFormat="1" ht="15" customHeight="1" x14ac:dyDescent="0.2">
      <c r="A1516" s="103">
        <v>41794.646481481497</v>
      </c>
      <c r="B1516" s="104" t="s">
        <v>38</v>
      </c>
      <c r="C1516" s="63" t="s">
        <v>187</v>
      </c>
      <c r="D1516" s="81" t="s">
        <v>6224</v>
      </c>
      <c r="E1516" s="104" t="s">
        <v>4860</v>
      </c>
      <c r="F1516" s="104" t="s">
        <v>7197</v>
      </c>
      <c r="G1516" s="104" t="s">
        <v>26</v>
      </c>
      <c r="H1516" s="104" t="s">
        <v>7198</v>
      </c>
      <c r="I1516" s="104" t="s">
        <v>2812</v>
      </c>
      <c r="J1516" s="108">
        <v>1</v>
      </c>
      <c r="K1516" s="108">
        <v>5</v>
      </c>
      <c r="L1516" s="156">
        <v>50</v>
      </c>
      <c r="M1516" s="155" t="s">
        <v>22</v>
      </c>
      <c r="N1516" s="154"/>
      <c r="O1516" s="154"/>
      <c r="P1516" s="154"/>
      <c r="Q1516" s="154"/>
      <c r="R1516" s="154"/>
      <c r="S1516" s="154"/>
      <c r="T1516" s="154"/>
      <c r="U1516" s="154"/>
      <c r="V1516" s="110"/>
      <c r="W1516" s="91"/>
      <c r="X1516" s="91"/>
      <c r="Y1516" s="91"/>
    </row>
    <row r="1517" spans="1:25" s="26" customFormat="1" ht="15" customHeight="1" x14ac:dyDescent="0.2">
      <c r="A1517" s="103">
        <v>41794.660324074102</v>
      </c>
      <c r="B1517" s="104" t="s">
        <v>16</v>
      </c>
      <c r="C1517" s="63" t="s">
        <v>545</v>
      </c>
      <c r="D1517" s="81" t="s">
        <v>6224</v>
      </c>
      <c r="E1517" s="104" t="s">
        <v>7199</v>
      </c>
      <c r="F1517" s="104" t="s">
        <v>7331</v>
      </c>
      <c r="G1517" s="104" t="s">
        <v>20</v>
      </c>
      <c r="H1517" s="104" t="s">
        <v>7200</v>
      </c>
      <c r="I1517" s="104" t="s">
        <v>6700</v>
      </c>
      <c r="J1517" s="108">
        <v>16</v>
      </c>
      <c r="K1517" s="108">
        <v>120</v>
      </c>
      <c r="L1517" s="156"/>
      <c r="M1517" s="155" t="s">
        <v>44</v>
      </c>
      <c r="N1517" s="154">
        <v>304</v>
      </c>
      <c r="O1517" s="154"/>
      <c r="P1517" s="154">
        <v>637</v>
      </c>
      <c r="Q1517" s="154"/>
      <c r="R1517" s="154"/>
      <c r="S1517" s="154"/>
      <c r="T1517" s="154"/>
      <c r="U1517" s="154"/>
      <c r="V1517" s="110"/>
      <c r="W1517" s="91"/>
      <c r="X1517" s="91"/>
      <c r="Y1517" s="91"/>
    </row>
    <row r="1518" spans="1:25" s="26" customFormat="1" ht="15" customHeight="1" x14ac:dyDescent="0.2">
      <c r="A1518" s="103">
        <v>41794.662106481497</v>
      </c>
      <c r="B1518" s="104" t="s">
        <v>16</v>
      </c>
      <c r="C1518" s="63" t="s">
        <v>545</v>
      </c>
      <c r="D1518" s="81" t="s">
        <v>6224</v>
      </c>
      <c r="E1518" s="104" t="s">
        <v>7201</v>
      </c>
      <c r="F1518" s="104" t="s">
        <v>7202</v>
      </c>
      <c r="G1518" s="104" t="s">
        <v>156</v>
      </c>
      <c r="H1518" s="104" t="s">
        <v>7203</v>
      </c>
      <c r="I1518" s="104" t="s">
        <v>6700</v>
      </c>
      <c r="J1518" s="108">
        <v>1</v>
      </c>
      <c r="K1518" s="108">
        <v>138</v>
      </c>
      <c r="L1518" s="156"/>
      <c r="M1518" s="155" t="s">
        <v>44</v>
      </c>
      <c r="N1518" s="154">
        <v>277</v>
      </c>
      <c r="O1518" s="154"/>
      <c r="P1518" s="154">
        <v>191</v>
      </c>
      <c r="Q1518" s="154"/>
      <c r="R1518" s="154"/>
      <c r="S1518" s="154"/>
      <c r="T1518" s="154"/>
      <c r="U1518" s="154"/>
      <c r="V1518" s="110" t="s">
        <v>7204</v>
      </c>
      <c r="W1518" s="91"/>
      <c r="X1518" s="91"/>
      <c r="Y1518" s="91"/>
    </row>
    <row r="1519" spans="1:25" s="26" customFormat="1" ht="15" customHeight="1" x14ac:dyDescent="0.2">
      <c r="A1519" s="103">
        <v>41794.663194444402</v>
      </c>
      <c r="B1519" s="104" t="s">
        <v>38</v>
      </c>
      <c r="C1519" s="63" t="s">
        <v>187</v>
      </c>
      <c r="D1519" s="81" t="s">
        <v>6224</v>
      </c>
      <c r="E1519" s="104" t="s">
        <v>623</v>
      </c>
      <c r="F1519" s="104" t="s">
        <v>7205</v>
      </c>
      <c r="G1519" s="104" t="s">
        <v>20</v>
      </c>
      <c r="H1519" s="104" t="s">
        <v>7205</v>
      </c>
      <c r="I1519" s="104" t="s">
        <v>3001</v>
      </c>
      <c r="J1519" s="108">
        <v>6</v>
      </c>
      <c r="K1519" s="108">
        <v>348</v>
      </c>
      <c r="L1519" s="156">
        <v>1044</v>
      </c>
      <c r="M1519" s="155" t="s">
        <v>44</v>
      </c>
      <c r="N1519" s="154"/>
      <c r="O1519" s="154"/>
      <c r="P1519" s="154">
        <v>100</v>
      </c>
      <c r="Q1519" s="154"/>
      <c r="R1519" s="154"/>
      <c r="S1519" s="154"/>
      <c r="T1519" s="154"/>
      <c r="U1519" s="154"/>
      <c r="V1519" s="110"/>
      <c r="W1519" s="91"/>
      <c r="X1519" s="91"/>
      <c r="Y1519" s="91"/>
    </row>
    <row r="1520" spans="1:25" s="26" customFormat="1" ht="15" customHeight="1" x14ac:dyDescent="0.2">
      <c r="A1520" s="103">
        <v>41794.664537037002</v>
      </c>
      <c r="B1520" s="104" t="s">
        <v>38</v>
      </c>
      <c r="C1520" s="63" t="s">
        <v>187</v>
      </c>
      <c r="D1520" s="81" t="s">
        <v>6224</v>
      </c>
      <c r="E1520" s="104" t="s">
        <v>3201</v>
      </c>
      <c r="F1520" s="104" t="s">
        <v>149</v>
      </c>
      <c r="G1520" s="104" t="s">
        <v>42</v>
      </c>
      <c r="H1520" s="104" t="s">
        <v>149</v>
      </c>
      <c r="I1520" s="104" t="s">
        <v>3001</v>
      </c>
      <c r="J1520" s="108">
        <v>1</v>
      </c>
      <c r="K1520" s="108">
        <v>10</v>
      </c>
      <c r="L1520" s="156">
        <v>50</v>
      </c>
      <c r="M1520" s="155" t="s">
        <v>22</v>
      </c>
      <c r="N1520" s="154"/>
      <c r="O1520" s="154"/>
      <c r="P1520" s="154"/>
      <c r="Q1520" s="154"/>
      <c r="R1520" s="154"/>
      <c r="S1520" s="154"/>
      <c r="T1520" s="154"/>
      <c r="U1520" s="154"/>
      <c r="V1520" s="110"/>
      <c r="W1520" s="91"/>
      <c r="X1520" s="91"/>
      <c r="Y1520" s="91"/>
    </row>
    <row r="1521" spans="1:25" s="26" customFormat="1" ht="15" customHeight="1" x14ac:dyDescent="0.2">
      <c r="A1521" s="103">
        <v>41794.666678240697</v>
      </c>
      <c r="B1521" s="104" t="s">
        <v>38</v>
      </c>
      <c r="C1521" s="63" t="s">
        <v>187</v>
      </c>
      <c r="D1521" s="81" t="s">
        <v>6224</v>
      </c>
      <c r="E1521" s="104" t="s">
        <v>1535</v>
      </c>
      <c r="F1521" s="104" t="s">
        <v>5394</v>
      </c>
      <c r="G1521" s="104" t="s">
        <v>42</v>
      </c>
      <c r="H1521" s="104" t="s">
        <v>7206</v>
      </c>
      <c r="I1521" s="104" t="s">
        <v>3171</v>
      </c>
      <c r="J1521" s="108">
        <v>1</v>
      </c>
      <c r="K1521" s="108">
        <v>20</v>
      </c>
      <c r="L1521" s="156">
        <v>200</v>
      </c>
      <c r="M1521" s="155" t="s">
        <v>22</v>
      </c>
      <c r="N1521" s="154"/>
      <c r="O1521" s="154"/>
      <c r="P1521" s="154"/>
      <c r="Q1521" s="154"/>
      <c r="R1521" s="154"/>
      <c r="S1521" s="154"/>
      <c r="T1521" s="154"/>
      <c r="U1521" s="154"/>
      <c r="V1521" s="110"/>
      <c r="W1521" s="91"/>
      <c r="X1521" s="91"/>
      <c r="Y1521" s="91"/>
    </row>
    <row r="1522" spans="1:25" s="26" customFormat="1" ht="15" customHeight="1" x14ac:dyDescent="0.2">
      <c r="A1522" s="103">
        <v>41794.668900463003</v>
      </c>
      <c r="B1522" s="104" t="s">
        <v>38</v>
      </c>
      <c r="C1522" s="63" t="s">
        <v>187</v>
      </c>
      <c r="D1522" s="81" t="s">
        <v>6224</v>
      </c>
      <c r="E1522" s="104" t="s">
        <v>7207</v>
      </c>
      <c r="F1522" s="104" t="s">
        <v>5395</v>
      </c>
      <c r="G1522" s="104" t="s">
        <v>26</v>
      </c>
      <c r="H1522" s="104" t="s">
        <v>5394</v>
      </c>
      <c r="I1522" s="104"/>
      <c r="J1522" s="108">
        <v>3</v>
      </c>
      <c r="K1522" s="108">
        <v>188</v>
      </c>
      <c r="L1522" s="156">
        <v>3009</v>
      </c>
      <c r="M1522" s="155" t="s">
        <v>22</v>
      </c>
      <c r="N1522" s="154"/>
      <c r="O1522" s="154"/>
      <c r="P1522" s="154"/>
      <c r="Q1522" s="154"/>
      <c r="R1522" s="154"/>
      <c r="S1522" s="154"/>
      <c r="T1522" s="154"/>
      <c r="U1522" s="154"/>
      <c r="V1522" s="110" t="s">
        <v>7208</v>
      </c>
      <c r="W1522" s="91"/>
      <c r="X1522" s="91"/>
      <c r="Y1522" s="91"/>
    </row>
    <row r="1523" spans="1:25" s="26" customFormat="1" ht="15" customHeight="1" x14ac:dyDescent="0.2">
      <c r="A1523" s="78">
        <v>41488.6262152778</v>
      </c>
      <c r="B1523" s="63" t="s">
        <v>16</v>
      </c>
      <c r="C1523" s="63" t="s">
        <v>652</v>
      </c>
      <c r="D1523" s="81">
        <v>41456</v>
      </c>
      <c r="E1523" s="63" t="s">
        <v>653</v>
      </c>
      <c r="F1523" s="63" t="s">
        <v>654</v>
      </c>
      <c r="G1523" s="63" t="s">
        <v>26</v>
      </c>
      <c r="H1523" s="63" t="s">
        <v>655</v>
      </c>
      <c r="I1523" s="63"/>
      <c r="J1523" s="109">
        <v>1</v>
      </c>
      <c r="K1523" s="109">
        <v>40</v>
      </c>
      <c r="L1523" s="157"/>
      <c r="M1523" s="155" t="s">
        <v>44</v>
      </c>
      <c r="N1523" s="154"/>
      <c r="O1523" s="154">
        <v>100</v>
      </c>
      <c r="P1523" s="154">
        <v>40</v>
      </c>
      <c r="Q1523" s="154">
        <v>200</v>
      </c>
      <c r="R1523" s="154">
        <v>80</v>
      </c>
      <c r="S1523" s="154"/>
      <c r="T1523" s="154"/>
      <c r="U1523" s="154"/>
      <c r="V1523" s="65"/>
    </row>
    <row r="1524" spans="1:25" s="26" customFormat="1" ht="15" customHeight="1" x14ac:dyDescent="0.2">
      <c r="A1524" s="76">
        <v>41520.597442129627</v>
      </c>
      <c r="B1524" s="79" t="s">
        <v>16</v>
      </c>
      <c r="C1524" s="79" t="s">
        <v>652</v>
      </c>
      <c r="D1524" s="80">
        <v>41487</v>
      </c>
      <c r="E1524" s="82" t="s">
        <v>1539</v>
      </c>
      <c r="F1524" s="79" t="s">
        <v>1540</v>
      </c>
      <c r="G1524" s="79" t="s">
        <v>42</v>
      </c>
      <c r="H1524" s="79" t="s">
        <v>1541</v>
      </c>
      <c r="I1524" s="79"/>
      <c r="J1524" s="121">
        <v>1</v>
      </c>
      <c r="K1524" s="121">
        <v>17</v>
      </c>
      <c r="L1524" s="158"/>
      <c r="M1524" s="159" t="s">
        <v>22</v>
      </c>
      <c r="N1524" s="160"/>
      <c r="O1524" s="160"/>
      <c r="P1524" s="160"/>
      <c r="Q1524" s="160"/>
      <c r="R1524" s="160"/>
      <c r="S1524" s="160"/>
      <c r="T1524" s="160"/>
      <c r="U1524" s="160"/>
      <c r="V1524" s="84"/>
    </row>
    <row r="1525" spans="1:25" s="26" customFormat="1" ht="15" customHeight="1" x14ac:dyDescent="0.2">
      <c r="A1525" s="76">
        <v>41520.707233796296</v>
      </c>
      <c r="B1525" s="79" t="s">
        <v>16</v>
      </c>
      <c r="C1525" s="79" t="s">
        <v>652</v>
      </c>
      <c r="D1525" s="80">
        <v>41487</v>
      </c>
      <c r="E1525" s="82" t="s">
        <v>1542</v>
      </c>
      <c r="F1525" s="79" t="s">
        <v>1543</v>
      </c>
      <c r="G1525" s="79" t="s">
        <v>156</v>
      </c>
      <c r="H1525" s="79" t="s">
        <v>1544</v>
      </c>
      <c r="I1525" s="79"/>
      <c r="J1525" s="121">
        <v>1</v>
      </c>
      <c r="K1525" s="121">
        <v>300</v>
      </c>
      <c r="L1525" s="158">
        <v>250</v>
      </c>
      <c r="M1525" s="159" t="s">
        <v>44</v>
      </c>
      <c r="N1525" s="160"/>
      <c r="O1525" s="160">
        <v>750</v>
      </c>
      <c r="P1525" s="160">
        <v>20</v>
      </c>
      <c r="Q1525" s="160">
        <v>135</v>
      </c>
      <c r="R1525" s="160"/>
      <c r="S1525" s="160"/>
      <c r="T1525" s="160" t="s">
        <v>1545</v>
      </c>
      <c r="U1525" s="160">
        <v>0</v>
      </c>
      <c r="V1525" s="84" t="s">
        <v>1546</v>
      </c>
    </row>
    <row r="1526" spans="1:25" s="26" customFormat="1" ht="15" customHeight="1" x14ac:dyDescent="0.2">
      <c r="A1526" s="61">
        <v>41557.672592592593</v>
      </c>
      <c r="B1526" s="63" t="s">
        <v>16</v>
      </c>
      <c r="C1526" s="63" t="s">
        <v>652</v>
      </c>
      <c r="D1526" s="80">
        <v>41518</v>
      </c>
      <c r="E1526" s="107" t="s">
        <v>2768</v>
      </c>
      <c r="F1526" s="63" t="s">
        <v>1540</v>
      </c>
      <c r="G1526" s="63" t="s">
        <v>42</v>
      </c>
      <c r="H1526" s="83" t="s">
        <v>2769</v>
      </c>
      <c r="I1526" s="83"/>
      <c r="J1526" s="109">
        <v>4</v>
      </c>
      <c r="K1526" s="109">
        <v>56</v>
      </c>
      <c r="L1526" s="157"/>
      <c r="M1526" s="155" t="s">
        <v>22</v>
      </c>
      <c r="N1526" s="154"/>
      <c r="O1526" s="154"/>
      <c r="P1526" s="154"/>
      <c r="Q1526" s="154"/>
      <c r="R1526" s="154"/>
      <c r="S1526" s="154"/>
      <c r="T1526" s="154"/>
      <c r="U1526" s="154"/>
      <c r="V1526" s="65"/>
    </row>
    <row r="1527" spans="1:25" s="26" customFormat="1" ht="15" customHeight="1" x14ac:dyDescent="0.2">
      <c r="A1527" s="61">
        <v>41557.680625000001</v>
      </c>
      <c r="B1527" s="63" t="s">
        <v>16</v>
      </c>
      <c r="C1527" s="63" t="s">
        <v>652</v>
      </c>
      <c r="D1527" s="80">
        <v>41518</v>
      </c>
      <c r="E1527" s="107" t="s">
        <v>2770</v>
      </c>
      <c r="F1527" s="63" t="s">
        <v>2771</v>
      </c>
      <c r="G1527" s="63" t="s">
        <v>42</v>
      </c>
      <c r="H1527" s="63" t="s">
        <v>2772</v>
      </c>
      <c r="I1527" s="63"/>
      <c r="J1527" s="109">
        <v>1</v>
      </c>
      <c r="K1527" s="109">
        <v>12</v>
      </c>
      <c r="L1527" s="157">
        <v>170</v>
      </c>
      <c r="M1527" s="155" t="s">
        <v>22</v>
      </c>
      <c r="N1527" s="154"/>
      <c r="O1527" s="154"/>
      <c r="P1527" s="154"/>
      <c r="Q1527" s="154"/>
      <c r="R1527" s="154"/>
      <c r="S1527" s="154"/>
      <c r="T1527" s="154"/>
      <c r="U1527" s="154"/>
      <c r="V1527" s="65" t="s">
        <v>2773</v>
      </c>
    </row>
    <row r="1528" spans="1:25" s="26" customFormat="1" ht="15" customHeight="1" x14ac:dyDescent="0.2">
      <c r="A1528" s="61">
        <v>41557.688252314816</v>
      </c>
      <c r="B1528" s="63" t="s">
        <v>16</v>
      </c>
      <c r="C1528" s="63" t="s">
        <v>652</v>
      </c>
      <c r="D1528" s="80">
        <v>41518</v>
      </c>
      <c r="E1528" s="107" t="s">
        <v>2774</v>
      </c>
      <c r="F1528" s="63" t="s">
        <v>2775</v>
      </c>
      <c r="G1528" s="63" t="s">
        <v>26</v>
      </c>
      <c r="H1528" s="63" t="s">
        <v>2776</v>
      </c>
      <c r="I1528" s="63"/>
      <c r="J1528" s="109">
        <v>1</v>
      </c>
      <c r="K1528" s="109">
        <v>16</v>
      </c>
      <c r="L1528" s="157">
        <v>0</v>
      </c>
      <c r="M1528" s="155" t="s">
        <v>22</v>
      </c>
      <c r="N1528" s="154"/>
      <c r="O1528" s="154"/>
      <c r="P1528" s="154"/>
      <c r="Q1528" s="154"/>
      <c r="R1528" s="154"/>
      <c r="S1528" s="154"/>
      <c r="T1528" s="154"/>
      <c r="U1528" s="154"/>
      <c r="V1528" s="65" t="s">
        <v>2777</v>
      </c>
    </row>
    <row r="1529" spans="1:25" s="26" customFormat="1" ht="15" customHeight="1" x14ac:dyDescent="0.2">
      <c r="A1529" s="78">
        <v>41673.628298611096</v>
      </c>
      <c r="B1529" s="63" t="s">
        <v>16</v>
      </c>
      <c r="C1529" s="63" t="s">
        <v>652</v>
      </c>
      <c r="D1529" s="106">
        <v>41640</v>
      </c>
      <c r="E1529" s="63" t="s">
        <v>3385</v>
      </c>
      <c r="F1529" s="63" t="s">
        <v>4381</v>
      </c>
      <c r="G1529" s="63" t="s">
        <v>26</v>
      </c>
      <c r="H1529" s="63" t="s">
        <v>4382</v>
      </c>
      <c r="I1529" s="63" t="s">
        <v>2926</v>
      </c>
      <c r="J1529" s="108">
        <v>1</v>
      </c>
      <c r="K1529" s="109">
        <v>7</v>
      </c>
      <c r="L1529" s="157"/>
      <c r="M1529" s="155" t="s">
        <v>22</v>
      </c>
      <c r="N1529" s="161"/>
      <c r="O1529" s="161"/>
      <c r="P1529" s="161"/>
      <c r="Q1529" s="161"/>
      <c r="R1529" s="161"/>
      <c r="S1529" s="161"/>
      <c r="T1529" s="161"/>
      <c r="U1529" s="154"/>
      <c r="V1529" s="65" t="s">
        <v>4383</v>
      </c>
      <c r="W1529" s="52"/>
      <c r="X1529" s="52"/>
      <c r="Y1529" s="52"/>
    </row>
    <row r="1530" spans="1:25" s="26" customFormat="1" ht="15" customHeight="1" x14ac:dyDescent="0.2">
      <c r="A1530" s="61">
        <v>41708.577685185184</v>
      </c>
      <c r="B1530" s="63" t="s">
        <v>16</v>
      </c>
      <c r="C1530" s="63" t="s">
        <v>652</v>
      </c>
      <c r="D1530" s="81">
        <v>41671</v>
      </c>
      <c r="E1530" s="63" t="s">
        <v>5107</v>
      </c>
      <c r="F1530" s="63" t="s">
        <v>5108</v>
      </c>
      <c r="G1530" s="63" t="s">
        <v>26</v>
      </c>
      <c r="H1530" s="63" t="s">
        <v>5108</v>
      </c>
      <c r="I1530" s="63" t="s">
        <v>3171</v>
      </c>
      <c r="J1530" s="109">
        <v>1</v>
      </c>
      <c r="K1530" s="109">
        <v>13</v>
      </c>
      <c r="L1530" s="157"/>
      <c r="M1530" s="155" t="s">
        <v>22</v>
      </c>
      <c r="N1530" s="154"/>
      <c r="O1530" s="154"/>
      <c r="P1530" s="154"/>
      <c r="Q1530" s="154"/>
      <c r="R1530" s="154"/>
      <c r="S1530" s="154"/>
      <c r="T1530" s="154"/>
      <c r="U1530" s="154"/>
      <c r="V1530" s="65" t="s">
        <v>5109</v>
      </c>
    </row>
    <row r="1531" spans="1:25" s="26" customFormat="1" ht="15" customHeight="1" x14ac:dyDescent="0.2">
      <c r="A1531" s="61">
        <v>41708.589432870373</v>
      </c>
      <c r="B1531" s="63" t="s">
        <v>16</v>
      </c>
      <c r="C1531" s="63" t="s">
        <v>652</v>
      </c>
      <c r="D1531" s="81">
        <v>41671</v>
      </c>
      <c r="E1531" s="63" t="s">
        <v>5110</v>
      </c>
      <c r="F1531" s="63" t="s">
        <v>5111</v>
      </c>
      <c r="G1531" s="63" t="s">
        <v>42</v>
      </c>
      <c r="H1531" s="63" t="s">
        <v>5112</v>
      </c>
      <c r="I1531" s="63" t="s">
        <v>2986</v>
      </c>
      <c r="J1531" s="109">
        <v>1</v>
      </c>
      <c r="K1531" s="109">
        <v>81</v>
      </c>
      <c r="L1531" s="157">
        <v>81</v>
      </c>
      <c r="M1531" s="155" t="s">
        <v>22</v>
      </c>
      <c r="N1531" s="154"/>
      <c r="O1531" s="154"/>
      <c r="P1531" s="154"/>
      <c r="Q1531" s="154"/>
      <c r="R1531" s="154"/>
      <c r="S1531" s="154"/>
      <c r="T1531" s="154"/>
      <c r="U1531" s="154"/>
      <c r="V1531" s="65" t="s">
        <v>5113</v>
      </c>
    </row>
    <row r="1532" spans="1:25" s="26" customFormat="1" ht="15" customHeight="1" x14ac:dyDescent="0.2">
      <c r="A1532" s="61">
        <v>41708.607418981483</v>
      </c>
      <c r="B1532" s="63" t="s">
        <v>16</v>
      </c>
      <c r="C1532" s="63" t="s">
        <v>652</v>
      </c>
      <c r="D1532" s="81">
        <v>41671</v>
      </c>
      <c r="E1532" s="63" t="s">
        <v>5114</v>
      </c>
      <c r="F1532" s="63" t="s">
        <v>5115</v>
      </c>
      <c r="G1532" s="63" t="s">
        <v>26</v>
      </c>
      <c r="H1532" s="63" t="s">
        <v>5116</v>
      </c>
      <c r="I1532" s="63" t="s">
        <v>2812</v>
      </c>
      <c r="J1532" s="109">
        <v>1</v>
      </c>
      <c r="K1532" s="109">
        <v>10</v>
      </c>
      <c r="L1532" s="157">
        <v>150</v>
      </c>
      <c r="M1532" s="155" t="s">
        <v>22</v>
      </c>
      <c r="N1532" s="154"/>
      <c r="O1532" s="154"/>
      <c r="P1532" s="154"/>
      <c r="Q1532" s="154"/>
      <c r="R1532" s="154"/>
      <c r="S1532" s="154"/>
      <c r="T1532" s="154"/>
      <c r="U1532" s="154"/>
      <c r="V1532" s="65" t="s">
        <v>5117</v>
      </c>
    </row>
    <row r="1533" spans="1:25" s="26" customFormat="1" ht="15" customHeight="1" x14ac:dyDescent="0.2">
      <c r="A1533" s="61">
        <v>41708.59952546296</v>
      </c>
      <c r="B1533" s="63" t="s">
        <v>16</v>
      </c>
      <c r="C1533" s="63" t="s">
        <v>652</v>
      </c>
      <c r="D1533" s="81">
        <v>41671</v>
      </c>
      <c r="E1533" s="63" t="s">
        <v>5118</v>
      </c>
      <c r="F1533" s="63" t="s">
        <v>373</v>
      </c>
      <c r="G1533" s="63" t="s">
        <v>26</v>
      </c>
      <c r="H1533" s="63" t="s">
        <v>5119</v>
      </c>
      <c r="I1533" s="63" t="s">
        <v>2986</v>
      </c>
      <c r="J1533" s="109">
        <v>1</v>
      </c>
      <c r="K1533" s="109">
        <v>49</v>
      </c>
      <c r="L1533" s="157"/>
      <c r="M1533" s="155" t="s">
        <v>22</v>
      </c>
      <c r="N1533" s="154"/>
      <c r="O1533" s="154"/>
      <c r="P1533" s="154"/>
      <c r="Q1533" s="154"/>
      <c r="R1533" s="154"/>
      <c r="S1533" s="154"/>
      <c r="T1533" s="154"/>
      <c r="U1533" s="154"/>
      <c r="V1533" s="65" t="s">
        <v>5120</v>
      </c>
    </row>
    <row r="1534" spans="1:25" s="26" customFormat="1" ht="15" customHeight="1" x14ac:dyDescent="0.2">
      <c r="A1534" s="61">
        <v>41708.609976851854</v>
      </c>
      <c r="B1534" s="63" t="s">
        <v>16</v>
      </c>
      <c r="C1534" s="63" t="s">
        <v>652</v>
      </c>
      <c r="D1534" s="81">
        <v>41671</v>
      </c>
      <c r="E1534" s="63" t="s">
        <v>5121</v>
      </c>
      <c r="F1534" s="63" t="s">
        <v>5122</v>
      </c>
      <c r="G1534" s="63" t="s">
        <v>26</v>
      </c>
      <c r="H1534" s="63" t="s">
        <v>5123</v>
      </c>
      <c r="I1534" s="63" t="s">
        <v>2812</v>
      </c>
      <c r="J1534" s="109">
        <v>1</v>
      </c>
      <c r="K1534" s="109">
        <v>9</v>
      </c>
      <c r="L1534" s="157">
        <v>135</v>
      </c>
      <c r="M1534" s="155" t="s">
        <v>44</v>
      </c>
      <c r="N1534" s="154"/>
      <c r="O1534" s="154">
        <v>45</v>
      </c>
      <c r="P1534" s="154"/>
      <c r="Q1534" s="154">
        <v>81</v>
      </c>
      <c r="R1534" s="154"/>
      <c r="S1534" s="154"/>
      <c r="T1534" s="154"/>
      <c r="U1534" s="154"/>
      <c r="V1534" s="65" t="s">
        <v>5124</v>
      </c>
    </row>
    <row r="1535" spans="1:25" s="26" customFormat="1" ht="15" customHeight="1" x14ac:dyDescent="0.2">
      <c r="A1535" s="61">
        <v>41735.557974537034</v>
      </c>
      <c r="B1535" s="63" t="s">
        <v>16</v>
      </c>
      <c r="C1535" s="63" t="s">
        <v>652</v>
      </c>
      <c r="D1535" s="81">
        <v>41699</v>
      </c>
      <c r="E1535" s="63" t="s">
        <v>5721</v>
      </c>
      <c r="F1535" s="63" t="s">
        <v>5722</v>
      </c>
      <c r="G1535" s="63" t="s">
        <v>26</v>
      </c>
      <c r="H1535" s="63" t="s">
        <v>5723</v>
      </c>
      <c r="I1535" s="63" t="s">
        <v>2812</v>
      </c>
      <c r="J1535" s="109">
        <v>1</v>
      </c>
      <c r="K1535" s="109">
        <v>9</v>
      </c>
      <c r="L1535" s="157">
        <v>135</v>
      </c>
      <c r="M1535" s="155" t="s">
        <v>44</v>
      </c>
      <c r="N1535" s="154"/>
      <c r="O1535" s="154">
        <v>45</v>
      </c>
      <c r="P1535" s="154"/>
      <c r="Q1535" s="154"/>
      <c r="R1535" s="154"/>
      <c r="S1535" s="154"/>
      <c r="T1535" s="154"/>
      <c r="U1535" s="154"/>
      <c r="V1535" s="65" t="s">
        <v>5724</v>
      </c>
    </row>
    <row r="1536" spans="1:25" s="26" customFormat="1" ht="15" customHeight="1" x14ac:dyDescent="0.2">
      <c r="A1536" s="61">
        <v>41735.56009259259</v>
      </c>
      <c r="B1536" s="63" t="s">
        <v>16</v>
      </c>
      <c r="C1536" s="63" t="s">
        <v>652</v>
      </c>
      <c r="D1536" s="81">
        <v>41699</v>
      </c>
      <c r="E1536" s="63" t="s">
        <v>5734</v>
      </c>
      <c r="F1536" s="63" t="s">
        <v>5735</v>
      </c>
      <c r="G1536" s="63" t="s">
        <v>26</v>
      </c>
      <c r="H1536" s="63" t="s">
        <v>5736</v>
      </c>
      <c r="I1536" s="63" t="s">
        <v>2812</v>
      </c>
      <c r="J1536" s="109">
        <v>1</v>
      </c>
      <c r="K1536" s="109">
        <v>6</v>
      </c>
      <c r="L1536" s="157">
        <v>90</v>
      </c>
      <c r="M1536" s="155" t="s">
        <v>44</v>
      </c>
      <c r="N1536" s="154"/>
      <c r="O1536" s="154">
        <v>5</v>
      </c>
      <c r="P1536" s="154"/>
      <c r="Q1536" s="154"/>
      <c r="R1536" s="154"/>
      <c r="S1536" s="154"/>
      <c r="T1536" s="154"/>
      <c r="U1536" s="154"/>
      <c r="V1536" s="65" t="s">
        <v>5737</v>
      </c>
    </row>
    <row r="1537" spans="1:25" s="26" customFormat="1" ht="15" customHeight="1" x14ac:dyDescent="0.2">
      <c r="A1537" s="61">
        <v>41738.406018518515</v>
      </c>
      <c r="B1537" s="63" t="s">
        <v>16</v>
      </c>
      <c r="C1537" s="63" t="s">
        <v>652</v>
      </c>
      <c r="D1537" s="81">
        <v>41699</v>
      </c>
      <c r="E1537" s="63" t="s">
        <v>5790</v>
      </c>
      <c r="F1537" s="63" t="s">
        <v>5791</v>
      </c>
      <c r="G1537" s="63" t="s">
        <v>42</v>
      </c>
      <c r="H1537" s="63" t="s">
        <v>5792</v>
      </c>
      <c r="I1537" s="63" t="s">
        <v>5793</v>
      </c>
      <c r="J1537" s="109">
        <v>1</v>
      </c>
      <c r="K1537" s="109">
        <v>30</v>
      </c>
      <c r="L1537" s="157"/>
      <c r="M1537" s="155" t="s">
        <v>44</v>
      </c>
      <c r="N1537" s="154"/>
      <c r="O1537" s="154"/>
      <c r="P1537" s="154">
        <v>40</v>
      </c>
      <c r="Q1537" s="154"/>
      <c r="R1537" s="154"/>
      <c r="S1537" s="154">
        <v>2000</v>
      </c>
      <c r="T1537" s="154">
        <v>960</v>
      </c>
      <c r="U1537" s="154"/>
      <c r="V1537" s="65" t="s">
        <v>5794</v>
      </c>
    </row>
    <row r="1538" spans="1:25" s="26" customFormat="1" ht="15" customHeight="1" x14ac:dyDescent="0.2">
      <c r="A1538" s="61">
        <v>41738.361585648148</v>
      </c>
      <c r="B1538" s="63" t="s">
        <v>16</v>
      </c>
      <c r="C1538" s="63" t="s">
        <v>652</v>
      </c>
      <c r="D1538" s="81">
        <v>41730</v>
      </c>
      <c r="E1538" s="63" t="s">
        <v>5783</v>
      </c>
      <c r="F1538" s="63" t="s">
        <v>5784</v>
      </c>
      <c r="G1538" s="63" t="s">
        <v>42</v>
      </c>
      <c r="H1538" s="63" t="s">
        <v>5785</v>
      </c>
      <c r="I1538" s="63" t="s">
        <v>5786</v>
      </c>
      <c r="J1538" s="109">
        <v>1</v>
      </c>
      <c r="K1538" s="109">
        <v>200</v>
      </c>
      <c r="L1538" s="154"/>
      <c r="M1538" s="155" t="s">
        <v>44</v>
      </c>
      <c r="N1538" s="154"/>
      <c r="O1538" s="154"/>
      <c r="P1538" s="154">
        <v>300</v>
      </c>
      <c r="Q1538" s="154"/>
      <c r="R1538" s="154"/>
      <c r="S1538" s="154">
        <v>5</v>
      </c>
      <c r="T1538" s="154"/>
      <c r="U1538" s="154"/>
      <c r="V1538" s="65"/>
    </row>
    <row r="1539" spans="1:25" s="26" customFormat="1" ht="15" customHeight="1" x14ac:dyDescent="0.2">
      <c r="A1539" s="78">
        <v>41497.487384259301</v>
      </c>
      <c r="B1539" s="63" t="s">
        <v>16</v>
      </c>
      <c r="C1539" s="63" t="s">
        <v>1190</v>
      </c>
      <c r="D1539" s="81">
        <v>41456</v>
      </c>
      <c r="E1539" s="63" t="s">
        <v>1191</v>
      </c>
      <c r="F1539" s="63" t="s">
        <v>1192</v>
      </c>
      <c r="G1539" s="63" t="s">
        <v>26</v>
      </c>
      <c r="H1539" s="63" t="s">
        <v>1193</v>
      </c>
      <c r="I1539" s="63"/>
      <c r="J1539" s="109">
        <v>1</v>
      </c>
      <c r="K1539" s="109">
        <v>15</v>
      </c>
      <c r="L1539" s="157"/>
      <c r="M1539" s="155" t="s">
        <v>22</v>
      </c>
      <c r="N1539" s="154"/>
      <c r="O1539" s="154"/>
      <c r="P1539" s="154"/>
      <c r="Q1539" s="154"/>
      <c r="R1539" s="154"/>
      <c r="S1539" s="154"/>
      <c r="T1539" s="154"/>
      <c r="U1539" s="154"/>
      <c r="V1539" s="65"/>
    </row>
    <row r="1540" spans="1:25" s="26" customFormat="1" ht="15" customHeight="1" x14ac:dyDescent="0.2">
      <c r="A1540" s="78">
        <v>41497.489571759303</v>
      </c>
      <c r="B1540" s="63" t="s">
        <v>16</v>
      </c>
      <c r="C1540" s="63" t="s">
        <v>1190</v>
      </c>
      <c r="D1540" s="81">
        <v>41456</v>
      </c>
      <c r="E1540" s="63" t="s">
        <v>1194</v>
      </c>
      <c r="F1540" s="63" t="s">
        <v>120</v>
      </c>
      <c r="G1540" s="63" t="s">
        <v>26</v>
      </c>
      <c r="H1540" s="63" t="s">
        <v>120</v>
      </c>
      <c r="I1540" s="63"/>
      <c r="J1540" s="109">
        <v>1</v>
      </c>
      <c r="K1540" s="109">
        <v>2</v>
      </c>
      <c r="L1540" s="157">
        <v>2</v>
      </c>
      <c r="M1540" s="155" t="s">
        <v>44</v>
      </c>
      <c r="N1540" s="154"/>
      <c r="O1540" s="154">
        <v>5</v>
      </c>
      <c r="P1540" s="154"/>
      <c r="Q1540" s="154"/>
      <c r="R1540" s="154"/>
      <c r="S1540" s="154"/>
      <c r="T1540" s="154"/>
      <c r="U1540" s="154"/>
      <c r="V1540" s="65" t="s">
        <v>1195</v>
      </c>
    </row>
    <row r="1541" spans="1:25" s="26" customFormat="1" ht="15" customHeight="1" x14ac:dyDescent="0.2">
      <c r="A1541" s="77">
        <v>41519.601412037038</v>
      </c>
      <c r="B1541" s="79" t="s">
        <v>16</v>
      </c>
      <c r="C1541" s="79" t="s">
        <v>1190</v>
      </c>
      <c r="D1541" s="80">
        <v>41518</v>
      </c>
      <c r="E1541" s="82">
        <v>41518</v>
      </c>
      <c r="F1541" s="79" t="s">
        <v>1192</v>
      </c>
      <c r="G1541" s="79" t="s">
        <v>26</v>
      </c>
      <c r="H1541" s="79" t="s">
        <v>365</v>
      </c>
      <c r="I1541" s="79"/>
      <c r="J1541" s="121">
        <v>1</v>
      </c>
      <c r="K1541" s="121">
        <v>9</v>
      </c>
      <c r="L1541" s="158">
        <v>5</v>
      </c>
      <c r="M1541" s="159" t="s">
        <v>22</v>
      </c>
      <c r="N1541" s="160"/>
      <c r="O1541" s="160"/>
      <c r="P1541" s="160"/>
      <c r="Q1541" s="160"/>
      <c r="R1541" s="160"/>
      <c r="S1541" s="160"/>
      <c r="T1541" s="160"/>
      <c r="U1541" s="160"/>
      <c r="V1541" s="84" t="s">
        <v>2016</v>
      </c>
    </row>
    <row r="1542" spans="1:25" s="26" customFormat="1" ht="15" customHeight="1" x14ac:dyDescent="0.2">
      <c r="A1542" s="32">
        <v>41627.379363425927</v>
      </c>
      <c r="B1542" s="26" t="s">
        <v>16</v>
      </c>
      <c r="C1542" s="26" t="s">
        <v>1190</v>
      </c>
      <c r="D1542" s="68">
        <v>41609</v>
      </c>
      <c r="E1542" s="26" t="s">
        <v>3784</v>
      </c>
      <c r="F1542" s="26" t="s">
        <v>3785</v>
      </c>
      <c r="G1542" s="26" t="s">
        <v>20</v>
      </c>
      <c r="H1542" s="26" t="s">
        <v>3786</v>
      </c>
      <c r="I1542" s="26" t="s">
        <v>3787</v>
      </c>
      <c r="J1542" s="46">
        <v>1</v>
      </c>
      <c r="K1542" s="46">
        <v>250</v>
      </c>
      <c r="L1542" s="136"/>
      <c r="M1542" s="137" t="s">
        <v>22</v>
      </c>
      <c r="N1542" s="138"/>
      <c r="O1542" s="138"/>
      <c r="P1542" s="138"/>
      <c r="Q1542" s="138"/>
      <c r="R1542" s="138"/>
      <c r="S1542" s="138"/>
      <c r="T1542" s="138"/>
      <c r="U1542" s="138"/>
    </row>
    <row r="1543" spans="1:25" s="26" customFormat="1" ht="15" customHeight="1" x14ac:dyDescent="0.2">
      <c r="A1543" s="32">
        <v>41627.385405092595</v>
      </c>
      <c r="B1543" s="26" t="s">
        <v>16</v>
      </c>
      <c r="C1543" s="26" t="s">
        <v>1190</v>
      </c>
      <c r="D1543" s="68">
        <v>41609</v>
      </c>
      <c r="E1543" s="26" t="s">
        <v>3788</v>
      </c>
      <c r="F1543" s="26" t="s">
        <v>3789</v>
      </c>
      <c r="G1543" s="26" t="s">
        <v>156</v>
      </c>
      <c r="H1543" s="26" t="s">
        <v>3790</v>
      </c>
      <c r="I1543" s="26" t="s">
        <v>3791</v>
      </c>
      <c r="J1543" s="46">
        <v>1</v>
      </c>
      <c r="K1543" s="46">
        <v>55</v>
      </c>
      <c r="L1543" s="136">
        <v>40</v>
      </c>
      <c r="M1543" s="137" t="s">
        <v>44</v>
      </c>
      <c r="N1543" s="138"/>
      <c r="O1543" s="138">
        <v>100</v>
      </c>
      <c r="P1543" s="138"/>
      <c r="Q1543" s="138">
        <v>200</v>
      </c>
      <c r="R1543" s="138">
        <v>250</v>
      </c>
      <c r="S1543" s="138"/>
      <c r="T1543" s="138"/>
      <c r="U1543" s="138"/>
    </row>
    <row r="1544" spans="1:25" s="26" customFormat="1" ht="15" customHeight="1" x14ac:dyDescent="0.2">
      <c r="A1544" s="93">
        <v>41794.673703703702</v>
      </c>
      <c r="B1544" s="89" t="s">
        <v>38</v>
      </c>
      <c r="C1544" s="52" t="s">
        <v>187</v>
      </c>
      <c r="D1544" s="87" t="s">
        <v>6224</v>
      </c>
      <c r="E1544" s="89" t="s">
        <v>7209</v>
      </c>
      <c r="F1544" s="89" t="s">
        <v>2400</v>
      </c>
      <c r="G1544" s="89" t="s">
        <v>26</v>
      </c>
      <c r="H1544" s="89" t="s">
        <v>4265</v>
      </c>
      <c r="I1544" s="89" t="s">
        <v>3001</v>
      </c>
      <c r="J1544" s="95">
        <v>18</v>
      </c>
      <c r="K1544" s="95">
        <v>222</v>
      </c>
      <c r="L1544" s="150">
        <v>1490</v>
      </c>
      <c r="M1544" s="146" t="s">
        <v>44</v>
      </c>
      <c r="N1544" s="149"/>
      <c r="O1544" s="149"/>
      <c r="P1544" s="149">
        <v>100</v>
      </c>
      <c r="Q1544" s="149"/>
      <c r="R1544" s="149"/>
      <c r="S1544" s="149"/>
      <c r="T1544" s="149"/>
      <c r="U1544" s="149"/>
      <c r="V1544" s="89" t="s">
        <v>7210</v>
      </c>
      <c r="W1544" s="91"/>
      <c r="X1544" s="91"/>
      <c r="Y1544" s="91"/>
    </row>
    <row r="1545" spans="1:25" s="26" customFormat="1" ht="15" customHeight="1" x14ac:dyDescent="0.2">
      <c r="A1545" s="93">
        <v>41794.675844907397</v>
      </c>
      <c r="B1545" s="89" t="s">
        <v>38</v>
      </c>
      <c r="C1545" s="52" t="s">
        <v>187</v>
      </c>
      <c r="D1545" s="87" t="s">
        <v>6224</v>
      </c>
      <c r="E1545" s="89" t="s">
        <v>2175</v>
      </c>
      <c r="F1545" s="89" t="s">
        <v>6249</v>
      </c>
      <c r="G1545" s="89" t="s">
        <v>26</v>
      </c>
      <c r="H1545" s="89" t="s">
        <v>7211</v>
      </c>
      <c r="I1545" s="89" t="s">
        <v>3001</v>
      </c>
      <c r="J1545" s="95">
        <v>2</v>
      </c>
      <c r="K1545" s="95">
        <v>12</v>
      </c>
      <c r="L1545" s="150">
        <v>48</v>
      </c>
      <c r="M1545" s="146" t="s">
        <v>22</v>
      </c>
      <c r="N1545" s="149"/>
      <c r="O1545" s="149"/>
      <c r="P1545" s="149"/>
      <c r="Q1545" s="149"/>
      <c r="R1545" s="149"/>
      <c r="S1545" s="149"/>
      <c r="T1545" s="149"/>
      <c r="U1545" s="149"/>
      <c r="V1545" s="89" t="s">
        <v>7210</v>
      </c>
      <c r="W1545" s="91"/>
      <c r="X1545" s="91"/>
      <c r="Y1545" s="91"/>
    </row>
    <row r="1546" spans="1:25" s="26" customFormat="1" ht="15" customHeight="1" x14ac:dyDescent="0.2">
      <c r="A1546" s="130">
        <v>41795.356377314798</v>
      </c>
      <c r="B1546" s="91" t="s">
        <v>38</v>
      </c>
      <c r="C1546" s="26" t="s">
        <v>682</v>
      </c>
      <c r="D1546" s="33" t="s">
        <v>6224</v>
      </c>
      <c r="E1546" s="91" t="s">
        <v>7212</v>
      </c>
      <c r="F1546" s="91" t="s">
        <v>7213</v>
      </c>
      <c r="G1546" s="91" t="s">
        <v>60</v>
      </c>
      <c r="H1546" s="91" t="s">
        <v>6348</v>
      </c>
      <c r="I1546" s="91" t="s">
        <v>6349</v>
      </c>
      <c r="J1546" s="115">
        <v>150</v>
      </c>
      <c r="K1546" s="115">
        <v>406</v>
      </c>
      <c r="L1546" s="162"/>
      <c r="M1546" s="137" t="s">
        <v>44</v>
      </c>
      <c r="N1546" s="138"/>
      <c r="O1546" s="138"/>
      <c r="P1546" s="138">
        <v>100</v>
      </c>
      <c r="Q1546" s="138"/>
      <c r="R1546" s="138"/>
      <c r="S1546" s="138"/>
      <c r="T1546" s="138"/>
      <c r="U1546" s="138"/>
      <c r="V1546" s="91"/>
      <c r="W1546" s="91"/>
      <c r="X1546" s="91"/>
      <c r="Y1546" s="91"/>
    </row>
    <row r="1547" spans="1:25" s="26" customFormat="1" ht="15" customHeight="1" x14ac:dyDescent="0.2">
      <c r="A1547" s="37">
        <v>41459.596076388902</v>
      </c>
      <c r="B1547" s="26" t="s">
        <v>16</v>
      </c>
      <c r="C1547" s="26" t="s">
        <v>23</v>
      </c>
      <c r="D1547" s="33">
        <v>41456</v>
      </c>
      <c r="E1547" s="26" t="s">
        <v>24</v>
      </c>
      <c r="F1547" s="26" t="s">
        <v>25</v>
      </c>
      <c r="G1547" s="26" t="s">
        <v>26</v>
      </c>
      <c r="H1547" s="26" t="s">
        <v>27</v>
      </c>
      <c r="J1547" s="46">
        <v>1</v>
      </c>
      <c r="K1547" s="46">
        <v>20</v>
      </c>
      <c r="L1547" s="136"/>
      <c r="M1547" s="137" t="s">
        <v>22</v>
      </c>
      <c r="N1547" s="138"/>
      <c r="O1547" s="138"/>
      <c r="P1547" s="138"/>
      <c r="Q1547" s="138"/>
      <c r="R1547" s="138"/>
      <c r="S1547" s="138"/>
      <c r="T1547" s="138"/>
      <c r="U1547" s="138">
        <v>5</v>
      </c>
    </row>
    <row r="1548" spans="1:25" s="26" customFormat="1" ht="15" customHeight="1" x14ac:dyDescent="0.2">
      <c r="A1548" s="37">
        <v>41459.597129629597</v>
      </c>
      <c r="B1548" s="26" t="s">
        <v>16</v>
      </c>
      <c r="C1548" s="26" t="s">
        <v>23</v>
      </c>
      <c r="D1548" s="33">
        <v>41456</v>
      </c>
      <c r="E1548" s="26" t="s">
        <v>28</v>
      </c>
      <c r="F1548" s="26" t="s">
        <v>29</v>
      </c>
      <c r="G1548" s="26" t="s">
        <v>26</v>
      </c>
      <c r="H1548" s="26" t="s">
        <v>30</v>
      </c>
      <c r="J1548" s="46">
        <v>1</v>
      </c>
      <c r="K1548" s="46">
        <v>56</v>
      </c>
      <c r="L1548" s="136">
        <v>44</v>
      </c>
      <c r="M1548" s="137" t="s">
        <v>22</v>
      </c>
      <c r="N1548" s="138"/>
      <c r="O1548" s="138"/>
      <c r="P1548" s="138"/>
      <c r="Q1548" s="138"/>
      <c r="R1548" s="138"/>
      <c r="S1548" s="138"/>
      <c r="T1548" s="138"/>
      <c r="U1548" s="138"/>
      <c r="V1548" s="26" t="s">
        <v>31</v>
      </c>
    </row>
    <row r="1549" spans="1:25" s="26" customFormat="1" ht="15" customHeight="1" x14ac:dyDescent="0.2">
      <c r="A1549" s="37">
        <v>41459.598263888904</v>
      </c>
      <c r="B1549" s="26" t="s">
        <v>16</v>
      </c>
      <c r="C1549" s="26" t="s">
        <v>23</v>
      </c>
      <c r="D1549" s="33">
        <v>41456</v>
      </c>
      <c r="E1549" s="26" t="s">
        <v>32</v>
      </c>
      <c r="F1549" s="26" t="s">
        <v>33</v>
      </c>
      <c r="G1549" s="26" t="s">
        <v>26</v>
      </c>
      <c r="H1549" s="26" t="s">
        <v>34</v>
      </c>
      <c r="J1549" s="46">
        <v>1</v>
      </c>
      <c r="K1549" s="46">
        <v>10</v>
      </c>
      <c r="L1549" s="136"/>
      <c r="M1549" s="137" t="s">
        <v>22</v>
      </c>
      <c r="N1549" s="138"/>
      <c r="O1549" s="138"/>
      <c r="P1549" s="138"/>
      <c r="Q1549" s="138"/>
      <c r="R1549" s="138"/>
      <c r="S1549" s="138"/>
      <c r="T1549" s="138"/>
      <c r="U1549" s="138"/>
    </row>
    <row r="1550" spans="1:25" s="26" customFormat="1" ht="15" customHeight="1" x14ac:dyDescent="0.2">
      <c r="A1550" s="37">
        <v>41459.669456018499</v>
      </c>
      <c r="B1550" s="26" t="s">
        <v>16</v>
      </c>
      <c r="C1550" s="26" t="s">
        <v>23</v>
      </c>
      <c r="D1550" s="33">
        <v>41456</v>
      </c>
      <c r="E1550" s="26" t="s">
        <v>35</v>
      </c>
      <c r="F1550" s="26" t="s">
        <v>36</v>
      </c>
      <c r="G1550" s="26" t="s">
        <v>26</v>
      </c>
      <c r="H1550" s="26" t="s">
        <v>37</v>
      </c>
      <c r="J1550" s="46">
        <v>1</v>
      </c>
      <c r="K1550" s="46">
        <v>15</v>
      </c>
      <c r="L1550" s="136"/>
      <c r="M1550" s="137" t="s">
        <v>22</v>
      </c>
      <c r="N1550" s="138"/>
      <c r="O1550" s="138"/>
      <c r="P1550" s="138"/>
      <c r="Q1550" s="138"/>
      <c r="R1550" s="138"/>
      <c r="S1550" s="138"/>
      <c r="T1550" s="138"/>
      <c r="U1550" s="138"/>
    </row>
    <row r="1551" spans="1:25" s="26" customFormat="1" ht="15" customHeight="1" x14ac:dyDescent="0.2">
      <c r="A1551" s="37">
        <v>41463.451793981498</v>
      </c>
      <c r="B1551" s="26" t="s">
        <v>16</v>
      </c>
      <c r="C1551" s="26" t="s">
        <v>23</v>
      </c>
      <c r="D1551" s="33">
        <v>41456</v>
      </c>
      <c r="E1551" s="26" t="s">
        <v>131</v>
      </c>
      <c r="F1551" s="26" t="s">
        <v>132</v>
      </c>
      <c r="G1551" s="26" t="s">
        <v>26</v>
      </c>
      <c r="H1551" s="26" t="s">
        <v>133</v>
      </c>
      <c r="J1551" s="46">
        <v>1</v>
      </c>
      <c r="K1551" s="46">
        <v>14</v>
      </c>
      <c r="L1551" s="136">
        <v>67</v>
      </c>
      <c r="M1551" s="137" t="s">
        <v>22</v>
      </c>
      <c r="N1551" s="138"/>
      <c r="O1551" s="138"/>
      <c r="P1551" s="138"/>
      <c r="Q1551" s="138"/>
      <c r="R1551" s="138"/>
      <c r="S1551" s="138"/>
      <c r="T1551" s="138"/>
      <c r="U1551" s="138"/>
      <c r="V1551" s="26" t="s">
        <v>134</v>
      </c>
    </row>
    <row r="1552" spans="1:25" s="26" customFormat="1" ht="15" customHeight="1" x14ac:dyDescent="0.2">
      <c r="A1552" s="37">
        <v>41463.452557870398</v>
      </c>
      <c r="B1552" s="26" t="s">
        <v>16</v>
      </c>
      <c r="C1552" s="26" t="s">
        <v>23</v>
      </c>
      <c r="D1552" s="33">
        <v>41456</v>
      </c>
      <c r="E1552" s="26" t="s">
        <v>135</v>
      </c>
      <c r="F1552" s="26" t="s">
        <v>136</v>
      </c>
      <c r="G1552" s="26" t="s">
        <v>26</v>
      </c>
      <c r="H1552" s="26" t="s">
        <v>137</v>
      </c>
      <c r="J1552" s="46">
        <v>1</v>
      </c>
      <c r="K1552" s="46">
        <v>39</v>
      </c>
      <c r="L1552" s="136">
        <v>41</v>
      </c>
      <c r="M1552" s="137" t="s">
        <v>22</v>
      </c>
      <c r="N1552" s="138"/>
      <c r="O1552" s="138"/>
      <c r="P1552" s="138"/>
      <c r="Q1552" s="138"/>
      <c r="R1552" s="138"/>
      <c r="S1552" s="138"/>
      <c r="T1552" s="138"/>
      <c r="U1552" s="138"/>
    </row>
    <row r="1553" spans="1:22" s="26" customFormat="1" ht="15" customHeight="1" x14ac:dyDescent="0.2">
      <c r="A1553" s="37">
        <v>41463.4533912037</v>
      </c>
      <c r="B1553" s="26" t="s">
        <v>16</v>
      </c>
      <c r="C1553" s="26" t="s">
        <v>23</v>
      </c>
      <c r="D1553" s="33">
        <v>41456</v>
      </c>
      <c r="E1553" s="26" t="s">
        <v>138</v>
      </c>
      <c r="F1553" s="26" t="s">
        <v>139</v>
      </c>
      <c r="G1553" s="26" t="s">
        <v>26</v>
      </c>
      <c r="H1553" s="26" t="s">
        <v>140</v>
      </c>
      <c r="J1553" s="46">
        <v>1</v>
      </c>
      <c r="K1553" s="46">
        <v>75</v>
      </c>
      <c r="L1553" s="136"/>
      <c r="M1553" s="137" t="s">
        <v>22</v>
      </c>
      <c r="N1553" s="138"/>
      <c r="O1553" s="138"/>
      <c r="P1553" s="138"/>
      <c r="Q1553" s="138"/>
      <c r="R1553" s="138"/>
      <c r="S1553" s="138"/>
      <c r="T1553" s="138"/>
      <c r="U1553" s="138"/>
    </row>
    <row r="1554" spans="1:22" s="26" customFormat="1" ht="15" customHeight="1" x14ac:dyDescent="0.2">
      <c r="A1554" s="37">
        <v>41463.576273148101</v>
      </c>
      <c r="B1554" s="26" t="s">
        <v>16</v>
      </c>
      <c r="C1554" s="26" t="s">
        <v>23</v>
      </c>
      <c r="D1554" s="33">
        <v>41456</v>
      </c>
      <c r="E1554" s="26" t="s">
        <v>141</v>
      </c>
      <c r="F1554" s="26" t="s">
        <v>142</v>
      </c>
      <c r="G1554" s="26" t="s">
        <v>42</v>
      </c>
      <c r="H1554" s="26" t="s">
        <v>143</v>
      </c>
      <c r="J1554" s="115">
        <v>1</v>
      </c>
      <c r="K1554" s="115">
        <v>9</v>
      </c>
      <c r="L1554" s="136">
        <v>50</v>
      </c>
      <c r="M1554" s="137" t="s">
        <v>22</v>
      </c>
      <c r="N1554" s="138"/>
      <c r="O1554" s="138"/>
      <c r="P1554" s="138"/>
      <c r="Q1554" s="138"/>
      <c r="R1554" s="138"/>
      <c r="S1554" s="138"/>
      <c r="T1554" s="138"/>
      <c r="U1554" s="138">
        <v>5</v>
      </c>
    </row>
    <row r="1555" spans="1:22" s="26" customFormat="1" ht="15" customHeight="1" x14ac:dyDescent="0.2">
      <c r="A1555" s="37">
        <v>41465.527743055602</v>
      </c>
      <c r="B1555" s="26" t="s">
        <v>16</v>
      </c>
      <c r="C1555" s="26" t="s">
        <v>23</v>
      </c>
      <c r="D1555" s="33">
        <v>41456</v>
      </c>
      <c r="E1555" s="34" t="s">
        <v>1272</v>
      </c>
      <c r="F1555" s="26" t="s">
        <v>163</v>
      </c>
      <c r="G1555" s="26" t="s">
        <v>42</v>
      </c>
      <c r="H1555" s="26" t="s">
        <v>164</v>
      </c>
      <c r="J1555" s="115">
        <v>1</v>
      </c>
      <c r="K1555" s="115">
        <v>19</v>
      </c>
      <c r="L1555" s="136">
        <v>80</v>
      </c>
      <c r="M1555" s="137" t="s">
        <v>22</v>
      </c>
      <c r="N1555" s="138"/>
      <c r="O1555" s="138"/>
      <c r="P1555" s="138"/>
      <c r="Q1555" s="138"/>
      <c r="R1555" s="138"/>
      <c r="S1555" s="138"/>
      <c r="T1555" s="138"/>
      <c r="U1555" s="138"/>
    </row>
    <row r="1556" spans="1:22" s="26" customFormat="1" ht="15" customHeight="1" x14ac:dyDescent="0.2">
      <c r="A1556" s="37">
        <v>41466.512060185203</v>
      </c>
      <c r="B1556" s="26" t="s">
        <v>16</v>
      </c>
      <c r="C1556" s="26" t="s">
        <v>23</v>
      </c>
      <c r="D1556" s="33">
        <v>41456</v>
      </c>
      <c r="E1556" s="26" t="s">
        <v>181</v>
      </c>
      <c r="F1556" s="26" t="s">
        <v>182</v>
      </c>
      <c r="G1556" s="26" t="s">
        <v>42</v>
      </c>
      <c r="H1556" s="26" t="s">
        <v>183</v>
      </c>
      <c r="J1556" s="115">
        <v>1</v>
      </c>
      <c r="K1556" s="115">
        <v>29</v>
      </c>
      <c r="L1556" s="136">
        <v>250</v>
      </c>
      <c r="M1556" s="137" t="s">
        <v>22</v>
      </c>
      <c r="N1556" s="138"/>
      <c r="O1556" s="138"/>
      <c r="P1556" s="138"/>
      <c r="Q1556" s="138"/>
      <c r="R1556" s="138"/>
      <c r="S1556" s="138"/>
      <c r="T1556" s="138"/>
      <c r="U1556" s="138">
        <v>5</v>
      </c>
      <c r="V1556" s="26" t="s">
        <v>184</v>
      </c>
    </row>
    <row r="1557" spans="1:22" s="26" customFormat="1" ht="15" customHeight="1" x14ac:dyDescent="0.2">
      <c r="A1557" s="37">
        <v>41471.623576388898</v>
      </c>
      <c r="B1557" s="26" t="s">
        <v>16</v>
      </c>
      <c r="C1557" s="26" t="s">
        <v>23</v>
      </c>
      <c r="D1557" s="33">
        <v>41456</v>
      </c>
      <c r="E1557" s="26" t="s">
        <v>210</v>
      </c>
      <c r="F1557" s="26" t="s">
        <v>211</v>
      </c>
      <c r="G1557" s="26" t="s">
        <v>26</v>
      </c>
      <c r="H1557" s="26" t="s">
        <v>212</v>
      </c>
      <c r="J1557" s="46">
        <v>1</v>
      </c>
      <c r="K1557" s="46">
        <v>11</v>
      </c>
      <c r="L1557" s="136">
        <v>180</v>
      </c>
      <c r="M1557" s="137" t="s">
        <v>22</v>
      </c>
      <c r="N1557" s="138"/>
      <c r="O1557" s="138"/>
      <c r="P1557" s="138"/>
      <c r="Q1557" s="138"/>
      <c r="R1557" s="138"/>
      <c r="S1557" s="138"/>
      <c r="T1557" s="138"/>
      <c r="U1557" s="138">
        <v>10</v>
      </c>
    </row>
    <row r="1558" spans="1:22" s="26" customFormat="1" ht="15" customHeight="1" x14ac:dyDescent="0.2">
      <c r="A1558" s="37">
        <v>41473.4781828704</v>
      </c>
      <c r="B1558" s="26" t="s">
        <v>16</v>
      </c>
      <c r="C1558" s="26" t="s">
        <v>23</v>
      </c>
      <c r="D1558" s="33">
        <v>41456</v>
      </c>
      <c r="E1558" s="26" t="s">
        <v>228</v>
      </c>
      <c r="F1558" s="26" t="s">
        <v>229</v>
      </c>
      <c r="G1558" s="26" t="s">
        <v>42</v>
      </c>
      <c r="H1558" s="26" t="s">
        <v>230</v>
      </c>
      <c r="J1558" s="115">
        <v>1</v>
      </c>
      <c r="K1558" s="115">
        <v>27</v>
      </c>
      <c r="L1558" s="136">
        <v>250</v>
      </c>
      <c r="M1558" s="137" t="s">
        <v>22</v>
      </c>
      <c r="N1558" s="138"/>
      <c r="O1558" s="138"/>
      <c r="P1558" s="138"/>
      <c r="Q1558" s="138"/>
      <c r="R1558" s="138"/>
      <c r="S1558" s="138"/>
      <c r="T1558" s="138"/>
      <c r="U1558" s="138">
        <v>10</v>
      </c>
    </row>
    <row r="1559" spans="1:22" s="26" customFormat="1" ht="15" customHeight="1" x14ac:dyDescent="0.2">
      <c r="A1559" s="37">
        <v>41473.4940740741</v>
      </c>
      <c r="B1559" s="26" t="s">
        <v>16</v>
      </c>
      <c r="C1559" s="26" t="s">
        <v>23</v>
      </c>
      <c r="D1559" s="33">
        <v>41456</v>
      </c>
      <c r="E1559" s="26" t="s">
        <v>231</v>
      </c>
      <c r="F1559" s="26" t="s">
        <v>232</v>
      </c>
      <c r="G1559" s="26" t="s">
        <v>42</v>
      </c>
      <c r="H1559" s="26" t="s">
        <v>233</v>
      </c>
      <c r="J1559" s="115">
        <v>1</v>
      </c>
      <c r="K1559" s="115">
        <v>21</v>
      </c>
      <c r="L1559" s="136">
        <v>95</v>
      </c>
      <c r="M1559" s="137" t="s">
        <v>22</v>
      </c>
      <c r="N1559" s="138"/>
      <c r="O1559" s="138"/>
      <c r="P1559" s="138"/>
      <c r="Q1559" s="138"/>
      <c r="R1559" s="138"/>
      <c r="S1559" s="138"/>
      <c r="T1559" s="138"/>
      <c r="U1559" s="138"/>
    </row>
    <row r="1560" spans="1:22" s="26" customFormat="1" ht="15" customHeight="1" x14ac:dyDescent="0.2">
      <c r="A1560" s="37">
        <v>41473.495208333297</v>
      </c>
      <c r="B1560" s="26" t="s">
        <v>16</v>
      </c>
      <c r="C1560" s="26" t="s">
        <v>23</v>
      </c>
      <c r="D1560" s="33">
        <v>41456</v>
      </c>
      <c r="E1560" s="26" t="s">
        <v>234</v>
      </c>
      <c r="F1560" s="26" t="s">
        <v>235</v>
      </c>
      <c r="G1560" s="26" t="s">
        <v>42</v>
      </c>
      <c r="H1560" s="26" t="s">
        <v>236</v>
      </c>
      <c r="J1560" s="115">
        <v>1</v>
      </c>
      <c r="K1560" s="115">
        <v>8</v>
      </c>
      <c r="L1560" s="136">
        <v>50</v>
      </c>
      <c r="M1560" s="137" t="s">
        <v>22</v>
      </c>
      <c r="N1560" s="138"/>
      <c r="O1560" s="138"/>
      <c r="P1560" s="138"/>
      <c r="Q1560" s="138"/>
      <c r="R1560" s="138"/>
      <c r="S1560" s="138"/>
      <c r="T1560" s="138"/>
      <c r="U1560" s="138"/>
    </row>
    <row r="1561" spans="1:22" s="26" customFormat="1" ht="15" customHeight="1" x14ac:dyDescent="0.2">
      <c r="A1561" s="37">
        <v>41474.501469907402</v>
      </c>
      <c r="B1561" s="26" t="s">
        <v>16</v>
      </c>
      <c r="C1561" s="26" t="s">
        <v>23</v>
      </c>
      <c r="D1561" s="33">
        <v>41456</v>
      </c>
      <c r="E1561" s="26" t="s">
        <v>252</v>
      </c>
      <c r="F1561" s="26" t="s">
        <v>253</v>
      </c>
      <c r="G1561" s="26" t="s">
        <v>42</v>
      </c>
      <c r="H1561" s="34" t="s">
        <v>1273</v>
      </c>
      <c r="I1561" s="34"/>
      <c r="J1561" s="115">
        <v>1</v>
      </c>
      <c r="K1561" s="115">
        <v>16</v>
      </c>
      <c r="L1561" s="136">
        <v>60</v>
      </c>
      <c r="M1561" s="137" t="s">
        <v>22</v>
      </c>
      <c r="N1561" s="138"/>
      <c r="O1561" s="138"/>
      <c r="P1561" s="138"/>
      <c r="Q1561" s="138"/>
      <c r="R1561" s="138"/>
      <c r="S1561" s="138"/>
      <c r="T1561" s="138"/>
      <c r="U1561" s="138"/>
    </row>
    <row r="1562" spans="1:22" s="26" customFormat="1" ht="15" customHeight="1" x14ac:dyDescent="0.2">
      <c r="A1562" s="37">
        <v>41478.496701388904</v>
      </c>
      <c r="B1562" s="26" t="s">
        <v>16</v>
      </c>
      <c r="C1562" s="26" t="s">
        <v>23</v>
      </c>
      <c r="D1562" s="33">
        <v>41456</v>
      </c>
      <c r="E1562" s="26" t="s">
        <v>308</v>
      </c>
      <c r="F1562" s="26" t="s">
        <v>309</v>
      </c>
      <c r="G1562" s="26" t="s">
        <v>26</v>
      </c>
      <c r="H1562" s="26" t="s">
        <v>310</v>
      </c>
      <c r="J1562" s="46">
        <v>1</v>
      </c>
      <c r="K1562" s="46">
        <v>30</v>
      </c>
      <c r="L1562" s="136"/>
      <c r="M1562" s="137" t="s">
        <v>44</v>
      </c>
      <c r="N1562" s="138"/>
      <c r="O1562" s="138">
        <v>10</v>
      </c>
      <c r="P1562" s="138"/>
      <c r="Q1562" s="138"/>
      <c r="R1562" s="138"/>
      <c r="S1562" s="138"/>
      <c r="T1562" s="138"/>
      <c r="U1562" s="138"/>
    </row>
    <row r="1563" spans="1:22" s="26" customFormat="1" ht="15" customHeight="1" x14ac:dyDescent="0.2">
      <c r="A1563" s="37">
        <v>41478.497696759303</v>
      </c>
      <c r="B1563" s="26" t="s">
        <v>16</v>
      </c>
      <c r="C1563" s="26" t="s">
        <v>23</v>
      </c>
      <c r="D1563" s="33">
        <v>41456</v>
      </c>
      <c r="E1563" s="26" t="s">
        <v>311</v>
      </c>
      <c r="F1563" s="26" t="s">
        <v>312</v>
      </c>
      <c r="G1563" s="26" t="s">
        <v>42</v>
      </c>
      <c r="H1563" s="26" t="s">
        <v>313</v>
      </c>
      <c r="J1563" s="115">
        <v>1</v>
      </c>
      <c r="K1563" s="115">
        <v>9</v>
      </c>
      <c r="L1563" s="136">
        <v>50</v>
      </c>
      <c r="M1563" s="137" t="s">
        <v>22</v>
      </c>
      <c r="N1563" s="138"/>
      <c r="O1563" s="138"/>
      <c r="P1563" s="138"/>
      <c r="Q1563" s="138"/>
      <c r="R1563" s="138"/>
      <c r="S1563" s="138"/>
      <c r="T1563" s="138"/>
      <c r="U1563" s="138"/>
      <c r="V1563" s="26">
        <v>5</v>
      </c>
    </row>
    <row r="1564" spans="1:22" s="26" customFormat="1" ht="15" customHeight="1" x14ac:dyDescent="0.2">
      <c r="A1564" s="37">
        <v>41478.499201388899</v>
      </c>
      <c r="B1564" s="26" t="s">
        <v>16</v>
      </c>
      <c r="C1564" s="26" t="s">
        <v>23</v>
      </c>
      <c r="D1564" s="33">
        <v>41456</v>
      </c>
      <c r="E1564" s="26" t="s">
        <v>314</v>
      </c>
      <c r="F1564" s="26" t="s">
        <v>315</v>
      </c>
      <c r="G1564" s="26" t="s">
        <v>42</v>
      </c>
      <c r="H1564" s="26" t="s">
        <v>316</v>
      </c>
      <c r="J1564" s="115">
        <v>1</v>
      </c>
      <c r="K1564" s="115">
        <v>17</v>
      </c>
      <c r="L1564" s="136">
        <v>75</v>
      </c>
      <c r="M1564" s="137" t="s">
        <v>22</v>
      </c>
      <c r="N1564" s="138"/>
      <c r="O1564" s="138"/>
      <c r="P1564" s="138"/>
      <c r="Q1564" s="138"/>
      <c r="R1564" s="138"/>
      <c r="S1564" s="138"/>
      <c r="T1564" s="138"/>
      <c r="U1564" s="138"/>
    </row>
    <row r="1565" spans="1:22" s="26" customFormat="1" ht="15" customHeight="1" x14ac:dyDescent="0.2">
      <c r="A1565" s="37">
        <v>41481.459143518499</v>
      </c>
      <c r="B1565" s="26" t="s">
        <v>16</v>
      </c>
      <c r="C1565" s="26" t="s">
        <v>23</v>
      </c>
      <c r="D1565" s="33">
        <v>41456</v>
      </c>
      <c r="E1565" s="26" t="s">
        <v>325</v>
      </c>
      <c r="F1565" s="26" t="s">
        <v>326</v>
      </c>
      <c r="G1565" s="26" t="s">
        <v>42</v>
      </c>
      <c r="H1565" s="34" t="s">
        <v>1274</v>
      </c>
      <c r="I1565" s="34"/>
      <c r="J1565" s="115">
        <v>1</v>
      </c>
      <c r="K1565" s="115">
        <v>22</v>
      </c>
      <c r="L1565" s="136">
        <v>200</v>
      </c>
      <c r="M1565" s="137" t="s">
        <v>22</v>
      </c>
      <c r="N1565" s="138"/>
      <c r="O1565" s="138"/>
      <c r="P1565" s="138"/>
      <c r="Q1565" s="138"/>
      <c r="R1565" s="138"/>
      <c r="S1565" s="138"/>
      <c r="T1565" s="138"/>
      <c r="U1565" s="138">
        <v>10</v>
      </c>
    </row>
    <row r="1566" spans="1:22" s="26" customFormat="1" ht="15" customHeight="1" x14ac:dyDescent="0.2">
      <c r="A1566" s="37">
        <v>41481.460231481498</v>
      </c>
      <c r="B1566" s="26" t="s">
        <v>16</v>
      </c>
      <c r="C1566" s="26" t="s">
        <v>23</v>
      </c>
      <c r="D1566" s="33">
        <v>41456</v>
      </c>
      <c r="E1566" s="26" t="s">
        <v>231</v>
      </c>
      <c r="F1566" s="26" t="s">
        <v>327</v>
      </c>
      <c r="G1566" s="26" t="s">
        <v>42</v>
      </c>
      <c r="H1566" s="34" t="s">
        <v>1275</v>
      </c>
      <c r="I1566" s="34"/>
      <c r="J1566" s="115">
        <v>1</v>
      </c>
      <c r="K1566" s="115">
        <v>27</v>
      </c>
      <c r="L1566" s="136">
        <v>120</v>
      </c>
      <c r="M1566" s="137" t="s">
        <v>22</v>
      </c>
      <c r="N1566" s="138"/>
      <c r="O1566" s="138"/>
      <c r="P1566" s="138"/>
      <c r="Q1566" s="138"/>
      <c r="R1566" s="138"/>
      <c r="S1566" s="138"/>
      <c r="T1566" s="138"/>
      <c r="U1566" s="138"/>
    </row>
    <row r="1567" spans="1:22" s="26" customFormat="1" ht="15" customHeight="1" x14ac:dyDescent="0.2">
      <c r="A1567" s="37">
        <v>41491.559826388897</v>
      </c>
      <c r="B1567" s="26" t="s">
        <v>16</v>
      </c>
      <c r="C1567" s="26" t="s">
        <v>23</v>
      </c>
      <c r="D1567" s="33">
        <v>41456</v>
      </c>
      <c r="E1567" s="26" t="s">
        <v>734</v>
      </c>
      <c r="F1567" s="26" t="s">
        <v>735</v>
      </c>
      <c r="G1567" s="26" t="s">
        <v>26</v>
      </c>
      <c r="H1567" s="26" t="s">
        <v>736</v>
      </c>
      <c r="J1567" s="46">
        <v>1</v>
      </c>
      <c r="K1567" s="46">
        <v>7</v>
      </c>
      <c r="L1567" s="136"/>
      <c r="M1567" s="137" t="s">
        <v>22</v>
      </c>
      <c r="N1567" s="138"/>
      <c r="O1567" s="138"/>
      <c r="P1567" s="138"/>
      <c r="Q1567" s="138"/>
      <c r="R1567" s="138"/>
      <c r="S1567" s="138"/>
      <c r="T1567" s="138"/>
      <c r="U1567" s="138"/>
    </row>
    <row r="1568" spans="1:22" s="26" customFormat="1" ht="15" customHeight="1" x14ac:dyDescent="0.2">
      <c r="A1568" s="37">
        <v>41491.561064814799</v>
      </c>
      <c r="B1568" s="26" t="s">
        <v>16</v>
      </c>
      <c r="C1568" s="26" t="s">
        <v>23</v>
      </c>
      <c r="D1568" s="33">
        <v>41456</v>
      </c>
      <c r="E1568" s="26" t="s">
        <v>737</v>
      </c>
      <c r="F1568" s="26" t="s">
        <v>738</v>
      </c>
      <c r="G1568" s="26" t="s">
        <v>26</v>
      </c>
      <c r="H1568" s="26" t="s">
        <v>739</v>
      </c>
      <c r="J1568" s="46">
        <v>1</v>
      </c>
      <c r="K1568" s="46">
        <v>17</v>
      </c>
      <c r="L1568" s="136"/>
      <c r="M1568" s="137" t="s">
        <v>22</v>
      </c>
      <c r="N1568" s="138"/>
      <c r="O1568" s="138"/>
      <c r="P1568" s="138"/>
      <c r="Q1568" s="138"/>
      <c r="R1568" s="138"/>
      <c r="S1568" s="138"/>
      <c r="T1568" s="138"/>
      <c r="U1568" s="138"/>
      <c r="V1568" s="26" t="s">
        <v>740</v>
      </c>
    </row>
    <row r="1569" spans="1:22" s="26" customFormat="1" ht="15" customHeight="1" x14ac:dyDescent="0.2">
      <c r="A1569" s="38">
        <v>41491.5625</v>
      </c>
      <c r="B1569" s="29" t="s">
        <v>16</v>
      </c>
      <c r="C1569" s="29" t="s">
        <v>23</v>
      </c>
      <c r="D1569" s="30">
        <v>41487</v>
      </c>
      <c r="E1569" s="29" t="s">
        <v>311</v>
      </c>
      <c r="F1569" s="29" t="s">
        <v>1291</v>
      </c>
      <c r="G1569" s="29" t="s">
        <v>42</v>
      </c>
      <c r="H1569" s="29" t="s">
        <v>1292</v>
      </c>
      <c r="I1569" s="29"/>
      <c r="J1569" s="116">
        <v>1</v>
      </c>
      <c r="K1569" s="116">
        <v>11</v>
      </c>
      <c r="L1569" s="139">
        <v>50</v>
      </c>
      <c r="M1569" s="140" t="s">
        <v>22</v>
      </c>
      <c r="N1569" s="141"/>
      <c r="O1569" s="141"/>
      <c r="P1569" s="141"/>
      <c r="Q1569" s="141"/>
      <c r="R1569" s="141"/>
      <c r="S1569" s="141"/>
      <c r="T1569" s="141"/>
      <c r="U1569" s="141">
        <v>5</v>
      </c>
      <c r="V1569" s="29"/>
    </row>
    <row r="1570" spans="1:22" s="26" customFormat="1" ht="15" customHeight="1" x14ac:dyDescent="0.2">
      <c r="A1570" s="38">
        <v>41505.652928240743</v>
      </c>
      <c r="B1570" s="29" t="s">
        <v>16</v>
      </c>
      <c r="C1570" s="29" t="s">
        <v>23</v>
      </c>
      <c r="D1570" s="30">
        <v>41487</v>
      </c>
      <c r="E1570" s="31" t="s">
        <v>1386</v>
      </c>
      <c r="F1570" s="29" t="s">
        <v>1387</v>
      </c>
      <c r="G1570" s="29" t="s">
        <v>42</v>
      </c>
      <c r="H1570" s="29" t="s">
        <v>1388</v>
      </c>
      <c r="I1570" s="29"/>
      <c r="J1570" s="116">
        <v>1</v>
      </c>
      <c r="K1570" s="116">
        <v>10</v>
      </c>
      <c r="L1570" s="139">
        <v>50</v>
      </c>
      <c r="M1570" s="140" t="s">
        <v>22</v>
      </c>
      <c r="N1570" s="141"/>
      <c r="O1570" s="141"/>
      <c r="P1570" s="141"/>
      <c r="Q1570" s="141"/>
      <c r="R1570" s="141"/>
      <c r="S1570" s="141"/>
      <c r="T1570" s="141"/>
      <c r="U1570" s="141">
        <v>5</v>
      </c>
      <c r="V1570" s="29"/>
    </row>
    <row r="1571" spans="1:22" s="26" customFormat="1" ht="15" customHeight="1" x14ac:dyDescent="0.2">
      <c r="A1571" s="38">
        <v>41505.653634259259</v>
      </c>
      <c r="B1571" s="29" t="s">
        <v>16</v>
      </c>
      <c r="C1571" s="29" t="s">
        <v>23</v>
      </c>
      <c r="D1571" s="30">
        <v>41487</v>
      </c>
      <c r="E1571" s="31" t="s">
        <v>1389</v>
      </c>
      <c r="F1571" s="29" t="s">
        <v>1390</v>
      </c>
      <c r="G1571" s="29" t="s">
        <v>42</v>
      </c>
      <c r="H1571" s="29" t="s">
        <v>1391</v>
      </c>
      <c r="I1571" s="29"/>
      <c r="J1571" s="116">
        <v>1</v>
      </c>
      <c r="K1571" s="116">
        <v>9</v>
      </c>
      <c r="L1571" s="139">
        <v>50</v>
      </c>
      <c r="M1571" s="140" t="s">
        <v>22</v>
      </c>
      <c r="N1571" s="141"/>
      <c r="O1571" s="141"/>
      <c r="P1571" s="141"/>
      <c r="Q1571" s="141"/>
      <c r="R1571" s="141"/>
      <c r="S1571" s="141"/>
      <c r="T1571" s="141"/>
      <c r="U1571" s="141"/>
      <c r="V1571" s="29"/>
    </row>
    <row r="1572" spans="1:22" s="26" customFormat="1" ht="15" customHeight="1" x14ac:dyDescent="0.2">
      <c r="A1572" s="38">
        <v>41506.554340277777</v>
      </c>
      <c r="B1572" s="29" t="s">
        <v>16</v>
      </c>
      <c r="C1572" s="29" t="s">
        <v>23</v>
      </c>
      <c r="D1572" s="30">
        <v>41487</v>
      </c>
      <c r="E1572" s="31" t="s">
        <v>1395</v>
      </c>
      <c r="F1572" s="29" t="s">
        <v>1291</v>
      </c>
      <c r="G1572" s="29" t="s">
        <v>42</v>
      </c>
      <c r="H1572" s="29" t="s">
        <v>1396</v>
      </c>
      <c r="I1572" s="29"/>
      <c r="J1572" s="116">
        <v>1</v>
      </c>
      <c r="K1572" s="116">
        <v>10</v>
      </c>
      <c r="L1572" s="139">
        <v>50</v>
      </c>
      <c r="M1572" s="140" t="s">
        <v>22</v>
      </c>
      <c r="N1572" s="141"/>
      <c r="O1572" s="141"/>
      <c r="P1572" s="141"/>
      <c r="Q1572" s="141"/>
      <c r="R1572" s="141"/>
      <c r="S1572" s="141"/>
      <c r="T1572" s="141"/>
      <c r="U1572" s="141">
        <v>5</v>
      </c>
      <c r="V1572" s="29"/>
    </row>
    <row r="1573" spans="1:22" s="26" customFormat="1" ht="15" customHeight="1" x14ac:dyDescent="0.2">
      <c r="A1573" s="38">
        <v>41519.368587962963</v>
      </c>
      <c r="B1573" s="29" t="s">
        <v>16</v>
      </c>
      <c r="C1573" s="29" t="s">
        <v>23</v>
      </c>
      <c r="D1573" s="30">
        <v>41487</v>
      </c>
      <c r="E1573" s="31" t="s">
        <v>1508</v>
      </c>
      <c r="F1573" s="29" t="s">
        <v>1509</v>
      </c>
      <c r="G1573" s="29" t="s">
        <v>42</v>
      </c>
      <c r="H1573" s="29" t="s">
        <v>1510</v>
      </c>
      <c r="I1573" s="29"/>
      <c r="J1573" s="116">
        <v>1</v>
      </c>
      <c r="K1573" s="116">
        <v>10</v>
      </c>
      <c r="L1573" s="139">
        <v>50</v>
      </c>
      <c r="M1573" s="140" t="s">
        <v>22</v>
      </c>
      <c r="N1573" s="141"/>
      <c r="O1573" s="141"/>
      <c r="P1573" s="141"/>
      <c r="Q1573" s="141"/>
      <c r="R1573" s="141"/>
      <c r="S1573" s="141"/>
      <c r="T1573" s="141"/>
      <c r="U1573" s="141"/>
      <c r="V1573" s="29"/>
    </row>
    <row r="1574" spans="1:22" s="26" customFormat="1" ht="15" customHeight="1" x14ac:dyDescent="0.2">
      <c r="A1574" s="28">
        <v>41519.369884259257</v>
      </c>
      <c r="B1574" s="29" t="s">
        <v>16</v>
      </c>
      <c r="C1574" s="29" t="s">
        <v>23</v>
      </c>
      <c r="D1574" s="30">
        <v>41518</v>
      </c>
      <c r="E1574" s="29" t="s">
        <v>2015</v>
      </c>
      <c r="F1574" s="29" t="s">
        <v>29</v>
      </c>
      <c r="G1574" s="29" t="s">
        <v>26</v>
      </c>
      <c r="H1574" s="29" t="s">
        <v>30</v>
      </c>
      <c r="I1574" s="29"/>
      <c r="J1574" s="116">
        <v>1</v>
      </c>
      <c r="K1574" s="116">
        <v>35</v>
      </c>
      <c r="L1574" s="139">
        <v>29.5</v>
      </c>
      <c r="M1574" s="140"/>
      <c r="N1574" s="141"/>
      <c r="O1574" s="141"/>
      <c r="P1574" s="141"/>
      <c r="Q1574" s="141"/>
      <c r="R1574" s="141"/>
      <c r="S1574" s="141"/>
      <c r="T1574" s="141"/>
      <c r="U1574" s="141"/>
      <c r="V1574" s="29"/>
    </row>
    <row r="1575" spans="1:22" s="26" customFormat="1" ht="15" customHeight="1" x14ac:dyDescent="0.2">
      <c r="A1575" s="32">
        <v>41526.490648148145</v>
      </c>
      <c r="B1575" s="26" t="s">
        <v>16</v>
      </c>
      <c r="C1575" s="26" t="s">
        <v>23</v>
      </c>
      <c r="D1575" s="30">
        <v>41518</v>
      </c>
      <c r="E1575" s="26" t="s">
        <v>2055</v>
      </c>
      <c r="F1575" s="26" t="s">
        <v>2056</v>
      </c>
      <c r="G1575" s="26" t="s">
        <v>42</v>
      </c>
      <c r="H1575" s="26" t="s">
        <v>2057</v>
      </c>
      <c r="J1575" s="46">
        <v>1</v>
      </c>
      <c r="K1575" s="46">
        <v>10</v>
      </c>
      <c r="L1575" s="136">
        <v>50</v>
      </c>
      <c r="M1575" s="137" t="s">
        <v>22</v>
      </c>
      <c r="N1575" s="138"/>
      <c r="O1575" s="138"/>
      <c r="P1575" s="138"/>
      <c r="Q1575" s="138"/>
      <c r="R1575" s="138"/>
      <c r="S1575" s="138"/>
      <c r="T1575" s="138"/>
      <c r="U1575" s="138"/>
    </row>
    <row r="1576" spans="1:22" s="26" customFormat="1" ht="15" customHeight="1" x14ac:dyDescent="0.2">
      <c r="A1576" s="32">
        <v>41533.561585648145</v>
      </c>
      <c r="B1576" s="26" t="s">
        <v>16</v>
      </c>
      <c r="C1576" s="26" t="s">
        <v>23</v>
      </c>
      <c r="D1576" s="30">
        <v>41518</v>
      </c>
      <c r="E1576" s="26" t="s">
        <v>2114</v>
      </c>
      <c r="F1576" s="26" t="s">
        <v>2115</v>
      </c>
      <c r="G1576" s="26" t="s">
        <v>42</v>
      </c>
      <c r="H1576" s="34" t="s">
        <v>2116</v>
      </c>
      <c r="I1576" s="34"/>
      <c r="J1576" s="46">
        <v>1</v>
      </c>
      <c r="K1576" s="46">
        <v>31</v>
      </c>
      <c r="L1576" s="136"/>
      <c r="M1576" s="137" t="s">
        <v>22</v>
      </c>
      <c r="N1576" s="138"/>
      <c r="O1576" s="138"/>
      <c r="P1576" s="138"/>
      <c r="Q1576" s="138"/>
      <c r="R1576" s="138"/>
      <c r="S1576" s="138"/>
      <c r="T1576" s="138"/>
      <c r="U1576" s="138"/>
    </row>
    <row r="1577" spans="1:22" s="26" customFormat="1" ht="15" customHeight="1" x14ac:dyDescent="0.2">
      <c r="A1577" s="32">
        <v>41533.562743055554</v>
      </c>
      <c r="B1577" s="26" t="s">
        <v>16</v>
      </c>
      <c r="C1577" s="26" t="s">
        <v>23</v>
      </c>
      <c r="D1577" s="30">
        <v>41518</v>
      </c>
      <c r="E1577" s="26" t="s">
        <v>737</v>
      </c>
      <c r="F1577" s="26" t="s">
        <v>738</v>
      </c>
      <c r="G1577" s="26" t="s">
        <v>26</v>
      </c>
      <c r="H1577" s="26" t="s">
        <v>2117</v>
      </c>
      <c r="J1577" s="46">
        <v>1</v>
      </c>
      <c r="K1577" s="46">
        <v>6</v>
      </c>
      <c r="L1577" s="136"/>
      <c r="M1577" s="137" t="s">
        <v>22</v>
      </c>
      <c r="N1577" s="138"/>
      <c r="O1577" s="138"/>
      <c r="P1577" s="138"/>
      <c r="Q1577" s="138"/>
      <c r="R1577" s="138"/>
      <c r="S1577" s="138"/>
      <c r="T1577" s="138"/>
      <c r="U1577" s="138"/>
      <c r="V1577" s="26" t="s">
        <v>2118</v>
      </c>
    </row>
    <row r="1578" spans="1:22" s="26" customFormat="1" ht="15" customHeight="1" x14ac:dyDescent="0.2">
      <c r="A1578" s="32">
        <v>41533.56386574074</v>
      </c>
      <c r="B1578" s="26" t="s">
        <v>16</v>
      </c>
      <c r="C1578" s="26" t="s">
        <v>23</v>
      </c>
      <c r="D1578" s="30">
        <v>41518</v>
      </c>
      <c r="E1578" s="26" t="s">
        <v>2119</v>
      </c>
      <c r="F1578" s="26" t="s">
        <v>2120</v>
      </c>
      <c r="G1578" s="26" t="s">
        <v>42</v>
      </c>
      <c r="H1578" s="26" t="s">
        <v>2121</v>
      </c>
      <c r="J1578" s="46">
        <v>1</v>
      </c>
      <c r="K1578" s="46">
        <v>8</v>
      </c>
      <c r="L1578" s="136">
        <v>50</v>
      </c>
      <c r="M1578" s="137" t="s">
        <v>22</v>
      </c>
      <c r="N1578" s="138"/>
      <c r="O1578" s="138"/>
      <c r="P1578" s="138"/>
      <c r="Q1578" s="138"/>
      <c r="R1578" s="138"/>
      <c r="S1578" s="138"/>
      <c r="T1578" s="138"/>
      <c r="U1578" s="138">
        <v>5</v>
      </c>
    </row>
    <row r="1579" spans="1:22" s="26" customFormat="1" ht="15" customHeight="1" x14ac:dyDescent="0.2">
      <c r="A1579" s="32">
        <v>41542.521909722222</v>
      </c>
      <c r="B1579" s="26" t="s">
        <v>16</v>
      </c>
      <c r="C1579" s="26" t="s">
        <v>23</v>
      </c>
      <c r="D1579" s="30">
        <v>41518</v>
      </c>
      <c r="E1579" s="26" t="s">
        <v>141</v>
      </c>
      <c r="F1579" s="26" t="s">
        <v>2169</v>
      </c>
      <c r="G1579" s="26" t="s">
        <v>42</v>
      </c>
      <c r="H1579" s="26" t="s">
        <v>2170</v>
      </c>
      <c r="J1579" s="46">
        <v>1</v>
      </c>
      <c r="K1579" s="46">
        <v>8</v>
      </c>
      <c r="L1579" s="136">
        <v>50</v>
      </c>
      <c r="M1579" s="137" t="s">
        <v>22</v>
      </c>
      <c r="N1579" s="138"/>
      <c r="O1579" s="138"/>
      <c r="P1579" s="138"/>
      <c r="Q1579" s="138"/>
      <c r="R1579" s="138"/>
      <c r="S1579" s="138"/>
      <c r="T1579" s="138"/>
      <c r="U1579" s="138"/>
    </row>
    <row r="1580" spans="1:22" s="26" customFormat="1" ht="15" customHeight="1" x14ac:dyDescent="0.2">
      <c r="A1580" s="32">
        <v>41542.524027777778</v>
      </c>
      <c r="B1580" s="26" t="s">
        <v>16</v>
      </c>
      <c r="C1580" s="26" t="s">
        <v>23</v>
      </c>
      <c r="D1580" s="30">
        <v>41518</v>
      </c>
      <c r="E1580" s="26" t="s">
        <v>2171</v>
      </c>
      <c r="F1580" s="26" t="s">
        <v>2172</v>
      </c>
      <c r="G1580" s="26" t="s">
        <v>20</v>
      </c>
      <c r="H1580" s="26" t="s">
        <v>2173</v>
      </c>
      <c r="J1580" s="46">
        <v>3</v>
      </c>
      <c r="K1580" s="46">
        <v>111</v>
      </c>
      <c r="L1580" s="136">
        <v>364</v>
      </c>
      <c r="M1580" s="137" t="s">
        <v>44</v>
      </c>
      <c r="N1580" s="138"/>
      <c r="O1580" s="138"/>
      <c r="P1580" s="138">
        <v>294</v>
      </c>
      <c r="Q1580" s="138"/>
      <c r="R1580" s="138"/>
      <c r="S1580" s="138"/>
      <c r="T1580" s="138"/>
      <c r="U1580" s="138">
        <v>10</v>
      </c>
      <c r="V1580" s="26" t="s">
        <v>2174</v>
      </c>
    </row>
    <row r="1581" spans="1:22" s="26" customFormat="1" ht="15" customHeight="1" x14ac:dyDescent="0.2">
      <c r="A1581" s="32">
        <v>41547.692962962959</v>
      </c>
      <c r="B1581" s="26" t="s">
        <v>16</v>
      </c>
      <c r="C1581" s="26" t="s">
        <v>23</v>
      </c>
      <c r="D1581" s="30">
        <v>41518</v>
      </c>
      <c r="E1581" s="26" t="s">
        <v>2259</v>
      </c>
      <c r="F1581" s="26" t="s">
        <v>2260</v>
      </c>
      <c r="G1581" s="26" t="s">
        <v>156</v>
      </c>
      <c r="H1581" s="26" t="s">
        <v>2261</v>
      </c>
      <c r="J1581" s="46">
        <v>1</v>
      </c>
      <c r="K1581" s="46">
        <v>285</v>
      </c>
      <c r="L1581" s="136"/>
      <c r="M1581" s="137" t="s">
        <v>22</v>
      </c>
      <c r="N1581" s="138"/>
      <c r="O1581" s="138"/>
      <c r="P1581" s="138"/>
      <c r="Q1581" s="138"/>
      <c r="R1581" s="138"/>
      <c r="S1581" s="138"/>
      <c r="T1581" s="138"/>
      <c r="U1581" s="138"/>
      <c r="V1581" s="26" t="s">
        <v>2262</v>
      </c>
    </row>
    <row r="1582" spans="1:22" s="26" customFormat="1" ht="15" customHeight="1" x14ac:dyDescent="0.2">
      <c r="A1582" s="32">
        <v>41547.695648148147</v>
      </c>
      <c r="B1582" s="26" t="s">
        <v>16</v>
      </c>
      <c r="C1582" s="26" t="s">
        <v>23</v>
      </c>
      <c r="D1582" s="30">
        <v>41518</v>
      </c>
      <c r="E1582" s="26" t="s">
        <v>2263</v>
      </c>
      <c r="F1582" s="26" t="s">
        <v>2264</v>
      </c>
      <c r="G1582" s="26" t="s">
        <v>42</v>
      </c>
      <c r="H1582" s="26" t="s">
        <v>2265</v>
      </c>
      <c r="J1582" s="46">
        <v>2</v>
      </c>
      <c r="K1582" s="46">
        <v>22</v>
      </c>
      <c r="L1582" s="136">
        <v>285</v>
      </c>
      <c r="M1582" s="137" t="s">
        <v>22</v>
      </c>
      <c r="N1582" s="138"/>
      <c r="O1582" s="138"/>
      <c r="P1582" s="138"/>
      <c r="Q1582" s="138"/>
      <c r="R1582" s="138"/>
      <c r="S1582" s="138"/>
      <c r="T1582" s="138"/>
      <c r="U1582" s="138">
        <v>50</v>
      </c>
      <c r="V1582" s="26" t="s">
        <v>2266</v>
      </c>
    </row>
    <row r="1583" spans="1:22" s="26" customFormat="1" ht="15" customHeight="1" x14ac:dyDescent="0.2">
      <c r="A1583" s="32">
        <v>41547.696701388886</v>
      </c>
      <c r="B1583" s="26" t="s">
        <v>16</v>
      </c>
      <c r="C1583" s="26" t="s">
        <v>23</v>
      </c>
      <c r="D1583" s="30">
        <v>41518</v>
      </c>
      <c r="E1583" s="26" t="s">
        <v>2267</v>
      </c>
      <c r="F1583" s="26" t="s">
        <v>2268</v>
      </c>
      <c r="G1583" s="26" t="s">
        <v>42</v>
      </c>
      <c r="H1583" s="26" t="s">
        <v>2269</v>
      </c>
      <c r="J1583" s="46">
        <v>1</v>
      </c>
      <c r="K1583" s="46">
        <v>9</v>
      </c>
      <c r="L1583" s="136">
        <v>50</v>
      </c>
      <c r="M1583" s="137" t="s">
        <v>22</v>
      </c>
      <c r="N1583" s="138"/>
      <c r="O1583" s="138"/>
      <c r="P1583" s="138"/>
      <c r="Q1583" s="138"/>
      <c r="R1583" s="138"/>
      <c r="S1583" s="138"/>
      <c r="T1583" s="138"/>
      <c r="U1583" s="138"/>
    </row>
    <row r="1584" spans="1:22" s="26" customFormat="1" ht="15" customHeight="1" x14ac:dyDescent="0.2">
      <c r="A1584" s="48">
        <v>41582.628217592603</v>
      </c>
      <c r="B1584" s="49" t="s">
        <v>16</v>
      </c>
      <c r="C1584" s="50" t="s">
        <v>23</v>
      </c>
      <c r="D1584" s="67">
        <v>41579</v>
      </c>
      <c r="E1584" s="50" t="s">
        <v>1508</v>
      </c>
      <c r="F1584" s="50" t="s">
        <v>2929</v>
      </c>
      <c r="G1584" s="49" t="s">
        <v>42</v>
      </c>
      <c r="H1584" s="50" t="s">
        <v>2930</v>
      </c>
      <c r="I1584" s="50"/>
      <c r="J1584" s="117">
        <v>1</v>
      </c>
      <c r="K1584" s="117">
        <v>10</v>
      </c>
      <c r="L1584" s="142">
        <v>50</v>
      </c>
      <c r="M1584" s="143" t="s">
        <v>22</v>
      </c>
      <c r="N1584" s="144"/>
      <c r="O1584" s="144"/>
      <c r="P1584" s="144"/>
      <c r="Q1584" s="144"/>
      <c r="R1584" s="144"/>
      <c r="S1584" s="144"/>
      <c r="T1584" s="144"/>
      <c r="U1584" s="144"/>
      <c r="V1584" s="50"/>
    </row>
    <row r="1585" spans="1:22" s="26" customFormat="1" ht="15" customHeight="1" x14ac:dyDescent="0.2">
      <c r="A1585" s="48">
        <v>41583.550150463001</v>
      </c>
      <c r="B1585" s="49" t="s">
        <v>16</v>
      </c>
      <c r="C1585" s="50" t="s">
        <v>23</v>
      </c>
      <c r="D1585" s="67">
        <v>41579</v>
      </c>
      <c r="E1585" s="50" t="s">
        <v>2813</v>
      </c>
      <c r="F1585" s="50" t="s">
        <v>2934</v>
      </c>
      <c r="G1585" s="49" t="s">
        <v>20</v>
      </c>
      <c r="H1585" s="50" t="s">
        <v>2935</v>
      </c>
      <c r="I1585" s="50"/>
      <c r="J1585" s="117">
        <v>3</v>
      </c>
      <c r="K1585" s="117">
        <v>88</v>
      </c>
      <c r="L1585" s="142">
        <v>312</v>
      </c>
      <c r="M1585" s="143" t="s">
        <v>22</v>
      </c>
      <c r="N1585" s="144"/>
      <c r="O1585" s="144"/>
      <c r="P1585" s="144"/>
      <c r="Q1585" s="144"/>
      <c r="R1585" s="144"/>
      <c r="S1585" s="144"/>
      <c r="T1585" s="144"/>
      <c r="U1585" s="144">
        <v>10</v>
      </c>
      <c r="V1585" s="50" t="s">
        <v>2936</v>
      </c>
    </row>
    <row r="1586" spans="1:22" s="26" customFormat="1" ht="15" customHeight="1" x14ac:dyDescent="0.2">
      <c r="A1586" s="48">
        <v>41584.6964351852</v>
      </c>
      <c r="B1586" s="49" t="s">
        <v>16</v>
      </c>
      <c r="C1586" s="50" t="s">
        <v>23</v>
      </c>
      <c r="D1586" s="67">
        <v>41579</v>
      </c>
      <c r="E1586" s="50" t="s">
        <v>2939</v>
      </c>
      <c r="F1586" s="50" t="s">
        <v>2940</v>
      </c>
      <c r="G1586" s="49" t="s">
        <v>20</v>
      </c>
      <c r="H1586" s="50" t="s">
        <v>2941</v>
      </c>
      <c r="I1586" s="50"/>
      <c r="J1586" s="117">
        <v>3</v>
      </c>
      <c r="K1586" s="117">
        <v>80</v>
      </c>
      <c r="L1586" s="142">
        <v>240</v>
      </c>
      <c r="M1586" s="143" t="s">
        <v>22</v>
      </c>
      <c r="N1586" s="144"/>
      <c r="O1586" s="144"/>
      <c r="P1586" s="144"/>
      <c r="Q1586" s="144"/>
      <c r="R1586" s="144"/>
      <c r="S1586" s="144"/>
      <c r="T1586" s="144"/>
      <c r="U1586" s="144">
        <v>10</v>
      </c>
      <c r="V1586" s="50" t="s">
        <v>2942</v>
      </c>
    </row>
    <row r="1587" spans="1:22" s="26" customFormat="1" ht="15" customHeight="1" x14ac:dyDescent="0.2">
      <c r="A1587" s="48">
        <v>41585.6330787037</v>
      </c>
      <c r="B1587" s="49" t="s">
        <v>16</v>
      </c>
      <c r="C1587" s="50" t="s">
        <v>23</v>
      </c>
      <c r="D1587" s="67">
        <v>41579</v>
      </c>
      <c r="E1587" s="50" t="s">
        <v>2816</v>
      </c>
      <c r="F1587" s="50" t="s">
        <v>2943</v>
      </c>
      <c r="G1587" s="49" t="s">
        <v>20</v>
      </c>
      <c r="H1587" s="50" t="s">
        <v>2944</v>
      </c>
      <c r="I1587" s="50"/>
      <c r="J1587" s="117">
        <v>5</v>
      </c>
      <c r="K1587" s="117">
        <v>120</v>
      </c>
      <c r="L1587" s="142">
        <v>376</v>
      </c>
      <c r="M1587" s="143" t="s">
        <v>22</v>
      </c>
      <c r="N1587" s="144"/>
      <c r="O1587" s="144"/>
      <c r="P1587" s="144"/>
      <c r="Q1587" s="144"/>
      <c r="R1587" s="144"/>
      <c r="S1587" s="144"/>
      <c r="T1587" s="144"/>
      <c r="U1587" s="144">
        <v>5</v>
      </c>
      <c r="V1587" s="50" t="s">
        <v>2945</v>
      </c>
    </row>
    <row r="1588" spans="1:22" s="26" customFormat="1" ht="15" customHeight="1" x14ac:dyDescent="0.2">
      <c r="A1588" s="48">
        <v>41589.408078703702</v>
      </c>
      <c r="B1588" s="49" t="s">
        <v>16</v>
      </c>
      <c r="C1588" s="50" t="s">
        <v>23</v>
      </c>
      <c r="D1588" s="67">
        <v>41579</v>
      </c>
      <c r="E1588" s="50" t="s">
        <v>2960</v>
      </c>
      <c r="F1588" s="50" t="s">
        <v>2961</v>
      </c>
      <c r="G1588" s="49" t="s">
        <v>20</v>
      </c>
      <c r="H1588" s="50" t="s">
        <v>2962</v>
      </c>
      <c r="I1588" s="50"/>
      <c r="J1588" s="117">
        <v>1</v>
      </c>
      <c r="K1588" s="117">
        <v>25</v>
      </c>
      <c r="L1588" s="142">
        <v>54</v>
      </c>
      <c r="M1588" s="143" t="s">
        <v>22</v>
      </c>
      <c r="N1588" s="144"/>
      <c r="O1588" s="144"/>
      <c r="P1588" s="144"/>
      <c r="Q1588" s="144"/>
      <c r="R1588" s="144"/>
      <c r="S1588" s="144"/>
      <c r="T1588" s="144"/>
      <c r="U1588" s="144">
        <v>5</v>
      </c>
      <c r="V1588" s="50"/>
    </row>
    <row r="1589" spans="1:22" s="26" customFormat="1" ht="15" customHeight="1" x14ac:dyDescent="0.2">
      <c r="A1589" s="48">
        <v>41589.410011574102</v>
      </c>
      <c r="B1589" s="49" t="s">
        <v>16</v>
      </c>
      <c r="C1589" s="50" t="s">
        <v>23</v>
      </c>
      <c r="D1589" s="67">
        <v>41579</v>
      </c>
      <c r="E1589" s="50" t="s">
        <v>2963</v>
      </c>
      <c r="F1589" s="50" t="s">
        <v>2964</v>
      </c>
      <c r="G1589" s="49" t="s">
        <v>26</v>
      </c>
      <c r="H1589" s="50" t="s">
        <v>2965</v>
      </c>
      <c r="I1589" s="50"/>
      <c r="J1589" s="117">
        <v>1</v>
      </c>
      <c r="K1589" s="117">
        <v>17</v>
      </c>
      <c r="L1589" s="142"/>
      <c r="M1589" s="143" t="s">
        <v>22</v>
      </c>
      <c r="N1589" s="144"/>
      <c r="O1589" s="144"/>
      <c r="P1589" s="144"/>
      <c r="Q1589" s="144"/>
      <c r="R1589" s="144"/>
      <c r="S1589" s="144"/>
      <c r="T1589" s="144"/>
      <c r="U1589" s="144"/>
      <c r="V1589" s="50" t="s">
        <v>2966</v>
      </c>
    </row>
    <row r="1590" spans="1:22" s="26" customFormat="1" ht="15" customHeight="1" x14ac:dyDescent="0.2">
      <c r="A1590" s="48">
        <v>41590.570995370399</v>
      </c>
      <c r="B1590" s="49" t="s">
        <v>16</v>
      </c>
      <c r="C1590" s="50" t="s">
        <v>23</v>
      </c>
      <c r="D1590" s="67">
        <v>41579</v>
      </c>
      <c r="E1590" s="50" t="s">
        <v>1395</v>
      </c>
      <c r="F1590" s="50" t="s">
        <v>2979</v>
      </c>
      <c r="G1590" s="49" t="s">
        <v>42</v>
      </c>
      <c r="H1590" s="50" t="s">
        <v>2980</v>
      </c>
      <c r="I1590" s="50"/>
      <c r="J1590" s="117">
        <v>1</v>
      </c>
      <c r="K1590" s="117">
        <v>12</v>
      </c>
      <c r="L1590" s="142">
        <v>50</v>
      </c>
      <c r="M1590" s="143" t="s">
        <v>22</v>
      </c>
      <c r="N1590" s="144"/>
      <c r="O1590" s="144"/>
      <c r="P1590" s="144"/>
      <c r="Q1590" s="144"/>
      <c r="R1590" s="144"/>
      <c r="S1590" s="144"/>
      <c r="T1590" s="144"/>
      <c r="U1590" s="144">
        <v>5</v>
      </c>
      <c r="V1590" s="50"/>
    </row>
    <row r="1591" spans="1:22" s="26" customFormat="1" ht="15" customHeight="1" x14ac:dyDescent="0.2">
      <c r="A1591" s="48">
        <v>41590.573738425897</v>
      </c>
      <c r="B1591" s="49" t="s">
        <v>16</v>
      </c>
      <c r="C1591" s="50" t="s">
        <v>23</v>
      </c>
      <c r="D1591" s="67">
        <v>41579</v>
      </c>
      <c r="E1591" s="50" t="s">
        <v>2981</v>
      </c>
      <c r="F1591" s="50" t="s">
        <v>2982</v>
      </c>
      <c r="G1591" s="49" t="s">
        <v>20</v>
      </c>
      <c r="H1591" s="50" t="s">
        <v>2983</v>
      </c>
      <c r="I1591" s="50"/>
      <c r="J1591" s="117">
        <v>3</v>
      </c>
      <c r="K1591" s="117">
        <v>85</v>
      </c>
      <c r="L1591" s="142">
        <v>240</v>
      </c>
      <c r="M1591" s="143" t="s">
        <v>22</v>
      </c>
      <c r="N1591" s="144"/>
      <c r="O1591" s="144"/>
      <c r="P1591" s="144"/>
      <c r="Q1591" s="144"/>
      <c r="R1591" s="144"/>
      <c r="S1591" s="144"/>
      <c r="T1591" s="144"/>
      <c r="U1591" s="144">
        <v>10</v>
      </c>
      <c r="V1591" s="50" t="s">
        <v>2984</v>
      </c>
    </row>
    <row r="1592" spans="1:22" s="26" customFormat="1" ht="15" customHeight="1" x14ac:dyDescent="0.2">
      <c r="A1592" s="48">
        <v>41591.606874999998</v>
      </c>
      <c r="B1592" s="49" t="s">
        <v>16</v>
      </c>
      <c r="C1592" s="50" t="s">
        <v>23</v>
      </c>
      <c r="D1592" s="67">
        <v>41579</v>
      </c>
      <c r="E1592" s="50" t="s">
        <v>2171</v>
      </c>
      <c r="F1592" s="50" t="s">
        <v>2994</v>
      </c>
      <c r="G1592" s="49" t="s">
        <v>20</v>
      </c>
      <c r="H1592" s="50" t="s">
        <v>2995</v>
      </c>
      <c r="I1592" s="50" t="s">
        <v>2996</v>
      </c>
      <c r="J1592" s="117">
        <v>3</v>
      </c>
      <c r="K1592" s="117">
        <v>60</v>
      </c>
      <c r="L1592" s="142">
        <v>200</v>
      </c>
      <c r="M1592" s="143" t="s">
        <v>44</v>
      </c>
      <c r="N1592" s="144"/>
      <c r="O1592" s="144"/>
      <c r="P1592" s="144">
        <v>65</v>
      </c>
      <c r="Q1592" s="144"/>
      <c r="R1592" s="144"/>
      <c r="S1592" s="144"/>
      <c r="T1592" s="144"/>
      <c r="U1592" s="144">
        <v>45</v>
      </c>
      <c r="V1592" s="50" t="s">
        <v>2997</v>
      </c>
    </row>
    <row r="1593" spans="1:22" s="26" customFormat="1" ht="15" customHeight="1" x14ac:dyDescent="0.2">
      <c r="A1593" s="48">
        <v>41592.612627314797</v>
      </c>
      <c r="B1593" s="49" t="s">
        <v>16</v>
      </c>
      <c r="C1593" s="50" t="s">
        <v>23</v>
      </c>
      <c r="D1593" s="67">
        <v>41579</v>
      </c>
      <c r="E1593" s="50" t="s">
        <v>3006</v>
      </c>
      <c r="F1593" s="50" t="s">
        <v>3007</v>
      </c>
      <c r="G1593" s="49" t="s">
        <v>20</v>
      </c>
      <c r="H1593" s="50" t="s">
        <v>2995</v>
      </c>
      <c r="I1593" s="50" t="s">
        <v>3008</v>
      </c>
      <c r="J1593" s="117">
        <v>2</v>
      </c>
      <c r="K1593" s="117">
        <v>65</v>
      </c>
      <c r="L1593" s="142">
        <v>200</v>
      </c>
      <c r="M1593" s="143" t="s">
        <v>22</v>
      </c>
      <c r="N1593" s="144"/>
      <c r="O1593" s="144"/>
      <c r="P1593" s="144"/>
      <c r="Q1593" s="144"/>
      <c r="R1593" s="144"/>
      <c r="S1593" s="144"/>
      <c r="T1593" s="144"/>
      <c r="U1593" s="144">
        <v>30</v>
      </c>
      <c r="V1593" s="50" t="s">
        <v>3009</v>
      </c>
    </row>
    <row r="1594" spans="1:22" s="26" customFormat="1" ht="15" customHeight="1" x14ac:dyDescent="0.2">
      <c r="A1594" s="48">
        <v>41593.632384259297</v>
      </c>
      <c r="B1594" s="49" t="s">
        <v>16</v>
      </c>
      <c r="C1594" s="50" t="s">
        <v>23</v>
      </c>
      <c r="D1594" s="67">
        <v>41579</v>
      </c>
      <c r="E1594" s="50" t="s">
        <v>3021</v>
      </c>
      <c r="F1594" s="50" t="s">
        <v>3022</v>
      </c>
      <c r="G1594" s="49" t="s">
        <v>20</v>
      </c>
      <c r="H1594" s="50" t="s">
        <v>3023</v>
      </c>
      <c r="I1594" s="50" t="s">
        <v>3024</v>
      </c>
      <c r="J1594" s="117">
        <v>1</v>
      </c>
      <c r="K1594" s="117">
        <v>35</v>
      </c>
      <c r="L1594" s="142">
        <v>125</v>
      </c>
      <c r="M1594" s="143" t="s">
        <v>22</v>
      </c>
      <c r="N1594" s="144"/>
      <c r="O1594" s="144"/>
      <c r="P1594" s="144"/>
      <c r="Q1594" s="144"/>
      <c r="R1594" s="144"/>
      <c r="S1594" s="144"/>
      <c r="T1594" s="144"/>
      <c r="U1594" s="144">
        <v>15</v>
      </c>
      <c r="V1594" s="50"/>
    </row>
    <row r="1595" spans="1:22" s="26" customFormat="1" ht="15" customHeight="1" x14ac:dyDescent="0.2">
      <c r="A1595" s="48">
        <v>41597.600636574098</v>
      </c>
      <c r="B1595" s="49" t="s">
        <v>16</v>
      </c>
      <c r="C1595" s="50" t="s">
        <v>23</v>
      </c>
      <c r="D1595" s="67">
        <v>41579</v>
      </c>
      <c r="E1595" s="50" t="s">
        <v>311</v>
      </c>
      <c r="F1595" s="50" t="s">
        <v>3059</v>
      </c>
      <c r="G1595" s="49" t="s">
        <v>42</v>
      </c>
      <c r="H1595" s="50" t="s">
        <v>3060</v>
      </c>
      <c r="I1595" s="50" t="s">
        <v>3001</v>
      </c>
      <c r="J1595" s="117">
        <v>1</v>
      </c>
      <c r="K1595" s="117">
        <v>12</v>
      </c>
      <c r="L1595" s="142">
        <v>50</v>
      </c>
      <c r="M1595" s="143" t="s">
        <v>22</v>
      </c>
      <c r="N1595" s="144"/>
      <c r="O1595" s="144"/>
      <c r="P1595" s="144"/>
      <c r="Q1595" s="144"/>
      <c r="R1595" s="144"/>
      <c r="S1595" s="144"/>
      <c r="T1595" s="144"/>
      <c r="U1595" s="144"/>
      <c r="V1595" s="50"/>
    </row>
    <row r="1596" spans="1:22" s="26" customFormat="1" ht="15" customHeight="1" x14ac:dyDescent="0.2">
      <c r="A1596" s="48">
        <v>41604.621956018498</v>
      </c>
      <c r="B1596" s="49" t="s">
        <v>16</v>
      </c>
      <c r="C1596" s="50" t="s">
        <v>23</v>
      </c>
      <c r="D1596" s="67">
        <v>41579</v>
      </c>
      <c r="E1596" s="50" t="s">
        <v>3104</v>
      </c>
      <c r="F1596" s="50" t="s">
        <v>3105</v>
      </c>
      <c r="G1596" s="49" t="s">
        <v>26</v>
      </c>
      <c r="H1596" s="50" t="s">
        <v>3106</v>
      </c>
      <c r="I1596" s="50" t="s">
        <v>3107</v>
      </c>
      <c r="J1596" s="117">
        <v>1</v>
      </c>
      <c r="K1596" s="117">
        <v>18</v>
      </c>
      <c r="L1596" s="142">
        <v>300</v>
      </c>
      <c r="M1596" s="143" t="s">
        <v>44</v>
      </c>
      <c r="N1596" s="144"/>
      <c r="O1596" s="144"/>
      <c r="P1596" s="144">
        <v>18</v>
      </c>
      <c r="Q1596" s="144"/>
      <c r="R1596" s="144"/>
      <c r="S1596" s="144"/>
      <c r="T1596" s="144"/>
      <c r="U1596" s="144">
        <v>45</v>
      </c>
      <c r="V1596" s="50"/>
    </row>
    <row r="1597" spans="1:22" s="26" customFormat="1" ht="15" customHeight="1" x14ac:dyDescent="0.2">
      <c r="A1597" s="32">
        <v>41610.650509259256</v>
      </c>
      <c r="B1597" s="26" t="s">
        <v>16</v>
      </c>
      <c r="C1597" s="26" t="s">
        <v>23</v>
      </c>
      <c r="D1597" s="68">
        <v>41609</v>
      </c>
      <c r="E1597" s="26" t="s">
        <v>3702</v>
      </c>
      <c r="F1597" s="26" t="s">
        <v>3703</v>
      </c>
      <c r="G1597" s="26" t="s">
        <v>42</v>
      </c>
      <c r="H1597" s="26" t="s">
        <v>3704</v>
      </c>
      <c r="I1597" s="26" t="s">
        <v>3001</v>
      </c>
      <c r="J1597" s="115">
        <v>1</v>
      </c>
      <c r="K1597" s="115">
        <v>11</v>
      </c>
      <c r="L1597" s="136">
        <v>50</v>
      </c>
      <c r="M1597" s="137" t="s">
        <v>22</v>
      </c>
      <c r="N1597" s="138"/>
      <c r="O1597" s="138"/>
      <c r="P1597" s="138"/>
      <c r="Q1597" s="138"/>
      <c r="R1597" s="138"/>
      <c r="S1597" s="138"/>
      <c r="T1597" s="138"/>
      <c r="U1597" s="138"/>
    </row>
    <row r="1598" spans="1:22" s="26" customFormat="1" ht="15" customHeight="1" x14ac:dyDescent="0.2">
      <c r="A1598" s="32">
        <v>41611.57849537037</v>
      </c>
      <c r="B1598" s="26" t="s">
        <v>16</v>
      </c>
      <c r="C1598" s="26" t="s">
        <v>23</v>
      </c>
      <c r="D1598" s="68">
        <v>41609</v>
      </c>
      <c r="E1598" s="26" t="s">
        <v>3707</v>
      </c>
      <c r="F1598" s="26" t="s">
        <v>3708</v>
      </c>
      <c r="G1598" s="26" t="s">
        <v>20</v>
      </c>
      <c r="H1598" s="26" t="s">
        <v>3709</v>
      </c>
      <c r="I1598" s="26" t="s">
        <v>3710</v>
      </c>
      <c r="J1598" s="46">
        <v>3</v>
      </c>
      <c r="K1598" s="46">
        <v>75</v>
      </c>
      <c r="L1598" s="136">
        <v>248</v>
      </c>
      <c r="M1598" s="137" t="s">
        <v>22</v>
      </c>
      <c r="N1598" s="138"/>
      <c r="O1598" s="138"/>
      <c r="P1598" s="138"/>
      <c r="Q1598" s="138"/>
      <c r="R1598" s="138"/>
      <c r="S1598" s="138"/>
      <c r="T1598" s="138"/>
      <c r="U1598" s="138">
        <v>65</v>
      </c>
      <c r="V1598" s="26" t="s">
        <v>3711</v>
      </c>
    </row>
    <row r="1599" spans="1:22" s="26" customFormat="1" ht="15" customHeight="1" x14ac:dyDescent="0.2">
      <c r="A1599" s="32">
        <v>41612.671226851853</v>
      </c>
      <c r="B1599" s="26" t="s">
        <v>16</v>
      </c>
      <c r="C1599" s="26" t="s">
        <v>23</v>
      </c>
      <c r="D1599" s="68">
        <v>41609</v>
      </c>
      <c r="E1599" s="26" t="s">
        <v>2171</v>
      </c>
      <c r="F1599" s="26" t="s">
        <v>3708</v>
      </c>
      <c r="G1599" s="26" t="s">
        <v>20</v>
      </c>
      <c r="I1599" s="26" t="s">
        <v>3712</v>
      </c>
      <c r="J1599" s="46">
        <v>3</v>
      </c>
      <c r="K1599" s="46">
        <v>110</v>
      </c>
      <c r="L1599" s="136">
        <v>356</v>
      </c>
      <c r="M1599" s="137" t="s">
        <v>22</v>
      </c>
      <c r="N1599" s="138"/>
      <c r="O1599" s="138"/>
      <c r="P1599" s="138"/>
      <c r="Q1599" s="138"/>
      <c r="R1599" s="138"/>
      <c r="S1599" s="138"/>
      <c r="T1599" s="138"/>
      <c r="U1599" s="138">
        <v>90</v>
      </c>
      <c r="V1599" s="26" t="s">
        <v>3713</v>
      </c>
    </row>
    <row r="1600" spans="1:22" s="26" customFormat="1" ht="15" customHeight="1" x14ac:dyDescent="0.2">
      <c r="A1600" s="32">
        <v>41618.361493055556</v>
      </c>
      <c r="B1600" s="26" t="s">
        <v>16</v>
      </c>
      <c r="C1600" s="26" t="s">
        <v>23</v>
      </c>
      <c r="D1600" s="68">
        <v>41609</v>
      </c>
      <c r="E1600" s="26" t="s">
        <v>3717</v>
      </c>
      <c r="F1600" s="26" t="s">
        <v>3718</v>
      </c>
      <c r="G1600" s="26" t="s">
        <v>26</v>
      </c>
      <c r="H1600" s="26" t="s">
        <v>3719</v>
      </c>
      <c r="I1600" s="26" t="s">
        <v>3720</v>
      </c>
      <c r="J1600" s="46">
        <v>2</v>
      </c>
      <c r="K1600" s="46">
        <v>10</v>
      </c>
      <c r="L1600" s="136">
        <v>27</v>
      </c>
      <c r="M1600" s="137" t="s">
        <v>22</v>
      </c>
      <c r="N1600" s="138"/>
      <c r="O1600" s="138"/>
      <c r="P1600" s="138"/>
      <c r="Q1600" s="138"/>
      <c r="R1600" s="138"/>
      <c r="S1600" s="138"/>
      <c r="T1600" s="138"/>
      <c r="U1600" s="138">
        <v>5</v>
      </c>
    </row>
    <row r="1601" spans="1:25" s="26" customFormat="1" ht="15" customHeight="1" x14ac:dyDescent="0.2">
      <c r="A1601" s="32">
        <v>41618.366273148145</v>
      </c>
      <c r="B1601" s="26" t="s">
        <v>16</v>
      </c>
      <c r="C1601" s="26" t="s">
        <v>23</v>
      </c>
      <c r="D1601" s="68">
        <v>41609</v>
      </c>
      <c r="E1601" s="26" t="s">
        <v>3721</v>
      </c>
      <c r="F1601" s="26" t="s">
        <v>3722</v>
      </c>
      <c r="G1601" s="34" t="s">
        <v>26</v>
      </c>
      <c r="H1601" s="26" t="s">
        <v>3723</v>
      </c>
      <c r="I1601" s="26" t="s">
        <v>3724</v>
      </c>
      <c r="J1601" s="46">
        <v>3</v>
      </c>
      <c r="K1601" s="46">
        <v>5</v>
      </c>
      <c r="L1601" s="136">
        <v>20</v>
      </c>
      <c r="M1601" s="137" t="s">
        <v>22</v>
      </c>
      <c r="N1601" s="138"/>
      <c r="O1601" s="138"/>
      <c r="P1601" s="138"/>
      <c r="Q1601" s="138"/>
      <c r="R1601" s="138"/>
      <c r="S1601" s="138"/>
      <c r="T1601" s="138"/>
      <c r="U1601" s="138">
        <v>50</v>
      </c>
      <c r="V1601" s="26" t="s">
        <v>3725</v>
      </c>
    </row>
    <row r="1602" spans="1:25" s="26" customFormat="1" ht="15" customHeight="1" x14ac:dyDescent="0.2">
      <c r="A1602" s="32">
        <v>41618.367442129631</v>
      </c>
      <c r="B1602" s="26" t="s">
        <v>16</v>
      </c>
      <c r="C1602" s="26" t="s">
        <v>23</v>
      </c>
      <c r="D1602" s="68">
        <v>41609</v>
      </c>
      <c r="E1602" s="26" t="s">
        <v>1389</v>
      </c>
      <c r="F1602" s="26" t="s">
        <v>3726</v>
      </c>
      <c r="G1602" s="26" t="s">
        <v>42</v>
      </c>
      <c r="I1602" s="26" t="s">
        <v>3001</v>
      </c>
      <c r="J1602" s="46">
        <v>1</v>
      </c>
      <c r="K1602" s="46">
        <v>9</v>
      </c>
      <c r="L1602" s="136">
        <v>50</v>
      </c>
      <c r="M1602" s="137" t="s">
        <v>22</v>
      </c>
      <c r="N1602" s="138"/>
      <c r="O1602" s="138"/>
      <c r="P1602" s="138"/>
      <c r="Q1602" s="138"/>
      <c r="R1602" s="138"/>
      <c r="S1602" s="138"/>
      <c r="T1602" s="138"/>
      <c r="U1602" s="138"/>
      <c r="V1602" s="26" t="s">
        <v>3727</v>
      </c>
    </row>
    <row r="1603" spans="1:25" s="26" customFormat="1" ht="15" customHeight="1" x14ac:dyDescent="0.2">
      <c r="A1603" s="32">
        <v>41625.468055555553</v>
      </c>
      <c r="B1603" s="26" t="s">
        <v>16</v>
      </c>
      <c r="C1603" s="26" t="s">
        <v>23</v>
      </c>
      <c r="D1603" s="68">
        <v>41609</v>
      </c>
      <c r="E1603" s="26" t="s">
        <v>311</v>
      </c>
      <c r="F1603" s="26" t="s">
        <v>3763</v>
      </c>
      <c r="G1603" s="26" t="s">
        <v>42</v>
      </c>
      <c r="H1603" s="26" t="s">
        <v>3764</v>
      </c>
      <c r="I1603" s="26" t="s">
        <v>3001</v>
      </c>
      <c r="J1603" s="46">
        <v>1</v>
      </c>
      <c r="K1603" s="46">
        <v>9</v>
      </c>
      <c r="L1603" s="136">
        <v>50</v>
      </c>
      <c r="M1603" s="137" t="s">
        <v>22</v>
      </c>
      <c r="N1603" s="138"/>
      <c r="O1603" s="138"/>
      <c r="P1603" s="138"/>
      <c r="Q1603" s="138"/>
      <c r="R1603" s="138"/>
      <c r="S1603" s="138"/>
      <c r="T1603" s="138"/>
      <c r="U1603" s="138">
        <v>5</v>
      </c>
    </row>
    <row r="1604" spans="1:25" s="26" customFormat="1" ht="15" customHeight="1" x14ac:dyDescent="0.2">
      <c r="A1604" s="32">
        <v>41638.357499999998</v>
      </c>
      <c r="B1604" s="26" t="s">
        <v>16</v>
      </c>
      <c r="C1604" s="26" t="s">
        <v>23</v>
      </c>
      <c r="D1604" s="68">
        <v>41609</v>
      </c>
      <c r="E1604" s="26" t="s">
        <v>1377</v>
      </c>
      <c r="F1604" s="26" t="s">
        <v>3873</v>
      </c>
      <c r="G1604" s="26" t="s">
        <v>26</v>
      </c>
      <c r="H1604" s="26" t="s">
        <v>3874</v>
      </c>
      <c r="I1604" s="26" t="s">
        <v>3001</v>
      </c>
      <c r="J1604" s="46">
        <v>1</v>
      </c>
      <c r="K1604" s="46">
        <v>34</v>
      </c>
      <c r="L1604" s="136"/>
      <c r="M1604" s="137" t="s">
        <v>44</v>
      </c>
      <c r="N1604" s="138"/>
      <c r="O1604" s="138">
        <v>15</v>
      </c>
      <c r="P1604" s="138"/>
      <c r="Q1604" s="138"/>
      <c r="R1604" s="138"/>
      <c r="S1604" s="138"/>
      <c r="T1604" s="138"/>
      <c r="U1604" s="138"/>
    </row>
    <row r="1605" spans="1:25" s="26" customFormat="1" ht="15" customHeight="1" x14ac:dyDescent="0.2">
      <c r="A1605" s="55">
        <v>41649.660046296303</v>
      </c>
      <c r="B1605" s="52" t="s">
        <v>16</v>
      </c>
      <c r="C1605" s="52" t="s">
        <v>23</v>
      </c>
      <c r="D1605" s="69">
        <v>41640</v>
      </c>
      <c r="E1605" s="52" t="s">
        <v>4171</v>
      </c>
      <c r="F1605" s="52" t="s">
        <v>4172</v>
      </c>
      <c r="G1605" s="52" t="s">
        <v>351</v>
      </c>
      <c r="H1605" s="52" t="s">
        <v>4173</v>
      </c>
      <c r="I1605" s="52" t="s">
        <v>4174</v>
      </c>
      <c r="J1605" s="95">
        <v>1</v>
      </c>
      <c r="K1605" s="118">
        <v>25</v>
      </c>
      <c r="L1605" s="148">
        <v>120</v>
      </c>
      <c r="M1605" s="146" t="s">
        <v>22</v>
      </c>
      <c r="N1605" s="147"/>
      <c r="O1605" s="147"/>
      <c r="P1605" s="147"/>
      <c r="Q1605" s="147"/>
      <c r="R1605" s="147"/>
      <c r="S1605" s="147"/>
      <c r="T1605" s="147"/>
      <c r="U1605" s="149">
        <v>5</v>
      </c>
      <c r="V1605" s="52"/>
      <c r="W1605" s="52"/>
      <c r="X1605" s="52"/>
      <c r="Y1605" s="52"/>
    </row>
    <row r="1606" spans="1:25" s="26" customFormat="1" ht="15" customHeight="1" x14ac:dyDescent="0.2">
      <c r="A1606" s="55">
        <v>41652.634571759299</v>
      </c>
      <c r="B1606" s="52" t="s">
        <v>16</v>
      </c>
      <c r="C1606" s="52" t="s">
        <v>23</v>
      </c>
      <c r="D1606" s="69">
        <v>41640</v>
      </c>
      <c r="E1606" s="52" t="s">
        <v>3702</v>
      </c>
      <c r="F1606" s="52" t="s">
        <v>4183</v>
      </c>
      <c r="G1606" s="52" t="s">
        <v>42</v>
      </c>
      <c r="H1606" s="52" t="s">
        <v>4184</v>
      </c>
      <c r="I1606" s="52" t="s">
        <v>3001</v>
      </c>
      <c r="J1606" s="95">
        <v>1</v>
      </c>
      <c r="K1606" s="118">
        <v>9</v>
      </c>
      <c r="L1606" s="148">
        <v>50</v>
      </c>
      <c r="M1606" s="146" t="s">
        <v>22</v>
      </c>
      <c r="N1606" s="147"/>
      <c r="O1606" s="147"/>
      <c r="P1606" s="147"/>
      <c r="Q1606" s="147"/>
      <c r="R1606" s="147"/>
      <c r="S1606" s="147"/>
      <c r="T1606" s="147"/>
      <c r="U1606" s="149"/>
      <c r="V1606" s="52"/>
      <c r="W1606" s="52"/>
      <c r="X1606" s="52"/>
      <c r="Y1606" s="52"/>
    </row>
    <row r="1607" spans="1:25" s="26" customFormat="1" ht="15" customHeight="1" x14ac:dyDescent="0.2">
      <c r="A1607" s="55">
        <v>41659.635752314804</v>
      </c>
      <c r="B1607" s="52" t="s">
        <v>16</v>
      </c>
      <c r="C1607" s="52" t="s">
        <v>23</v>
      </c>
      <c r="D1607" s="69">
        <v>41640</v>
      </c>
      <c r="E1607" s="52" t="s">
        <v>4216</v>
      </c>
      <c r="F1607" s="52" t="s">
        <v>4217</v>
      </c>
      <c r="G1607" s="52" t="s">
        <v>26</v>
      </c>
      <c r="H1607" s="52" t="s">
        <v>4218</v>
      </c>
      <c r="I1607" s="52" t="s">
        <v>4219</v>
      </c>
      <c r="J1607" s="95">
        <v>1</v>
      </c>
      <c r="K1607" s="118">
        <v>72</v>
      </c>
      <c r="L1607" s="148"/>
      <c r="M1607" s="146" t="s">
        <v>44</v>
      </c>
      <c r="N1607" s="147"/>
      <c r="O1607" s="147">
        <v>225</v>
      </c>
      <c r="P1607" s="147">
        <v>84</v>
      </c>
      <c r="Q1607" s="147">
        <v>364</v>
      </c>
      <c r="R1607" s="147">
        <v>1450</v>
      </c>
      <c r="S1607" s="147"/>
      <c r="T1607" s="147"/>
      <c r="U1607" s="149"/>
      <c r="V1607" s="52"/>
      <c r="W1607" s="52"/>
      <c r="X1607" s="52"/>
      <c r="Y1607" s="52"/>
    </row>
    <row r="1608" spans="1:25" s="26" customFormat="1" ht="15" customHeight="1" x14ac:dyDescent="0.2">
      <c r="A1608" s="55">
        <v>41659.638159722199</v>
      </c>
      <c r="B1608" s="52" t="s">
        <v>16</v>
      </c>
      <c r="C1608" s="52" t="s">
        <v>23</v>
      </c>
      <c r="D1608" s="69">
        <v>41640</v>
      </c>
      <c r="E1608" s="52" t="s">
        <v>4220</v>
      </c>
      <c r="F1608" s="52" t="s">
        <v>4221</v>
      </c>
      <c r="G1608" s="52" t="s">
        <v>26</v>
      </c>
      <c r="H1608" s="52" t="s">
        <v>4222</v>
      </c>
      <c r="I1608" s="52" t="s">
        <v>4223</v>
      </c>
      <c r="J1608" s="95">
        <v>1</v>
      </c>
      <c r="K1608" s="118">
        <v>13</v>
      </c>
      <c r="L1608" s="148">
        <v>240</v>
      </c>
      <c r="M1608" s="146" t="s">
        <v>22</v>
      </c>
      <c r="N1608" s="147"/>
      <c r="O1608" s="147"/>
      <c r="P1608" s="147"/>
      <c r="Q1608" s="147"/>
      <c r="R1608" s="147"/>
      <c r="S1608" s="147"/>
      <c r="T1608" s="147"/>
      <c r="U1608" s="149">
        <v>50</v>
      </c>
      <c r="V1608" s="52" t="s">
        <v>4224</v>
      </c>
      <c r="W1608" s="52"/>
      <c r="X1608" s="52"/>
      <c r="Y1608" s="52"/>
    </row>
    <row r="1609" spans="1:25" s="26" customFormat="1" ht="15" customHeight="1" x14ac:dyDescent="0.2">
      <c r="A1609" s="55">
        <v>41666.364733796298</v>
      </c>
      <c r="B1609" s="52" t="s">
        <v>16</v>
      </c>
      <c r="C1609" s="52" t="s">
        <v>23</v>
      </c>
      <c r="D1609" s="69">
        <v>41640</v>
      </c>
      <c r="E1609" s="52" t="s">
        <v>4258</v>
      </c>
      <c r="F1609" s="52" t="s">
        <v>4259</v>
      </c>
      <c r="G1609" s="52" t="s">
        <v>351</v>
      </c>
      <c r="H1609" s="52" t="s">
        <v>4260</v>
      </c>
      <c r="I1609" s="52" t="s">
        <v>4174</v>
      </c>
      <c r="J1609" s="95">
        <v>1</v>
      </c>
      <c r="K1609" s="118">
        <v>70</v>
      </c>
      <c r="L1609" s="148">
        <v>120</v>
      </c>
      <c r="M1609" s="146" t="s">
        <v>22</v>
      </c>
      <c r="N1609" s="147"/>
      <c r="O1609" s="147"/>
      <c r="P1609" s="147"/>
      <c r="Q1609" s="147"/>
      <c r="R1609" s="147"/>
      <c r="S1609" s="147"/>
      <c r="T1609" s="147"/>
      <c r="U1609" s="149"/>
      <c r="V1609" s="52"/>
      <c r="W1609" s="52"/>
      <c r="X1609" s="52"/>
      <c r="Y1609" s="52"/>
    </row>
    <row r="1610" spans="1:25" s="26" customFormat="1" ht="15" customHeight="1" x14ac:dyDescent="0.2">
      <c r="A1610" s="55">
        <v>41667.416481481501</v>
      </c>
      <c r="B1610" s="52" t="s">
        <v>16</v>
      </c>
      <c r="C1610" s="52" t="s">
        <v>23</v>
      </c>
      <c r="D1610" s="69">
        <v>41640</v>
      </c>
      <c r="E1610" s="52" t="s">
        <v>311</v>
      </c>
      <c r="F1610" s="52" t="s">
        <v>4261</v>
      </c>
      <c r="G1610" s="52" t="s">
        <v>42</v>
      </c>
      <c r="H1610" s="52" t="s">
        <v>4262</v>
      </c>
      <c r="I1610" s="52" t="s">
        <v>3001</v>
      </c>
      <c r="J1610" s="95">
        <v>1</v>
      </c>
      <c r="K1610" s="118">
        <v>9</v>
      </c>
      <c r="L1610" s="148">
        <v>50</v>
      </c>
      <c r="M1610" s="146" t="s">
        <v>22</v>
      </c>
      <c r="N1610" s="147"/>
      <c r="O1610" s="147"/>
      <c r="P1610" s="147"/>
      <c r="Q1610" s="147"/>
      <c r="R1610" s="147"/>
      <c r="S1610" s="147"/>
      <c r="T1610" s="147"/>
      <c r="U1610" s="149"/>
      <c r="V1610" s="52"/>
      <c r="W1610" s="52"/>
      <c r="X1610" s="52"/>
      <c r="Y1610" s="52"/>
    </row>
    <row r="1611" spans="1:25" s="26" customFormat="1" ht="15" customHeight="1" x14ac:dyDescent="0.2">
      <c r="A1611" s="32">
        <v>41674.498576388891</v>
      </c>
      <c r="B1611" s="26" t="s">
        <v>16</v>
      </c>
      <c r="C1611" s="26" t="s">
        <v>23</v>
      </c>
      <c r="D1611" s="33">
        <v>41671</v>
      </c>
      <c r="E1611" s="26" t="s">
        <v>3702</v>
      </c>
      <c r="F1611" s="26" t="s">
        <v>4558</v>
      </c>
      <c r="G1611" s="26" t="s">
        <v>42</v>
      </c>
      <c r="H1611" s="26" t="s">
        <v>4559</v>
      </c>
      <c r="I1611" s="26" t="s">
        <v>3001</v>
      </c>
      <c r="J1611" s="46">
        <v>1</v>
      </c>
      <c r="K1611" s="46">
        <v>9</v>
      </c>
      <c r="L1611" s="136">
        <v>50</v>
      </c>
      <c r="M1611" s="137" t="s">
        <v>22</v>
      </c>
      <c r="N1611" s="138"/>
      <c r="O1611" s="138"/>
      <c r="P1611" s="138"/>
      <c r="Q1611" s="138"/>
      <c r="R1611" s="138"/>
      <c r="S1611" s="138"/>
      <c r="T1611" s="138"/>
      <c r="U1611" s="138">
        <v>5</v>
      </c>
    </row>
    <row r="1612" spans="1:25" s="26" customFormat="1" ht="15" customHeight="1" x14ac:dyDescent="0.2">
      <c r="A1612" s="32">
        <v>41687.657939814817</v>
      </c>
      <c r="B1612" s="26" t="s">
        <v>16</v>
      </c>
      <c r="C1612" s="26" t="s">
        <v>23</v>
      </c>
      <c r="D1612" s="33">
        <v>41671</v>
      </c>
      <c r="E1612" s="26" t="s">
        <v>4610</v>
      </c>
      <c r="F1612" s="26" t="s">
        <v>4611</v>
      </c>
      <c r="G1612" s="26" t="s">
        <v>42</v>
      </c>
      <c r="H1612" s="26" t="s">
        <v>4612</v>
      </c>
      <c r="I1612" s="26" t="s">
        <v>3001</v>
      </c>
      <c r="J1612" s="46">
        <v>1</v>
      </c>
      <c r="K1612" s="46">
        <v>11</v>
      </c>
      <c r="L1612" s="136">
        <v>50</v>
      </c>
      <c r="M1612" s="137" t="s">
        <v>22</v>
      </c>
      <c r="N1612" s="138"/>
      <c r="O1612" s="138"/>
      <c r="P1612" s="138"/>
      <c r="Q1612" s="138"/>
      <c r="R1612" s="138"/>
      <c r="S1612" s="138"/>
      <c r="T1612" s="138"/>
      <c r="U1612" s="138"/>
    </row>
    <row r="1613" spans="1:25" s="26" customFormat="1" ht="15" customHeight="1" x14ac:dyDescent="0.2">
      <c r="A1613" s="32">
        <v>41687.660196759258</v>
      </c>
      <c r="B1613" s="26" t="s">
        <v>16</v>
      </c>
      <c r="C1613" s="26" t="s">
        <v>23</v>
      </c>
      <c r="D1613" s="33">
        <v>41671</v>
      </c>
      <c r="E1613" s="26" t="s">
        <v>4613</v>
      </c>
      <c r="F1613" s="26" t="s">
        <v>4614</v>
      </c>
      <c r="G1613" s="26" t="s">
        <v>42</v>
      </c>
      <c r="H1613" s="26" t="s">
        <v>4615</v>
      </c>
      <c r="I1613" s="26" t="s">
        <v>4174</v>
      </c>
      <c r="J1613" s="46">
        <v>1</v>
      </c>
      <c r="K1613" s="46">
        <v>13</v>
      </c>
      <c r="L1613" s="136">
        <v>340</v>
      </c>
      <c r="M1613" s="137" t="s">
        <v>22</v>
      </c>
      <c r="N1613" s="138"/>
      <c r="O1613" s="138"/>
      <c r="P1613" s="138"/>
      <c r="Q1613" s="138"/>
      <c r="R1613" s="138"/>
      <c r="S1613" s="138"/>
      <c r="T1613" s="138"/>
      <c r="U1613" s="138">
        <v>50</v>
      </c>
      <c r="V1613" s="26" t="s">
        <v>4616</v>
      </c>
    </row>
    <row r="1614" spans="1:25" s="26" customFormat="1" ht="15" customHeight="1" x14ac:dyDescent="0.2">
      <c r="A1614" s="32">
        <v>41694.680451388886</v>
      </c>
      <c r="B1614" s="26" t="s">
        <v>16</v>
      </c>
      <c r="C1614" s="26" t="s">
        <v>23</v>
      </c>
      <c r="D1614" s="33">
        <v>41671</v>
      </c>
      <c r="E1614" s="26" t="s">
        <v>4677</v>
      </c>
      <c r="F1614" s="26" t="s">
        <v>4678</v>
      </c>
      <c r="G1614" s="26" t="s">
        <v>42</v>
      </c>
      <c r="H1614" s="26" t="s">
        <v>4679</v>
      </c>
      <c r="I1614" s="26" t="s">
        <v>3001</v>
      </c>
      <c r="J1614" s="46">
        <v>1</v>
      </c>
      <c r="K1614" s="46">
        <v>11</v>
      </c>
      <c r="L1614" s="136">
        <v>50</v>
      </c>
      <c r="M1614" s="137" t="s">
        <v>22</v>
      </c>
      <c r="N1614" s="138"/>
      <c r="O1614" s="138"/>
      <c r="P1614" s="138"/>
      <c r="Q1614" s="138"/>
      <c r="R1614" s="138"/>
      <c r="S1614" s="138"/>
      <c r="T1614" s="138"/>
      <c r="U1614" s="138"/>
    </row>
    <row r="1615" spans="1:25" s="26" customFormat="1" ht="15" customHeight="1" x14ac:dyDescent="0.2">
      <c r="A1615" s="32">
        <v>41701.596504629626</v>
      </c>
      <c r="B1615" s="26" t="s">
        <v>16</v>
      </c>
      <c r="C1615" s="26" t="s">
        <v>23</v>
      </c>
      <c r="D1615" s="33">
        <v>41699</v>
      </c>
      <c r="E1615" s="26" t="s">
        <v>4816</v>
      </c>
      <c r="F1615" s="26" t="s">
        <v>4817</v>
      </c>
      <c r="G1615" s="26" t="s">
        <v>20</v>
      </c>
      <c r="H1615" s="26" t="s">
        <v>4818</v>
      </c>
      <c r="I1615" s="26" t="s">
        <v>3140</v>
      </c>
      <c r="J1615" s="46">
        <v>1</v>
      </c>
      <c r="K1615" s="46">
        <v>16</v>
      </c>
      <c r="L1615" s="136">
        <v>50</v>
      </c>
      <c r="M1615" s="137" t="s">
        <v>22</v>
      </c>
      <c r="N1615" s="138"/>
      <c r="O1615" s="138"/>
      <c r="P1615" s="138"/>
      <c r="Q1615" s="138"/>
      <c r="R1615" s="138"/>
      <c r="S1615" s="138"/>
      <c r="T1615" s="138"/>
      <c r="U1615" s="138"/>
    </row>
    <row r="1616" spans="1:25" s="26" customFormat="1" ht="15" customHeight="1" x14ac:dyDescent="0.2">
      <c r="A1616" s="32">
        <v>41701.597743055558</v>
      </c>
      <c r="B1616" s="26" t="s">
        <v>16</v>
      </c>
      <c r="C1616" s="26" t="s">
        <v>23</v>
      </c>
      <c r="D1616" s="33">
        <v>41699</v>
      </c>
      <c r="E1616" s="26" t="s">
        <v>4819</v>
      </c>
      <c r="F1616" s="26" t="s">
        <v>4820</v>
      </c>
      <c r="G1616" s="26" t="s">
        <v>42</v>
      </c>
      <c r="H1616" s="26" t="s">
        <v>4821</v>
      </c>
      <c r="I1616" s="26" t="s">
        <v>3001</v>
      </c>
      <c r="J1616" s="46">
        <v>1</v>
      </c>
      <c r="K1616" s="46">
        <v>11</v>
      </c>
      <c r="L1616" s="136">
        <v>50</v>
      </c>
      <c r="M1616" s="137" t="s">
        <v>22</v>
      </c>
      <c r="N1616" s="138"/>
      <c r="O1616" s="138"/>
      <c r="P1616" s="138"/>
      <c r="Q1616" s="138"/>
      <c r="R1616" s="138"/>
      <c r="S1616" s="138"/>
      <c r="T1616" s="138"/>
      <c r="U1616" s="138">
        <v>10</v>
      </c>
    </row>
    <row r="1617" spans="1:25" s="26" customFormat="1" ht="15" customHeight="1" x14ac:dyDescent="0.2">
      <c r="A1617" s="55">
        <v>41710.383819444447</v>
      </c>
      <c r="B1617" s="52" t="s">
        <v>16</v>
      </c>
      <c r="C1617" s="52" t="s">
        <v>23</v>
      </c>
      <c r="D1617" s="69">
        <v>41699</v>
      </c>
      <c r="E1617" s="52" t="s">
        <v>4675</v>
      </c>
      <c r="F1617" s="52" t="s">
        <v>5158</v>
      </c>
      <c r="G1617" s="52" t="s">
        <v>42</v>
      </c>
      <c r="H1617" s="52" t="s">
        <v>5159</v>
      </c>
      <c r="I1617" s="52" t="s">
        <v>3001</v>
      </c>
      <c r="J1617" s="95">
        <v>1</v>
      </c>
      <c r="K1617" s="118">
        <v>9</v>
      </c>
      <c r="L1617" s="148">
        <v>50</v>
      </c>
      <c r="M1617" s="146" t="s">
        <v>22</v>
      </c>
      <c r="N1617" s="147"/>
      <c r="O1617" s="147"/>
      <c r="P1617" s="147"/>
      <c r="Q1617" s="147"/>
      <c r="R1617" s="147"/>
      <c r="S1617" s="147"/>
      <c r="T1617" s="147"/>
      <c r="U1617" s="149"/>
      <c r="V1617" s="52"/>
      <c r="W1617" s="52"/>
      <c r="X1617" s="52"/>
      <c r="Y1617" s="52"/>
    </row>
    <row r="1618" spans="1:25" s="26" customFormat="1" ht="15" customHeight="1" x14ac:dyDescent="0.2">
      <c r="A1618" s="32">
        <v>41712.626944444448</v>
      </c>
      <c r="B1618" s="26" t="s">
        <v>16</v>
      </c>
      <c r="C1618" s="26" t="s">
        <v>23</v>
      </c>
      <c r="D1618" s="33">
        <v>41699</v>
      </c>
      <c r="E1618" s="26" t="s">
        <v>5173</v>
      </c>
      <c r="F1618" s="26" t="s">
        <v>5174</v>
      </c>
      <c r="G1618" s="26" t="s">
        <v>42</v>
      </c>
      <c r="H1618" s="26" t="s">
        <v>5175</v>
      </c>
      <c r="I1618" s="26" t="s">
        <v>5176</v>
      </c>
      <c r="J1618" s="46">
        <v>1</v>
      </c>
      <c r="K1618" s="46">
        <v>22</v>
      </c>
      <c r="L1618" s="136">
        <v>280</v>
      </c>
      <c r="M1618" s="137" t="s">
        <v>44</v>
      </c>
      <c r="N1618" s="138"/>
      <c r="O1618" s="138"/>
      <c r="P1618" s="138">
        <v>29</v>
      </c>
      <c r="Q1618" s="138"/>
      <c r="R1618" s="138"/>
      <c r="S1618" s="138"/>
      <c r="T1618" s="138"/>
      <c r="U1618" s="138">
        <v>50</v>
      </c>
      <c r="V1618" s="26" t="s">
        <v>5177</v>
      </c>
    </row>
    <row r="1619" spans="1:25" s="26" customFormat="1" ht="15" customHeight="1" x14ac:dyDescent="0.2">
      <c r="A1619" s="32">
        <v>41716.356203703705</v>
      </c>
      <c r="B1619" s="26" t="s">
        <v>16</v>
      </c>
      <c r="C1619" s="26" t="s">
        <v>23</v>
      </c>
      <c r="D1619" s="33">
        <v>41699</v>
      </c>
      <c r="E1619" s="26" t="s">
        <v>5178</v>
      </c>
      <c r="F1619" s="26" t="s">
        <v>5179</v>
      </c>
      <c r="G1619" s="26" t="s">
        <v>42</v>
      </c>
      <c r="H1619" s="26" t="s">
        <v>5180</v>
      </c>
      <c r="I1619" s="26" t="s">
        <v>2926</v>
      </c>
      <c r="J1619" s="46">
        <v>1</v>
      </c>
      <c r="K1619" s="46">
        <v>22</v>
      </c>
      <c r="L1619" s="136">
        <v>55</v>
      </c>
      <c r="M1619" s="137" t="s">
        <v>44</v>
      </c>
      <c r="N1619" s="138"/>
      <c r="O1619" s="138"/>
      <c r="P1619" s="138">
        <v>50</v>
      </c>
      <c r="Q1619" s="138"/>
      <c r="R1619" s="138"/>
      <c r="S1619" s="138"/>
      <c r="T1619" s="138"/>
      <c r="U1619" s="138">
        <v>30</v>
      </c>
    </row>
    <row r="1620" spans="1:25" s="26" customFormat="1" ht="15" customHeight="1" x14ac:dyDescent="0.2">
      <c r="A1620" s="32">
        <v>41718.564282407409</v>
      </c>
      <c r="B1620" s="26" t="s">
        <v>16</v>
      </c>
      <c r="C1620" s="26" t="s">
        <v>23</v>
      </c>
      <c r="D1620" s="33">
        <v>41699</v>
      </c>
      <c r="E1620" s="26" t="s">
        <v>5212</v>
      </c>
      <c r="F1620" s="26" t="s">
        <v>5213</v>
      </c>
      <c r="G1620" s="26" t="s">
        <v>26</v>
      </c>
      <c r="H1620" s="26" t="s">
        <v>5214</v>
      </c>
      <c r="I1620" s="26" t="s">
        <v>3140</v>
      </c>
      <c r="J1620" s="46">
        <v>1</v>
      </c>
      <c r="K1620" s="46">
        <v>11</v>
      </c>
      <c r="L1620" s="136">
        <v>60</v>
      </c>
      <c r="M1620" s="137" t="s">
        <v>44</v>
      </c>
      <c r="N1620" s="138"/>
      <c r="O1620" s="138">
        <v>15</v>
      </c>
      <c r="P1620" s="138">
        <v>23</v>
      </c>
      <c r="Q1620" s="138"/>
      <c r="R1620" s="138"/>
      <c r="S1620" s="138"/>
      <c r="T1620" s="138"/>
      <c r="U1620" s="138">
        <v>10</v>
      </c>
      <c r="V1620" s="26" t="s">
        <v>5215</v>
      </c>
    </row>
    <row r="1621" spans="1:25" s="26" customFormat="1" ht="15" customHeight="1" x14ac:dyDescent="0.2">
      <c r="A1621" s="32">
        <v>41724.594641203701</v>
      </c>
      <c r="B1621" s="26" t="s">
        <v>16</v>
      </c>
      <c r="C1621" s="26" t="s">
        <v>23</v>
      </c>
      <c r="D1621" s="33">
        <v>41699</v>
      </c>
      <c r="E1621" s="26" t="s">
        <v>1508</v>
      </c>
      <c r="F1621" s="26" t="s">
        <v>5274</v>
      </c>
      <c r="G1621" s="26" t="s">
        <v>42</v>
      </c>
      <c r="H1621" s="26" t="s">
        <v>5275</v>
      </c>
      <c r="I1621" s="26" t="s">
        <v>3001</v>
      </c>
      <c r="J1621" s="46">
        <v>1</v>
      </c>
      <c r="K1621" s="46">
        <v>11</v>
      </c>
      <c r="L1621" s="136">
        <v>50</v>
      </c>
      <c r="M1621" s="137" t="s">
        <v>22</v>
      </c>
      <c r="N1621" s="138"/>
      <c r="O1621" s="138"/>
      <c r="P1621" s="138"/>
      <c r="Q1621" s="138"/>
      <c r="R1621" s="138"/>
      <c r="S1621" s="138"/>
      <c r="T1621" s="138"/>
      <c r="U1621" s="138">
        <v>5</v>
      </c>
    </row>
    <row r="1622" spans="1:25" s="26" customFormat="1" ht="15" customHeight="1" x14ac:dyDescent="0.2">
      <c r="A1622" s="32">
        <v>41724.596643518518</v>
      </c>
      <c r="B1622" s="26" t="s">
        <v>16</v>
      </c>
      <c r="C1622" s="26" t="s">
        <v>23</v>
      </c>
      <c r="D1622" s="33">
        <v>41699</v>
      </c>
      <c r="E1622" s="26" t="s">
        <v>5276</v>
      </c>
      <c r="F1622" s="26" t="s">
        <v>5277</v>
      </c>
      <c r="G1622" s="26" t="s">
        <v>20</v>
      </c>
      <c r="H1622" s="26" t="s">
        <v>5278</v>
      </c>
      <c r="I1622" s="26" t="s">
        <v>5279</v>
      </c>
      <c r="J1622" s="46">
        <v>1</v>
      </c>
      <c r="K1622" s="46">
        <v>80</v>
      </c>
      <c r="L1622" s="136">
        <v>210</v>
      </c>
      <c r="M1622" s="137" t="s">
        <v>22</v>
      </c>
      <c r="N1622" s="138"/>
      <c r="O1622" s="138"/>
      <c r="P1622" s="138"/>
      <c r="Q1622" s="138"/>
      <c r="R1622" s="138"/>
      <c r="S1622" s="138"/>
      <c r="T1622" s="138"/>
      <c r="U1622" s="138"/>
    </row>
    <row r="1623" spans="1:25" s="26" customFormat="1" ht="15" customHeight="1" x14ac:dyDescent="0.2">
      <c r="A1623" s="32">
        <v>41725.570648148147</v>
      </c>
      <c r="B1623" s="26" t="s">
        <v>16</v>
      </c>
      <c r="C1623" s="26" t="s">
        <v>23</v>
      </c>
      <c r="D1623" s="33">
        <v>41699</v>
      </c>
      <c r="E1623" s="26" t="s">
        <v>5297</v>
      </c>
      <c r="F1623" s="26" t="s">
        <v>5298</v>
      </c>
      <c r="G1623" s="26" t="s">
        <v>20</v>
      </c>
      <c r="H1623" s="26" t="s">
        <v>5299</v>
      </c>
      <c r="I1623" s="26" t="s">
        <v>5300</v>
      </c>
      <c r="J1623" s="46">
        <v>2</v>
      </c>
      <c r="K1623" s="46">
        <v>55</v>
      </c>
      <c r="L1623" s="136">
        <v>155</v>
      </c>
      <c r="M1623" s="137" t="s">
        <v>22</v>
      </c>
      <c r="N1623" s="138"/>
      <c r="O1623" s="138"/>
      <c r="P1623" s="138"/>
      <c r="Q1623" s="138"/>
      <c r="R1623" s="138"/>
      <c r="S1623" s="138"/>
      <c r="T1623" s="138"/>
      <c r="U1623" s="138"/>
    </row>
    <row r="1624" spans="1:25" s="26" customFormat="1" ht="15" customHeight="1" x14ac:dyDescent="0.2">
      <c r="A1624" s="32">
        <v>41729.58834490741</v>
      </c>
      <c r="B1624" s="26" t="s">
        <v>16</v>
      </c>
      <c r="C1624" s="26" t="s">
        <v>23</v>
      </c>
      <c r="D1624" s="33">
        <v>41699</v>
      </c>
      <c r="E1624" s="26" t="s">
        <v>5354</v>
      </c>
      <c r="F1624" s="26" t="s">
        <v>5355</v>
      </c>
      <c r="G1624" s="26" t="s">
        <v>26</v>
      </c>
      <c r="H1624" s="26" t="s">
        <v>5356</v>
      </c>
      <c r="I1624" s="26" t="s">
        <v>5357</v>
      </c>
      <c r="J1624" s="46">
        <v>1</v>
      </c>
      <c r="K1624" s="46">
        <v>8</v>
      </c>
      <c r="L1624" s="136"/>
      <c r="M1624" s="137" t="s">
        <v>22</v>
      </c>
      <c r="N1624" s="138"/>
      <c r="O1624" s="138"/>
      <c r="P1624" s="138"/>
      <c r="Q1624" s="138"/>
      <c r="R1624" s="138"/>
      <c r="S1624" s="138"/>
      <c r="T1624" s="138"/>
      <c r="U1624" s="138"/>
    </row>
    <row r="1625" spans="1:25" s="26" customFormat="1" ht="15" customHeight="1" x14ac:dyDescent="0.2">
      <c r="A1625" s="32">
        <v>41729.589456018519</v>
      </c>
      <c r="B1625" s="26" t="s">
        <v>16</v>
      </c>
      <c r="C1625" s="26" t="s">
        <v>23</v>
      </c>
      <c r="D1625" s="33">
        <v>41699</v>
      </c>
      <c r="E1625" s="26" t="s">
        <v>5358</v>
      </c>
      <c r="F1625" s="26" t="s">
        <v>5359</v>
      </c>
      <c r="G1625" s="26" t="s">
        <v>42</v>
      </c>
      <c r="I1625" s="26" t="s">
        <v>2926</v>
      </c>
      <c r="J1625" s="46">
        <v>1</v>
      </c>
      <c r="K1625" s="46">
        <v>15</v>
      </c>
      <c r="L1625" s="136"/>
      <c r="M1625" s="137" t="s">
        <v>44</v>
      </c>
      <c r="N1625" s="138"/>
      <c r="O1625" s="138"/>
      <c r="P1625" s="138"/>
      <c r="Q1625" s="138"/>
      <c r="R1625" s="138">
        <v>150</v>
      </c>
      <c r="S1625" s="138"/>
      <c r="T1625" s="138"/>
      <c r="U1625" s="138"/>
    </row>
    <row r="1626" spans="1:25" s="26" customFormat="1" ht="15" customHeight="1" x14ac:dyDescent="0.2">
      <c r="A1626" s="32">
        <v>41729.591643518521</v>
      </c>
      <c r="B1626" s="26" t="s">
        <v>16</v>
      </c>
      <c r="C1626" s="26" t="s">
        <v>23</v>
      </c>
      <c r="D1626" s="33">
        <v>41699</v>
      </c>
      <c r="E1626" s="26" t="s">
        <v>5364</v>
      </c>
      <c r="F1626" s="26" t="s">
        <v>5365</v>
      </c>
      <c r="G1626" s="26" t="s">
        <v>20</v>
      </c>
      <c r="H1626" s="26" t="s">
        <v>5366</v>
      </c>
      <c r="I1626" s="26" t="s">
        <v>5367</v>
      </c>
      <c r="J1626" s="46">
        <v>4</v>
      </c>
      <c r="K1626" s="46">
        <v>136</v>
      </c>
      <c r="L1626" s="136">
        <v>480</v>
      </c>
      <c r="M1626" s="137" t="s">
        <v>22</v>
      </c>
      <c r="N1626" s="138"/>
      <c r="O1626" s="138"/>
      <c r="P1626" s="138">
        <v>18</v>
      </c>
      <c r="Q1626" s="138"/>
      <c r="R1626" s="138"/>
      <c r="S1626" s="138"/>
      <c r="T1626" s="138"/>
      <c r="U1626" s="138"/>
      <c r="V1626" s="26" t="s">
        <v>5368</v>
      </c>
    </row>
    <row r="1627" spans="1:25" s="26" customFormat="1" ht="15" customHeight="1" x14ac:dyDescent="0.2">
      <c r="A1627" s="32">
        <v>41730.494733796295</v>
      </c>
      <c r="B1627" s="26" t="s">
        <v>16</v>
      </c>
      <c r="C1627" s="26" t="s">
        <v>23</v>
      </c>
      <c r="D1627" s="33">
        <v>41730</v>
      </c>
      <c r="E1627" s="26" t="s">
        <v>5456</v>
      </c>
      <c r="F1627" s="26" t="s">
        <v>5457</v>
      </c>
      <c r="G1627" s="26" t="s">
        <v>20</v>
      </c>
      <c r="H1627" s="26" t="s">
        <v>5458</v>
      </c>
      <c r="I1627" s="26" t="s">
        <v>3140</v>
      </c>
      <c r="J1627" s="46">
        <v>1</v>
      </c>
      <c r="K1627" s="46">
        <v>35</v>
      </c>
      <c r="L1627" s="138">
        <v>60</v>
      </c>
      <c r="M1627" s="137" t="s">
        <v>22</v>
      </c>
      <c r="N1627" s="138"/>
      <c r="O1627" s="138"/>
      <c r="P1627" s="138"/>
      <c r="Q1627" s="138"/>
      <c r="R1627" s="138"/>
      <c r="S1627" s="138"/>
      <c r="T1627" s="138"/>
      <c r="U1627" s="138"/>
      <c r="V1627" s="26" t="s">
        <v>5459</v>
      </c>
    </row>
    <row r="1628" spans="1:25" s="26" customFormat="1" ht="15" customHeight="1" x14ac:dyDescent="0.2">
      <c r="A1628" s="32">
        <v>41730.669282407405</v>
      </c>
      <c r="B1628" s="26" t="s">
        <v>16</v>
      </c>
      <c r="C1628" s="26" t="s">
        <v>23</v>
      </c>
      <c r="D1628" s="33">
        <v>41730</v>
      </c>
      <c r="E1628" s="26" t="s">
        <v>5486</v>
      </c>
      <c r="F1628" s="26" t="s">
        <v>5487</v>
      </c>
      <c r="G1628" s="26" t="s">
        <v>42</v>
      </c>
      <c r="H1628" s="26" t="s">
        <v>5488</v>
      </c>
      <c r="I1628" s="26" t="s">
        <v>3001</v>
      </c>
      <c r="J1628" s="46">
        <v>1</v>
      </c>
      <c r="K1628" s="46">
        <v>13</v>
      </c>
      <c r="L1628" s="138">
        <v>55</v>
      </c>
      <c r="M1628" s="137" t="s">
        <v>22</v>
      </c>
      <c r="N1628" s="138"/>
      <c r="O1628" s="138"/>
      <c r="P1628" s="138"/>
      <c r="Q1628" s="138"/>
      <c r="R1628" s="138"/>
      <c r="S1628" s="138"/>
      <c r="T1628" s="138"/>
      <c r="U1628" s="138"/>
    </row>
    <row r="1629" spans="1:25" s="26" customFormat="1" ht="15" customHeight="1" x14ac:dyDescent="0.2">
      <c r="A1629" s="32">
        <v>41732.643287037034</v>
      </c>
      <c r="B1629" s="26" t="s">
        <v>16</v>
      </c>
      <c r="C1629" s="26" t="s">
        <v>23</v>
      </c>
      <c r="D1629" s="33">
        <v>41730</v>
      </c>
      <c r="E1629" s="26" t="s">
        <v>2816</v>
      </c>
      <c r="F1629" s="26" t="s">
        <v>5542</v>
      </c>
      <c r="G1629" s="26" t="s">
        <v>20</v>
      </c>
      <c r="H1629" s="26" t="s">
        <v>5543</v>
      </c>
      <c r="I1629" s="26" t="s">
        <v>5544</v>
      </c>
      <c r="J1629" s="46">
        <v>3</v>
      </c>
      <c r="K1629" s="46">
        <v>165</v>
      </c>
      <c r="L1629" s="138">
        <v>576</v>
      </c>
      <c r="M1629" s="137" t="s">
        <v>22</v>
      </c>
      <c r="N1629" s="138"/>
      <c r="O1629" s="138"/>
      <c r="P1629" s="138"/>
      <c r="Q1629" s="138"/>
      <c r="R1629" s="138"/>
      <c r="S1629" s="138"/>
      <c r="T1629" s="138"/>
      <c r="U1629" s="138">
        <v>10</v>
      </c>
    </row>
    <row r="1630" spans="1:25" s="26" customFormat="1" ht="15" customHeight="1" x14ac:dyDescent="0.2">
      <c r="A1630" s="32">
        <v>41733.531504629631</v>
      </c>
      <c r="B1630" s="26" t="s">
        <v>16</v>
      </c>
      <c r="C1630" s="26" t="s">
        <v>23</v>
      </c>
      <c r="D1630" s="33">
        <v>41730</v>
      </c>
      <c r="E1630" s="26" t="s">
        <v>5644</v>
      </c>
      <c r="F1630" s="26" t="s">
        <v>5457</v>
      </c>
      <c r="G1630" s="26" t="s">
        <v>20</v>
      </c>
      <c r="H1630" s="26" t="s">
        <v>5458</v>
      </c>
      <c r="I1630" s="26" t="s">
        <v>3140</v>
      </c>
      <c r="J1630" s="46">
        <v>1</v>
      </c>
      <c r="K1630" s="46">
        <v>33</v>
      </c>
      <c r="L1630" s="138">
        <v>60</v>
      </c>
      <c r="M1630" s="137" t="s">
        <v>22</v>
      </c>
      <c r="N1630" s="138"/>
      <c r="O1630" s="138"/>
      <c r="P1630" s="138"/>
      <c r="Q1630" s="138"/>
      <c r="R1630" s="138"/>
      <c r="S1630" s="138"/>
      <c r="T1630" s="138"/>
      <c r="U1630" s="138">
        <v>3</v>
      </c>
    </row>
    <row r="1631" spans="1:25" s="26" customFormat="1" ht="15" customHeight="1" x14ac:dyDescent="0.2">
      <c r="A1631" s="32">
        <v>41736.545543981483</v>
      </c>
      <c r="B1631" s="26" t="s">
        <v>16</v>
      </c>
      <c r="C1631" s="26" t="s">
        <v>23</v>
      </c>
      <c r="D1631" s="33">
        <v>41730</v>
      </c>
      <c r="E1631" s="26" t="s">
        <v>311</v>
      </c>
      <c r="F1631" s="26" t="s">
        <v>5767</v>
      </c>
      <c r="G1631" s="26" t="s">
        <v>42</v>
      </c>
      <c r="H1631" s="26" t="s">
        <v>5768</v>
      </c>
      <c r="I1631" s="26" t="s">
        <v>3001</v>
      </c>
      <c r="J1631" s="46">
        <v>1</v>
      </c>
      <c r="K1631" s="46">
        <v>11</v>
      </c>
      <c r="L1631" s="138">
        <v>50</v>
      </c>
      <c r="M1631" s="137" t="s">
        <v>22</v>
      </c>
      <c r="N1631" s="138"/>
      <c r="O1631" s="138"/>
      <c r="P1631" s="138"/>
      <c r="Q1631" s="138"/>
      <c r="R1631" s="138"/>
      <c r="S1631" s="138"/>
      <c r="T1631" s="138"/>
      <c r="U1631" s="138"/>
    </row>
    <row r="1632" spans="1:25" s="26" customFormat="1" ht="15" customHeight="1" x14ac:dyDescent="0.2">
      <c r="A1632" s="32">
        <v>41736.611342592594</v>
      </c>
      <c r="B1632" s="26" t="s">
        <v>16</v>
      </c>
      <c r="C1632" s="26" t="s">
        <v>23</v>
      </c>
      <c r="D1632" s="33">
        <v>41730</v>
      </c>
      <c r="E1632" s="26" t="s">
        <v>5770</v>
      </c>
      <c r="F1632" s="26" t="s">
        <v>5771</v>
      </c>
      <c r="G1632" s="26" t="s">
        <v>42</v>
      </c>
      <c r="H1632" s="26" t="s">
        <v>5772</v>
      </c>
      <c r="I1632" s="26" t="s">
        <v>5773</v>
      </c>
      <c r="J1632" s="46">
        <v>1</v>
      </c>
      <c r="K1632" s="46">
        <v>16</v>
      </c>
      <c r="L1632" s="138">
        <v>50</v>
      </c>
      <c r="M1632" s="137" t="s">
        <v>44</v>
      </c>
      <c r="N1632" s="138"/>
      <c r="O1632" s="138">
        <v>10</v>
      </c>
      <c r="P1632" s="138">
        <v>10</v>
      </c>
      <c r="Q1632" s="138"/>
      <c r="R1632" s="138"/>
      <c r="S1632" s="138"/>
      <c r="T1632" s="138"/>
      <c r="U1632" s="138"/>
    </row>
    <row r="1633" spans="1:25" s="26" customFormat="1" ht="15" customHeight="1" x14ac:dyDescent="0.2">
      <c r="A1633" s="92">
        <v>41740.575185185182</v>
      </c>
      <c r="B1633" s="91" t="s">
        <v>16</v>
      </c>
      <c r="C1633" s="26" t="s">
        <v>23</v>
      </c>
      <c r="D1633" s="33">
        <v>41730</v>
      </c>
      <c r="E1633" s="91" t="s">
        <v>5940</v>
      </c>
      <c r="F1633" s="91" t="s">
        <v>5941</v>
      </c>
      <c r="G1633" s="91" t="s">
        <v>26</v>
      </c>
      <c r="H1633" s="91" t="s">
        <v>5942</v>
      </c>
      <c r="I1633" s="91" t="s">
        <v>3001</v>
      </c>
      <c r="J1633" s="46">
        <v>1</v>
      </c>
      <c r="K1633" s="46">
        <v>14</v>
      </c>
      <c r="L1633" s="138"/>
      <c r="M1633" s="137" t="s">
        <v>22</v>
      </c>
      <c r="N1633" s="138"/>
      <c r="O1633" s="138"/>
      <c r="P1633" s="138"/>
      <c r="Q1633" s="138"/>
      <c r="R1633" s="138"/>
      <c r="S1633" s="138"/>
      <c r="T1633" s="138"/>
      <c r="U1633" s="138"/>
      <c r="V1633" s="91"/>
      <c r="W1633" s="91"/>
      <c r="X1633" s="91"/>
      <c r="Y1633" s="91"/>
    </row>
    <row r="1634" spans="1:25" s="26" customFormat="1" ht="15" customHeight="1" x14ac:dyDescent="0.2">
      <c r="A1634" s="32">
        <v>41743.40525462963</v>
      </c>
      <c r="B1634" s="26" t="s">
        <v>16</v>
      </c>
      <c r="C1634" s="26" t="s">
        <v>23</v>
      </c>
      <c r="D1634" s="33">
        <v>41730</v>
      </c>
      <c r="E1634" s="26" t="s">
        <v>5952</v>
      </c>
      <c r="F1634" s="26" t="s">
        <v>5953</v>
      </c>
      <c r="G1634" s="26" t="s">
        <v>42</v>
      </c>
      <c r="H1634" s="26" t="s">
        <v>5954</v>
      </c>
      <c r="I1634" s="26" t="s">
        <v>3001</v>
      </c>
      <c r="J1634" s="46">
        <v>1</v>
      </c>
      <c r="K1634" s="46">
        <v>30</v>
      </c>
      <c r="L1634" s="138">
        <v>150</v>
      </c>
      <c r="M1634" s="137" t="s">
        <v>44</v>
      </c>
      <c r="N1634" s="138"/>
      <c r="O1634" s="138"/>
      <c r="P1634" s="138">
        <v>10</v>
      </c>
      <c r="Q1634" s="138"/>
      <c r="R1634" s="138"/>
      <c r="S1634" s="138"/>
      <c r="T1634" s="138"/>
      <c r="U1634" s="138">
        <v>10</v>
      </c>
      <c r="V1634" s="26" t="s">
        <v>5955</v>
      </c>
    </row>
    <row r="1635" spans="1:25" s="26" customFormat="1" ht="15" customHeight="1" x14ac:dyDescent="0.2">
      <c r="A1635" s="32">
        <v>41744.376840277779</v>
      </c>
      <c r="B1635" s="26" t="s">
        <v>16</v>
      </c>
      <c r="C1635" s="26" t="s">
        <v>23</v>
      </c>
      <c r="D1635" s="33">
        <v>41730</v>
      </c>
      <c r="E1635" s="26" t="s">
        <v>5962</v>
      </c>
      <c r="F1635" s="26" t="s">
        <v>5963</v>
      </c>
      <c r="G1635" s="26" t="s">
        <v>42</v>
      </c>
      <c r="H1635" s="26" t="s">
        <v>5964</v>
      </c>
      <c r="I1635" s="26" t="s">
        <v>3001</v>
      </c>
      <c r="J1635" s="46">
        <v>1</v>
      </c>
      <c r="K1635" s="46">
        <v>12</v>
      </c>
      <c r="L1635" s="138">
        <v>50</v>
      </c>
      <c r="M1635" s="137" t="s">
        <v>22</v>
      </c>
      <c r="N1635" s="138"/>
      <c r="O1635" s="138"/>
      <c r="P1635" s="138"/>
      <c r="Q1635" s="138"/>
      <c r="R1635" s="138"/>
      <c r="S1635" s="138"/>
      <c r="T1635" s="138"/>
      <c r="U1635" s="138"/>
    </row>
    <row r="1636" spans="1:25" s="26" customFormat="1" ht="15" customHeight="1" x14ac:dyDescent="0.2">
      <c r="A1636" s="32">
        <v>41744.495682870373</v>
      </c>
      <c r="B1636" s="26" t="s">
        <v>16</v>
      </c>
      <c r="C1636" s="26" t="s">
        <v>23</v>
      </c>
      <c r="D1636" s="33">
        <v>41730</v>
      </c>
      <c r="E1636" s="26" t="s">
        <v>5456</v>
      </c>
      <c r="F1636" s="26" t="s">
        <v>5965</v>
      </c>
      <c r="G1636" s="26" t="s">
        <v>20</v>
      </c>
      <c r="H1636" s="26" t="s">
        <v>5966</v>
      </c>
      <c r="I1636" s="26" t="s">
        <v>3778</v>
      </c>
      <c r="J1636" s="46">
        <v>1</v>
      </c>
      <c r="K1636" s="46">
        <v>27</v>
      </c>
      <c r="L1636" s="138">
        <v>63</v>
      </c>
      <c r="M1636" s="137" t="s">
        <v>44</v>
      </c>
      <c r="N1636" s="138"/>
      <c r="O1636" s="138"/>
      <c r="P1636" s="138">
        <v>7</v>
      </c>
      <c r="Q1636" s="138"/>
      <c r="R1636" s="138"/>
      <c r="S1636" s="138"/>
      <c r="T1636" s="138"/>
      <c r="U1636" s="138">
        <v>5</v>
      </c>
    </row>
    <row r="1637" spans="1:25" s="26" customFormat="1" ht="15" customHeight="1" x14ac:dyDescent="0.2">
      <c r="A1637" s="32">
        <v>41745.62060185185</v>
      </c>
      <c r="B1637" s="26" t="s">
        <v>16</v>
      </c>
      <c r="C1637" s="26" t="s">
        <v>23</v>
      </c>
      <c r="D1637" s="33">
        <v>41730</v>
      </c>
      <c r="E1637" s="26" t="s">
        <v>5976</v>
      </c>
      <c r="F1637" s="26" t="s">
        <v>5977</v>
      </c>
      <c r="G1637" s="26" t="s">
        <v>20</v>
      </c>
      <c r="H1637" s="26" t="s">
        <v>5978</v>
      </c>
      <c r="I1637" s="26" t="s">
        <v>5979</v>
      </c>
      <c r="J1637" s="46">
        <v>3</v>
      </c>
      <c r="K1637" s="46">
        <v>55</v>
      </c>
      <c r="L1637" s="138">
        <v>240</v>
      </c>
      <c r="M1637" s="137" t="s">
        <v>22</v>
      </c>
      <c r="N1637" s="138"/>
      <c r="O1637" s="138"/>
      <c r="P1637" s="138"/>
      <c r="Q1637" s="138"/>
      <c r="R1637" s="138"/>
      <c r="S1637" s="138"/>
      <c r="T1637" s="138"/>
      <c r="U1637" s="138"/>
      <c r="V1637" s="26">
        <v>10</v>
      </c>
    </row>
    <row r="1638" spans="1:25" s="26" customFormat="1" ht="15" customHeight="1" x14ac:dyDescent="0.2">
      <c r="A1638" s="32">
        <v>41746.593090277776</v>
      </c>
      <c r="B1638" s="26" t="s">
        <v>16</v>
      </c>
      <c r="C1638" s="26" t="s">
        <v>23</v>
      </c>
      <c r="D1638" s="33">
        <v>41730</v>
      </c>
      <c r="E1638" s="26" t="s">
        <v>5985</v>
      </c>
      <c r="F1638" s="26" t="s">
        <v>5986</v>
      </c>
      <c r="G1638" s="26" t="s">
        <v>20</v>
      </c>
      <c r="H1638" s="26" t="s">
        <v>5987</v>
      </c>
      <c r="I1638" s="26" t="s">
        <v>5988</v>
      </c>
      <c r="J1638" s="46">
        <v>1</v>
      </c>
      <c r="K1638" s="46">
        <v>40</v>
      </c>
      <c r="L1638" s="138">
        <v>90</v>
      </c>
      <c r="M1638" s="137" t="s">
        <v>44</v>
      </c>
      <c r="N1638" s="138"/>
      <c r="O1638" s="138"/>
      <c r="P1638" s="138">
        <v>3</v>
      </c>
      <c r="Q1638" s="138"/>
      <c r="R1638" s="138"/>
      <c r="S1638" s="138"/>
      <c r="T1638" s="138"/>
      <c r="U1638" s="138"/>
    </row>
    <row r="1639" spans="1:25" s="26" customFormat="1" ht="15" customHeight="1" x14ac:dyDescent="0.2">
      <c r="A1639" s="32">
        <v>41751.654351851852</v>
      </c>
      <c r="B1639" s="26" t="s">
        <v>16</v>
      </c>
      <c r="C1639" s="26" t="s">
        <v>23</v>
      </c>
      <c r="D1639" s="33">
        <v>41730</v>
      </c>
      <c r="E1639" s="26" t="s">
        <v>210</v>
      </c>
      <c r="F1639" s="26" t="s">
        <v>6031</v>
      </c>
      <c r="G1639" s="26" t="s">
        <v>20</v>
      </c>
      <c r="H1639" s="26" t="s">
        <v>6032</v>
      </c>
      <c r="I1639" s="26" t="s">
        <v>6033</v>
      </c>
      <c r="J1639" s="46">
        <v>5</v>
      </c>
      <c r="K1639" s="46">
        <v>125</v>
      </c>
      <c r="L1639" s="138">
        <v>648</v>
      </c>
      <c r="M1639" s="137" t="s">
        <v>22</v>
      </c>
      <c r="N1639" s="138"/>
      <c r="O1639" s="138"/>
      <c r="P1639" s="138"/>
      <c r="Q1639" s="138"/>
      <c r="R1639" s="138"/>
      <c r="S1639" s="138"/>
      <c r="T1639" s="138"/>
      <c r="U1639" s="138"/>
      <c r="V1639" s="26" t="s">
        <v>6034</v>
      </c>
    </row>
    <row r="1640" spans="1:25" s="26" customFormat="1" ht="15" customHeight="1" x14ac:dyDescent="0.2">
      <c r="A1640" s="92">
        <v>41751.661793981482</v>
      </c>
      <c r="B1640" s="91" t="s">
        <v>16</v>
      </c>
      <c r="C1640" s="26" t="s">
        <v>23</v>
      </c>
      <c r="D1640" s="33">
        <v>41730</v>
      </c>
      <c r="E1640" s="91" t="s">
        <v>6035</v>
      </c>
      <c r="F1640" s="91" t="s">
        <v>6036</v>
      </c>
      <c r="G1640" s="91" t="s">
        <v>26</v>
      </c>
      <c r="H1640" s="91" t="s">
        <v>6037</v>
      </c>
      <c r="I1640" s="91" t="s">
        <v>6038</v>
      </c>
      <c r="J1640" s="46">
        <v>1</v>
      </c>
      <c r="K1640" s="46">
        <v>60</v>
      </c>
      <c r="L1640" s="138">
        <v>50</v>
      </c>
      <c r="M1640" s="137" t="s">
        <v>44</v>
      </c>
      <c r="N1640" s="138"/>
      <c r="O1640" s="138"/>
      <c r="P1640" s="138"/>
      <c r="Q1640" s="138">
        <v>112</v>
      </c>
      <c r="R1640" s="138"/>
      <c r="S1640" s="138"/>
      <c r="T1640" s="138"/>
      <c r="U1640" s="138">
        <v>50</v>
      </c>
      <c r="V1640" s="91"/>
      <c r="W1640" s="91"/>
      <c r="X1640" s="91"/>
      <c r="Y1640" s="91"/>
    </row>
    <row r="1641" spans="1:25" s="26" customFormat="1" ht="15" customHeight="1" x14ac:dyDescent="0.2">
      <c r="A1641" s="32">
        <v>41751.662777777776</v>
      </c>
      <c r="B1641" s="26" t="s">
        <v>16</v>
      </c>
      <c r="C1641" s="26" t="s">
        <v>23</v>
      </c>
      <c r="D1641" s="33">
        <v>41730</v>
      </c>
      <c r="E1641" s="26" t="s">
        <v>1508</v>
      </c>
      <c r="F1641" s="26" t="s">
        <v>6039</v>
      </c>
      <c r="G1641" s="26" t="s">
        <v>42</v>
      </c>
      <c r="H1641" s="26" t="s">
        <v>6040</v>
      </c>
      <c r="I1641" s="26" t="s">
        <v>3001</v>
      </c>
      <c r="J1641" s="46">
        <v>1</v>
      </c>
      <c r="K1641" s="46">
        <v>11</v>
      </c>
      <c r="L1641" s="138">
        <v>50</v>
      </c>
      <c r="M1641" s="137" t="s">
        <v>22</v>
      </c>
      <c r="N1641" s="138"/>
      <c r="O1641" s="138"/>
      <c r="P1641" s="138"/>
      <c r="Q1641" s="138"/>
      <c r="R1641" s="138"/>
      <c r="S1641" s="138"/>
      <c r="T1641" s="138"/>
      <c r="U1641" s="138"/>
    </row>
    <row r="1642" spans="1:25" s="26" customFormat="1" ht="15" customHeight="1" x14ac:dyDescent="0.2">
      <c r="A1642" s="32">
        <v>41752.666944444441</v>
      </c>
      <c r="B1642" s="26" t="s">
        <v>16</v>
      </c>
      <c r="C1642" s="26" t="s">
        <v>23</v>
      </c>
      <c r="D1642" s="33">
        <v>41730</v>
      </c>
      <c r="E1642" s="26" t="s">
        <v>6049</v>
      </c>
      <c r="F1642" s="26" t="s">
        <v>6050</v>
      </c>
      <c r="G1642" s="26" t="s">
        <v>42</v>
      </c>
      <c r="H1642" s="26" t="s">
        <v>6051</v>
      </c>
      <c r="I1642" s="26" t="s">
        <v>6052</v>
      </c>
      <c r="J1642" s="46">
        <v>4</v>
      </c>
      <c r="K1642" s="46">
        <v>120</v>
      </c>
      <c r="L1642" s="138">
        <v>400</v>
      </c>
      <c r="M1642" s="137" t="s">
        <v>22</v>
      </c>
      <c r="N1642" s="138"/>
      <c r="O1642" s="138"/>
      <c r="P1642" s="138"/>
      <c r="Q1642" s="138"/>
      <c r="R1642" s="138"/>
      <c r="S1642" s="138"/>
      <c r="T1642" s="138"/>
      <c r="U1642" s="138">
        <v>5</v>
      </c>
    </row>
    <row r="1643" spans="1:25" s="26" customFormat="1" ht="15" customHeight="1" x14ac:dyDescent="0.2">
      <c r="A1643" s="32">
        <v>41753.466168981482</v>
      </c>
      <c r="B1643" s="26" t="s">
        <v>16</v>
      </c>
      <c r="C1643" s="26" t="s">
        <v>23</v>
      </c>
      <c r="D1643" s="33">
        <v>41730</v>
      </c>
      <c r="E1643" s="26" t="s">
        <v>6064</v>
      </c>
      <c r="F1643" s="26" t="s">
        <v>6065</v>
      </c>
      <c r="G1643" s="26" t="s">
        <v>20</v>
      </c>
      <c r="H1643" s="26" t="s">
        <v>6066</v>
      </c>
      <c r="I1643" s="26" t="s">
        <v>6067</v>
      </c>
      <c r="J1643" s="46">
        <v>3</v>
      </c>
      <c r="K1643" s="46">
        <v>75</v>
      </c>
      <c r="L1643" s="138">
        <v>236</v>
      </c>
      <c r="M1643" s="137" t="s">
        <v>22</v>
      </c>
      <c r="N1643" s="138"/>
      <c r="O1643" s="138"/>
      <c r="P1643" s="138"/>
      <c r="Q1643" s="138"/>
      <c r="R1643" s="138"/>
      <c r="S1643" s="138"/>
      <c r="T1643" s="138"/>
      <c r="U1643" s="138">
        <v>5</v>
      </c>
    </row>
    <row r="1644" spans="1:25" s="26" customFormat="1" ht="15" customHeight="1" x14ac:dyDescent="0.2">
      <c r="A1644" s="55">
        <v>41757.6639236111</v>
      </c>
      <c r="B1644" s="52" t="s">
        <v>16</v>
      </c>
      <c r="C1644" s="52" t="s">
        <v>23</v>
      </c>
      <c r="D1644" s="88" t="s">
        <v>6076</v>
      </c>
      <c r="E1644" s="52" t="s">
        <v>6125</v>
      </c>
      <c r="F1644" s="52" t="s">
        <v>6126</v>
      </c>
      <c r="G1644" s="52" t="s">
        <v>42</v>
      </c>
      <c r="H1644" s="52" t="s">
        <v>6127</v>
      </c>
      <c r="I1644" s="52" t="s">
        <v>6128</v>
      </c>
      <c r="J1644" s="95">
        <v>1</v>
      </c>
      <c r="K1644" s="95">
        <v>15</v>
      </c>
      <c r="L1644" s="149">
        <v>50</v>
      </c>
      <c r="M1644" s="146" t="s">
        <v>22</v>
      </c>
      <c r="N1644" s="149"/>
      <c r="O1644" s="149"/>
      <c r="P1644" s="149"/>
      <c r="Q1644" s="149"/>
      <c r="R1644" s="149"/>
      <c r="S1644" s="149"/>
      <c r="T1644" s="149"/>
      <c r="U1644" s="149"/>
      <c r="V1644" s="52"/>
    </row>
    <row r="1645" spans="1:25" s="26" customFormat="1" ht="15" customHeight="1" x14ac:dyDescent="0.2">
      <c r="A1645" s="55">
        <v>41757.665023148198</v>
      </c>
      <c r="B1645" s="52" t="s">
        <v>16</v>
      </c>
      <c r="C1645" s="52" t="s">
        <v>23</v>
      </c>
      <c r="D1645" s="88" t="s">
        <v>6076</v>
      </c>
      <c r="E1645" s="52" t="s">
        <v>4819</v>
      </c>
      <c r="F1645" s="52" t="s">
        <v>6129</v>
      </c>
      <c r="G1645" s="52" t="s">
        <v>42</v>
      </c>
      <c r="H1645" s="52" t="s">
        <v>6130</v>
      </c>
      <c r="I1645" s="52" t="s">
        <v>3001</v>
      </c>
      <c r="J1645" s="95">
        <v>1</v>
      </c>
      <c r="K1645" s="95">
        <v>9</v>
      </c>
      <c r="L1645" s="149">
        <v>50</v>
      </c>
      <c r="M1645" s="146" t="s">
        <v>44</v>
      </c>
      <c r="N1645" s="149"/>
      <c r="O1645" s="149"/>
      <c r="P1645" s="149">
        <v>1.75</v>
      </c>
      <c r="Q1645" s="149"/>
      <c r="R1645" s="149"/>
      <c r="S1645" s="149"/>
      <c r="T1645" s="149"/>
      <c r="U1645" s="149">
        <v>3</v>
      </c>
      <c r="V1645" s="52"/>
    </row>
    <row r="1646" spans="1:25" s="26" customFormat="1" ht="15" customHeight="1" x14ac:dyDescent="0.2">
      <c r="A1646" s="55">
        <v>41758.620717592603</v>
      </c>
      <c r="B1646" s="52" t="s">
        <v>16</v>
      </c>
      <c r="C1646" s="52" t="s">
        <v>23</v>
      </c>
      <c r="D1646" s="88" t="s">
        <v>6076</v>
      </c>
      <c r="E1646" s="52" t="s">
        <v>6163</v>
      </c>
      <c r="F1646" s="52" t="s">
        <v>6164</v>
      </c>
      <c r="G1646" s="52" t="s">
        <v>20</v>
      </c>
      <c r="H1646" s="52" t="s">
        <v>6165</v>
      </c>
      <c r="I1646" s="52" t="s">
        <v>6166</v>
      </c>
      <c r="J1646" s="95">
        <v>2</v>
      </c>
      <c r="K1646" s="95">
        <v>60</v>
      </c>
      <c r="L1646" s="149">
        <v>117</v>
      </c>
      <c r="M1646" s="146" t="s">
        <v>22</v>
      </c>
      <c r="N1646" s="149"/>
      <c r="O1646" s="149"/>
      <c r="P1646" s="149"/>
      <c r="Q1646" s="149"/>
      <c r="R1646" s="149"/>
      <c r="S1646" s="149"/>
      <c r="T1646" s="149"/>
      <c r="U1646" s="149"/>
      <c r="V1646" s="52"/>
    </row>
    <row r="1647" spans="1:25" s="26" customFormat="1" ht="15" customHeight="1" x14ac:dyDescent="0.2">
      <c r="A1647" s="93">
        <v>41759.687881944403</v>
      </c>
      <c r="B1647" s="89" t="s">
        <v>16</v>
      </c>
      <c r="C1647" s="52" t="s">
        <v>23</v>
      </c>
      <c r="D1647" s="87" t="s">
        <v>6076</v>
      </c>
      <c r="E1647" s="89"/>
      <c r="F1647" s="89" t="s">
        <v>6216</v>
      </c>
      <c r="G1647" s="89" t="s">
        <v>26</v>
      </c>
      <c r="H1647" s="89" t="s">
        <v>6217</v>
      </c>
      <c r="I1647" s="89" t="s">
        <v>6218</v>
      </c>
      <c r="J1647" s="95">
        <v>1</v>
      </c>
      <c r="K1647" s="95">
        <v>36</v>
      </c>
      <c r="L1647" s="149"/>
      <c r="M1647" s="146" t="s">
        <v>44</v>
      </c>
      <c r="N1647" s="149"/>
      <c r="O1647" s="149">
        <v>50</v>
      </c>
      <c r="P1647" s="149"/>
      <c r="Q1647" s="149"/>
      <c r="R1647" s="149"/>
      <c r="S1647" s="149"/>
      <c r="T1647" s="149">
        <v>90</v>
      </c>
      <c r="U1647" s="149"/>
      <c r="V1647" s="94" t="s">
        <v>7668</v>
      </c>
      <c r="W1647" s="91"/>
      <c r="X1647" s="91"/>
      <c r="Y1647" s="91"/>
    </row>
    <row r="1648" spans="1:25" s="26" customFormat="1" ht="15" customHeight="1" x14ac:dyDescent="0.2">
      <c r="A1648" s="53">
        <v>41792.698912036998</v>
      </c>
      <c r="B1648" s="54" t="s">
        <v>16</v>
      </c>
      <c r="C1648" s="52" t="s">
        <v>23</v>
      </c>
      <c r="D1648" s="113" t="s">
        <v>7147</v>
      </c>
      <c r="E1648" s="54" t="s">
        <v>1389</v>
      </c>
      <c r="F1648" s="54" t="s">
        <v>7148</v>
      </c>
      <c r="G1648" s="54" t="s">
        <v>42</v>
      </c>
      <c r="H1648" s="54" t="s">
        <v>7149</v>
      </c>
      <c r="I1648" s="54" t="s">
        <v>3001</v>
      </c>
      <c r="J1648" s="118"/>
      <c r="K1648" s="118">
        <v>9</v>
      </c>
      <c r="L1648" s="145">
        <v>50</v>
      </c>
      <c r="M1648" s="146" t="s">
        <v>22</v>
      </c>
      <c r="N1648" s="147"/>
      <c r="O1648" s="147"/>
      <c r="P1648" s="147"/>
      <c r="Q1648" s="147"/>
      <c r="R1648" s="147"/>
      <c r="S1648" s="147"/>
      <c r="T1648" s="147"/>
      <c r="U1648" s="147"/>
      <c r="V1648" s="54"/>
    </row>
    <row r="1649" spans="1:25" s="26" customFormat="1" ht="15" customHeight="1" x14ac:dyDescent="0.2">
      <c r="A1649" s="130">
        <v>41795.357696759304</v>
      </c>
      <c r="B1649" s="91" t="s">
        <v>38</v>
      </c>
      <c r="C1649" s="26" t="s">
        <v>682</v>
      </c>
      <c r="D1649" s="33" t="s">
        <v>6224</v>
      </c>
      <c r="E1649" s="91" t="s">
        <v>3555</v>
      </c>
      <c r="F1649" s="91" t="s">
        <v>7214</v>
      </c>
      <c r="G1649" s="91" t="s">
        <v>42</v>
      </c>
      <c r="H1649" s="91" t="s">
        <v>685</v>
      </c>
      <c r="I1649" s="91" t="s">
        <v>2925</v>
      </c>
      <c r="J1649" s="115">
        <v>1</v>
      </c>
      <c r="K1649" s="115">
        <v>19</v>
      </c>
      <c r="L1649" s="162">
        <v>57</v>
      </c>
      <c r="M1649" s="137" t="s">
        <v>44</v>
      </c>
      <c r="N1649" s="138"/>
      <c r="O1649" s="138"/>
      <c r="P1649" s="138">
        <v>20</v>
      </c>
      <c r="Q1649" s="138"/>
      <c r="R1649" s="138"/>
      <c r="S1649" s="138"/>
      <c r="T1649" s="138"/>
      <c r="U1649" s="138"/>
      <c r="V1649" s="91"/>
      <c r="W1649" s="91"/>
      <c r="X1649" s="91"/>
      <c r="Y1649" s="91"/>
    </row>
    <row r="1650" spans="1:25" s="26" customFormat="1" ht="15" customHeight="1" x14ac:dyDescent="0.2">
      <c r="A1650" s="130">
        <v>41795.358784722201</v>
      </c>
      <c r="B1650" s="91" t="s">
        <v>38</v>
      </c>
      <c r="C1650" s="26" t="s">
        <v>682</v>
      </c>
      <c r="D1650" s="33" t="s">
        <v>6224</v>
      </c>
      <c r="E1650" s="91" t="s">
        <v>7215</v>
      </c>
      <c r="F1650" s="91" t="s">
        <v>7216</v>
      </c>
      <c r="G1650" s="91" t="s">
        <v>20</v>
      </c>
      <c r="H1650" s="91" t="s">
        <v>685</v>
      </c>
      <c r="I1650" s="91" t="s">
        <v>2925</v>
      </c>
      <c r="J1650" s="115">
        <v>1</v>
      </c>
      <c r="K1650" s="115">
        <v>122</v>
      </c>
      <c r="L1650" s="162">
        <v>366</v>
      </c>
      <c r="M1650" s="137" t="s">
        <v>44</v>
      </c>
      <c r="N1650" s="138"/>
      <c r="O1650" s="138"/>
      <c r="P1650" s="138">
        <v>35</v>
      </c>
      <c r="Q1650" s="138"/>
      <c r="R1650" s="138"/>
      <c r="S1650" s="138"/>
      <c r="T1650" s="138"/>
      <c r="U1650" s="138"/>
      <c r="V1650" s="91"/>
      <c r="W1650" s="91"/>
      <c r="X1650" s="91"/>
      <c r="Y1650" s="91"/>
    </row>
    <row r="1651" spans="1:25" s="26" customFormat="1" ht="15" customHeight="1" x14ac:dyDescent="0.2">
      <c r="A1651" s="130">
        <v>41795.360069444403</v>
      </c>
      <c r="B1651" s="91" t="s">
        <v>38</v>
      </c>
      <c r="C1651" s="26" t="s">
        <v>682</v>
      </c>
      <c r="D1651" s="33" t="s">
        <v>6224</v>
      </c>
      <c r="E1651" s="91" t="s">
        <v>7217</v>
      </c>
      <c r="F1651" s="91" t="s">
        <v>7218</v>
      </c>
      <c r="G1651" s="91" t="s">
        <v>20</v>
      </c>
      <c r="H1651" s="91" t="s">
        <v>685</v>
      </c>
      <c r="I1651" s="91" t="s">
        <v>2926</v>
      </c>
      <c r="J1651" s="115">
        <v>1</v>
      </c>
      <c r="K1651" s="115">
        <v>33</v>
      </c>
      <c r="L1651" s="162">
        <v>99</v>
      </c>
      <c r="M1651" s="137" t="s">
        <v>44</v>
      </c>
      <c r="N1651" s="138"/>
      <c r="O1651" s="138"/>
      <c r="P1651" s="138">
        <v>20</v>
      </c>
      <c r="Q1651" s="138"/>
      <c r="R1651" s="138"/>
      <c r="S1651" s="138"/>
      <c r="T1651" s="138"/>
      <c r="U1651" s="138"/>
      <c r="V1651" s="91"/>
      <c r="W1651" s="91"/>
      <c r="X1651" s="91"/>
      <c r="Y1651" s="91"/>
    </row>
    <row r="1652" spans="1:25" s="26" customFormat="1" ht="15" customHeight="1" x14ac:dyDescent="0.2">
      <c r="A1652" s="130">
        <v>41795.385185185201</v>
      </c>
      <c r="B1652" s="91" t="s">
        <v>38</v>
      </c>
      <c r="C1652" s="26" t="s">
        <v>682</v>
      </c>
      <c r="D1652" s="33" t="s">
        <v>6224</v>
      </c>
      <c r="E1652" s="91" t="s">
        <v>7219</v>
      </c>
      <c r="F1652" s="91" t="s">
        <v>7220</v>
      </c>
      <c r="G1652" s="91" t="s">
        <v>156</v>
      </c>
      <c r="H1652" s="91" t="s">
        <v>7221</v>
      </c>
      <c r="I1652" s="91" t="s">
        <v>6349</v>
      </c>
      <c r="J1652" s="115">
        <v>1</v>
      </c>
      <c r="K1652" s="115">
        <v>300</v>
      </c>
      <c r="L1652" s="162">
        <v>788</v>
      </c>
      <c r="M1652" s="137" t="s">
        <v>44</v>
      </c>
      <c r="N1652" s="138"/>
      <c r="O1652" s="138">
        <v>625</v>
      </c>
      <c r="P1652" s="138"/>
      <c r="Q1652" s="138"/>
      <c r="R1652" s="138"/>
      <c r="S1652" s="138"/>
      <c r="T1652" s="138"/>
      <c r="U1652" s="138"/>
      <c r="V1652" s="91" t="s">
        <v>7222</v>
      </c>
      <c r="W1652" s="91"/>
      <c r="X1652" s="91"/>
      <c r="Y1652" s="91"/>
    </row>
    <row r="1653" spans="1:25" s="26" customFormat="1" ht="15" customHeight="1" x14ac:dyDescent="0.2">
      <c r="A1653" s="130">
        <v>41795.386620370402</v>
      </c>
      <c r="B1653" s="91" t="s">
        <v>38</v>
      </c>
      <c r="C1653" s="26" t="s">
        <v>682</v>
      </c>
      <c r="D1653" s="33" t="s">
        <v>6224</v>
      </c>
      <c r="E1653" s="91" t="s">
        <v>6920</v>
      </c>
      <c r="F1653" s="91" t="s">
        <v>7223</v>
      </c>
      <c r="G1653" s="91" t="s">
        <v>351</v>
      </c>
      <c r="H1653" s="91" t="s">
        <v>7224</v>
      </c>
      <c r="I1653" s="91" t="s">
        <v>7225</v>
      </c>
      <c r="J1653" s="115">
        <v>1</v>
      </c>
      <c r="K1653" s="115">
        <v>50</v>
      </c>
      <c r="L1653" s="162"/>
      <c r="M1653" s="137" t="s">
        <v>22</v>
      </c>
      <c r="N1653" s="138"/>
      <c r="O1653" s="138"/>
      <c r="P1653" s="138"/>
      <c r="Q1653" s="138"/>
      <c r="R1653" s="138"/>
      <c r="S1653" s="138"/>
      <c r="T1653" s="138"/>
      <c r="U1653" s="138"/>
      <c r="V1653" s="91"/>
      <c r="W1653" s="91"/>
      <c r="X1653" s="91"/>
      <c r="Y1653" s="91"/>
    </row>
    <row r="1654" spans="1:25" s="26" customFormat="1" ht="15" customHeight="1" x14ac:dyDescent="0.2">
      <c r="A1654" s="130">
        <v>41795.391516203701</v>
      </c>
      <c r="B1654" s="91" t="s">
        <v>38</v>
      </c>
      <c r="C1654" s="26" t="s">
        <v>682</v>
      </c>
      <c r="D1654" s="33" t="s">
        <v>6224</v>
      </c>
      <c r="E1654" s="91" t="s">
        <v>7226</v>
      </c>
      <c r="F1654" s="91" t="s">
        <v>1530</v>
      </c>
      <c r="G1654" s="91" t="s">
        <v>42</v>
      </c>
      <c r="H1654" s="91" t="s">
        <v>7227</v>
      </c>
      <c r="I1654" s="91" t="s">
        <v>3001</v>
      </c>
      <c r="J1654" s="115">
        <v>1</v>
      </c>
      <c r="K1654" s="115">
        <v>11</v>
      </c>
      <c r="L1654" s="162"/>
      <c r="M1654" s="137" t="s">
        <v>22</v>
      </c>
      <c r="N1654" s="138"/>
      <c r="O1654" s="138"/>
      <c r="P1654" s="138"/>
      <c r="Q1654" s="138"/>
      <c r="R1654" s="138"/>
      <c r="S1654" s="138"/>
      <c r="T1654" s="138"/>
      <c r="U1654" s="138"/>
      <c r="V1654" s="91"/>
      <c r="W1654" s="91"/>
      <c r="X1654" s="91"/>
      <c r="Y1654" s="91"/>
    </row>
    <row r="1655" spans="1:25" s="26" customFormat="1" ht="15" customHeight="1" x14ac:dyDescent="0.2">
      <c r="A1655" s="130">
        <v>41795.397164351802</v>
      </c>
      <c r="B1655" s="91" t="s">
        <v>38</v>
      </c>
      <c r="C1655" s="26" t="s">
        <v>682</v>
      </c>
      <c r="D1655" s="33" t="s">
        <v>6224</v>
      </c>
      <c r="E1655" s="91" t="s">
        <v>4898</v>
      </c>
      <c r="F1655" s="91" t="s">
        <v>7228</v>
      </c>
      <c r="G1655" s="91" t="s">
        <v>26</v>
      </c>
      <c r="H1655" s="91" t="s">
        <v>7229</v>
      </c>
      <c r="I1655" s="91" t="s">
        <v>3001</v>
      </c>
      <c r="J1655" s="115">
        <v>1</v>
      </c>
      <c r="K1655" s="115">
        <v>8</v>
      </c>
      <c r="L1655" s="162"/>
      <c r="M1655" s="137" t="s">
        <v>22</v>
      </c>
      <c r="N1655" s="138"/>
      <c r="O1655" s="138"/>
      <c r="P1655" s="138"/>
      <c r="Q1655" s="138"/>
      <c r="R1655" s="138"/>
      <c r="S1655" s="138"/>
      <c r="T1655" s="138"/>
      <c r="U1655" s="138"/>
      <c r="V1655" s="91"/>
      <c r="W1655" s="91"/>
      <c r="X1655" s="91"/>
      <c r="Y1655" s="91"/>
    </row>
    <row r="1656" spans="1:25" s="26" customFormat="1" ht="15" customHeight="1" x14ac:dyDescent="0.2">
      <c r="A1656" s="130">
        <v>41795.398055555597</v>
      </c>
      <c r="B1656" s="91" t="s">
        <v>38</v>
      </c>
      <c r="C1656" s="26" t="s">
        <v>682</v>
      </c>
      <c r="D1656" s="33" t="s">
        <v>6224</v>
      </c>
      <c r="E1656" s="91" t="s">
        <v>526</v>
      </c>
      <c r="F1656" s="91" t="s">
        <v>5696</v>
      </c>
      <c r="G1656" s="91" t="s">
        <v>26</v>
      </c>
      <c r="H1656" s="91" t="s">
        <v>7230</v>
      </c>
      <c r="I1656" s="91" t="s">
        <v>3001</v>
      </c>
      <c r="J1656" s="115">
        <v>1</v>
      </c>
      <c r="K1656" s="115">
        <v>30</v>
      </c>
      <c r="L1656" s="162"/>
      <c r="M1656" s="137" t="s">
        <v>22</v>
      </c>
      <c r="N1656" s="138"/>
      <c r="O1656" s="138"/>
      <c r="P1656" s="138"/>
      <c r="Q1656" s="138"/>
      <c r="R1656" s="138"/>
      <c r="S1656" s="138"/>
      <c r="T1656" s="138"/>
      <c r="U1656" s="138"/>
      <c r="V1656" s="91"/>
      <c r="W1656" s="91"/>
      <c r="X1656" s="91"/>
      <c r="Y1656" s="91"/>
    </row>
    <row r="1657" spans="1:25" s="26" customFormat="1" ht="15" customHeight="1" x14ac:dyDescent="0.2">
      <c r="A1657" s="130">
        <v>41795.399016203701</v>
      </c>
      <c r="B1657" s="91" t="s">
        <v>38</v>
      </c>
      <c r="C1657" s="26" t="s">
        <v>682</v>
      </c>
      <c r="D1657" s="33" t="s">
        <v>6224</v>
      </c>
      <c r="E1657" s="91" t="s">
        <v>5718</v>
      </c>
      <c r="F1657" s="91" t="s">
        <v>7231</v>
      </c>
      <c r="G1657" s="91" t="s">
        <v>26</v>
      </c>
      <c r="H1657" s="91" t="s">
        <v>7232</v>
      </c>
      <c r="I1657" s="91" t="s">
        <v>3001</v>
      </c>
      <c r="J1657" s="115">
        <v>1</v>
      </c>
      <c r="K1657" s="115">
        <v>24</v>
      </c>
      <c r="L1657" s="162"/>
      <c r="M1657" s="137" t="s">
        <v>22</v>
      </c>
      <c r="N1657" s="138"/>
      <c r="O1657" s="138"/>
      <c r="P1657" s="138"/>
      <c r="Q1657" s="138"/>
      <c r="R1657" s="138"/>
      <c r="S1657" s="138"/>
      <c r="T1657" s="138"/>
      <c r="U1657" s="138"/>
      <c r="V1657" s="91"/>
      <c r="W1657" s="91"/>
      <c r="X1657" s="91"/>
      <c r="Y1657" s="91"/>
    </row>
    <row r="1658" spans="1:25" s="26" customFormat="1" ht="15" customHeight="1" x14ac:dyDescent="0.2">
      <c r="A1658" s="130">
        <v>41795.399733796301</v>
      </c>
      <c r="B1658" s="91" t="s">
        <v>38</v>
      </c>
      <c r="C1658" s="26" t="s">
        <v>682</v>
      </c>
      <c r="D1658" s="33" t="s">
        <v>6224</v>
      </c>
      <c r="E1658" s="91" t="s">
        <v>7233</v>
      </c>
      <c r="F1658" s="91" t="s">
        <v>7234</v>
      </c>
      <c r="G1658" s="91" t="s">
        <v>26</v>
      </c>
      <c r="H1658" s="91" t="s">
        <v>7235</v>
      </c>
      <c r="I1658" s="91" t="s">
        <v>3001</v>
      </c>
      <c r="J1658" s="115">
        <v>1</v>
      </c>
      <c r="K1658" s="115">
        <v>11</v>
      </c>
      <c r="L1658" s="162"/>
      <c r="M1658" s="137" t="s">
        <v>22</v>
      </c>
      <c r="N1658" s="138"/>
      <c r="O1658" s="138"/>
      <c r="P1658" s="138"/>
      <c r="Q1658" s="138"/>
      <c r="R1658" s="138"/>
      <c r="S1658" s="138"/>
      <c r="T1658" s="138"/>
      <c r="U1658" s="138"/>
      <c r="V1658" s="91"/>
      <c r="W1658" s="91"/>
      <c r="X1658" s="91"/>
      <c r="Y1658" s="91"/>
    </row>
    <row r="1659" spans="1:25" s="26" customFormat="1" ht="15" customHeight="1" x14ac:dyDescent="0.2">
      <c r="A1659" s="93">
        <v>41795.407210648198</v>
      </c>
      <c r="B1659" s="89" t="s">
        <v>16</v>
      </c>
      <c r="C1659" s="52" t="s">
        <v>532</v>
      </c>
      <c r="D1659" s="87" t="s">
        <v>6224</v>
      </c>
      <c r="E1659" s="89" t="s">
        <v>5133</v>
      </c>
      <c r="F1659" s="89" t="s">
        <v>7236</v>
      </c>
      <c r="G1659" s="89" t="s">
        <v>42</v>
      </c>
      <c r="H1659" s="89" t="s">
        <v>7237</v>
      </c>
      <c r="I1659" s="89" t="s">
        <v>2986</v>
      </c>
      <c r="J1659" s="95">
        <v>1</v>
      </c>
      <c r="K1659" s="95">
        <v>50</v>
      </c>
      <c r="L1659" s="150">
        <v>250</v>
      </c>
      <c r="M1659" s="146" t="s">
        <v>22</v>
      </c>
      <c r="N1659" s="149"/>
      <c r="O1659" s="149"/>
      <c r="P1659" s="149"/>
      <c r="Q1659" s="149"/>
      <c r="R1659" s="149"/>
      <c r="S1659" s="149"/>
      <c r="T1659" s="149"/>
      <c r="U1659" s="149"/>
      <c r="V1659" s="89"/>
      <c r="W1659" s="91"/>
      <c r="X1659" s="91"/>
      <c r="Y1659" s="91"/>
    </row>
    <row r="1660" spans="1:25" s="26" customFormat="1" ht="15" customHeight="1" x14ac:dyDescent="0.2">
      <c r="A1660" s="93">
        <v>41795.409861111097</v>
      </c>
      <c r="B1660" s="89" t="s">
        <v>16</v>
      </c>
      <c r="C1660" s="52" t="s">
        <v>532</v>
      </c>
      <c r="D1660" s="87" t="s">
        <v>6224</v>
      </c>
      <c r="E1660" s="89" t="s">
        <v>7238</v>
      </c>
      <c r="F1660" s="89" t="s">
        <v>7239</v>
      </c>
      <c r="G1660" s="89" t="s">
        <v>42</v>
      </c>
      <c r="H1660" s="89" t="s">
        <v>6430</v>
      </c>
      <c r="I1660" s="89" t="s">
        <v>2986</v>
      </c>
      <c r="J1660" s="95">
        <v>1</v>
      </c>
      <c r="K1660" s="95">
        <v>40</v>
      </c>
      <c r="L1660" s="150">
        <v>200</v>
      </c>
      <c r="M1660" s="146" t="s">
        <v>22</v>
      </c>
      <c r="N1660" s="149"/>
      <c r="O1660" s="149"/>
      <c r="P1660" s="149"/>
      <c r="Q1660" s="149"/>
      <c r="R1660" s="149"/>
      <c r="S1660" s="149"/>
      <c r="T1660" s="149"/>
      <c r="U1660" s="149"/>
      <c r="V1660" s="89"/>
      <c r="W1660" s="91"/>
      <c r="X1660" s="91"/>
      <c r="Y1660" s="91"/>
    </row>
    <row r="1661" spans="1:25" s="26" customFormat="1" ht="15" customHeight="1" x14ac:dyDescent="0.2">
      <c r="A1661" s="93">
        <v>41795.4123958333</v>
      </c>
      <c r="B1661" s="89" t="s">
        <v>16</v>
      </c>
      <c r="C1661" s="52" t="s">
        <v>532</v>
      </c>
      <c r="D1661" s="87" t="s">
        <v>6224</v>
      </c>
      <c r="E1661" s="89" t="s">
        <v>7240</v>
      </c>
      <c r="F1661" s="89" t="s">
        <v>7241</v>
      </c>
      <c r="G1661" s="89" t="s">
        <v>20</v>
      </c>
      <c r="H1661" s="89" t="s">
        <v>7237</v>
      </c>
      <c r="I1661" s="89" t="s">
        <v>2986</v>
      </c>
      <c r="J1661" s="95">
        <v>1</v>
      </c>
      <c r="K1661" s="95">
        <v>80</v>
      </c>
      <c r="L1661" s="150">
        <v>329</v>
      </c>
      <c r="M1661" s="146" t="s">
        <v>22</v>
      </c>
      <c r="N1661" s="149"/>
      <c r="O1661" s="149"/>
      <c r="P1661" s="149"/>
      <c r="Q1661" s="149"/>
      <c r="R1661" s="149"/>
      <c r="S1661" s="149"/>
      <c r="T1661" s="149"/>
      <c r="U1661" s="149"/>
      <c r="V1661" s="89"/>
      <c r="W1661" s="91"/>
      <c r="X1661" s="91"/>
      <c r="Y1661" s="91"/>
    </row>
    <row r="1662" spans="1:25" s="26" customFormat="1" ht="15" customHeight="1" x14ac:dyDescent="0.2">
      <c r="A1662" s="93">
        <v>41795.413854166698</v>
      </c>
      <c r="B1662" s="89" t="s">
        <v>16</v>
      </c>
      <c r="C1662" s="52" t="s">
        <v>532</v>
      </c>
      <c r="D1662" s="87" t="s">
        <v>6224</v>
      </c>
      <c r="E1662" s="89" t="s">
        <v>1988</v>
      </c>
      <c r="F1662" s="89" t="s">
        <v>7242</v>
      </c>
      <c r="G1662" s="89" t="s">
        <v>42</v>
      </c>
      <c r="H1662" s="89" t="s">
        <v>6430</v>
      </c>
      <c r="I1662" s="89" t="s">
        <v>2986</v>
      </c>
      <c r="J1662" s="95">
        <v>1</v>
      </c>
      <c r="K1662" s="95">
        <v>65</v>
      </c>
      <c r="L1662" s="150">
        <v>390</v>
      </c>
      <c r="M1662" s="146" t="s">
        <v>22</v>
      </c>
      <c r="N1662" s="149"/>
      <c r="O1662" s="149"/>
      <c r="P1662" s="149"/>
      <c r="Q1662" s="149"/>
      <c r="R1662" s="149"/>
      <c r="S1662" s="149"/>
      <c r="T1662" s="149"/>
      <c r="U1662" s="149"/>
      <c r="V1662" s="89"/>
      <c r="W1662" s="91"/>
      <c r="X1662" s="91"/>
      <c r="Y1662" s="91"/>
    </row>
    <row r="1663" spans="1:25" s="26" customFormat="1" ht="15" customHeight="1" x14ac:dyDescent="0.2">
      <c r="A1663" s="93">
        <v>41795.415451388901</v>
      </c>
      <c r="B1663" s="89" t="s">
        <v>16</v>
      </c>
      <c r="C1663" s="52" t="s">
        <v>532</v>
      </c>
      <c r="D1663" s="87" t="s">
        <v>6224</v>
      </c>
      <c r="E1663" s="89" t="s">
        <v>7243</v>
      </c>
      <c r="F1663" s="89" t="s">
        <v>7244</v>
      </c>
      <c r="G1663" s="89" t="s">
        <v>42</v>
      </c>
      <c r="H1663" s="89" t="s">
        <v>6430</v>
      </c>
      <c r="I1663" s="89" t="s">
        <v>2986</v>
      </c>
      <c r="J1663" s="95">
        <v>1</v>
      </c>
      <c r="K1663" s="95">
        <v>65</v>
      </c>
      <c r="L1663" s="150">
        <v>390</v>
      </c>
      <c r="M1663" s="146" t="s">
        <v>22</v>
      </c>
      <c r="N1663" s="149"/>
      <c r="O1663" s="149"/>
      <c r="P1663" s="149"/>
      <c r="Q1663" s="149"/>
      <c r="R1663" s="149"/>
      <c r="S1663" s="149"/>
      <c r="T1663" s="149"/>
      <c r="U1663" s="149"/>
      <c r="V1663" s="89"/>
      <c r="W1663" s="91"/>
      <c r="X1663" s="91"/>
      <c r="Y1663" s="91"/>
    </row>
    <row r="1664" spans="1:25" s="26" customFormat="1" ht="15" customHeight="1" x14ac:dyDescent="0.2">
      <c r="A1664" s="93">
        <v>41795.416990740698</v>
      </c>
      <c r="B1664" s="89" t="s">
        <v>38</v>
      </c>
      <c r="C1664" s="52" t="s">
        <v>187</v>
      </c>
      <c r="D1664" s="87" t="s">
        <v>6224</v>
      </c>
      <c r="E1664" s="89" t="s">
        <v>7245</v>
      </c>
      <c r="F1664" s="89" t="s">
        <v>6247</v>
      </c>
      <c r="G1664" s="89" t="s">
        <v>26</v>
      </c>
      <c r="H1664" s="89" t="s">
        <v>4845</v>
      </c>
      <c r="I1664" s="89" t="s">
        <v>2812</v>
      </c>
      <c r="J1664" s="95">
        <v>5</v>
      </c>
      <c r="K1664" s="95">
        <v>10</v>
      </c>
      <c r="L1664" s="150">
        <v>50</v>
      </c>
      <c r="M1664" s="146" t="s">
        <v>22</v>
      </c>
      <c r="N1664" s="149"/>
      <c r="O1664" s="149"/>
      <c r="P1664" s="149"/>
      <c r="Q1664" s="149"/>
      <c r="R1664" s="149"/>
      <c r="S1664" s="149"/>
      <c r="T1664" s="149"/>
      <c r="U1664" s="149"/>
      <c r="V1664" s="89"/>
      <c r="W1664" s="91"/>
      <c r="X1664" s="91"/>
      <c r="Y1664" s="91"/>
    </row>
    <row r="1665" spans="1:25" s="26" customFormat="1" ht="15" customHeight="1" x14ac:dyDescent="0.2">
      <c r="A1665" s="93">
        <v>41795.418020833298</v>
      </c>
      <c r="B1665" s="89" t="s">
        <v>16</v>
      </c>
      <c r="C1665" s="52" t="s">
        <v>532</v>
      </c>
      <c r="D1665" s="87" t="s">
        <v>6224</v>
      </c>
      <c r="E1665" s="89" t="s">
        <v>7246</v>
      </c>
      <c r="F1665" s="89" t="s">
        <v>7247</v>
      </c>
      <c r="G1665" s="89" t="s">
        <v>42</v>
      </c>
      <c r="H1665" s="89" t="s">
        <v>7237</v>
      </c>
      <c r="I1665" s="89" t="s">
        <v>2986</v>
      </c>
      <c r="J1665" s="95">
        <v>1</v>
      </c>
      <c r="K1665" s="95">
        <v>40</v>
      </c>
      <c r="L1665" s="150">
        <v>240</v>
      </c>
      <c r="M1665" s="146" t="s">
        <v>22</v>
      </c>
      <c r="N1665" s="149"/>
      <c r="O1665" s="149"/>
      <c r="P1665" s="149"/>
      <c r="Q1665" s="149"/>
      <c r="R1665" s="149"/>
      <c r="S1665" s="149"/>
      <c r="T1665" s="149"/>
      <c r="U1665" s="149"/>
      <c r="V1665" s="89"/>
      <c r="W1665" s="91"/>
      <c r="X1665" s="91"/>
      <c r="Y1665" s="91"/>
    </row>
    <row r="1666" spans="1:25" s="26" customFormat="1" ht="15" customHeight="1" x14ac:dyDescent="0.2">
      <c r="A1666" s="93">
        <v>41795.419293981497</v>
      </c>
      <c r="B1666" s="89" t="s">
        <v>16</v>
      </c>
      <c r="C1666" s="52" t="s">
        <v>532</v>
      </c>
      <c r="D1666" s="87" t="s">
        <v>6224</v>
      </c>
      <c r="E1666" s="89" t="s">
        <v>5911</v>
      </c>
      <c r="F1666" s="89" t="s">
        <v>7248</v>
      </c>
      <c r="G1666" s="89" t="s">
        <v>26</v>
      </c>
      <c r="H1666" s="89" t="s">
        <v>7237</v>
      </c>
      <c r="I1666" s="89" t="s">
        <v>2986</v>
      </c>
      <c r="J1666" s="95">
        <v>1</v>
      </c>
      <c r="K1666" s="95">
        <v>40</v>
      </c>
      <c r="L1666" s="150">
        <v>160</v>
      </c>
      <c r="M1666" s="146" t="s">
        <v>22</v>
      </c>
      <c r="N1666" s="149"/>
      <c r="O1666" s="149"/>
      <c r="P1666" s="149"/>
      <c r="Q1666" s="149"/>
      <c r="R1666" s="149"/>
      <c r="S1666" s="149"/>
      <c r="T1666" s="149"/>
      <c r="U1666" s="149"/>
      <c r="V1666" s="89"/>
      <c r="W1666" s="91"/>
      <c r="X1666" s="91"/>
      <c r="Y1666" s="91"/>
    </row>
    <row r="1667" spans="1:25" s="26" customFormat="1" ht="15" customHeight="1" x14ac:dyDescent="0.2">
      <c r="A1667" s="93">
        <v>41795.421805555598</v>
      </c>
      <c r="B1667" s="89" t="s">
        <v>38</v>
      </c>
      <c r="C1667" s="52" t="s">
        <v>187</v>
      </c>
      <c r="D1667" s="87" t="s">
        <v>6224</v>
      </c>
      <c r="E1667" s="89" t="s">
        <v>4860</v>
      </c>
      <c r="F1667" s="89" t="s">
        <v>4858</v>
      </c>
      <c r="G1667" s="89" t="s">
        <v>26</v>
      </c>
      <c r="H1667" s="89" t="s">
        <v>4858</v>
      </c>
      <c r="I1667" s="89" t="s">
        <v>3001</v>
      </c>
      <c r="J1667" s="95">
        <v>1</v>
      </c>
      <c r="K1667" s="95">
        <v>4</v>
      </c>
      <c r="L1667" s="150"/>
      <c r="M1667" s="146" t="s">
        <v>22</v>
      </c>
      <c r="N1667" s="149"/>
      <c r="O1667" s="149"/>
      <c r="P1667" s="149"/>
      <c r="Q1667" s="149"/>
      <c r="R1667" s="149"/>
      <c r="S1667" s="149"/>
      <c r="T1667" s="149"/>
      <c r="U1667" s="149"/>
      <c r="V1667" s="89"/>
      <c r="W1667" s="91"/>
      <c r="X1667" s="91"/>
      <c r="Y1667" s="91"/>
    </row>
    <row r="1668" spans="1:25" s="26" customFormat="1" ht="15" customHeight="1" x14ac:dyDescent="0.2">
      <c r="A1668" s="93">
        <v>41795.422835648198</v>
      </c>
      <c r="B1668" s="89" t="s">
        <v>16</v>
      </c>
      <c r="C1668" s="52" t="s">
        <v>532</v>
      </c>
      <c r="D1668" s="87" t="s">
        <v>6224</v>
      </c>
      <c r="E1668" s="89" t="s">
        <v>6440</v>
      </c>
      <c r="F1668" s="89" t="s">
        <v>7249</v>
      </c>
      <c r="G1668" s="89" t="s">
        <v>20</v>
      </c>
      <c r="H1668" s="89" t="s">
        <v>5909</v>
      </c>
      <c r="I1668" s="89" t="s">
        <v>3001</v>
      </c>
      <c r="J1668" s="95">
        <v>1</v>
      </c>
      <c r="K1668" s="95">
        <v>25</v>
      </c>
      <c r="L1668" s="150"/>
      <c r="M1668" s="146" t="s">
        <v>22</v>
      </c>
      <c r="N1668" s="149"/>
      <c r="O1668" s="149"/>
      <c r="P1668" s="149"/>
      <c r="Q1668" s="149"/>
      <c r="R1668" s="149"/>
      <c r="S1668" s="149"/>
      <c r="T1668" s="149"/>
      <c r="U1668" s="149"/>
      <c r="V1668" s="89"/>
      <c r="W1668" s="91"/>
      <c r="X1668" s="91"/>
      <c r="Y1668" s="91"/>
    </row>
    <row r="1669" spans="1:25" s="26" customFormat="1" ht="15" customHeight="1" x14ac:dyDescent="0.2">
      <c r="A1669" s="53">
        <v>41801.3446527778</v>
      </c>
      <c r="B1669" s="54" t="s">
        <v>16</v>
      </c>
      <c r="C1669" s="52" t="s">
        <v>23</v>
      </c>
      <c r="D1669" s="113" t="s">
        <v>7147</v>
      </c>
      <c r="E1669" s="54" t="s">
        <v>7568</v>
      </c>
      <c r="F1669" s="54" t="s">
        <v>7569</v>
      </c>
      <c r="G1669" s="54" t="s">
        <v>26</v>
      </c>
      <c r="H1669" s="54" t="s">
        <v>7570</v>
      </c>
      <c r="I1669" s="54" t="s">
        <v>2812</v>
      </c>
      <c r="J1669" s="118">
        <v>1</v>
      </c>
      <c r="K1669" s="118">
        <v>15</v>
      </c>
      <c r="L1669" s="145"/>
      <c r="M1669" s="146" t="s">
        <v>22</v>
      </c>
      <c r="N1669" s="147"/>
      <c r="O1669" s="147"/>
      <c r="P1669" s="147"/>
      <c r="Q1669" s="147"/>
      <c r="R1669" s="147"/>
      <c r="S1669" s="147"/>
      <c r="T1669" s="147"/>
      <c r="U1669" s="147"/>
      <c r="V1669" s="54"/>
    </row>
    <row r="1670" spans="1:25" s="26" customFormat="1" ht="15" customHeight="1" x14ac:dyDescent="0.2">
      <c r="A1670" s="53">
        <v>41806.574861111098</v>
      </c>
      <c r="B1670" s="54" t="s">
        <v>16</v>
      </c>
      <c r="C1670" s="52" t="s">
        <v>23</v>
      </c>
      <c r="D1670" s="113" t="s">
        <v>7147</v>
      </c>
      <c r="E1670" s="54" t="s">
        <v>7654</v>
      </c>
      <c r="F1670" s="54" t="s">
        <v>4217</v>
      </c>
      <c r="G1670" s="54" t="s">
        <v>26</v>
      </c>
      <c r="H1670" s="54" t="s">
        <v>7655</v>
      </c>
      <c r="I1670" s="54" t="s">
        <v>2812</v>
      </c>
      <c r="J1670" s="118"/>
      <c r="K1670" s="118">
        <v>35</v>
      </c>
      <c r="L1670" s="145"/>
      <c r="M1670" s="146" t="s">
        <v>22</v>
      </c>
      <c r="N1670" s="147"/>
      <c r="O1670" s="147"/>
      <c r="P1670" s="147"/>
      <c r="Q1670" s="147"/>
      <c r="R1670" s="147"/>
      <c r="S1670" s="147"/>
      <c r="T1670" s="147"/>
      <c r="U1670" s="147"/>
      <c r="V1670" s="54"/>
    </row>
    <row r="1671" spans="1:25" s="26" customFormat="1" ht="15" customHeight="1" x14ac:dyDescent="0.2">
      <c r="A1671" s="53">
        <v>41806.575995370396</v>
      </c>
      <c r="B1671" s="54" t="s">
        <v>16</v>
      </c>
      <c r="C1671" s="52" t="s">
        <v>23</v>
      </c>
      <c r="D1671" s="113" t="s">
        <v>7147</v>
      </c>
      <c r="E1671" s="54" t="s">
        <v>7656</v>
      </c>
      <c r="F1671" s="54" t="s">
        <v>7657</v>
      </c>
      <c r="G1671" s="54" t="s">
        <v>42</v>
      </c>
      <c r="H1671" s="54" t="s">
        <v>4926</v>
      </c>
      <c r="I1671" s="54" t="s">
        <v>3001</v>
      </c>
      <c r="J1671" s="118">
        <v>1</v>
      </c>
      <c r="K1671" s="118">
        <v>13</v>
      </c>
      <c r="L1671" s="145"/>
      <c r="M1671" s="146" t="s">
        <v>22</v>
      </c>
      <c r="N1671" s="147"/>
      <c r="O1671" s="147"/>
      <c r="P1671" s="147"/>
      <c r="Q1671" s="147"/>
      <c r="R1671" s="147"/>
      <c r="S1671" s="147"/>
      <c r="T1671" s="147"/>
      <c r="U1671" s="147"/>
      <c r="V1671" s="54"/>
    </row>
    <row r="1672" spans="1:25" s="26" customFormat="1" ht="15" customHeight="1" x14ac:dyDescent="0.2">
      <c r="A1672" s="37">
        <v>41487.476168981499</v>
      </c>
      <c r="B1672" s="26" t="s">
        <v>152</v>
      </c>
      <c r="C1672" s="26" t="s">
        <v>465</v>
      </c>
      <c r="D1672" s="33">
        <v>41456</v>
      </c>
      <c r="E1672" s="26" t="s">
        <v>466</v>
      </c>
      <c r="F1672" s="26" t="s">
        <v>467</v>
      </c>
      <c r="G1672" s="26" t="s">
        <v>26</v>
      </c>
      <c r="H1672" s="26" t="s">
        <v>468</v>
      </c>
      <c r="J1672" s="115">
        <v>6</v>
      </c>
      <c r="K1672" s="115">
        <v>67</v>
      </c>
      <c r="L1672" s="136"/>
      <c r="M1672" s="137" t="s">
        <v>44</v>
      </c>
      <c r="N1672" s="138">
        <v>400</v>
      </c>
      <c r="O1672" s="138"/>
      <c r="P1672" s="138"/>
      <c r="Q1672" s="138"/>
      <c r="R1672" s="138"/>
      <c r="S1672" s="138"/>
      <c r="T1672" s="138"/>
      <c r="U1672" s="138"/>
    </row>
    <row r="1673" spans="1:25" s="26" customFormat="1" ht="15" customHeight="1" x14ac:dyDescent="0.2">
      <c r="A1673" s="38">
        <v>41521.491736111115</v>
      </c>
      <c r="B1673" s="29" t="s">
        <v>152</v>
      </c>
      <c r="C1673" s="29" t="s">
        <v>465</v>
      </c>
      <c r="D1673" s="30">
        <v>41487</v>
      </c>
      <c r="E1673" s="31" t="s">
        <v>1588</v>
      </c>
      <c r="F1673" s="29" t="s">
        <v>1589</v>
      </c>
      <c r="G1673" s="29" t="s">
        <v>26</v>
      </c>
      <c r="H1673" s="29" t="s">
        <v>1590</v>
      </c>
      <c r="I1673" s="29"/>
      <c r="J1673" s="116">
        <v>1</v>
      </c>
      <c r="K1673" s="116">
        <v>13</v>
      </c>
      <c r="L1673" s="139"/>
      <c r="M1673" s="140" t="s">
        <v>22</v>
      </c>
      <c r="N1673" s="141"/>
      <c r="O1673" s="141"/>
      <c r="P1673" s="141"/>
      <c r="Q1673" s="141"/>
      <c r="R1673" s="141"/>
      <c r="S1673" s="141"/>
      <c r="T1673" s="141"/>
      <c r="U1673" s="141"/>
      <c r="V1673" s="29"/>
    </row>
    <row r="1674" spans="1:25" s="26" customFormat="1" ht="15" customHeight="1" x14ac:dyDescent="0.2">
      <c r="A1674" s="38">
        <v>41521.492581018516</v>
      </c>
      <c r="B1674" s="29" t="s">
        <v>152</v>
      </c>
      <c r="C1674" s="29" t="s">
        <v>465</v>
      </c>
      <c r="D1674" s="30">
        <v>41487</v>
      </c>
      <c r="E1674" s="31" t="s">
        <v>1588</v>
      </c>
      <c r="F1674" s="29" t="s">
        <v>1033</v>
      </c>
      <c r="G1674" s="29" t="s">
        <v>26</v>
      </c>
      <c r="H1674" s="29" t="s">
        <v>1591</v>
      </c>
      <c r="I1674" s="29"/>
      <c r="J1674" s="116">
        <v>1</v>
      </c>
      <c r="K1674" s="116">
        <v>6</v>
      </c>
      <c r="L1674" s="139"/>
      <c r="M1674" s="140" t="s">
        <v>22</v>
      </c>
      <c r="N1674" s="141"/>
      <c r="O1674" s="141"/>
      <c r="P1674" s="141"/>
      <c r="Q1674" s="141"/>
      <c r="R1674" s="141"/>
      <c r="S1674" s="141"/>
      <c r="T1674" s="141"/>
      <c r="U1674" s="141"/>
      <c r="V1674" s="29"/>
    </row>
    <row r="1675" spans="1:25" s="26" customFormat="1" ht="15" customHeight="1" x14ac:dyDescent="0.2">
      <c r="A1675" s="38">
        <v>41521.493275462963</v>
      </c>
      <c r="B1675" s="29" t="s">
        <v>152</v>
      </c>
      <c r="C1675" s="29" t="s">
        <v>465</v>
      </c>
      <c r="D1675" s="30">
        <v>41487</v>
      </c>
      <c r="E1675" s="31" t="s">
        <v>1592</v>
      </c>
      <c r="F1675" s="29" t="s">
        <v>1033</v>
      </c>
      <c r="G1675" s="29" t="s">
        <v>26</v>
      </c>
      <c r="H1675" s="29" t="s">
        <v>1593</v>
      </c>
      <c r="I1675" s="29"/>
      <c r="J1675" s="116">
        <v>2</v>
      </c>
      <c r="K1675" s="116">
        <v>11</v>
      </c>
      <c r="L1675" s="139"/>
      <c r="M1675" s="140" t="s">
        <v>22</v>
      </c>
      <c r="N1675" s="141"/>
      <c r="O1675" s="141"/>
      <c r="P1675" s="141"/>
      <c r="Q1675" s="141"/>
      <c r="R1675" s="141"/>
      <c r="S1675" s="141"/>
      <c r="T1675" s="141"/>
      <c r="U1675" s="141"/>
      <c r="V1675" s="29"/>
    </row>
    <row r="1676" spans="1:25" s="26" customFormat="1" ht="15" customHeight="1" x14ac:dyDescent="0.2">
      <c r="A1676" s="38">
        <v>41521.493842592594</v>
      </c>
      <c r="B1676" s="29" t="s">
        <v>152</v>
      </c>
      <c r="C1676" s="29" t="s">
        <v>465</v>
      </c>
      <c r="D1676" s="30">
        <v>41487</v>
      </c>
      <c r="E1676" s="31" t="s">
        <v>1594</v>
      </c>
      <c r="F1676" s="29" t="s">
        <v>1033</v>
      </c>
      <c r="G1676" s="29" t="s">
        <v>26</v>
      </c>
      <c r="H1676" s="29" t="s">
        <v>1591</v>
      </c>
      <c r="I1676" s="29"/>
      <c r="J1676" s="116">
        <v>1</v>
      </c>
      <c r="K1676" s="116">
        <v>3</v>
      </c>
      <c r="L1676" s="139"/>
      <c r="M1676" s="140" t="s">
        <v>22</v>
      </c>
      <c r="N1676" s="141"/>
      <c r="O1676" s="141"/>
      <c r="P1676" s="141"/>
      <c r="Q1676" s="141"/>
      <c r="R1676" s="141"/>
      <c r="S1676" s="141"/>
      <c r="T1676" s="141"/>
      <c r="U1676" s="141"/>
      <c r="V1676" s="29"/>
    </row>
    <row r="1677" spans="1:25" s="26" customFormat="1" ht="15" customHeight="1" x14ac:dyDescent="0.2">
      <c r="A1677" s="32">
        <v>41548.445011574076</v>
      </c>
      <c r="B1677" s="26" t="s">
        <v>152</v>
      </c>
      <c r="C1677" s="26" t="s">
        <v>465</v>
      </c>
      <c r="D1677" s="30">
        <v>41518</v>
      </c>
      <c r="E1677" s="26" t="s">
        <v>2298</v>
      </c>
      <c r="F1677" s="26" t="s">
        <v>2299</v>
      </c>
      <c r="G1677" s="26" t="s">
        <v>156</v>
      </c>
      <c r="H1677" s="26" t="s">
        <v>2300</v>
      </c>
      <c r="J1677" s="46">
        <v>1</v>
      </c>
      <c r="K1677" s="46">
        <v>125</v>
      </c>
      <c r="L1677" s="136"/>
      <c r="M1677" s="137" t="s">
        <v>44</v>
      </c>
      <c r="N1677" s="138"/>
      <c r="O1677" s="138"/>
      <c r="P1677" s="138">
        <v>407</v>
      </c>
      <c r="Q1677" s="138"/>
      <c r="R1677" s="138"/>
      <c r="S1677" s="138"/>
      <c r="T1677" s="138"/>
      <c r="U1677" s="138"/>
    </row>
    <row r="1678" spans="1:25" s="26" customFormat="1" ht="15" customHeight="1" x14ac:dyDescent="0.2">
      <c r="A1678" s="32">
        <v>41548.445729166669</v>
      </c>
      <c r="B1678" s="26" t="s">
        <v>152</v>
      </c>
      <c r="C1678" s="26" t="s">
        <v>465</v>
      </c>
      <c r="D1678" s="30">
        <v>41518</v>
      </c>
      <c r="F1678" s="26" t="s">
        <v>2301</v>
      </c>
      <c r="G1678" s="26" t="s">
        <v>26</v>
      </c>
      <c r="H1678" s="26" t="s">
        <v>2302</v>
      </c>
      <c r="J1678" s="46">
        <v>5</v>
      </c>
      <c r="K1678" s="46">
        <v>111</v>
      </c>
      <c r="L1678" s="136"/>
      <c r="M1678" s="137"/>
      <c r="N1678" s="138"/>
      <c r="O1678" s="138"/>
      <c r="P1678" s="138"/>
      <c r="Q1678" s="138"/>
      <c r="R1678" s="138"/>
      <c r="S1678" s="138"/>
      <c r="T1678" s="138"/>
      <c r="U1678" s="138"/>
    </row>
    <row r="1679" spans="1:25" s="26" customFormat="1" ht="15" customHeight="1" x14ac:dyDescent="0.2">
      <c r="A1679" s="48">
        <v>41611.422071759298</v>
      </c>
      <c r="B1679" s="49" t="s">
        <v>152</v>
      </c>
      <c r="C1679" s="50" t="s">
        <v>465</v>
      </c>
      <c r="D1679" s="67">
        <v>41579</v>
      </c>
      <c r="E1679" s="50" t="s">
        <v>3186</v>
      </c>
      <c r="F1679" s="50" t="s">
        <v>3187</v>
      </c>
      <c r="G1679" s="49" t="s">
        <v>20</v>
      </c>
      <c r="H1679" s="50" t="s">
        <v>3188</v>
      </c>
      <c r="I1679" s="50"/>
      <c r="J1679" s="117">
        <v>1</v>
      </c>
      <c r="K1679" s="117">
        <v>31</v>
      </c>
      <c r="L1679" s="142"/>
      <c r="M1679" s="143" t="s">
        <v>22</v>
      </c>
      <c r="N1679" s="144"/>
      <c r="O1679" s="144"/>
      <c r="P1679" s="144"/>
      <c r="Q1679" s="144"/>
      <c r="R1679" s="144"/>
      <c r="S1679" s="144"/>
      <c r="T1679" s="144"/>
      <c r="U1679" s="144"/>
      <c r="V1679" s="50" t="s">
        <v>3189</v>
      </c>
    </row>
    <row r="1680" spans="1:25" s="26" customFormat="1" ht="15" customHeight="1" x14ac:dyDescent="0.2">
      <c r="A1680" s="48">
        <v>41611.423009259299</v>
      </c>
      <c r="B1680" s="49" t="s">
        <v>152</v>
      </c>
      <c r="C1680" s="50" t="s">
        <v>465</v>
      </c>
      <c r="D1680" s="67">
        <v>41579</v>
      </c>
      <c r="E1680" s="50" t="s">
        <v>3190</v>
      </c>
      <c r="F1680" s="50" t="s">
        <v>3191</v>
      </c>
      <c r="G1680" s="49" t="s">
        <v>20</v>
      </c>
      <c r="H1680" s="50" t="s">
        <v>3188</v>
      </c>
      <c r="I1680" s="50"/>
      <c r="J1680" s="117">
        <v>1</v>
      </c>
      <c r="K1680" s="117">
        <v>107</v>
      </c>
      <c r="L1680" s="142"/>
      <c r="M1680" s="143"/>
      <c r="N1680" s="144">
        <v>454.75</v>
      </c>
      <c r="O1680" s="144"/>
      <c r="P1680" s="144"/>
      <c r="Q1680" s="144"/>
      <c r="R1680" s="144"/>
      <c r="S1680" s="144"/>
      <c r="T1680" s="144"/>
      <c r="U1680" s="144"/>
      <c r="V1680" s="50" t="s">
        <v>3192</v>
      </c>
    </row>
    <row r="1681" spans="1:25" s="26" customFormat="1" ht="15" customHeight="1" x14ac:dyDescent="0.2">
      <c r="A1681" s="48">
        <v>41611.424085648199</v>
      </c>
      <c r="B1681" s="49" t="s">
        <v>152</v>
      </c>
      <c r="C1681" s="50" t="s">
        <v>465</v>
      </c>
      <c r="D1681" s="67">
        <v>41579</v>
      </c>
      <c r="E1681" s="50" t="s">
        <v>3193</v>
      </c>
      <c r="F1681" s="50" t="s">
        <v>3191</v>
      </c>
      <c r="G1681" s="49" t="s">
        <v>20</v>
      </c>
      <c r="H1681" s="50" t="s">
        <v>3194</v>
      </c>
      <c r="I1681" s="50" t="s">
        <v>3195</v>
      </c>
      <c r="J1681" s="117">
        <v>1</v>
      </c>
      <c r="K1681" s="117">
        <v>95</v>
      </c>
      <c r="L1681" s="142"/>
      <c r="M1681" s="143"/>
      <c r="N1681" s="144">
        <v>403.75</v>
      </c>
      <c r="O1681" s="144"/>
      <c r="P1681" s="144"/>
      <c r="Q1681" s="144"/>
      <c r="R1681" s="144"/>
      <c r="S1681" s="144"/>
      <c r="T1681" s="144"/>
      <c r="U1681" s="144"/>
      <c r="V1681" s="50"/>
    </row>
    <row r="1682" spans="1:25" s="26" customFormat="1" ht="15" customHeight="1" x14ac:dyDescent="0.2">
      <c r="A1682" s="48">
        <v>41611.424814814804</v>
      </c>
      <c r="B1682" s="49" t="s">
        <v>152</v>
      </c>
      <c r="C1682" s="50" t="s">
        <v>465</v>
      </c>
      <c r="D1682" s="67">
        <v>41579</v>
      </c>
      <c r="E1682" s="50" t="s">
        <v>3196</v>
      </c>
      <c r="F1682" s="50" t="s">
        <v>3191</v>
      </c>
      <c r="G1682" s="49" t="s">
        <v>20</v>
      </c>
      <c r="H1682" s="50" t="s">
        <v>3188</v>
      </c>
      <c r="I1682" s="50"/>
      <c r="J1682" s="117">
        <v>1</v>
      </c>
      <c r="K1682" s="117">
        <v>80</v>
      </c>
      <c r="L1682" s="142"/>
      <c r="M1682" s="143" t="s">
        <v>44</v>
      </c>
      <c r="N1682" s="144">
        <v>340</v>
      </c>
      <c r="O1682" s="144"/>
      <c r="P1682" s="144"/>
      <c r="Q1682" s="144"/>
      <c r="R1682" s="144"/>
      <c r="S1682" s="144"/>
      <c r="T1682" s="144"/>
      <c r="U1682" s="144"/>
      <c r="V1682" s="50"/>
    </row>
    <row r="1683" spans="1:25" s="26" customFormat="1" ht="15" customHeight="1" x14ac:dyDescent="0.2">
      <c r="A1683" s="48">
        <v>41611.425451388903</v>
      </c>
      <c r="B1683" s="49" t="s">
        <v>152</v>
      </c>
      <c r="C1683" s="50" t="s">
        <v>465</v>
      </c>
      <c r="D1683" s="67">
        <v>41579</v>
      </c>
      <c r="E1683" s="50" t="s">
        <v>3197</v>
      </c>
      <c r="F1683" s="50" t="s">
        <v>3191</v>
      </c>
      <c r="G1683" s="49" t="s">
        <v>20</v>
      </c>
      <c r="H1683" s="50" t="s">
        <v>3188</v>
      </c>
      <c r="I1683" s="50"/>
      <c r="J1683" s="117">
        <v>1</v>
      </c>
      <c r="K1683" s="117">
        <v>250</v>
      </c>
      <c r="L1683" s="142"/>
      <c r="M1683" s="143" t="s">
        <v>44</v>
      </c>
      <c r="N1683" s="144">
        <v>1062.5</v>
      </c>
      <c r="O1683" s="144"/>
      <c r="P1683" s="144"/>
      <c r="Q1683" s="144"/>
      <c r="R1683" s="144"/>
      <c r="S1683" s="144"/>
      <c r="T1683" s="144"/>
      <c r="U1683" s="144"/>
      <c r="V1683" s="50"/>
    </row>
    <row r="1684" spans="1:25" s="26" customFormat="1" ht="15" customHeight="1" x14ac:dyDescent="0.2">
      <c r="A1684" s="32">
        <v>41641.566030092596</v>
      </c>
      <c r="B1684" s="26" t="s">
        <v>152</v>
      </c>
      <c r="C1684" s="26" t="s">
        <v>465</v>
      </c>
      <c r="D1684" s="68">
        <v>41609</v>
      </c>
      <c r="E1684" s="26" t="s">
        <v>3890</v>
      </c>
      <c r="F1684" s="26" t="s">
        <v>3891</v>
      </c>
      <c r="G1684" s="26" t="s">
        <v>26</v>
      </c>
      <c r="I1684" s="26" t="s">
        <v>3892</v>
      </c>
      <c r="J1684" s="46">
        <v>1</v>
      </c>
      <c r="K1684" s="46">
        <v>246</v>
      </c>
      <c r="L1684" s="136"/>
      <c r="M1684" s="137" t="s">
        <v>44</v>
      </c>
      <c r="N1684" s="138">
        <v>1380</v>
      </c>
      <c r="O1684" s="138"/>
      <c r="P1684" s="138">
        <v>219</v>
      </c>
      <c r="Q1684" s="138"/>
      <c r="R1684" s="138"/>
      <c r="S1684" s="138"/>
      <c r="T1684" s="138"/>
      <c r="U1684" s="138">
        <v>100</v>
      </c>
      <c r="V1684" s="26" t="s">
        <v>3893</v>
      </c>
    </row>
    <row r="1685" spans="1:25" s="26" customFormat="1" ht="15" customHeight="1" x14ac:dyDescent="0.2">
      <c r="A1685" s="55">
        <v>41671.498495370397</v>
      </c>
      <c r="B1685" s="52" t="s">
        <v>152</v>
      </c>
      <c r="C1685" s="52" t="s">
        <v>465</v>
      </c>
      <c r="D1685" s="69">
        <v>41640</v>
      </c>
      <c r="E1685" s="52" t="s">
        <v>4287</v>
      </c>
      <c r="F1685" s="52" t="s">
        <v>4288</v>
      </c>
      <c r="G1685" s="52" t="s">
        <v>26</v>
      </c>
      <c r="H1685" s="52" t="s">
        <v>4289</v>
      </c>
      <c r="I1685" s="52" t="s">
        <v>2812</v>
      </c>
      <c r="J1685" s="95">
        <v>1</v>
      </c>
      <c r="K1685" s="118">
        <v>22</v>
      </c>
      <c r="L1685" s="148"/>
      <c r="M1685" s="146" t="s">
        <v>22</v>
      </c>
      <c r="N1685" s="147"/>
      <c r="O1685" s="147"/>
      <c r="P1685" s="147"/>
      <c r="Q1685" s="147"/>
      <c r="R1685" s="147"/>
      <c r="S1685" s="147"/>
      <c r="T1685" s="147"/>
      <c r="U1685" s="149"/>
      <c r="V1685" s="52"/>
      <c r="W1685" s="52"/>
      <c r="X1685" s="52"/>
      <c r="Y1685" s="52"/>
    </row>
    <row r="1686" spans="1:25" s="26" customFormat="1" ht="15" customHeight="1" x14ac:dyDescent="0.2">
      <c r="A1686" s="32">
        <v>41730.514537037037</v>
      </c>
      <c r="B1686" s="26" t="s">
        <v>152</v>
      </c>
      <c r="C1686" s="26" t="s">
        <v>465</v>
      </c>
      <c r="D1686" s="33">
        <v>41699</v>
      </c>
      <c r="E1686" s="26" t="s">
        <v>5464</v>
      </c>
      <c r="F1686" s="26" t="s">
        <v>5465</v>
      </c>
      <c r="G1686" s="26" t="s">
        <v>20</v>
      </c>
      <c r="I1686" s="26" t="s">
        <v>3188</v>
      </c>
      <c r="J1686" s="46">
        <v>1</v>
      </c>
      <c r="K1686" s="46">
        <v>86</v>
      </c>
      <c r="L1686" s="136"/>
      <c r="M1686" s="137" t="s">
        <v>22</v>
      </c>
      <c r="N1686" s="138"/>
      <c r="O1686" s="138"/>
      <c r="P1686" s="138"/>
      <c r="Q1686" s="138"/>
      <c r="R1686" s="138"/>
      <c r="S1686" s="138"/>
      <c r="T1686" s="138"/>
      <c r="U1686" s="138"/>
    </row>
    <row r="1687" spans="1:25" s="26" customFormat="1" ht="15" customHeight="1" x14ac:dyDescent="0.2">
      <c r="A1687" s="32">
        <v>41730.515416666669</v>
      </c>
      <c r="B1687" s="26" t="s">
        <v>152</v>
      </c>
      <c r="C1687" s="26" t="s">
        <v>465</v>
      </c>
      <c r="D1687" s="33">
        <v>41699</v>
      </c>
      <c r="E1687" s="26" t="s">
        <v>5466</v>
      </c>
      <c r="F1687" s="26" t="s">
        <v>5467</v>
      </c>
      <c r="G1687" s="26" t="s">
        <v>20</v>
      </c>
      <c r="H1687" s="26" t="s">
        <v>3188</v>
      </c>
      <c r="I1687" s="26" t="s">
        <v>5468</v>
      </c>
      <c r="J1687" s="46">
        <v>1</v>
      </c>
      <c r="K1687" s="46">
        <v>40</v>
      </c>
      <c r="L1687" s="136"/>
      <c r="M1687" s="137" t="s">
        <v>22</v>
      </c>
      <c r="N1687" s="138"/>
      <c r="O1687" s="138"/>
      <c r="P1687" s="138"/>
      <c r="Q1687" s="138"/>
      <c r="R1687" s="138"/>
      <c r="S1687" s="138"/>
      <c r="T1687" s="138"/>
      <c r="U1687" s="138"/>
    </row>
    <row r="1688" spans="1:25" s="26" customFormat="1" ht="15" customHeight="1" x14ac:dyDescent="0.2">
      <c r="A1688" s="55">
        <v>41765.393854166701</v>
      </c>
      <c r="B1688" s="52" t="s">
        <v>152</v>
      </c>
      <c r="C1688" s="52" t="s">
        <v>465</v>
      </c>
      <c r="D1688" s="88" t="s">
        <v>6076</v>
      </c>
      <c r="E1688" s="89" t="s">
        <v>6402</v>
      </c>
      <c r="F1688" s="89" t="s">
        <v>6403</v>
      </c>
      <c r="G1688" s="52" t="s">
        <v>351</v>
      </c>
      <c r="H1688" s="89" t="s">
        <v>6404</v>
      </c>
      <c r="I1688" s="89" t="s">
        <v>5946</v>
      </c>
      <c r="J1688" s="95">
        <v>1</v>
      </c>
      <c r="K1688" s="95">
        <v>25</v>
      </c>
      <c r="L1688" s="149"/>
      <c r="M1688" s="146" t="s">
        <v>22</v>
      </c>
      <c r="N1688" s="149"/>
      <c r="O1688" s="149"/>
      <c r="P1688" s="149"/>
      <c r="Q1688" s="149"/>
      <c r="R1688" s="149"/>
      <c r="S1688" s="149"/>
      <c r="T1688" s="149"/>
      <c r="U1688" s="149"/>
      <c r="V1688" s="52"/>
    </row>
    <row r="1689" spans="1:25" s="26" customFormat="1" ht="15" customHeight="1" x14ac:dyDescent="0.2">
      <c r="A1689" s="55">
        <v>41765.394687499997</v>
      </c>
      <c r="B1689" s="52" t="s">
        <v>152</v>
      </c>
      <c r="C1689" s="52" t="s">
        <v>465</v>
      </c>
      <c r="D1689" s="88" t="s">
        <v>6076</v>
      </c>
      <c r="E1689" s="52" t="s">
        <v>6405</v>
      </c>
      <c r="F1689" s="52" t="s">
        <v>6406</v>
      </c>
      <c r="G1689" s="52" t="s">
        <v>42</v>
      </c>
      <c r="H1689" s="52" t="s">
        <v>6407</v>
      </c>
      <c r="I1689" s="52" t="s">
        <v>2925</v>
      </c>
      <c r="J1689" s="95">
        <v>1</v>
      </c>
      <c r="K1689" s="95">
        <v>22</v>
      </c>
      <c r="L1689" s="149"/>
      <c r="M1689" s="146" t="s">
        <v>22</v>
      </c>
      <c r="N1689" s="149"/>
      <c r="O1689" s="149"/>
      <c r="P1689" s="149"/>
      <c r="Q1689" s="149"/>
      <c r="R1689" s="149"/>
      <c r="S1689" s="149"/>
      <c r="T1689" s="149"/>
      <c r="U1689" s="149"/>
      <c r="V1689" s="52"/>
    </row>
    <row r="1690" spans="1:25" s="26" customFormat="1" ht="15" customHeight="1" x14ac:dyDescent="0.2">
      <c r="A1690" s="55">
        <v>41765.395393518498</v>
      </c>
      <c r="B1690" s="52" t="s">
        <v>152</v>
      </c>
      <c r="C1690" s="52" t="s">
        <v>465</v>
      </c>
      <c r="D1690" s="88" t="s">
        <v>6076</v>
      </c>
      <c r="E1690" s="52" t="s">
        <v>6405</v>
      </c>
      <c r="F1690" s="52" t="s">
        <v>6408</v>
      </c>
      <c r="G1690" s="52" t="s">
        <v>20</v>
      </c>
      <c r="H1690" s="52" t="s">
        <v>6409</v>
      </c>
      <c r="I1690" s="52" t="s">
        <v>2986</v>
      </c>
      <c r="J1690" s="95">
        <v>1</v>
      </c>
      <c r="K1690" s="95">
        <v>150</v>
      </c>
      <c r="L1690" s="149"/>
      <c r="M1690" s="146" t="s">
        <v>22</v>
      </c>
      <c r="N1690" s="149"/>
      <c r="O1690" s="149"/>
      <c r="P1690" s="149"/>
      <c r="Q1690" s="149"/>
      <c r="R1690" s="149"/>
      <c r="S1690" s="149"/>
      <c r="T1690" s="149"/>
      <c r="U1690" s="149"/>
      <c r="V1690" s="52"/>
    </row>
    <row r="1691" spans="1:25" s="26" customFormat="1" ht="15" customHeight="1" x14ac:dyDescent="0.2">
      <c r="A1691" s="93">
        <v>41765.396423611099</v>
      </c>
      <c r="B1691" s="89" t="s">
        <v>152</v>
      </c>
      <c r="C1691" s="52" t="s">
        <v>465</v>
      </c>
      <c r="D1691" s="87" t="s">
        <v>6076</v>
      </c>
      <c r="E1691" s="89" t="s">
        <v>6410</v>
      </c>
      <c r="F1691" s="89" t="s">
        <v>6411</v>
      </c>
      <c r="G1691" s="89" t="s">
        <v>26</v>
      </c>
      <c r="H1691" s="89">
        <v>1</v>
      </c>
      <c r="I1691" s="89" t="s">
        <v>2812</v>
      </c>
      <c r="J1691" s="95">
        <v>1</v>
      </c>
      <c r="K1691" s="95">
        <v>53</v>
      </c>
      <c r="L1691" s="149"/>
      <c r="M1691" s="146" t="s">
        <v>22</v>
      </c>
      <c r="N1691" s="149"/>
      <c r="O1691" s="149"/>
      <c r="P1691" s="149"/>
      <c r="Q1691" s="149"/>
      <c r="R1691" s="149"/>
      <c r="S1691" s="149"/>
      <c r="T1691" s="149"/>
      <c r="U1691" s="149"/>
      <c r="V1691" s="89" t="s">
        <v>6412</v>
      </c>
      <c r="W1691" s="91"/>
      <c r="X1691" s="91"/>
      <c r="Y1691" s="91"/>
    </row>
    <row r="1692" spans="1:25" s="26" customFormat="1" ht="15" customHeight="1" x14ac:dyDescent="0.2">
      <c r="A1692" s="93">
        <v>41795.423032407401</v>
      </c>
      <c r="B1692" s="89" t="s">
        <v>38</v>
      </c>
      <c r="C1692" s="52" t="s">
        <v>187</v>
      </c>
      <c r="D1692" s="87" t="s">
        <v>6224</v>
      </c>
      <c r="E1692" s="89" t="s">
        <v>7250</v>
      </c>
      <c r="F1692" s="89" t="s">
        <v>7251</v>
      </c>
      <c r="G1692" s="89" t="s">
        <v>26</v>
      </c>
      <c r="H1692" s="89" t="s">
        <v>7251</v>
      </c>
      <c r="I1692" s="89" t="s">
        <v>3265</v>
      </c>
      <c r="J1692" s="95">
        <v>2</v>
      </c>
      <c r="K1692" s="95">
        <v>18</v>
      </c>
      <c r="L1692" s="150">
        <v>180</v>
      </c>
      <c r="M1692" s="146" t="s">
        <v>22</v>
      </c>
      <c r="N1692" s="149"/>
      <c r="O1692" s="149"/>
      <c r="P1692" s="149"/>
      <c r="Q1692" s="149"/>
      <c r="R1692" s="149"/>
      <c r="S1692" s="149"/>
      <c r="T1692" s="149"/>
      <c r="U1692" s="149"/>
      <c r="V1692" s="89"/>
      <c r="W1692" s="91"/>
      <c r="X1692" s="91"/>
      <c r="Y1692" s="91"/>
    </row>
    <row r="1693" spans="1:25" s="26" customFormat="1" ht="15" customHeight="1" x14ac:dyDescent="0.2">
      <c r="A1693" s="37">
        <v>41469.5176967593</v>
      </c>
      <c r="B1693" s="26" t="s">
        <v>38</v>
      </c>
      <c r="C1693" s="26" t="s">
        <v>187</v>
      </c>
      <c r="D1693" s="33">
        <v>41456</v>
      </c>
      <c r="E1693" s="26" t="s">
        <v>188</v>
      </c>
      <c r="F1693" s="26" t="s">
        <v>189</v>
      </c>
      <c r="G1693" s="26" t="s">
        <v>26</v>
      </c>
      <c r="H1693" s="26" t="s">
        <v>190</v>
      </c>
      <c r="J1693" s="115">
        <v>1</v>
      </c>
      <c r="K1693" s="115">
        <v>16</v>
      </c>
      <c r="L1693" s="136">
        <v>112</v>
      </c>
      <c r="M1693" s="137" t="s">
        <v>44</v>
      </c>
      <c r="N1693" s="138"/>
      <c r="O1693" s="138">
        <v>70</v>
      </c>
      <c r="P1693" s="138"/>
      <c r="Q1693" s="138"/>
      <c r="R1693" s="138"/>
      <c r="S1693" s="138"/>
      <c r="T1693" s="138"/>
      <c r="U1693" s="138"/>
      <c r="V1693" s="26" t="s">
        <v>191</v>
      </c>
    </row>
    <row r="1694" spans="1:25" s="26" customFormat="1" ht="15" customHeight="1" x14ac:dyDescent="0.2">
      <c r="A1694" s="37">
        <v>41476.502361111103</v>
      </c>
      <c r="B1694" s="26" t="s">
        <v>38</v>
      </c>
      <c r="C1694" s="26" t="s">
        <v>187</v>
      </c>
      <c r="D1694" s="33">
        <v>41456</v>
      </c>
      <c r="E1694" s="26" t="s">
        <v>265</v>
      </c>
      <c r="F1694" s="26" t="s">
        <v>266</v>
      </c>
      <c r="G1694" s="26" t="s">
        <v>26</v>
      </c>
      <c r="H1694" s="26" t="s">
        <v>267</v>
      </c>
      <c r="J1694" s="115">
        <v>1</v>
      </c>
      <c r="K1694" s="115">
        <v>1</v>
      </c>
      <c r="L1694" s="136"/>
      <c r="M1694" s="137" t="s">
        <v>44</v>
      </c>
      <c r="N1694" s="138"/>
      <c r="O1694" s="138">
        <v>5</v>
      </c>
      <c r="P1694" s="138"/>
      <c r="Q1694" s="138"/>
      <c r="R1694" s="138"/>
      <c r="S1694" s="138"/>
      <c r="T1694" s="138"/>
      <c r="U1694" s="138"/>
      <c r="V1694" s="26" t="s">
        <v>268</v>
      </c>
    </row>
    <row r="1695" spans="1:25" s="26" customFormat="1" ht="15" customHeight="1" x14ac:dyDescent="0.2">
      <c r="A1695" s="32">
        <v>41533.417870370373</v>
      </c>
      <c r="B1695" s="26" t="s">
        <v>38</v>
      </c>
      <c r="C1695" s="26" t="s">
        <v>187</v>
      </c>
      <c r="D1695" s="30">
        <v>41518</v>
      </c>
      <c r="E1695" s="26" t="s">
        <v>2098</v>
      </c>
      <c r="F1695" s="26" t="s">
        <v>2099</v>
      </c>
      <c r="G1695" s="26" t="s">
        <v>26</v>
      </c>
      <c r="H1695" s="26" t="s">
        <v>2100</v>
      </c>
      <c r="J1695" s="115">
        <v>1</v>
      </c>
      <c r="K1695" s="115">
        <v>7</v>
      </c>
      <c r="L1695" s="136"/>
      <c r="M1695" s="137" t="s">
        <v>44</v>
      </c>
      <c r="N1695" s="138"/>
      <c r="O1695" s="138">
        <v>15</v>
      </c>
      <c r="P1695" s="138"/>
      <c r="Q1695" s="138"/>
      <c r="R1695" s="138"/>
      <c r="S1695" s="138"/>
      <c r="T1695" s="138"/>
      <c r="U1695" s="138"/>
    </row>
    <row r="1696" spans="1:25" s="26" customFormat="1" ht="15" customHeight="1" x14ac:dyDescent="0.2">
      <c r="A1696" s="32">
        <v>41533.419166666667</v>
      </c>
      <c r="B1696" s="26" t="s">
        <v>38</v>
      </c>
      <c r="C1696" s="26" t="s">
        <v>187</v>
      </c>
      <c r="D1696" s="30">
        <v>41518</v>
      </c>
      <c r="E1696" s="26" t="s">
        <v>2011</v>
      </c>
      <c r="F1696" s="26" t="s">
        <v>2101</v>
      </c>
      <c r="G1696" s="26" t="s">
        <v>26</v>
      </c>
      <c r="H1696" s="26" t="s">
        <v>2102</v>
      </c>
      <c r="J1696" s="46">
        <v>1</v>
      </c>
      <c r="K1696" s="46">
        <v>11</v>
      </c>
      <c r="L1696" s="136">
        <v>55</v>
      </c>
      <c r="M1696" s="137" t="s">
        <v>44</v>
      </c>
      <c r="N1696" s="138"/>
      <c r="O1696" s="138">
        <v>10</v>
      </c>
      <c r="P1696" s="138">
        <v>10</v>
      </c>
      <c r="Q1696" s="138"/>
      <c r="R1696" s="138"/>
      <c r="S1696" s="138"/>
      <c r="T1696" s="138"/>
      <c r="U1696" s="138"/>
      <c r="V1696" s="26" t="s">
        <v>2103</v>
      </c>
    </row>
    <row r="1697" spans="1:25" s="26" customFormat="1" ht="15" customHeight="1" x14ac:dyDescent="0.2">
      <c r="A1697" s="32">
        <v>41551.416238425925</v>
      </c>
      <c r="B1697" s="26" t="s">
        <v>38</v>
      </c>
      <c r="C1697" s="26" t="s">
        <v>187</v>
      </c>
      <c r="D1697" s="30">
        <v>41518</v>
      </c>
      <c r="E1697" s="35" t="s">
        <v>2396</v>
      </c>
      <c r="F1697" s="26" t="s">
        <v>2397</v>
      </c>
      <c r="G1697" s="26" t="s">
        <v>26</v>
      </c>
      <c r="H1697" s="26" t="s">
        <v>2398</v>
      </c>
      <c r="J1697" s="115">
        <v>2</v>
      </c>
      <c r="K1697" s="115">
        <v>6</v>
      </c>
      <c r="L1697" s="136">
        <v>42</v>
      </c>
      <c r="M1697" s="137" t="s">
        <v>22</v>
      </c>
      <c r="N1697" s="138"/>
      <c r="O1697" s="138"/>
      <c r="P1697" s="138"/>
      <c r="Q1697" s="138"/>
      <c r="R1697" s="138"/>
      <c r="S1697" s="138"/>
      <c r="T1697" s="138"/>
      <c r="U1697" s="138"/>
    </row>
    <row r="1698" spans="1:25" s="26" customFormat="1" ht="15" customHeight="1" x14ac:dyDescent="0.2">
      <c r="A1698" s="32">
        <v>41551.425636574073</v>
      </c>
      <c r="B1698" s="26" t="s">
        <v>38</v>
      </c>
      <c r="C1698" s="26" t="s">
        <v>187</v>
      </c>
      <c r="D1698" s="30">
        <v>41518</v>
      </c>
      <c r="E1698" s="35" t="s">
        <v>2399</v>
      </c>
      <c r="F1698" s="26" t="s">
        <v>2400</v>
      </c>
      <c r="G1698" s="26" t="s">
        <v>26</v>
      </c>
      <c r="H1698" s="26" t="s">
        <v>2401</v>
      </c>
      <c r="J1698" s="115">
        <v>8</v>
      </c>
      <c r="K1698" s="115">
        <v>52</v>
      </c>
      <c r="L1698" s="136">
        <v>520</v>
      </c>
      <c r="M1698" s="137" t="s">
        <v>22</v>
      </c>
      <c r="N1698" s="138"/>
      <c r="O1698" s="138"/>
      <c r="P1698" s="138"/>
      <c r="Q1698" s="138"/>
      <c r="R1698" s="138"/>
      <c r="S1698" s="138"/>
      <c r="T1698" s="138"/>
      <c r="U1698" s="138">
        <v>100</v>
      </c>
    </row>
    <row r="1699" spans="1:25" s="26" customFormat="1" ht="15" customHeight="1" x14ac:dyDescent="0.2">
      <c r="A1699" s="32">
        <v>41551.434004629627</v>
      </c>
      <c r="B1699" s="26" t="s">
        <v>38</v>
      </c>
      <c r="C1699" s="26" t="s">
        <v>187</v>
      </c>
      <c r="D1699" s="30">
        <v>41518</v>
      </c>
      <c r="E1699" s="35" t="s">
        <v>817</v>
      </c>
      <c r="F1699" s="26" t="s">
        <v>2402</v>
      </c>
      <c r="G1699" s="26" t="s">
        <v>26</v>
      </c>
      <c r="H1699" s="26" t="s">
        <v>2398</v>
      </c>
      <c r="J1699" s="115">
        <v>3</v>
      </c>
      <c r="K1699" s="115">
        <v>21</v>
      </c>
      <c r="L1699" s="136">
        <v>147</v>
      </c>
      <c r="M1699" s="137" t="s">
        <v>22</v>
      </c>
      <c r="N1699" s="138"/>
      <c r="O1699" s="138"/>
      <c r="P1699" s="138"/>
      <c r="Q1699" s="138"/>
      <c r="R1699" s="138"/>
      <c r="S1699" s="138"/>
      <c r="T1699" s="138"/>
      <c r="U1699" s="138"/>
    </row>
    <row r="1700" spans="1:25" s="26" customFormat="1" ht="15" customHeight="1" x14ac:dyDescent="0.2">
      <c r="A1700" s="32">
        <v>41551.440011574072</v>
      </c>
      <c r="B1700" s="26" t="s">
        <v>38</v>
      </c>
      <c r="C1700" s="26" t="s">
        <v>187</v>
      </c>
      <c r="D1700" s="30">
        <v>41518</v>
      </c>
      <c r="E1700" s="26" t="s">
        <v>2403</v>
      </c>
      <c r="F1700" s="26" t="s">
        <v>2404</v>
      </c>
      <c r="G1700" s="26" t="s">
        <v>26</v>
      </c>
      <c r="H1700" s="26" t="s">
        <v>2405</v>
      </c>
      <c r="J1700" s="115">
        <v>1</v>
      </c>
      <c r="K1700" s="115">
        <v>3</v>
      </c>
      <c r="L1700" s="136">
        <v>45</v>
      </c>
      <c r="M1700" s="137" t="s">
        <v>22</v>
      </c>
      <c r="N1700" s="138"/>
      <c r="O1700" s="138"/>
      <c r="P1700" s="138"/>
      <c r="Q1700" s="138"/>
      <c r="R1700" s="138"/>
      <c r="S1700" s="138"/>
      <c r="T1700" s="138"/>
      <c r="U1700" s="138"/>
    </row>
    <row r="1701" spans="1:25" s="26" customFormat="1" ht="15" customHeight="1" x14ac:dyDescent="0.2">
      <c r="A1701" s="32">
        <v>41551.444016203706</v>
      </c>
      <c r="B1701" s="26" t="s">
        <v>38</v>
      </c>
      <c r="C1701" s="26" t="s">
        <v>187</v>
      </c>
      <c r="D1701" s="30">
        <v>41518</v>
      </c>
      <c r="E1701" s="26" t="s">
        <v>2406</v>
      </c>
      <c r="F1701" s="26" t="s">
        <v>2407</v>
      </c>
      <c r="G1701" s="26" t="s">
        <v>26</v>
      </c>
      <c r="H1701" s="26" t="s">
        <v>2398</v>
      </c>
      <c r="J1701" s="46">
        <v>2</v>
      </c>
      <c r="K1701" s="46">
        <v>41</v>
      </c>
      <c r="L1701" s="136">
        <v>287</v>
      </c>
      <c r="M1701" s="137" t="s">
        <v>22</v>
      </c>
      <c r="N1701" s="138"/>
      <c r="O1701" s="138"/>
      <c r="P1701" s="138"/>
      <c r="Q1701" s="138"/>
      <c r="R1701" s="138"/>
      <c r="S1701" s="138"/>
      <c r="T1701" s="138"/>
      <c r="U1701" s="138"/>
    </row>
    <row r="1702" spans="1:25" s="26" customFormat="1" ht="15" customHeight="1" x14ac:dyDescent="0.2">
      <c r="A1702" s="32">
        <v>41551.445983796293</v>
      </c>
      <c r="B1702" s="26" t="s">
        <v>38</v>
      </c>
      <c r="C1702" s="26" t="s">
        <v>187</v>
      </c>
      <c r="D1702" s="30">
        <v>41518</v>
      </c>
      <c r="E1702" s="26" t="s">
        <v>2408</v>
      </c>
      <c r="F1702" s="26" t="s">
        <v>2409</v>
      </c>
      <c r="G1702" s="26" t="s">
        <v>26</v>
      </c>
      <c r="H1702" s="26" t="s">
        <v>2410</v>
      </c>
      <c r="J1702" s="46">
        <v>1</v>
      </c>
      <c r="K1702" s="46">
        <v>7</v>
      </c>
      <c r="L1702" s="136">
        <v>35</v>
      </c>
      <c r="M1702" s="137" t="s">
        <v>22</v>
      </c>
      <c r="N1702" s="138"/>
      <c r="O1702" s="138"/>
      <c r="P1702" s="138"/>
      <c r="Q1702" s="138"/>
      <c r="R1702" s="138"/>
      <c r="S1702" s="138"/>
      <c r="T1702" s="138"/>
      <c r="U1702" s="138"/>
    </row>
    <row r="1703" spans="1:25" s="26" customFormat="1" ht="15" customHeight="1" x14ac:dyDescent="0.2">
      <c r="A1703" s="32">
        <v>41551.447187500002</v>
      </c>
      <c r="B1703" s="26" t="s">
        <v>38</v>
      </c>
      <c r="C1703" s="26" t="s">
        <v>187</v>
      </c>
      <c r="D1703" s="30">
        <v>41518</v>
      </c>
      <c r="E1703" s="26" t="s">
        <v>2411</v>
      </c>
      <c r="F1703" s="26" t="s">
        <v>2412</v>
      </c>
      <c r="G1703" s="26" t="s">
        <v>26</v>
      </c>
      <c r="H1703" s="26" t="s">
        <v>2410</v>
      </c>
      <c r="J1703" s="46">
        <v>1</v>
      </c>
      <c r="K1703" s="46">
        <v>5</v>
      </c>
      <c r="L1703" s="136">
        <v>25</v>
      </c>
      <c r="M1703" s="137" t="s">
        <v>22</v>
      </c>
      <c r="N1703" s="138"/>
      <c r="O1703" s="138"/>
      <c r="P1703" s="138"/>
      <c r="Q1703" s="138"/>
      <c r="R1703" s="138"/>
      <c r="S1703" s="138"/>
      <c r="T1703" s="138"/>
      <c r="U1703" s="138"/>
    </row>
    <row r="1704" spans="1:25" s="26" customFormat="1" ht="15" customHeight="1" x14ac:dyDescent="0.2">
      <c r="A1704" s="32">
        <v>41551.448055555556</v>
      </c>
      <c r="B1704" s="26" t="s">
        <v>38</v>
      </c>
      <c r="C1704" s="26" t="s">
        <v>187</v>
      </c>
      <c r="D1704" s="30">
        <v>41518</v>
      </c>
      <c r="E1704" s="26" t="s">
        <v>2413</v>
      </c>
      <c r="F1704" s="26" t="s">
        <v>2414</v>
      </c>
      <c r="G1704" s="26" t="s">
        <v>20</v>
      </c>
      <c r="J1704" s="46">
        <v>1</v>
      </c>
      <c r="K1704" s="46">
        <v>4</v>
      </c>
      <c r="L1704" s="136">
        <v>12</v>
      </c>
      <c r="M1704" s="137" t="s">
        <v>22</v>
      </c>
      <c r="N1704" s="138"/>
      <c r="O1704" s="138"/>
      <c r="P1704" s="138"/>
      <c r="Q1704" s="138"/>
      <c r="R1704" s="138"/>
      <c r="S1704" s="138"/>
      <c r="T1704" s="138"/>
      <c r="U1704" s="138"/>
    </row>
    <row r="1705" spans="1:25" s="26" customFormat="1" ht="15" customHeight="1" x14ac:dyDescent="0.2">
      <c r="A1705" s="32">
        <v>41551.448877314811</v>
      </c>
      <c r="B1705" s="26" t="s">
        <v>38</v>
      </c>
      <c r="C1705" s="26" t="s">
        <v>187</v>
      </c>
      <c r="D1705" s="30">
        <v>41518</v>
      </c>
      <c r="E1705" s="26" t="s">
        <v>817</v>
      </c>
      <c r="F1705" s="26" t="s">
        <v>2415</v>
      </c>
      <c r="G1705" s="26" t="s">
        <v>156</v>
      </c>
      <c r="H1705" s="34" t="s">
        <v>2796</v>
      </c>
      <c r="I1705" s="34"/>
      <c r="J1705" s="46">
        <v>1</v>
      </c>
      <c r="K1705" s="46">
        <v>18</v>
      </c>
      <c r="L1705" s="136">
        <v>530</v>
      </c>
      <c r="M1705" s="137" t="s">
        <v>22</v>
      </c>
      <c r="N1705" s="138"/>
      <c r="O1705" s="138"/>
      <c r="P1705" s="138"/>
      <c r="Q1705" s="138"/>
      <c r="R1705" s="138"/>
      <c r="S1705" s="138"/>
      <c r="T1705" s="138"/>
      <c r="U1705" s="138"/>
    </row>
    <row r="1706" spans="1:25" s="26" customFormat="1" ht="15" customHeight="1" x14ac:dyDescent="0.2">
      <c r="A1706" s="32">
        <v>41551.45113425926</v>
      </c>
      <c r="B1706" s="26" t="s">
        <v>38</v>
      </c>
      <c r="C1706" s="26" t="s">
        <v>187</v>
      </c>
      <c r="D1706" s="30">
        <v>41518</v>
      </c>
      <c r="E1706" s="26" t="s">
        <v>2416</v>
      </c>
      <c r="F1706" s="26" t="s">
        <v>2257</v>
      </c>
      <c r="G1706" s="26" t="s">
        <v>156</v>
      </c>
      <c r="H1706" s="34" t="s">
        <v>2417</v>
      </c>
      <c r="I1706" s="34"/>
      <c r="J1706" s="46">
        <v>1</v>
      </c>
      <c r="K1706" s="46">
        <v>183</v>
      </c>
      <c r="L1706" s="136"/>
      <c r="M1706" s="137" t="s">
        <v>22</v>
      </c>
      <c r="N1706" s="138"/>
      <c r="O1706" s="138"/>
      <c r="P1706" s="138"/>
      <c r="Q1706" s="138"/>
      <c r="R1706" s="138"/>
      <c r="S1706" s="138"/>
      <c r="T1706" s="138"/>
      <c r="U1706" s="138"/>
      <c r="V1706" s="34" t="s">
        <v>2801</v>
      </c>
    </row>
    <row r="1707" spans="1:25" s="26" customFormat="1" ht="15" customHeight="1" x14ac:dyDescent="0.2">
      <c r="A1707" s="48">
        <v>41602.660000000003</v>
      </c>
      <c r="B1707" s="49" t="s">
        <v>38</v>
      </c>
      <c r="C1707" s="50" t="s">
        <v>187</v>
      </c>
      <c r="D1707" s="67">
        <v>41579</v>
      </c>
      <c r="E1707" s="50" t="s">
        <v>3099</v>
      </c>
      <c r="F1707" s="50" t="s">
        <v>2805</v>
      </c>
      <c r="G1707" s="49" t="s">
        <v>26</v>
      </c>
      <c r="H1707" s="50" t="s">
        <v>3100</v>
      </c>
      <c r="I1707" s="50" t="s">
        <v>3038</v>
      </c>
      <c r="J1707" s="117">
        <v>1</v>
      </c>
      <c r="K1707" s="117">
        <v>8</v>
      </c>
      <c r="L1707" s="142"/>
      <c r="M1707" s="143" t="s">
        <v>44</v>
      </c>
      <c r="N1707" s="144"/>
      <c r="O1707" s="144">
        <v>15</v>
      </c>
      <c r="P1707" s="144"/>
      <c r="Q1707" s="144"/>
      <c r="R1707" s="144"/>
      <c r="S1707" s="144"/>
      <c r="T1707" s="144"/>
      <c r="U1707" s="144"/>
      <c r="V1707" s="50" t="s">
        <v>3101</v>
      </c>
    </row>
    <row r="1708" spans="1:25" s="26" customFormat="1" ht="15" customHeight="1" x14ac:dyDescent="0.2">
      <c r="A1708" s="32">
        <v>41623.646053240744</v>
      </c>
      <c r="B1708" s="26" t="s">
        <v>38</v>
      </c>
      <c r="C1708" s="26" t="s">
        <v>187</v>
      </c>
      <c r="D1708" s="68">
        <v>41609</v>
      </c>
      <c r="E1708" s="26" t="s">
        <v>3754</v>
      </c>
      <c r="F1708" s="26" t="s">
        <v>2805</v>
      </c>
      <c r="G1708" s="26" t="s">
        <v>26</v>
      </c>
      <c r="H1708" s="26" t="s">
        <v>3755</v>
      </c>
      <c r="I1708" s="26" t="s">
        <v>3038</v>
      </c>
      <c r="J1708" s="46">
        <v>1</v>
      </c>
      <c r="K1708" s="46">
        <v>1</v>
      </c>
      <c r="L1708" s="136"/>
      <c r="M1708" s="137" t="s">
        <v>22</v>
      </c>
      <c r="N1708" s="138"/>
      <c r="O1708" s="138"/>
      <c r="P1708" s="138"/>
      <c r="Q1708" s="138"/>
      <c r="R1708" s="138"/>
      <c r="S1708" s="138"/>
      <c r="T1708" s="138"/>
      <c r="U1708" s="138"/>
      <c r="V1708" s="26" t="s">
        <v>3756</v>
      </c>
    </row>
    <row r="1709" spans="1:25" s="26" customFormat="1" ht="15" customHeight="1" x14ac:dyDescent="0.2">
      <c r="A1709" s="55">
        <v>41665.695115740702</v>
      </c>
      <c r="B1709" s="52" t="s">
        <v>38</v>
      </c>
      <c r="C1709" s="52" t="s">
        <v>187</v>
      </c>
      <c r="D1709" s="69">
        <v>41640</v>
      </c>
      <c r="E1709" s="52" t="s">
        <v>4255</v>
      </c>
      <c r="F1709" s="52" t="s">
        <v>4256</v>
      </c>
      <c r="G1709" s="52" t="s">
        <v>26</v>
      </c>
      <c r="H1709" s="52"/>
      <c r="I1709" s="52" t="s">
        <v>3038</v>
      </c>
      <c r="J1709" s="95">
        <v>1</v>
      </c>
      <c r="K1709" s="118">
        <v>10</v>
      </c>
      <c r="L1709" s="148"/>
      <c r="M1709" s="146" t="s">
        <v>44</v>
      </c>
      <c r="N1709" s="147"/>
      <c r="O1709" s="147">
        <v>20</v>
      </c>
      <c r="P1709" s="147"/>
      <c r="Q1709" s="147"/>
      <c r="R1709" s="147"/>
      <c r="S1709" s="147"/>
      <c r="T1709" s="147"/>
      <c r="U1709" s="149"/>
      <c r="V1709" s="52" t="s">
        <v>4257</v>
      </c>
      <c r="W1709" s="52"/>
      <c r="X1709" s="52"/>
      <c r="Y1709" s="52"/>
    </row>
    <row r="1710" spans="1:25" s="26" customFormat="1" ht="15" customHeight="1" x14ac:dyDescent="0.2">
      <c r="A1710" s="55">
        <v>41667.4956481482</v>
      </c>
      <c r="B1710" s="52" t="s">
        <v>38</v>
      </c>
      <c r="C1710" s="52" t="s">
        <v>187</v>
      </c>
      <c r="D1710" s="69">
        <v>41640</v>
      </c>
      <c r="E1710" s="52" t="s">
        <v>4263</v>
      </c>
      <c r="F1710" s="52" t="s">
        <v>4264</v>
      </c>
      <c r="G1710" s="52" t="s">
        <v>26</v>
      </c>
      <c r="H1710" s="52" t="s">
        <v>4265</v>
      </c>
      <c r="I1710" s="52" t="s">
        <v>3001</v>
      </c>
      <c r="J1710" s="95">
        <v>8</v>
      </c>
      <c r="K1710" s="118">
        <v>84</v>
      </c>
      <c r="L1710" s="148">
        <v>710</v>
      </c>
      <c r="M1710" s="146" t="s">
        <v>22</v>
      </c>
      <c r="N1710" s="147"/>
      <c r="O1710" s="147"/>
      <c r="P1710" s="147"/>
      <c r="Q1710" s="147"/>
      <c r="R1710" s="147"/>
      <c r="S1710" s="147"/>
      <c r="T1710" s="147"/>
      <c r="U1710" s="149">
        <v>1323</v>
      </c>
      <c r="V1710" s="52" t="s">
        <v>4266</v>
      </c>
      <c r="W1710" s="52"/>
      <c r="X1710" s="52"/>
      <c r="Y1710" s="52"/>
    </row>
    <row r="1711" spans="1:25" s="26" customFormat="1" ht="15" customHeight="1" x14ac:dyDescent="0.2">
      <c r="A1711" s="32">
        <v>41693.691874999997</v>
      </c>
      <c r="B1711" s="26" t="s">
        <v>38</v>
      </c>
      <c r="C1711" s="26" t="s">
        <v>187</v>
      </c>
      <c r="D1711" s="33">
        <v>41671</v>
      </c>
      <c r="E1711" s="26" t="s">
        <v>4667</v>
      </c>
      <c r="F1711" s="26" t="s">
        <v>4668</v>
      </c>
      <c r="G1711" s="26" t="s">
        <v>26</v>
      </c>
      <c r="H1711" s="26" t="s">
        <v>4669</v>
      </c>
      <c r="I1711" s="26" t="s">
        <v>3038</v>
      </c>
      <c r="J1711" s="46">
        <v>1</v>
      </c>
      <c r="K1711" s="46">
        <v>7</v>
      </c>
      <c r="L1711" s="136"/>
      <c r="M1711" s="137" t="s">
        <v>44</v>
      </c>
      <c r="N1711" s="138"/>
      <c r="O1711" s="138">
        <v>15</v>
      </c>
      <c r="P1711" s="138"/>
      <c r="Q1711" s="138"/>
      <c r="R1711" s="138"/>
      <c r="S1711" s="138"/>
      <c r="T1711" s="138"/>
      <c r="U1711" s="138"/>
      <c r="V1711" s="26" t="s">
        <v>4670</v>
      </c>
    </row>
    <row r="1712" spans="1:25" s="26" customFormat="1" ht="15" customHeight="1" x14ac:dyDescent="0.2">
      <c r="A1712" s="32">
        <v>41695.451354166667</v>
      </c>
      <c r="B1712" s="26" t="s">
        <v>38</v>
      </c>
      <c r="C1712" s="26" t="s">
        <v>187</v>
      </c>
      <c r="D1712" s="33">
        <v>41671</v>
      </c>
      <c r="E1712" s="26" t="s">
        <v>4686</v>
      </c>
      <c r="F1712" s="26" t="s">
        <v>4687</v>
      </c>
      <c r="G1712" s="26" t="s">
        <v>26</v>
      </c>
      <c r="H1712" s="26" t="s">
        <v>4265</v>
      </c>
      <c r="I1712" s="26" t="s">
        <v>3001</v>
      </c>
      <c r="J1712" s="46">
        <v>14</v>
      </c>
      <c r="K1712" s="46">
        <v>291</v>
      </c>
      <c r="L1712" s="136">
        <v>2939.01</v>
      </c>
      <c r="M1712" s="137" t="s">
        <v>22</v>
      </c>
      <c r="N1712" s="138"/>
      <c r="O1712" s="138"/>
      <c r="P1712" s="138"/>
      <c r="Q1712" s="138"/>
      <c r="R1712" s="138"/>
      <c r="S1712" s="138"/>
      <c r="T1712" s="138"/>
      <c r="U1712" s="138"/>
      <c r="V1712" s="26" t="s">
        <v>4688</v>
      </c>
    </row>
    <row r="1713" spans="1:22" s="26" customFormat="1" ht="15" customHeight="1" x14ac:dyDescent="0.2">
      <c r="A1713" s="32">
        <v>41702.550358796296</v>
      </c>
      <c r="B1713" s="26" t="s">
        <v>38</v>
      </c>
      <c r="C1713" s="26" t="s">
        <v>187</v>
      </c>
      <c r="D1713" s="33">
        <v>41671</v>
      </c>
      <c r="E1713" s="26" t="s">
        <v>4841</v>
      </c>
      <c r="F1713" s="26" t="s">
        <v>4177</v>
      </c>
      <c r="G1713" s="26" t="s">
        <v>20</v>
      </c>
      <c r="H1713" s="26" t="s">
        <v>624</v>
      </c>
      <c r="I1713" s="26" t="s">
        <v>3001</v>
      </c>
      <c r="J1713" s="46">
        <v>1</v>
      </c>
      <c r="K1713" s="46">
        <v>7</v>
      </c>
      <c r="L1713" s="136">
        <v>21</v>
      </c>
      <c r="M1713" s="137" t="s">
        <v>22</v>
      </c>
      <c r="N1713" s="138"/>
      <c r="O1713" s="138"/>
      <c r="P1713" s="138"/>
      <c r="Q1713" s="138"/>
      <c r="R1713" s="138"/>
      <c r="S1713" s="138"/>
      <c r="T1713" s="138"/>
      <c r="U1713" s="138"/>
    </row>
    <row r="1714" spans="1:22" s="26" customFormat="1" ht="15" customHeight="1" x14ac:dyDescent="0.2">
      <c r="A1714" s="32">
        <v>41702.551666666666</v>
      </c>
      <c r="B1714" s="26" t="s">
        <v>38</v>
      </c>
      <c r="C1714" s="26" t="s">
        <v>187</v>
      </c>
      <c r="D1714" s="33">
        <v>41671</v>
      </c>
      <c r="E1714" s="26" t="s">
        <v>4842</v>
      </c>
      <c r="F1714" s="26" t="s">
        <v>4843</v>
      </c>
      <c r="G1714" s="26" t="s">
        <v>26</v>
      </c>
      <c r="H1714" s="26" t="s">
        <v>160</v>
      </c>
      <c r="I1714" s="26" t="s">
        <v>3038</v>
      </c>
      <c r="J1714" s="46">
        <v>1</v>
      </c>
      <c r="K1714" s="46">
        <v>0</v>
      </c>
      <c r="L1714" s="136"/>
      <c r="M1714" s="137" t="s">
        <v>22</v>
      </c>
      <c r="N1714" s="138"/>
      <c r="O1714" s="138"/>
      <c r="P1714" s="138"/>
      <c r="Q1714" s="138"/>
      <c r="R1714" s="138"/>
      <c r="S1714" s="138"/>
      <c r="T1714" s="138"/>
      <c r="U1714" s="138"/>
    </row>
    <row r="1715" spans="1:22" s="26" customFormat="1" ht="15" customHeight="1" x14ac:dyDescent="0.2">
      <c r="A1715" s="32">
        <v>41702.553969907407</v>
      </c>
      <c r="B1715" s="26" t="s">
        <v>38</v>
      </c>
      <c r="C1715" s="26" t="s">
        <v>187</v>
      </c>
      <c r="D1715" s="33">
        <v>41671</v>
      </c>
      <c r="E1715" s="26" t="s">
        <v>4844</v>
      </c>
      <c r="F1715" s="26" t="s">
        <v>4845</v>
      </c>
      <c r="G1715" s="26" t="s">
        <v>26</v>
      </c>
      <c r="H1715" s="26" t="s">
        <v>4845</v>
      </c>
      <c r="I1715" s="26" t="s">
        <v>2812</v>
      </c>
      <c r="J1715" s="46">
        <v>6</v>
      </c>
      <c r="K1715" s="46">
        <v>28</v>
      </c>
      <c r="L1715" s="136">
        <v>140</v>
      </c>
      <c r="M1715" s="137" t="s">
        <v>22</v>
      </c>
      <c r="N1715" s="138"/>
      <c r="O1715" s="138"/>
      <c r="P1715" s="138"/>
      <c r="Q1715" s="138"/>
      <c r="R1715" s="138"/>
      <c r="S1715" s="138"/>
      <c r="T1715" s="138"/>
      <c r="U1715" s="138"/>
    </row>
    <row r="1716" spans="1:22" s="26" customFormat="1" ht="15" customHeight="1" x14ac:dyDescent="0.2">
      <c r="A1716" s="32">
        <v>41702.558877314812</v>
      </c>
      <c r="B1716" s="26" t="s">
        <v>38</v>
      </c>
      <c r="C1716" s="26" t="s">
        <v>187</v>
      </c>
      <c r="D1716" s="33">
        <v>41671</v>
      </c>
      <c r="E1716" s="26" t="s">
        <v>4846</v>
      </c>
      <c r="F1716" s="26" t="s">
        <v>4847</v>
      </c>
      <c r="G1716" s="26" t="s">
        <v>42</v>
      </c>
      <c r="H1716" s="26" t="s">
        <v>4847</v>
      </c>
      <c r="I1716" s="26" t="s">
        <v>3171</v>
      </c>
      <c r="J1716" s="46">
        <v>1</v>
      </c>
      <c r="K1716" s="46">
        <v>10</v>
      </c>
      <c r="L1716" s="136">
        <v>200</v>
      </c>
      <c r="M1716" s="137" t="s">
        <v>22</v>
      </c>
      <c r="N1716" s="138"/>
      <c r="O1716" s="138"/>
      <c r="P1716" s="138"/>
      <c r="Q1716" s="138"/>
      <c r="R1716" s="138"/>
      <c r="S1716" s="138"/>
      <c r="T1716" s="138"/>
      <c r="U1716" s="138"/>
    </row>
    <row r="1717" spans="1:22" s="26" customFormat="1" ht="15" customHeight="1" x14ac:dyDescent="0.2">
      <c r="A1717" s="32">
        <v>41702.560300925928</v>
      </c>
      <c r="B1717" s="26" t="s">
        <v>38</v>
      </c>
      <c r="C1717" s="26" t="s">
        <v>187</v>
      </c>
      <c r="D1717" s="33">
        <v>41671</v>
      </c>
      <c r="E1717" s="26" t="s">
        <v>4848</v>
      </c>
      <c r="F1717" s="26" t="s">
        <v>4849</v>
      </c>
      <c r="G1717" s="26" t="s">
        <v>26</v>
      </c>
      <c r="H1717" s="26" t="s">
        <v>4849</v>
      </c>
      <c r="I1717" s="26" t="s">
        <v>3171</v>
      </c>
      <c r="J1717" s="46">
        <v>1</v>
      </c>
      <c r="K1717" s="46">
        <v>5</v>
      </c>
      <c r="L1717" s="136">
        <v>75</v>
      </c>
      <c r="M1717" s="137" t="s">
        <v>22</v>
      </c>
      <c r="N1717" s="138"/>
      <c r="O1717" s="138"/>
      <c r="P1717" s="138"/>
      <c r="Q1717" s="138"/>
      <c r="R1717" s="138"/>
      <c r="S1717" s="138"/>
      <c r="T1717" s="138"/>
      <c r="U1717" s="138"/>
    </row>
    <row r="1718" spans="1:22" s="26" customFormat="1" ht="15" customHeight="1" x14ac:dyDescent="0.2">
      <c r="A1718" s="32">
        <v>41702.562118055554</v>
      </c>
      <c r="B1718" s="26" t="s">
        <v>38</v>
      </c>
      <c r="C1718" s="26" t="s">
        <v>187</v>
      </c>
      <c r="D1718" s="33">
        <v>41671</v>
      </c>
      <c r="E1718" s="26" t="s">
        <v>4850</v>
      </c>
      <c r="F1718" s="26" t="s">
        <v>2402</v>
      </c>
      <c r="G1718" s="26" t="s">
        <v>26</v>
      </c>
      <c r="H1718" s="26" t="s">
        <v>2402</v>
      </c>
      <c r="I1718" s="26" t="s">
        <v>3001</v>
      </c>
      <c r="J1718" s="46">
        <v>2</v>
      </c>
      <c r="K1718" s="46">
        <v>14</v>
      </c>
      <c r="L1718" s="136">
        <v>98</v>
      </c>
      <c r="M1718" s="137" t="s">
        <v>44</v>
      </c>
      <c r="N1718" s="138"/>
      <c r="O1718" s="138"/>
      <c r="P1718" s="138">
        <v>100</v>
      </c>
      <c r="Q1718" s="138"/>
      <c r="R1718" s="138"/>
      <c r="S1718" s="138"/>
      <c r="T1718" s="138"/>
      <c r="U1718" s="138"/>
    </row>
    <row r="1719" spans="1:22" s="26" customFormat="1" ht="15" customHeight="1" x14ac:dyDescent="0.2">
      <c r="A1719" s="32">
        <v>41702.563946759263</v>
      </c>
      <c r="B1719" s="26" t="s">
        <v>38</v>
      </c>
      <c r="C1719" s="26" t="s">
        <v>187</v>
      </c>
      <c r="D1719" s="33">
        <v>41671</v>
      </c>
      <c r="E1719" s="26" t="s">
        <v>4851</v>
      </c>
      <c r="F1719" s="26" t="s">
        <v>4852</v>
      </c>
      <c r="G1719" s="26" t="s">
        <v>26</v>
      </c>
      <c r="H1719" s="26" t="s">
        <v>4853</v>
      </c>
      <c r="I1719" s="26" t="s">
        <v>3001</v>
      </c>
      <c r="J1719" s="46">
        <v>1</v>
      </c>
      <c r="K1719" s="46">
        <v>11</v>
      </c>
      <c r="L1719" s="136">
        <v>165</v>
      </c>
      <c r="M1719" s="137" t="s">
        <v>22</v>
      </c>
      <c r="N1719" s="138"/>
      <c r="O1719" s="138"/>
      <c r="P1719" s="138"/>
      <c r="Q1719" s="138"/>
      <c r="R1719" s="138"/>
      <c r="S1719" s="138"/>
      <c r="T1719" s="138"/>
      <c r="U1719" s="138">
        <v>80</v>
      </c>
      <c r="V1719" s="26" t="s">
        <v>4854</v>
      </c>
    </row>
    <row r="1720" spans="1:22" s="26" customFormat="1" ht="15" customHeight="1" x14ac:dyDescent="0.2">
      <c r="A1720" s="32">
        <v>41702.566574074073</v>
      </c>
      <c r="B1720" s="26" t="s">
        <v>38</v>
      </c>
      <c r="C1720" s="26" t="s">
        <v>187</v>
      </c>
      <c r="D1720" s="33">
        <v>41671</v>
      </c>
      <c r="E1720" s="26" t="s">
        <v>4855</v>
      </c>
      <c r="F1720" s="26" t="s">
        <v>4856</v>
      </c>
      <c r="G1720" s="26" t="s">
        <v>26</v>
      </c>
      <c r="H1720" s="26" t="s">
        <v>4856</v>
      </c>
      <c r="I1720" s="26" t="s">
        <v>3001</v>
      </c>
      <c r="J1720" s="46">
        <v>1</v>
      </c>
      <c r="K1720" s="46">
        <v>2</v>
      </c>
      <c r="L1720" s="136">
        <v>14</v>
      </c>
      <c r="M1720" s="137" t="s">
        <v>22</v>
      </c>
      <c r="N1720" s="138"/>
      <c r="O1720" s="138"/>
      <c r="P1720" s="138"/>
      <c r="Q1720" s="138"/>
      <c r="R1720" s="138"/>
      <c r="S1720" s="138"/>
      <c r="T1720" s="138"/>
      <c r="U1720" s="138"/>
    </row>
    <row r="1721" spans="1:22" s="26" customFormat="1" ht="15" customHeight="1" x14ac:dyDescent="0.2">
      <c r="A1721" s="32">
        <v>41702.567997685182</v>
      </c>
      <c r="B1721" s="26" t="s">
        <v>38</v>
      </c>
      <c r="C1721" s="26" t="s">
        <v>187</v>
      </c>
      <c r="D1721" s="33">
        <v>41671</v>
      </c>
      <c r="E1721" s="26" t="s">
        <v>4857</v>
      </c>
      <c r="F1721" s="26" t="s">
        <v>4858</v>
      </c>
      <c r="G1721" s="26" t="s">
        <v>26</v>
      </c>
      <c r="H1721" s="26" t="s">
        <v>4858</v>
      </c>
      <c r="I1721" s="26" t="s">
        <v>3001</v>
      </c>
      <c r="J1721" s="46">
        <v>1</v>
      </c>
      <c r="K1721" s="46">
        <v>5</v>
      </c>
      <c r="L1721" s="136"/>
      <c r="M1721" s="137" t="s">
        <v>22</v>
      </c>
      <c r="N1721" s="138"/>
      <c r="O1721" s="138"/>
      <c r="P1721" s="138"/>
      <c r="Q1721" s="138"/>
      <c r="R1721" s="138"/>
      <c r="S1721" s="138"/>
      <c r="T1721" s="138"/>
      <c r="U1721" s="138"/>
      <c r="V1721" s="26" t="s">
        <v>4859</v>
      </c>
    </row>
    <row r="1722" spans="1:22" s="26" customFormat="1" ht="15" customHeight="1" x14ac:dyDescent="0.2">
      <c r="A1722" s="32">
        <v>41702.569305555553</v>
      </c>
      <c r="B1722" s="26" t="s">
        <v>38</v>
      </c>
      <c r="C1722" s="26" t="s">
        <v>187</v>
      </c>
      <c r="D1722" s="33">
        <v>41671</v>
      </c>
      <c r="E1722" s="26" t="s">
        <v>4860</v>
      </c>
      <c r="F1722" s="26" t="s">
        <v>4861</v>
      </c>
      <c r="G1722" s="26" t="s">
        <v>26</v>
      </c>
      <c r="H1722" s="26" t="s">
        <v>4861</v>
      </c>
      <c r="I1722" s="26" t="s">
        <v>2812</v>
      </c>
      <c r="J1722" s="46">
        <v>1</v>
      </c>
      <c r="K1722" s="46">
        <v>17</v>
      </c>
      <c r="L1722" s="136">
        <v>170</v>
      </c>
      <c r="M1722" s="137" t="s">
        <v>44</v>
      </c>
      <c r="N1722" s="138"/>
      <c r="O1722" s="138"/>
      <c r="P1722" s="138">
        <v>50</v>
      </c>
      <c r="Q1722" s="138"/>
      <c r="R1722" s="138"/>
      <c r="S1722" s="138"/>
      <c r="T1722" s="138"/>
      <c r="U1722" s="138"/>
    </row>
    <row r="1723" spans="1:22" s="26" customFormat="1" ht="15" customHeight="1" x14ac:dyDescent="0.2">
      <c r="A1723" s="32">
        <v>41730.451296296298</v>
      </c>
      <c r="B1723" s="26" t="s">
        <v>38</v>
      </c>
      <c r="C1723" s="26" t="s">
        <v>187</v>
      </c>
      <c r="D1723" s="33">
        <v>41699</v>
      </c>
      <c r="E1723" s="26" t="s">
        <v>5373</v>
      </c>
      <c r="F1723" s="26" t="s">
        <v>5374</v>
      </c>
      <c r="G1723" s="26" t="s">
        <v>42</v>
      </c>
      <c r="H1723" s="26" t="s">
        <v>5375</v>
      </c>
      <c r="I1723" s="26" t="s">
        <v>2986</v>
      </c>
      <c r="J1723" s="46">
        <v>1</v>
      </c>
      <c r="K1723" s="46">
        <v>12</v>
      </c>
      <c r="L1723" s="136">
        <v>60</v>
      </c>
      <c r="M1723" s="137" t="s">
        <v>22</v>
      </c>
      <c r="N1723" s="138"/>
      <c r="O1723" s="138"/>
      <c r="P1723" s="138"/>
      <c r="Q1723" s="138"/>
      <c r="R1723" s="138"/>
      <c r="S1723" s="138"/>
      <c r="T1723" s="138"/>
      <c r="U1723" s="138"/>
    </row>
    <row r="1724" spans="1:22" s="26" customFormat="1" ht="15" customHeight="1" x14ac:dyDescent="0.2">
      <c r="A1724" s="32">
        <v>41730.453969907408</v>
      </c>
      <c r="B1724" s="26" t="s">
        <v>38</v>
      </c>
      <c r="C1724" s="26" t="s">
        <v>187</v>
      </c>
      <c r="D1724" s="33">
        <v>41699</v>
      </c>
      <c r="E1724" s="26" t="s">
        <v>2180</v>
      </c>
      <c r="F1724" s="26" t="s">
        <v>5382</v>
      </c>
      <c r="G1724" s="26" t="s">
        <v>42</v>
      </c>
      <c r="H1724" s="26" t="s">
        <v>5382</v>
      </c>
      <c r="I1724" s="26" t="s">
        <v>3171</v>
      </c>
      <c r="J1724" s="46">
        <v>1</v>
      </c>
      <c r="K1724" s="46">
        <v>4</v>
      </c>
      <c r="L1724" s="136">
        <v>200</v>
      </c>
      <c r="M1724" s="137" t="s">
        <v>22</v>
      </c>
      <c r="N1724" s="138"/>
      <c r="O1724" s="138"/>
      <c r="P1724" s="138"/>
      <c r="Q1724" s="138"/>
      <c r="R1724" s="138"/>
      <c r="S1724" s="138"/>
      <c r="T1724" s="138"/>
      <c r="U1724" s="138"/>
    </row>
    <row r="1725" spans="1:22" s="26" customFormat="1" ht="15" customHeight="1" x14ac:dyDescent="0.2">
      <c r="A1725" s="32">
        <v>41730.459166666667</v>
      </c>
      <c r="B1725" s="26" t="s">
        <v>38</v>
      </c>
      <c r="C1725" s="26" t="s">
        <v>187</v>
      </c>
      <c r="D1725" s="33">
        <v>41699</v>
      </c>
      <c r="E1725" s="26" t="s">
        <v>5389</v>
      </c>
      <c r="F1725" s="26" t="s">
        <v>2400</v>
      </c>
      <c r="G1725" s="26" t="s">
        <v>42</v>
      </c>
      <c r="H1725" s="26" t="s">
        <v>4265</v>
      </c>
      <c r="I1725" s="26" t="s">
        <v>3001</v>
      </c>
      <c r="J1725" s="46">
        <v>1</v>
      </c>
      <c r="K1725" s="46">
        <v>8</v>
      </c>
      <c r="L1725" s="136">
        <v>80</v>
      </c>
      <c r="M1725" s="137" t="s">
        <v>22</v>
      </c>
      <c r="N1725" s="138"/>
      <c r="O1725" s="138"/>
      <c r="P1725" s="138"/>
      <c r="Q1725" s="138"/>
      <c r="R1725" s="138"/>
      <c r="S1725" s="138"/>
      <c r="T1725" s="138"/>
      <c r="U1725" s="138"/>
    </row>
    <row r="1726" spans="1:22" s="26" customFormat="1" ht="15" customHeight="1" x14ac:dyDescent="0.2">
      <c r="A1726" s="32">
        <v>41730.473425925928</v>
      </c>
      <c r="B1726" s="26" t="s">
        <v>38</v>
      </c>
      <c r="C1726" s="26" t="s">
        <v>187</v>
      </c>
      <c r="D1726" s="33">
        <v>41699</v>
      </c>
      <c r="E1726" s="26" t="s">
        <v>5392</v>
      </c>
      <c r="F1726" s="26" t="s">
        <v>120</v>
      </c>
      <c r="G1726" s="26" t="s">
        <v>26</v>
      </c>
      <c r="H1726" s="26" t="s">
        <v>2407</v>
      </c>
      <c r="I1726" s="26" t="s">
        <v>2812</v>
      </c>
      <c r="J1726" s="46">
        <v>1</v>
      </c>
      <c r="K1726" s="46">
        <v>15</v>
      </c>
      <c r="L1726" s="136">
        <v>105</v>
      </c>
      <c r="M1726" s="137" t="s">
        <v>22</v>
      </c>
      <c r="N1726" s="138"/>
      <c r="O1726" s="138"/>
      <c r="P1726" s="138"/>
      <c r="Q1726" s="138"/>
      <c r="R1726" s="138"/>
      <c r="S1726" s="138"/>
      <c r="T1726" s="138"/>
      <c r="U1726" s="138"/>
    </row>
    <row r="1727" spans="1:22" s="26" customFormat="1" ht="15" customHeight="1" x14ac:dyDescent="0.2">
      <c r="A1727" s="32">
        <v>41730.475162037037</v>
      </c>
      <c r="B1727" s="26" t="s">
        <v>38</v>
      </c>
      <c r="C1727" s="26" t="s">
        <v>187</v>
      </c>
      <c r="D1727" s="33">
        <v>41699</v>
      </c>
      <c r="E1727" s="26" t="s">
        <v>5393</v>
      </c>
      <c r="F1727" s="26" t="s">
        <v>5394</v>
      </c>
      <c r="G1727" s="26" t="s">
        <v>26</v>
      </c>
      <c r="H1727" s="26" t="s">
        <v>5395</v>
      </c>
      <c r="I1727" s="26" t="s">
        <v>3171</v>
      </c>
      <c r="J1727" s="46">
        <v>2</v>
      </c>
      <c r="K1727" s="46">
        <v>10</v>
      </c>
      <c r="L1727" s="136">
        <v>150</v>
      </c>
      <c r="M1727" s="137" t="s">
        <v>22</v>
      </c>
      <c r="N1727" s="138"/>
      <c r="O1727" s="138"/>
      <c r="P1727" s="138"/>
      <c r="Q1727" s="138"/>
      <c r="R1727" s="138"/>
      <c r="S1727" s="138"/>
      <c r="T1727" s="138"/>
      <c r="U1727" s="138"/>
    </row>
    <row r="1728" spans="1:22" s="26" customFormat="1" ht="15" customHeight="1" x14ac:dyDescent="0.2">
      <c r="A1728" s="32">
        <v>41730.463854166665</v>
      </c>
      <c r="B1728" s="26" t="s">
        <v>38</v>
      </c>
      <c r="C1728" s="26" t="s">
        <v>187</v>
      </c>
      <c r="D1728" s="33">
        <v>41699</v>
      </c>
      <c r="E1728" s="26" t="s">
        <v>5396</v>
      </c>
      <c r="F1728" s="26" t="s">
        <v>5397</v>
      </c>
      <c r="G1728" s="26" t="s">
        <v>26</v>
      </c>
      <c r="H1728" s="26" t="s">
        <v>5398</v>
      </c>
      <c r="I1728" s="26" t="s">
        <v>5399</v>
      </c>
      <c r="J1728" s="46">
        <v>1</v>
      </c>
      <c r="K1728" s="46">
        <v>0</v>
      </c>
      <c r="L1728" s="136">
        <v>0</v>
      </c>
      <c r="M1728" s="137" t="s">
        <v>22</v>
      </c>
      <c r="N1728" s="138"/>
      <c r="O1728" s="138"/>
      <c r="P1728" s="138"/>
      <c r="Q1728" s="138"/>
      <c r="R1728" s="138"/>
      <c r="S1728" s="138"/>
      <c r="T1728" s="138"/>
      <c r="U1728" s="138"/>
      <c r="V1728" s="26" t="s">
        <v>5400</v>
      </c>
    </row>
    <row r="1729" spans="1:27" s="26" customFormat="1" ht="15" customHeight="1" x14ac:dyDescent="0.2">
      <c r="A1729" s="32">
        <v>41730.467858796299</v>
      </c>
      <c r="B1729" s="26" t="s">
        <v>38</v>
      </c>
      <c r="C1729" s="26" t="s">
        <v>187</v>
      </c>
      <c r="D1729" s="33">
        <v>41699</v>
      </c>
      <c r="E1729" s="26" t="s">
        <v>5401</v>
      </c>
      <c r="F1729" s="26" t="s">
        <v>5402</v>
      </c>
      <c r="G1729" s="26" t="s">
        <v>26</v>
      </c>
      <c r="H1729" s="26" t="s">
        <v>5403</v>
      </c>
      <c r="I1729" s="26" t="s">
        <v>2986</v>
      </c>
      <c r="J1729" s="46">
        <v>1</v>
      </c>
      <c r="K1729" s="46">
        <v>1</v>
      </c>
      <c r="L1729" s="136">
        <v>0</v>
      </c>
      <c r="M1729" s="137" t="s">
        <v>22</v>
      </c>
      <c r="N1729" s="138"/>
      <c r="O1729" s="138"/>
      <c r="P1729" s="138"/>
      <c r="Q1729" s="138"/>
      <c r="R1729" s="138"/>
      <c r="S1729" s="138"/>
      <c r="T1729" s="138"/>
      <c r="U1729" s="138"/>
      <c r="V1729" s="26" t="s">
        <v>5404</v>
      </c>
    </row>
    <row r="1730" spans="1:27" s="26" customFormat="1" ht="15" customHeight="1" x14ac:dyDescent="0.2">
      <c r="A1730" s="32">
        <v>41730.469039351854</v>
      </c>
      <c r="B1730" s="26" t="s">
        <v>38</v>
      </c>
      <c r="C1730" s="26" t="s">
        <v>187</v>
      </c>
      <c r="D1730" s="33">
        <v>41699</v>
      </c>
      <c r="E1730" s="26" t="s">
        <v>5405</v>
      </c>
      <c r="F1730" s="26" t="s">
        <v>5406</v>
      </c>
      <c r="G1730" s="26" t="s">
        <v>20</v>
      </c>
      <c r="H1730" s="26" t="s">
        <v>624</v>
      </c>
      <c r="I1730" s="26" t="s">
        <v>3001</v>
      </c>
      <c r="J1730" s="46">
        <v>1</v>
      </c>
      <c r="K1730" s="46">
        <v>8</v>
      </c>
      <c r="L1730" s="136">
        <v>24</v>
      </c>
      <c r="M1730" s="137" t="s">
        <v>22</v>
      </c>
      <c r="N1730" s="138"/>
      <c r="O1730" s="138"/>
      <c r="P1730" s="138"/>
      <c r="Q1730" s="138"/>
      <c r="R1730" s="138"/>
      <c r="S1730" s="138"/>
      <c r="T1730" s="138"/>
      <c r="U1730" s="138"/>
    </row>
    <row r="1731" spans="1:27" s="54" customFormat="1" ht="15" customHeight="1" x14ac:dyDescent="0.2">
      <c r="A1731" s="32">
        <v>41730.470833333333</v>
      </c>
      <c r="B1731" s="26" t="s">
        <v>38</v>
      </c>
      <c r="C1731" s="26" t="s">
        <v>187</v>
      </c>
      <c r="D1731" s="33">
        <v>41699</v>
      </c>
      <c r="E1731" s="26" t="s">
        <v>5407</v>
      </c>
      <c r="F1731" s="26" t="s">
        <v>5408</v>
      </c>
      <c r="G1731" s="26" t="s">
        <v>26</v>
      </c>
      <c r="H1731" s="26" t="s">
        <v>2402</v>
      </c>
      <c r="I1731" s="26" t="s">
        <v>2986</v>
      </c>
      <c r="J1731" s="46">
        <v>1</v>
      </c>
      <c r="K1731" s="46">
        <v>7</v>
      </c>
      <c r="L1731" s="136">
        <v>49</v>
      </c>
      <c r="M1731" s="137" t="s">
        <v>22</v>
      </c>
      <c r="N1731" s="138"/>
      <c r="O1731" s="138"/>
      <c r="P1731" s="138"/>
      <c r="Q1731" s="138"/>
      <c r="R1731" s="138"/>
      <c r="S1731" s="138"/>
      <c r="T1731" s="138"/>
      <c r="U1731" s="138"/>
      <c r="V1731" s="26"/>
      <c r="W1731" s="26"/>
      <c r="X1731" s="26"/>
      <c r="Y1731" s="26"/>
      <c r="Z1731" s="52"/>
      <c r="AA1731" s="52"/>
    </row>
    <row r="1732" spans="1:27" s="54" customFormat="1" ht="15" customHeight="1" x14ac:dyDescent="0.2">
      <c r="A1732" s="32">
        <v>41730.47892361111</v>
      </c>
      <c r="B1732" s="26" t="s">
        <v>38</v>
      </c>
      <c r="C1732" s="26" t="s">
        <v>187</v>
      </c>
      <c r="D1732" s="33">
        <v>41699</v>
      </c>
      <c r="E1732" s="26" t="s">
        <v>5396</v>
      </c>
      <c r="F1732" s="26" t="s">
        <v>2100</v>
      </c>
      <c r="G1732" s="26" t="s">
        <v>26</v>
      </c>
      <c r="H1732" s="26" t="s">
        <v>160</v>
      </c>
      <c r="I1732" s="26" t="s">
        <v>3001</v>
      </c>
      <c r="J1732" s="46">
        <v>1</v>
      </c>
      <c r="K1732" s="46">
        <v>8</v>
      </c>
      <c r="L1732" s="136"/>
      <c r="M1732" s="137" t="s">
        <v>22</v>
      </c>
      <c r="N1732" s="138"/>
      <c r="O1732" s="138"/>
      <c r="P1732" s="138"/>
      <c r="Q1732" s="138"/>
      <c r="R1732" s="138"/>
      <c r="S1732" s="138"/>
      <c r="T1732" s="138"/>
      <c r="U1732" s="138"/>
      <c r="V1732" s="26" t="s">
        <v>5419</v>
      </c>
      <c r="W1732" s="26"/>
      <c r="X1732" s="26"/>
      <c r="Y1732" s="26"/>
      <c r="Z1732" s="52"/>
      <c r="AA1732" s="52"/>
    </row>
    <row r="1733" spans="1:27" s="54" customFormat="1" ht="15" customHeight="1" x14ac:dyDescent="0.2">
      <c r="A1733" s="32">
        <v>41730.485821759263</v>
      </c>
      <c r="B1733" s="26" t="s">
        <v>38</v>
      </c>
      <c r="C1733" s="26" t="s">
        <v>187</v>
      </c>
      <c r="D1733" s="33">
        <v>41699</v>
      </c>
      <c r="E1733" s="26" t="s">
        <v>5427</v>
      </c>
      <c r="F1733" s="26" t="s">
        <v>4845</v>
      </c>
      <c r="G1733" s="26" t="s">
        <v>26</v>
      </c>
      <c r="H1733" s="26" t="s">
        <v>4845</v>
      </c>
      <c r="I1733" s="26" t="s">
        <v>2812</v>
      </c>
      <c r="J1733" s="46">
        <v>8</v>
      </c>
      <c r="K1733" s="46">
        <v>30</v>
      </c>
      <c r="L1733" s="136">
        <v>150</v>
      </c>
      <c r="M1733" s="137" t="s">
        <v>22</v>
      </c>
      <c r="N1733" s="138"/>
      <c r="O1733" s="138"/>
      <c r="P1733" s="138"/>
      <c r="Q1733" s="138"/>
      <c r="R1733" s="138"/>
      <c r="S1733" s="138"/>
      <c r="T1733" s="138"/>
      <c r="U1733" s="138"/>
      <c r="V1733" s="26"/>
      <c r="W1733" s="26"/>
      <c r="X1733" s="26"/>
      <c r="Y1733" s="26"/>
      <c r="Z1733" s="52"/>
      <c r="AA1733" s="52"/>
    </row>
    <row r="1734" spans="1:27" s="54" customFormat="1" ht="15" customHeight="1" x14ac:dyDescent="0.2">
      <c r="A1734" s="32">
        <v>41730.487638888888</v>
      </c>
      <c r="B1734" s="26" t="s">
        <v>38</v>
      </c>
      <c r="C1734" s="26" t="s">
        <v>187</v>
      </c>
      <c r="D1734" s="33">
        <v>41699</v>
      </c>
      <c r="E1734" s="26" t="s">
        <v>5434</v>
      </c>
      <c r="F1734" s="26" t="s">
        <v>5408</v>
      </c>
      <c r="G1734" s="26" t="s">
        <v>26</v>
      </c>
      <c r="H1734" s="26" t="s">
        <v>5408</v>
      </c>
      <c r="I1734" s="26" t="s">
        <v>2812</v>
      </c>
      <c r="J1734" s="46">
        <v>1</v>
      </c>
      <c r="K1734" s="46">
        <v>23</v>
      </c>
      <c r="L1734" s="136">
        <v>161</v>
      </c>
      <c r="M1734" s="137" t="s">
        <v>44</v>
      </c>
      <c r="N1734" s="138"/>
      <c r="O1734" s="138"/>
      <c r="P1734" s="138"/>
      <c r="Q1734" s="138"/>
      <c r="R1734" s="138"/>
      <c r="S1734" s="138"/>
      <c r="T1734" s="138">
        <v>50</v>
      </c>
      <c r="U1734" s="138"/>
      <c r="V1734" s="26"/>
      <c r="W1734" s="26"/>
      <c r="X1734" s="26"/>
      <c r="Y1734" s="26"/>
      <c r="Z1734" s="52"/>
      <c r="AA1734" s="52"/>
    </row>
    <row r="1735" spans="1:27" s="54" customFormat="1" ht="15" customHeight="1" x14ac:dyDescent="0.2">
      <c r="A1735" s="32">
        <v>41730.510324074072</v>
      </c>
      <c r="B1735" s="26" t="s">
        <v>38</v>
      </c>
      <c r="C1735" s="26" t="s">
        <v>187</v>
      </c>
      <c r="D1735" s="33">
        <v>41699</v>
      </c>
      <c r="E1735" s="26" t="s">
        <v>5461</v>
      </c>
      <c r="F1735" s="26" t="s">
        <v>5462</v>
      </c>
      <c r="G1735" s="26" t="s">
        <v>26</v>
      </c>
      <c r="H1735" s="26" t="s">
        <v>4265</v>
      </c>
      <c r="I1735" s="26" t="s">
        <v>3001</v>
      </c>
      <c r="J1735" s="46">
        <v>7</v>
      </c>
      <c r="K1735" s="46">
        <v>278</v>
      </c>
      <c r="L1735" s="136">
        <v>1849.76</v>
      </c>
      <c r="M1735" s="137" t="s">
        <v>44</v>
      </c>
      <c r="N1735" s="138"/>
      <c r="O1735" s="138"/>
      <c r="P1735" s="138"/>
      <c r="Q1735" s="138"/>
      <c r="R1735" s="138"/>
      <c r="S1735" s="138"/>
      <c r="T1735" s="138">
        <v>100</v>
      </c>
      <c r="U1735" s="138"/>
      <c r="V1735" s="26" t="s">
        <v>5463</v>
      </c>
      <c r="W1735" s="26"/>
      <c r="X1735" s="26"/>
      <c r="Y1735" s="26"/>
      <c r="Z1735" s="52"/>
      <c r="AA1735" s="52"/>
    </row>
    <row r="1736" spans="1:27" s="54" customFormat="1" ht="15" customHeight="1" x14ac:dyDescent="0.2">
      <c r="A1736" s="32">
        <v>41739.678414351853</v>
      </c>
      <c r="B1736" s="26" t="s">
        <v>38</v>
      </c>
      <c r="C1736" s="26" t="s">
        <v>187</v>
      </c>
      <c r="D1736" s="33">
        <v>41699</v>
      </c>
      <c r="E1736" s="26" t="s">
        <v>5894</v>
      </c>
      <c r="F1736" s="26" t="s">
        <v>5895</v>
      </c>
      <c r="G1736" s="26" t="s">
        <v>156</v>
      </c>
      <c r="H1736" s="26" t="s">
        <v>5896</v>
      </c>
      <c r="I1736" s="26" t="s">
        <v>5897</v>
      </c>
      <c r="J1736" s="46">
        <v>1</v>
      </c>
      <c r="K1736" s="46">
        <v>450</v>
      </c>
      <c r="L1736" s="136">
        <v>4200</v>
      </c>
      <c r="M1736" s="137" t="s">
        <v>44</v>
      </c>
      <c r="N1736" s="138"/>
      <c r="O1736" s="138">
        <v>800</v>
      </c>
      <c r="P1736" s="138">
        <v>930</v>
      </c>
      <c r="Q1736" s="138"/>
      <c r="R1736" s="138"/>
      <c r="S1736" s="138"/>
      <c r="T1736" s="138"/>
      <c r="U1736" s="138"/>
      <c r="V1736" s="26" t="s">
        <v>5898</v>
      </c>
      <c r="W1736" s="26"/>
      <c r="X1736" s="26"/>
      <c r="Y1736" s="26"/>
      <c r="Z1736" s="52"/>
      <c r="AA1736" s="52"/>
    </row>
    <row r="1737" spans="1:27" s="54" customFormat="1" ht="15" customHeight="1" x14ac:dyDescent="0.2">
      <c r="A1737" s="32">
        <v>41733.553043981483</v>
      </c>
      <c r="B1737" s="26" t="s">
        <v>38</v>
      </c>
      <c r="C1737" s="26" t="s">
        <v>187</v>
      </c>
      <c r="D1737" s="33">
        <v>41730</v>
      </c>
      <c r="E1737" s="26" t="s">
        <v>5655</v>
      </c>
      <c r="F1737" s="26" t="s">
        <v>5656</v>
      </c>
      <c r="G1737" s="26" t="s">
        <v>20</v>
      </c>
      <c r="H1737" s="26"/>
      <c r="I1737" s="26" t="s">
        <v>3678</v>
      </c>
      <c r="J1737" s="46">
        <v>1</v>
      </c>
      <c r="K1737" s="46">
        <v>50</v>
      </c>
      <c r="L1737" s="138">
        <v>150</v>
      </c>
      <c r="M1737" s="137"/>
      <c r="N1737" s="138"/>
      <c r="O1737" s="138"/>
      <c r="P1737" s="138"/>
      <c r="Q1737" s="138"/>
      <c r="R1737" s="138"/>
      <c r="S1737" s="138"/>
      <c r="T1737" s="138"/>
      <c r="U1737" s="138"/>
      <c r="V1737" s="26"/>
      <c r="W1737" s="26"/>
      <c r="X1737" s="26"/>
      <c r="Y1737" s="26"/>
      <c r="Z1737" s="52"/>
      <c r="AA1737" s="52"/>
    </row>
    <row r="1738" spans="1:27" s="54" customFormat="1" ht="15" customHeight="1" x14ac:dyDescent="0.2">
      <c r="A1738" s="93">
        <v>41760.635046296302</v>
      </c>
      <c r="B1738" s="89" t="s">
        <v>38</v>
      </c>
      <c r="C1738" s="52" t="s">
        <v>187</v>
      </c>
      <c r="D1738" s="87" t="s">
        <v>6076</v>
      </c>
      <c r="E1738" s="89" t="s">
        <v>6229</v>
      </c>
      <c r="F1738" s="89" t="s">
        <v>5395</v>
      </c>
      <c r="G1738" s="89" t="s">
        <v>26</v>
      </c>
      <c r="H1738" s="89" t="s">
        <v>5395</v>
      </c>
      <c r="I1738" s="89" t="s">
        <v>3171</v>
      </c>
      <c r="J1738" s="95">
        <v>2</v>
      </c>
      <c r="K1738" s="95">
        <v>6</v>
      </c>
      <c r="L1738" s="149">
        <v>200</v>
      </c>
      <c r="M1738" s="146" t="s">
        <v>22</v>
      </c>
      <c r="N1738" s="149"/>
      <c r="O1738" s="149"/>
      <c r="P1738" s="149"/>
      <c r="Q1738" s="149"/>
      <c r="R1738" s="149"/>
      <c r="S1738" s="149"/>
      <c r="T1738" s="149"/>
      <c r="U1738" s="149"/>
      <c r="V1738" s="89"/>
      <c r="W1738" s="91"/>
      <c r="X1738" s="91"/>
      <c r="Y1738" s="91"/>
      <c r="Z1738" s="52"/>
      <c r="AA1738" s="52"/>
    </row>
    <row r="1739" spans="1:27" s="54" customFormat="1" ht="15" customHeight="1" x14ac:dyDescent="0.2">
      <c r="A1739" s="55">
        <v>41760.667696759301</v>
      </c>
      <c r="B1739" s="52" t="s">
        <v>38</v>
      </c>
      <c r="C1739" s="52" t="s">
        <v>187</v>
      </c>
      <c r="D1739" s="88" t="s">
        <v>6076</v>
      </c>
      <c r="E1739" s="52" t="s">
        <v>623</v>
      </c>
      <c r="F1739" s="52" t="s">
        <v>1714</v>
      </c>
      <c r="G1739" s="52" t="s">
        <v>20</v>
      </c>
      <c r="H1739" s="52" t="s">
        <v>1714</v>
      </c>
      <c r="I1739" s="52" t="s">
        <v>3001</v>
      </c>
      <c r="J1739" s="95">
        <v>6</v>
      </c>
      <c r="K1739" s="95">
        <v>333</v>
      </c>
      <c r="L1739" s="149">
        <v>999</v>
      </c>
      <c r="M1739" s="146" t="s">
        <v>44</v>
      </c>
      <c r="N1739" s="149"/>
      <c r="O1739" s="149"/>
      <c r="P1739" s="149">
        <v>180</v>
      </c>
      <c r="Q1739" s="149"/>
      <c r="R1739" s="149"/>
      <c r="S1739" s="149"/>
      <c r="T1739" s="149"/>
      <c r="U1739" s="149"/>
      <c r="V1739" s="52"/>
      <c r="W1739" s="26"/>
      <c r="X1739" s="26"/>
      <c r="Y1739" s="26"/>
      <c r="Z1739" s="52"/>
      <c r="AA1739" s="52"/>
    </row>
    <row r="1740" spans="1:27" s="54" customFormat="1" ht="15" customHeight="1" x14ac:dyDescent="0.2">
      <c r="A1740" s="93">
        <v>41760.672337962998</v>
      </c>
      <c r="B1740" s="89" t="s">
        <v>38</v>
      </c>
      <c r="C1740" s="52" t="s">
        <v>187</v>
      </c>
      <c r="D1740" s="87" t="s">
        <v>6076</v>
      </c>
      <c r="E1740" s="89"/>
      <c r="F1740" s="89" t="s">
        <v>1133</v>
      </c>
      <c r="G1740" s="89" t="s">
        <v>156</v>
      </c>
      <c r="H1740" s="89" t="s">
        <v>1133</v>
      </c>
      <c r="I1740" s="89" t="s">
        <v>3001</v>
      </c>
      <c r="J1740" s="95">
        <v>1</v>
      </c>
      <c r="K1740" s="95">
        <v>109</v>
      </c>
      <c r="L1740" s="149"/>
      <c r="M1740" s="146"/>
      <c r="N1740" s="149"/>
      <c r="O1740" s="149"/>
      <c r="P1740" s="149"/>
      <c r="Q1740" s="149"/>
      <c r="R1740" s="149"/>
      <c r="S1740" s="149"/>
      <c r="T1740" s="149"/>
      <c r="U1740" s="149"/>
      <c r="V1740" s="89"/>
      <c r="W1740" s="91"/>
      <c r="X1740" s="91"/>
      <c r="Y1740" s="91"/>
      <c r="Z1740" s="52"/>
      <c r="AA1740" s="52"/>
    </row>
    <row r="1741" spans="1:27" s="54" customFormat="1" ht="15" customHeight="1" x14ac:dyDescent="0.2">
      <c r="A1741" s="93">
        <v>41760.673819444397</v>
      </c>
      <c r="B1741" s="89" t="s">
        <v>38</v>
      </c>
      <c r="C1741" s="52" t="s">
        <v>187</v>
      </c>
      <c r="D1741" s="87" t="s">
        <v>6076</v>
      </c>
      <c r="E1741" s="89" t="s">
        <v>598</v>
      </c>
      <c r="F1741" s="89" t="s">
        <v>6235</v>
      </c>
      <c r="G1741" s="89" t="s">
        <v>26</v>
      </c>
      <c r="H1741" s="89" t="s">
        <v>6236</v>
      </c>
      <c r="I1741" s="89" t="s">
        <v>3038</v>
      </c>
      <c r="J1741" s="95">
        <v>1</v>
      </c>
      <c r="K1741" s="95">
        <v>10</v>
      </c>
      <c r="L1741" s="149">
        <v>50</v>
      </c>
      <c r="M1741" s="146" t="s">
        <v>22</v>
      </c>
      <c r="N1741" s="149"/>
      <c r="O1741" s="149"/>
      <c r="P1741" s="149"/>
      <c r="Q1741" s="149"/>
      <c r="R1741" s="149"/>
      <c r="S1741" s="149"/>
      <c r="T1741" s="149"/>
      <c r="U1741" s="149"/>
      <c r="V1741" s="89"/>
      <c r="W1741" s="91"/>
      <c r="X1741" s="91"/>
      <c r="Y1741" s="91"/>
      <c r="Z1741" s="52"/>
      <c r="AA1741" s="52"/>
    </row>
    <row r="1742" spans="1:27" s="54" customFormat="1" ht="15" customHeight="1" x14ac:dyDescent="0.2">
      <c r="A1742" s="93">
        <v>41760.6749305556</v>
      </c>
      <c r="B1742" s="89" t="s">
        <v>38</v>
      </c>
      <c r="C1742" s="52" t="s">
        <v>187</v>
      </c>
      <c r="D1742" s="87" t="s">
        <v>6076</v>
      </c>
      <c r="E1742" s="89" t="s">
        <v>6237</v>
      </c>
      <c r="F1742" s="89" t="s">
        <v>6238</v>
      </c>
      <c r="G1742" s="89" t="s">
        <v>26</v>
      </c>
      <c r="H1742" s="89" t="s">
        <v>6239</v>
      </c>
      <c r="I1742" s="89" t="s">
        <v>3038</v>
      </c>
      <c r="J1742" s="95">
        <v>1</v>
      </c>
      <c r="K1742" s="95">
        <v>10</v>
      </c>
      <c r="L1742" s="149">
        <v>50</v>
      </c>
      <c r="M1742" s="146" t="s">
        <v>22</v>
      </c>
      <c r="N1742" s="149"/>
      <c r="O1742" s="149"/>
      <c r="P1742" s="149"/>
      <c r="Q1742" s="149"/>
      <c r="R1742" s="149"/>
      <c r="S1742" s="149"/>
      <c r="T1742" s="149"/>
      <c r="U1742" s="149"/>
      <c r="V1742" s="89"/>
      <c r="W1742" s="91"/>
      <c r="X1742" s="91"/>
      <c r="Y1742" s="91"/>
      <c r="Z1742" s="52"/>
      <c r="AA1742" s="52"/>
    </row>
    <row r="1743" spans="1:27" s="54" customFormat="1" ht="15" customHeight="1" x14ac:dyDescent="0.2">
      <c r="A1743" s="93">
        <v>41760.678437499999</v>
      </c>
      <c r="B1743" s="89" t="s">
        <v>38</v>
      </c>
      <c r="C1743" s="52" t="s">
        <v>187</v>
      </c>
      <c r="D1743" s="87" t="s">
        <v>6076</v>
      </c>
      <c r="E1743" s="89" t="s">
        <v>598</v>
      </c>
      <c r="F1743" s="89" t="s">
        <v>6240</v>
      </c>
      <c r="G1743" s="89" t="s">
        <v>26</v>
      </c>
      <c r="H1743" s="89" t="s">
        <v>6241</v>
      </c>
      <c r="I1743" s="89" t="s">
        <v>3001</v>
      </c>
      <c r="J1743" s="95">
        <v>2</v>
      </c>
      <c r="K1743" s="95">
        <v>8</v>
      </c>
      <c r="L1743" s="149">
        <v>56</v>
      </c>
      <c r="M1743" s="146" t="s">
        <v>22</v>
      </c>
      <c r="N1743" s="149"/>
      <c r="O1743" s="149"/>
      <c r="P1743" s="149"/>
      <c r="Q1743" s="149"/>
      <c r="R1743" s="149"/>
      <c r="S1743" s="149"/>
      <c r="T1743" s="149"/>
      <c r="U1743" s="149"/>
      <c r="V1743" s="89"/>
      <c r="W1743" s="91"/>
      <c r="X1743" s="91"/>
      <c r="Y1743" s="91"/>
      <c r="Z1743" s="52"/>
      <c r="AA1743" s="52"/>
    </row>
    <row r="1744" spans="1:27" s="54" customFormat="1" ht="15" customHeight="1" x14ac:dyDescent="0.2">
      <c r="A1744" s="55">
        <v>41760.679525462998</v>
      </c>
      <c r="B1744" s="52" t="s">
        <v>38</v>
      </c>
      <c r="C1744" s="52" t="s">
        <v>187</v>
      </c>
      <c r="D1744" s="88" t="s">
        <v>6076</v>
      </c>
      <c r="E1744" s="52" t="s">
        <v>598</v>
      </c>
      <c r="F1744" s="52" t="s">
        <v>6242</v>
      </c>
      <c r="G1744" s="52" t="s">
        <v>42</v>
      </c>
      <c r="H1744" s="52" t="s">
        <v>6243</v>
      </c>
      <c r="I1744" s="52" t="s">
        <v>2812</v>
      </c>
      <c r="J1744" s="95">
        <v>1</v>
      </c>
      <c r="K1744" s="95">
        <v>7</v>
      </c>
      <c r="L1744" s="149">
        <v>70</v>
      </c>
      <c r="M1744" s="146" t="s">
        <v>22</v>
      </c>
      <c r="N1744" s="149"/>
      <c r="O1744" s="149"/>
      <c r="P1744" s="149"/>
      <c r="Q1744" s="149"/>
      <c r="R1744" s="149"/>
      <c r="S1744" s="149"/>
      <c r="T1744" s="149"/>
      <c r="U1744" s="149"/>
      <c r="V1744" s="52"/>
      <c r="W1744" s="26"/>
      <c r="X1744" s="26"/>
      <c r="Y1744" s="26"/>
      <c r="Z1744" s="52"/>
      <c r="AA1744" s="52"/>
    </row>
    <row r="1745" spans="1:27" s="54" customFormat="1" ht="15" customHeight="1" x14ac:dyDescent="0.2">
      <c r="A1745" s="93">
        <v>41760.682280092602</v>
      </c>
      <c r="B1745" s="89" t="s">
        <v>38</v>
      </c>
      <c r="C1745" s="52" t="s">
        <v>187</v>
      </c>
      <c r="D1745" s="87" t="s">
        <v>6076</v>
      </c>
      <c r="E1745" s="89" t="s">
        <v>6244</v>
      </c>
      <c r="F1745" s="89" t="s">
        <v>6245</v>
      </c>
      <c r="G1745" s="89" t="s">
        <v>26</v>
      </c>
      <c r="H1745" s="89" t="s">
        <v>6014</v>
      </c>
      <c r="I1745" s="89" t="s">
        <v>3001</v>
      </c>
      <c r="J1745" s="95">
        <v>1</v>
      </c>
      <c r="K1745" s="95">
        <v>35</v>
      </c>
      <c r="L1745" s="149">
        <v>35</v>
      </c>
      <c r="M1745" s="146" t="s">
        <v>44</v>
      </c>
      <c r="N1745" s="149"/>
      <c r="O1745" s="149"/>
      <c r="P1745" s="149">
        <v>100</v>
      </c>
      <c r="Q1745" s="149"/>
      <c r="R1745" s="149"/>
      <c r="S1745" s="149"/>
      <c r="T1745" s="149"/>
      <c r="U1745" s="149"/>
      <c r="V1745" s="89"/>
      <c r="W1745" s="91"/>
      <c r="X1745" s="91"/>
      <c r="Y1745" s="91"/>
      <c r="Z1745" s="52"/>
      <c r="AA1745" s="52"/>
    </row>
    <row r="1746" spans="1:27" s="54" customFormat="1" ht="15" customHeight="1" x14ac:dyDescent="0.2">
      <c r="A1746" s="93">
        <v>41760.684027777803</v>
      </c>
      <c r="B1746" s="89" t="s">
        <v>38</v>
      </c>
      <c r="C1746" s="52" t="s">
        <v>187</v>
      </c>
      <c r="D1746" s="87" t="s">
        <v>6076</v>
      </c>
      <c r="E1746" s="89" t="s">
        <v>6246</v>
      </c>
      <c r="F1746" s="89" t="s">
        <v>6247</v>
      </c>
      <c r="G1746" s="89" t="s">
        <v>26</v>
      </c>
      <c r="H1746" s="89" t="s">
        <v>6247</v>
      </c>
      <c r="I1746" s="89" t="s">
        <v>2812</v>
      </c>
      <c r="J1746" s="95">
        <v>7</v>
      </c>
      <c r="K1746" s="95">
        <v>17</v>
      </c>
      <c r="L1746" s="149">
        <v>85</v>
      </c>
      <c r="M1746" s="146" t="s">
        <v>22</v>
      </c>
      <c r="N1746" s="149"/>
      <c r="O1746" s="149"/>
      <c r="P1746" s="149"/>
      <c r="Q1746" s="149"/>
      <c r="R1746" s="149"/>
      <c r="S1746" s="149"/>
      <c r="T1746" s="149"/>
      <c r="U1746" s="149"/>
      <c r="V1746" s="89"/>
      <c r="W1746" s="91"/>
      <c r="X1746" s="91"/>
      <c r="Y1746" s="91"/>
      <c r="Z1746" s="52"/>
      <c r="AA1746" s="52"/>
    </row>
    <row r="1747" spans="1:27" s="54" customFormat="1" ht="15" customHeight="1" x14ac:dyDescent="0.2">
      <c r="A1747" s="93">
        <v>41760.686446759297</v>
      </c>
      <c r="B1747" s="89" t="s">
        <v>38</v>
      </c>
      <c r="C1747" s="52" t="s">
        <v>187</v>
      </c>
      <c r="D1747" s="87" t="s">
        <v>6076</v>
      </c>
      <c r="E1747" s="89" t="s">
        <v>1523</v>
      </c>
      <c r="F1747" s="89" t="s">
        <v>1969</v>
      </c>
      <c r="G1747" s="89" t="s">
        <v>26</v>
      </c>
      <c r="H1747" s="89" t="s">
        <v>6248</v>
      </c>
      <c r="I1747" s="89" t="s">
        <v>3001</v>
      </c>
      <c r="J1747" s="95">
        <v>2</v>
      </c>
      <c r="K1747" s="95">
        <v>56</v>
      </c>
      <c r="L1747" s="149">
        <v>392</v>
      </c>
      <c r="M1747" s="146" t="s">
        <v>22</v>
      </c>
      <c r="N1747" s="149"/>
      <c r="O1747" s="149"/>
      <c r="P1747" s="149"/>
      <c r="Q1747" s="149"/>
      <c r="R1747" s="149"/>
      <c r="S1747" s="149"/>
      <c r="T1747" s="149"/>
      <c r="U1747" s="149"/>
      <c r="V1747" s="89"/>
      <c r="W1747" s="91"/>
      <c r="X1747" s="91"/>
      <c r="Y1747" s="91"/>
      <c r="Z1747" s="52"/>
      <c r="AA1747" s="52"/>
    </row>
    <row r="1748" spans="1:27" s="54" customFormat="1" ht="15" customHeight="1" x14ac:dyDescent="0.2">
      <c r="A1748" s="93">
        <v>41760.692754629599</v>
      </c>
      <c r="B1748" s="89" t="s">
        <v>38</v>
      </c>
      <c r="C1748" s="52" t="s">
        <v>187</v>
      </c>
      <c r="D1748" s="87" t="s">
        <v>6076</v>
      </c>
      <c r="E1748" s="89" t="s">
        <v>2175</v>
      </c>
      <c r="F1748" s="89" t="s">
        <v>6249</v>
      </c>
      <c r="G1748" s="89" t="s">
        <v>26</v>
      </c>
      <c r="H1748" s="89" t="s">
        <v>6249</v>
      </c>
      <c r="I1748" s="89" t="s">
        <v>3001</v>
      </c>
      <c r="J1748" s="95">
        <v>2</v>
      </c>
      <c r="K1748" s="95">
        <v>11</v>
      </c>
      <c r="L1748" s="149">
        <v>44</v>
      </c>
      <c r="M1748" s="146" t="s">
        <v>22</v>
      </c>
      <c r="N1748" s="149"/>
      <c r="O1748" s="149"/>
      <c r="P1748" s="149"/>
      <c r="Q1748" s="149"/>
      <c r="R1748" s="149"/>
      <c r="S1748" s="149"/>
      <c r="T1748" s="149"/>
      <c r="U1748" s="149"/>
      <c r="V1748" s="89" t="s">
        <v>6250</v>
      </c>
      <c r="W1748" s="91"/>
      <c r="X1748" s="91"/>
      <c r="Y1748" s="91"/>
      <c r="Z1748" s="52"/>
      <c r="AA1748" s="52"/>
    </row>
    <row r="1749" spans="1:27" s="54" customFormat="1" ht="15" customHeight="1" x14ac:dyDescent="0.2">
      <c r="A1749" s="93">
        <v>41760.6961226852</v>
      </c>
      <c r="B1749" s="89" t="s">
        <v>38</v>
      </c>
      <c r="C1749" s="52" t="s">
        <v>187</v>
      </c>
      <c r="D1749" s="87" t="s">
        <v>6076</v>
      </c>
      <c r="E1749" s="89" t="s">
        <v>6251</v>
      </c>
      <c r="F1749" s="89" t="s">
        <v>2400</v>
      </c>
      <c r="G1749" s="89" t="s">
        <v>26</v>
      </c>
      <c r="H1749" s="89" t="s">
        <v>6252</v>
      </c>
      <c r="I1749" s="89" t="s">
        <v>3001</v>
      </c>
      <c r="J1749" s="95">
        <v>15</v>
      </c>
      <c r="K1749" s="95">
        <v>181</v>
      </c>
      <c r="L1749" s="149">
        <v>1026</v>
      </c>
      <c r="M1749" s="146" t="s">
        <v>44</v>
      </c>
      <c r="N1749" s="149"/>
      <c r="O1749" s="149"/>
      <c r="P1749" s="149">
        <v>150</v>
      </c>
      <c r="Q1749" s="149"/>
      <c r="R1749" s="149"/>
      <c r="S1749" s="149"/>
      <c r="T1749" s="149"/>
      <c r="U1749" s="149"/>
      <c r="V1749" s="89"/>
      <c r="W1749" s="91"/>
      <c r="X1749" s="91"/>
      <c r="Y1749" s="91"/>
      <c r="Z1749" s="52"/>
      <c r="AA1749" s="52"/>
    </row>
    <row r="1750" spans="1:27" s="54" customFormat="1" ht="15" customHeight="1" x14ac:dyDescent="0.2">
      <c r="A1750" s="93">
        <v>41795.424467592602</v>
      </c>
      <c r="B1750" s="89" t="s">
        <v>16</v>
      </c>
      <c r="C1750" s="52" t="s">
        <v>532</v>
      </c>
      <c r="D1750" s="87" t="s">
        <v>6224</v>
      </c>
      <c r="E1750" s="89" t="s">
        <v>5147</v>
      </c>
      <c r="F1750" s="89" t="s">
        <v>7252</v>
      </c>
      <c r="G1750" s="89" t="s">
        <v>42</v>
      </c>
      <c r="H1750" s="89" t="s">
        <v>7237</v>
      </c>
      <c r="I1750" s="89" t="s">
        <v>2986</v>
      </c>
      <c r="J1750" s="95">
        <v>1</v>
      </c>
      <c r="K1750" s="95">
        <v>21</v>
      </c>
      <c r="L1750" s="150">
        <v>84</v>
      </c>
      <c r="M1750" s="146" t="s">
        <v>22</v>
      </c>
      <c r="N1750" s="149"/>
      <c r="O1750" s="149"/>
      <c r="P1750" s="149"/>
      <c r="Q1750" s="149"/>
      <c r="R1750" s="149"/>
      <c r="S1750" s="149"/>
      <c r="T1750" s="149"/>
      <c r="U1750" s="149"/>
      <c r="V1750" s="89"/>
      <c r="W1750" s="91"/>
      <c r="X1750" s="91"/>
      <c r="Y1750" s="91"/>
      <c r="Z1750" s="52"/>
      <c r="AA1750" s="52"/>
    </row>
    <row r="1751" spans="1:27" s="54" customFormat="1" ht="15" customHeight="1" x14ac:dyDescent="0.2">
      <c r="A1751" s="93">
        <v>41795.428460648101</v>
      </c>
      <c r="B1751" s="89" t="s">
        <v>16</v>
      </c>
      <c r="C1751" s="52" t="s">
        <v>532</v>
      </c>
      <c r="D1751" s="87" t="s">
        <v>6224</v>
      </c>
      <c r="E1751" s="89" t="s">
        <v>7253</v>
      </c>
      <c r="F1751" s="89" t="s">
        <v>7254</v>
      </c>
      <c r="G1751" s="89" t="s">
        <v>42</v>
      </c>
      <c r="H1751" s="89" t="s">
        <v>1715</v>
      </c>
      <c r="I1751" s="89" t="s">
        <v>3265</v>
      </c>
      <c r="J1751" s="95">
        <v>1</v>
      </c>
      <c r="K1751" s="95">
        <v>25</v>
      </c>
      <c r="L1751" s="150">
        <v>150</v>
      </c>
      <c r="M1751" s="146" t="s">
        <v>22</v>
      </c>
      <c r="N1751" s="149"/>
      <c r="O1751" s="149"/>
      <c r="P1751" s="149"/>
      <c r="Q1751" s="149"/>
      <c r="R1751" s="149"/>
      <c r="S1751" s="149"/>
      <c r="T1751" s="149"/>
      <c r="U1751" s="149"/>
      <c r="V1751" s="89"/>
      <c r="W1751" s="91"/>
      <c r="X1751" s="91"/>
      <c r="Y1751" s="91"/>
      <c r="Z1751" s="52"/>
      <c r="AA1751" s="52"/>
    </row>
    <row r="1752" spans="1:27" s="54" customFormat="1" ht="15" customHeight="1" x14ac:dyDescent="0.2">
      <c r="A1752" s="93">
        <v>41795.429027777798</v>
      </c>
      <c r="B1752" s="89" t="s">
        <v>16</v>
      </c>
      <c r="C1752" s="52" t="s">
        <v>670</v>
      </c>
      <c r="D1752" s="87" t="s">
        <v>6224</v>
      </c>
      <c r="E1752" s="89" t="s">
        <v>706</v>
      </c>
      <c r="F1752" s="89" t="s">
        <v>7255</v>
      </c>
      <c r="G1752" s="89" t="s">
        <v>20</v>
      </c>
      <c r="H1752" s="89" t="s">
        <v>7256</v>
      </c>
      <c r="I1752" s="89" t="s">
        <v>3171</v>
      </c>
      <c r="J1752" s="95">
        <v>4</v>
      </c>
      <c r="K1752" s="95">
        <v>95</v>
      </c>
      <c r="L1752" s="150">
        <v>383</v>
      </c>
      <c r="M1752" s="146" t="s">
        <v>44</v>
      </c>
      <c r="N1752" s="149"/>
      <c r="O1752" s="149">
        <v>40</v>
      </c>
      <c r="P1752" s="149"/>
      <c r="Q1752" s="149"/>
      <c r="R1752" s="149"/>
      <c r="S1752" s="149"/>
      <c r="T1752" s="149"/>
      <c r="U1752" s="149">
        <v>65</v>
      </c>
      <c r="V1752" s="89"/>
      <c r="W1752" s="91"/>
      <c r="X1752" s="91"/>
      <c r="Y1752" s="91"/>
      <c r="Z1752" s="52"/>
      <c r="AA1752" s="52"/>
    </row>
    <row r="1753" spans="1:27" s="54" customFormat="1" ht="15" customHeight="1" x14ac:dyDescent="0.2">
      <c r="A1753" s="93">
        <v>41795.4312152778</v>
      </c>
      <c r="B1753" s="89" t="s">
        <v>16</v>
      </c>
      <c r="C1753" s="52" t="s">
        <v>670</v>
      </c>
      <c r="D1753" s="87" t="s">
        <v>6224</v>
      </c>
      <c r="E1753" s="89" t="s">
        <v>5967</v>
      </c>
      <c r="F1753" s="89" t="s">
        <v>7255</v>
      </c>
      <c r="G1753" s="89" t="s">
        <v>20</v>
      </c>
      <c r="H1753" s="89" t="s">
        <v>6183</v>
      </c>
      <c r="I1753" s="89" t="s">
        <v>3171</v>
      </c>
      <c r="J1753" s="95">
        <v>4</v>
      </c>
      <c r="K1753" s="95">
        <v>96</v>
      </c>
      <c r="L1753" s="150">
        <v>766</v>
      </c>
      <c r="M1753" s="146" t="s">
        <v>44</v>
      </c>
      <c r="N1753" s="149"/>
      <c r="O1753" s="149">
        <v>40</v>
      </c>
      <c r="P1753" s="149"/>
      <c r="Q1753" s="149"/>
      <c r="R1753" s="149"/>
      <c r="S1753" s="149"/>
      <c r="T1753" s="149"/>
      <c r="U1753" s="149">
        <v>65</v>
      </c>
      <c r="V1753" s="89"/>
      <c r="W1753" s="91"/>
      <c r="X1753" s="91"/>
      <c r="Y1753" s="91"/>
      <c r="Z1753" s="52"/>
      <c r="AA1753" s="52"/>
    </row>
    <row r="1754" spans="1:27" s="54" customFormat="1" ht="15" customHeight="1" x14ac:dyDescent="0.2">
      <c r="A1754" s="93">
        <v>41795.432476851798</v>
      </c>
      <c r="B1754" s="89" t="s">
        <v>16</v>
      </c>
      <c r="C1754" s="52" t="s">
        <v>670</v>
      </c>
      <c r="D1754" s="87" t="s">
        <v>6224</v>
      </c>
      <c r="E1754" s="89" t="s">
        <v>5967</v>
      </c>
      <c r="F1754" s="89" t="s">
        <v>7255</v>
      </c>
      <c r="G1754" s="89" t="s">
        <v>20</v>
      </c>
      <c r="H1754" s="89" t="s">
        <v>7257</v>
      </c>
      <c r="I1754" s="89" t="s">
        <v>3171</v>
      </c>
      <c r="J1754" s="95">
        <v>2</v>
      </c>
      <c r="K1754" s="95">
        <v>96</v>
      </c>
      <c r="L1754" s="150">
        <v>382</v>
      </c>
      <c r="M1754" s="146" t="s">
        <v>44</v>
      </c>
      <c r="N1754" s="149"/>
      <c r="O1754" s="149"/>
      <c r="P1754" s="149"/>
      <c r="Q1754" s="149"/>
      <c r="R1754" s="149"/>
      <c r="S1754" s="149"/>
      <c r="T1754" s="149"/>
      <c r="U1754" s="149">
        <v>65</v>
      </c>
      <c r="V1754" s="89"/>
      <c r="W1754" s="91"/>
      <c r="X1754" s="91"/>
      <c r="Y1754" s="91"/>
      <c r="Z1754" s="52"/>
      <c r="AA1754" s="52"/>
    </row>
    <row r="1755" spans="1:27" s="54" customFormat="1" ht="15" customHeight="1" x14ac:dyDescent="0.2">
      <c r="A1755" s="93">
        <v>41795.433576388903</v>
      </c>
      <c r="B1755" s="89" t="s">
        <v>16</v>
      </c>
      <c r="C1755" s="52" t="s">
        <v>670</v>
      </c>
      <c r="D1755" s="87" t="s">
        <v>6224</v>
      </c>
      <c r="E1755" s="89" t="s">
        <v>7258</v>
      </c>
      <c r="F1755" s="89" t="s">
        <v>7255</v>
      </c>
      <c r="G1755" s="89" t="s">
        <v>20</v>
      </c>
      <c r="H1755" s="89" t="s">
        <v>6172</v>
      </c>
      <c r="I1755" s="89" t="s">
        <v>3171</v>
      </c>
      <c r="J1755" s="95">
        <v>1</v>
      </c>
      <c r="K1755" s="95">
        <v>81</v>
      </c>
      <c r="L1755" s="150">
        <v>162</v>
      </c>
      <c r="M1755" s="146" t="s">
        <v>44</v>
      </c>
      <c r="N1755" s="149"/>
      <c r="O1755" s="149">
        <v>25</v>
      </c>
      <c r="P1755" s="149">
        <v>4</v>
      </c>
      <c r="Q1755" s="149">
        <v>112</v>
      </c>
      <c r="R1755" s="149"/>
      <c r="S1755" s="149"/>
      <c r="T1755" s="149"/>
      <c r="U1755" s="149">
        <v>65</v>
      </c>
      <c r="V1755" s="89"/>
      <c r="W1755" s="91"/>
      <c r="X1755" s="91"/>
      <c r="Y1755" s="91"/>
      <c r="Z1755" s="52"/>
      <c r="AA1755" s="52"/>
    </row>
    <row r="1756" spans="1:27" s="54" customFormat="1" ht="15" customHeight="1" x14ac:dyDescent="0.2">
      <c r="A1756" s="93">
        <v>41795.434282407397</v>
      </c>
      <c r="B1756" s="89" t="s">
        <v>16</v>
      </c>
      <c r="C1756" s="52" t="s">
        <v>532</v>
      </c>
      <c r="D1756" s="87" t="s">
        <v>6224</v>
      </c>
      <c r="E1756" s="89" t="s">
        <v>7259</v>
      </c>
      <c r="F1756" s="89" t="s">
        <v>7260</v>
      </c>
      <c r="G1756" s="89" t="s">
        <v>26</v>
      </c>
      <c r="H1756" s="89" t="s">
        <v>7261</v>
      </c>
      <c r="I1756" s="89" t="s">
        <v>2986</v>
      </c>
      <c r="J1756" s="95">
        <v>1</v>
      </c>
      <c r="K1756" s="95">
        <v>31</v>
      </c>
      <c r="L1756" s="150">
        <v>187.5</v>
      </c>
      <c r="M1756" s="146" t="s">
        <v>22</v>
      </c>
      <c r="N1756" s="149"/>
      <c r="O1756" s="149"/>
      <c r="P1756" s="149"/>
      <c r="Q1756" s="149"/>
      <c r="R1756" s="149"/>
      <c r="S1756" s="149"/>
      <c r="T1756" s="149"/>
      <c r="U1756" s="149"/>
      <c r="V1756" s="89"/>
      <c r="W1756" s="91"/>
      <c r="X1756" s="91"/>
      <c r="Y1756" s="91"/>
      <c r="Z1756" s="52"/>
      <c r="AA1756" s="52"/>
    </row>
    <row r="1757" spans="1:27" s="54" customFormat="1" ht="15" customHeight="1" x14ac:dyDescent="0.2">
      <c r="A1757" s="93">
        <v>41795.435462963003</v>
      </c>
      <c r="B1757" s="89" t="s">
        <v>16</v>
      </c>
      <c r="C1757" s="52" t="s">
        <v>670</v>
      </c>
      <c r="D1757" s="87" t="s">
        <v>6224</v>
      </c>
      <c r="E1757" s="89" t="s">
        <v>7262</v>
      </c>
      <c r="F1757" s="89" t="s">
        <v>7255</v>
      </c>
      <c r="G1757" s="89" t="s">
        <v>20</v>
      </c>
      <c r="H1757" s="89" t="s">
        <v>1507</v>
      </c>
      <c r="I1757" s="89" t="s">
        <v>3171</v>
      </c>
      <c r="J1757" s="95">
        <v>1</v>
      </c>
      <c r="K1757" s="95">
        <v>111</v>
      </c>
      <c r="L1757" s="150">
        <v>222</v>
      </c>
      <c r="M1757" s="146" t="s">
        <v>44</v>
      </c>
      <c r="N1757" s="149"/>
      <c r="O1757" s="149">
        <v>60</v>
      </c>
      <c r="P1757" s="149">
        <v>20</v>
      </c>
      <c r="Q1757" s="149"/>
      <c r="R1757" s="149"/>
      <c r="S1757" s="149"/>
      <c r="T1757" s="149"/>
      <c r="U1757" s="149">
        <v>65</v>
      </c>
      <c r="V1757" s="89"/>
      <c r="W1757" s="91"/>
      <c r="X1757" s="91"/>
      <c r="Y1757" s="91"/>
      <c r="Z1757" s="52"/>
      <c r="AA1757" s="52"/>
    </row>
    <row r="1758" spans="1:27" s="54" customFormat="1" ht="15" customHeight="1" x14ac:dyDescent="0.2">
      <c r="A1758" s="93">
        <v>41795.4363310185</v>
      </c>
      <c r="B1758" s="89" t="s">
        <v>16</v>
      </c>
      <c r="C1758" s="52" t="s">
        <v>532</v>
      </c>
      <c r="D1758" s="87" t="s">
        <v>6224</v>
      </c>
      <c r="E1758" s="89" t="s">
        <v>7263</v>
      </c>
      <c r="F1758" s="89" t="s">
        <v>7260</v>
      </c>
      <c r="G1758" s="89" t="s">
        <v>156</v>
      </c>
      <c r="H1758" s="89" t="s">
        <v>7264</v>
      </c>
      <c r="I1758" s="89" t="s">
        <v>2986</v>
      </c>
      <c r="J1758" s="120">
        <v>1</v>
      </c>
      <c r="K1758" s="95">
        <v>275</v>
      </c>
      <c r="L1758" s="150"/>
      <c r="M1758" s="146" t="s">
        <v>22</v>
      </c>
      <c r="N1758" s="149"/>
      <c r="O1758" s="149"/>
      <c r="P1758" s="149"/>
      <c r="Q1758" s="149"/>
      <c r="R1758" s="149"/>
      <c r="S1758" s="149"/>
      <c r="T1758" s="149"/>
      <c r="U1758" s="149"/>
      <c r="V1758" s="89"/>
      <c r="W1758" s="91"/>
      <c r="X1758" s="91"/>
      <c r="Y1758" s="91"/>
      <c r="Z1758" s="52"/>
      <c r="AA1758" s="52"/>
    </row>
    <row r="1759" spans="1:27" s="54" customFormat="1" ht="15" customHeight="1" x14ac:dyDescent="0.2">
      <c r="A1759" s="93">
        <v>41795.4393865741</v>
      </c>
      <c r="B1759" s="89" t="s">
        <v>16</v>
      </c>
      <c r="C1759" s="52" t="s">
        <v>670</v>
      </c>
      <c r="D1759" s="87" t="s">
        <v>6224</v>
      </c>
      <c r="E1759" s="89" t="s">
        <v>7265</v>
      </c>
      <c r="F1759" s="89" t="s">
        <v>7266</v>
      </c>
      <c r="G1759" s="89" t="s">
        <v>26</v>
      </c>
      <c r="H1759" s="89" t="s">
        <v>7267</v>
      </c>
      <c r="I1759" s="89" t="s">
        <v>7268</v>
      </c>
      <c r="J1759" s="95">
        <v>1</v>
      </c>
      <c r="K1759" s="95">
        <v>14</v>
      </c>
      <c r="L1759" s="150">
        <v>70</v>
      </c>
      <c r="M1759" s="146" t="s">
        <v>44</v>
      </c>
      <c r="N1759" s="149"/>
      <c r="O1759" s="149">
        <v>10</v>
      </c>
      <c r="P1759" s="149"/>
      <c r="Q1759" s="149"/>
      <c r="R1759" s="149"/>
      <c r="S1759" s="149"/>
      <c r="T1759" s="149"/>
      <c r="U1759" s="149">
        <v>20</v>
      </c>
      <c r="V1759" s="89"/>
      <c r="W1759" s="91"/>
      <c r="X1759" s="91"/>
      <c r="Y1759" s="91"/>
      <c r="Z1759" s="52"/>
      <c r="AA1759" s="52"/>
    </row>
    <row r="1760" spans="1:27" s="54" customFormat="1" ht="15" customHeight="1" x14ac:dyDescent="0.2">
      <c r="A1760" s="93">
        <v>41795.440138888902</v>
      </c>
      <c r="B1760" s="89" t="s">
        <v>16</v>
      </c>
      <c r="C1760" s="52" t="s">
        <v>532</v>
      </c>
      <c r="D1760" s="87" t="s">
        <v>6224</v>
      </c>
      <c r="E1760" s="89" t="s">
        <v>7269</v>
      </c>
      <c r="F1760" s="89" t="s">
        <v>7270</v>
      </c>
      <c r="G1760" s="89" t="s">
        <v>26</v>
      </c>
      <c r="H1760" s="89"/>
      <c r="I1760" s="89" t="s">
        <v>2812</v>
      </c>
      <c r="J1760" s="95">
        <v>5</v>
      </c>
      <c r="K1760" s="95">
        <v>131</v>
      </c>
      <c r="L1760" s="150" t="s">
        <v>7271</v>
      </c>
      <c r="M1760" s="146" t="s">
        <v>22</v>
      </c>
      <c r="N1760" s="149"/>
      <c r="O1760" s="149"/>
      <c r="P1760" s="149"/>
      <c r="Q1760" s="149"/>
      <c r="R1760" s="149"/>
      <c r="S1760" s="149"/>
      <c r="T1760" s="149"/>
      <c r="U1760" s="149"/>
      <c r="V1760" s="89"/>
      <c r="W1760" s="91"/>
      <c r="X1760" s="91"/>
      <c r="Y1760" s="91"/>
      <c r="Z1760" s="52"/>
      <c r="AA1760" s="52"/>
    </row>
    <row r="1761" spans="1:27" s="54" customFormat="1" ht="15" customHeight="1" x14ac:dyDescent="0.2">
      <c r="A1761" s="93">
        <v>41795.441215277802</v>
      </c>
      <c r="B1761" s="89" t="s">
        <v>16</v>
      </c>
      <c r="C1761" s="52" t="s">
        <v>670</v>
      </c>
      <c r="D1761" s="87" t="s">
        <v>6224</v>
      </c>
      <c r="E1761" s="89" t="s">
        <v>7272</v>
      </c>
      <c r="F1761" s="89" t="s">
        <v>7273</v>
      </c>
      <c r="G1761" s="89" t="s">
        <v>42</v>
      </c>
      <c r="H1761" s="89" t="s">
        <v>7274</v>
      </c>
      <c r="I1761" s="89" t="s">
        <v>7268</v>
      </c>
      <c r="J1761" s="95">
        <v>1</v>
      </c>
      <c r="K1761" s="95">
        <v>15</v>
      </c>
      <c r="L1761" s="150">
        <v>30</v>
      </c>
      <c r="M1761" s="146" t="s">
        <v>44</v>
      </c>
      <c r="N1761" s="149"/>
      <c r="O1761" s="149"/>
      <c r="P1761" s="149"/>
      <c r="Q1761" s="149"/>
      <c r="R1761" s="149"/>
      <c r="S1761" s="149"/>
      <c r="T1761" s="149"/>
      <c r="U1761" s="149"/>
      <c r="V1761" s="89"/>
      <c r="W1761" s="91"/>
      <c r="X1761" s="91"/>
      <c r="Y1761" s="91"/>
      <c r="Z1761" s="52"/>
      <c r="AA1761" s="52"/>
    </row>
    <row r="1762" spans="1:27" s="54" customFormat="1" ht="15" customHeight="1" x14ac:dyDescent="0.2">
      <c r="A1762" s="93">
        <v>41795.442638888897</v>
      </c>
      <c r="B1762" s="89" t="s">
        <v>16</v>
      </c>
      <c r="C1762" s="52" t="s">
        <v>532</v>
      </c>
      <c r="D1762" s="87" t="s">
        <v>6224</v>
      </c>
      <c r="E1762" s="89" t="s">
        <v>7275</v>
      </c>
      <c r="F1762" s="89" t="s">
        <v>7276</v>
      </c>
      <c r="G1762" s="89" t="s">
        <v>26</v>
      </c>
      <c r="H1762" s="89" t="s">
        <v>2608</v>
      </c>
      <c r="I1762" s="89" t="s">
        <v>2986</v>
      </c>
      <c r="J1762" s="95">
        <v>6</v>
      </c>
      <c r="K1762" s="95">
        <v>60</v>
      </c>
      <c r="L1762" s="150"/>
      <c r="M1762" s="146" t="s">
        <v>22</v>
      </c>
      <c r="N1762" s="149"/>
      <c r="O1762" s="149"/>
      <c r="P1762" s="149"/>
      <c r="Q1762" s="149"/>
      <c r="R1762" s="149"/>
      <c r="S1762" s="149"/>
      <c r="T1762" s="149"/>
      <c r="U1762" s="149"/>
      <c r="V1762" s="89"/>
      <c r="W1762" s="91"/>
      <c r="X1762" s="91"/>
      <c r="Y1762" s="91"/>
      <c r="Z1762" s="52"/>
      <c r="AA1762" s="52"/>
    </row>
    <row r="1763" spans="1:27" s="54" customFormat="1" ht="15" customHeight="1" x14ac:dyDescent="0.2">
      <c r="A1763" s="37">
        <v>41495.6418865741</v>
      </c>
      <c r="B1763" s="26" t="s">
        <v>152</v>
      </c>
      <c r="C1763" s="26" t="s">
        <v>1175</v>
      </c>
      <c r="D1763" s="33">
        <v>41456</v>
      </c>
      <c r="E1763" s="26" t="s">
        <v>1176</v>
      </c>
      <c r="F1763" s="26" t="s">
        <v>1177</v>
      </c>
      <c r="G1763" s="26" t="s">
        <v>26</v>
      </c>
      <c r="H1763" s="26" t="s">
        <v>1178</v>
      </c>
      <c r="I1763" s="26"/>
      <c r="J1763" s="115">
        <v>1</v>
      </c>
      <c r="K1763" s="115">
        <v>34</v>
      </c>
      <c r="L1763" s="136">
        <v>168</v>
      </c>
      <c r="M1763" s="137" t="s">
        <v>44</v>
      </c>
      <c r="N1763" s="138">
        <v>93</v>
      </c>
      <c r="O1763" s="138"/>
      <c r="P1763" s="138"/>
      <c r="Q1763" s="138"/>
      <c r="R1763" s="138"/>
      <c r="S1763" s="138">
        <v>75</v>
      </c>
      <c r="T1763" s="138"/>
      <c r="U1763" s="138"/>
      <c r="V1763" s="26"/>
      <c r="W1763" s="26"/>
      <c r="X1763" s="26"/>
      <c r="Y1763" s="26"/>
      <c r="Z1763" s="52"/>
      <c r="AA1763" s="52"/>
    </row>
    <row r="1764" spans="1:27" s="54" customFormat="1" ht="15" customHeight="1" x14ac:dyDescent="0.2">
      <c r="A1764" s="28">
        <v>41525.48505787037</v>
      </c>
      <c r="B1764" s="29" t="s">
        <v>152</v>
      </c>
      <c r="C1764" s="29" t="s">
        <v>1175</v>
      </c>
      <c r="D1764" s="30">
        <v>41487</v>
      </c>
      <c r="E1764" s="29" t="s">
        <v>1825</v>
      </c>
      <c r="F1764" s="29" t="s">
        <v>1826</v>
      </c>
      <c r="G1764" s="29" t="s">
        <v>156</v>
      </c>
      <c r="H1764" s="29" t="s">
        <v>1827</v>
      </c>
      <c r="I1764" s="29"/>
      <c r="J1764" s="116">
        <v>1</v>
      </c>
      <c r="K1764" s="116">
        <v>77</v>
      </c>
      <c r="L1764" s="139"/>
      <c r="M1764" s="140" t="s">
        <v>44</v>
      </c>
      <c r="N1764" s="141">
        <v>309</v>
      </c>
      <c r="O1764" s="141"/>
      <c r="P1764" s="141"/>
      <c r="Q1764" s="141"/>
      <c r="R1764" s="141"/>
      <c r="S1764" s="141"/>
      <c r="T1764" s="141"/>
      <c r="U1764" s="141"/>
      <c r="V1764" s="29" t="s">
        <v>1828</v>
      </c>
      <c r="W1764" s="26"/>
      <c r="X1764" s="26"/>
      <c r="Y1764" s="26"/>
      <c r="Z1764" s="52"/>
      <c r="AA1764" s="52"/>
    </row>
    <row r="1765" spans="1:27" s="54" customFormat="1" ht="15" customHeight="1" x14ac:dyDescent="0.2">
      <c r="A1765" s="28">
        <v>41525.495925925927</v>
      </c>
      <c r="B1765" s="29" t="s">
        <v>152</v>
      </c>
      <c r="C1765" s="29" t="s">
        <v>1175</v>
      </c>
      <c r="D1765" s="30">
        <v>41487</v>
      </c>
      <c r="E1765" s="29" t="s">
        <v>1829</v>
      </c>
      <c r="F1765" s="29" t="s">
        <v>1830</v>
      </c>
      <c r="G1765" s="29" t="s">
        <v>42</v>
      </c>
      <c r="H1765" s="29" t="s">
        <v>1831</v>
      </c>
      <c r="I1765" s="29"/>
      <c r="J1765" s="116">
        <v>2</v>
      </c>
      <c r="K1765" s="116">
        <v>133</v>
      </c>
      <c r="L1765" s="139"/>
      <c r="M1765" s="140" t="s">
        <v>44</v>
      </c>
      <c r="N1765" s="141">
        <v>445</v>
      </c>
      <c r="O1765" s="141"/>
      <c r="P1765" s="141"/>
      <c r="Q1765" s="141"/>
      <c r="R1765" s="141"/>
      <c r="S1765" s="141"/>
      <c r="T1765" s="141"/>
      <c r="U1765" s="141"/>
      <c r="V1765" s="29"/>
      <c r="W1765" s="26"/>
      <c r="X1765" s="26"/>
      <c r="Y1765" s="26"/>
      <c r="Z1765" s="52"/>
      <c r="AA1765" s="52"/>
    </row>
    <row r="1766" spans="1:27" s="54" customFormat="1" ht="15" customHeight="1" x14ac:dyDescent="0.2">
      <c r="A1766" s="28">
        <v>41525.496805555558</v>
      </c>
      <c r="B1766" s="29" t="s">
        <v>152</v>
      </c>
      <c r="C1766" s="29" t="s">
        <v>1175</v>
      </c>
      <c r="D1766" s="30">
        <v>41487</v>
      </c>
      <c r="E1766" s="29" t="s">
        <v>1832</v>
      </c>
      <c r="F1766" s="29" t="s">
        <v>1830</v>
      </c>
      <c r="G1766" s="29" t="s">
        <v>42</v>
      </c>
      <c r="H1766" s="29" t="s">
        <v>1831</v>
      </c>
      <c r="I1766" s="29"/>
      <c r="J1766" s="116">
        <v>1</v>
      </c>
      <c r="K1766" s="116">
        <v>49</v>
      </c>
      <c r="L1766" s="139"/>
      <c r="M1766" s="140" t="s">
        <v>44</v>
      </c>
      <c r="N1766" s="141">
        <v>172.5</v>
      </c>
      <c r="O1766" s="141"/>
      <c r="P1766" s="141"/>
      <c r="Q1766" s="141"/>
      <c r="R1766" s="141"/>
      <c r="S1766" s="141"/>
      <c r="T1766" s="141"/>
      <c r="U1766" s="141"/>
      <c r="V1766" s="29"/>
      <c r="W1766" s="26"/>
      <c r="X1766" s="26"/>
      <c r="Y1766" s="26"/>
      <c r="Z1766" s="52"/>
      <c r="AA1766" s="52"/>
    </row>
    <row r="1767" spans="1:27" s="54" customFormat="1" ht="15" customHeight="1" x14ac:dyDescent="0.2">
      <c r="A1767" s="28">
        <v>41525.497696759259</v>
      </c>
      <c r="B1767" s="29" t="s">
        <v>152</v>
      </c>
      <c r="C1767" s="29" t="s">
        <v>1175</v>
      </c>
      <c r="D1767" s="30">
        <v>41487</v>
      </c>
      <c r="E1767" s="29" t="s">
        <v>1833</v>
      </c>
      <c r="F1767" s="29" t="s">
        <v>1830</v>
      </c>
      <c r="G1767" s="29" t="s">
        <v>42</v>
      </c>
      <c r="H1767" s="29" t="s">
        <v>1831</v>
      </c>
      <c r="I1767" s="29"/>
      <c r="J1767" s="116">
        <v>1</v>
      </c>
      <c r="K1767" s="116">
        <v>62</v>
      </c>
      <c r="L1767" s="139"/>
      <c r="M1767" s="140" t="s">
        <v>44</v>
      </c>
      <c r="N1767" s="141">
        <v>217</v>
      </c>
      <c r="O1767" s="141"/>
      <c r="P1767" s="141"/>
      <c r="Q1767" s="141"/>
      <c r="R1767" s="141"/>
      <c r="S1767" s="141"/>
      <c r="T1767" s="141"/>
      <c r="U1767" s="141"/>
      <c r="V1767" s="29"/>
      <c r="W1767" s="26"/>
      <c r="X1767" s="26"/>
      <c r="Y1767" s="26"/>
      <c r="Z1767" s="52"/>
      <c r="AA1767" s="52"/>
    </row>
    <row r="1768" spans="1:27" s="54" customFormat="1" ht="15" customHeight="1" x14ac:dyDescent="0.2">
      <c r="A1768" s="55">
        <v>41660.432303240697</v>
      </c>
      <c r="B1768" s="52" t="s">
        <v>152</v>
      </c>
      <c r="C1768" s="52" t="s">
        <v>1175</v>
      </c>
      <c r="D1768" s="69">
        <v>41640</v>
      </c>
      <c r="E1768" s="52" t="s">
        <v>4232</v>
      </c>
      <c r="F1768" s="52" t="s">
        <v>4233</v>
      </c>
      <c r="G1768" s="52" t="s">
        <v>20</v>
      </c>
      <c r="H1768" s="52" t="s">
        <v>4234</v>
      </c>
      <c r="I1768" s="52" t="s">
        <v>2986</v>
      </c>
      <c r="J1768" s="95">
        <v>1</v>
      </c>
      <c r="K1768" s="118">
        <v>17</v>
      </c>
      <c r="L1768" s="148">
        <v>49</v>
      </c>
      <c r="M1768" s="146" t="s">
        <v>44</v>
      </c>
      <c r="N1768" s="147"/>
      <c r="O1768" s="147"/>
      <c r="P1768" s="147">
        <v>19</v>
      </c>
      <c r="Q1768" s="147"/>
      <c r="R1768" s="147"/>
      <c r="S1768" s="147"/>
      <c r="T1768" s="147"/>
      <c r="U1768" s="149"/>
      <c r="V1768" s="52" t="s">
        <v>4235</v>
      </c>
      <c r="W1768" s="52"/>
      <c r="X1768" s="52"/>
      <c r="Y1768" s="52"/>
      <c r="Z1768" s="52"/>
      <c r="AA1768" s="52"/>
    </row>
    <row r="1769" spans="1:27" s="54" customFormat="1" ht="15" customHeight="1" x14ac:dyDescent="0.2">
      <c r="A1769" s="55">
        <v>41663.524259259299</v>
      </c>
      <c r="B1769" s="52" t="s">
        <v>152</v>
      </c>
      <c r="C1769" s="52" t="s">
        <v>1175</v>
      </c>
      <c r="D1769" s="69">
        <v>41640</v>
      </c>
      <c r="E1769" s="52" t="s">
        <v>4245</v>
      </c>
      <c r="F1769" s="52" t="s">
        <v>4246</v>
      </c>
      <c r="G1769" s="52" t="s">
        <v>42</v>
      </c>
      <c r="H1769" s="52" t="s">
        <v>4247</v>
      </c>
      <c r="I1769" s="52" t="s">
        <v>3038</v>
      </c>
      <c r="J1769" s="95">
        <v>4</v>
      </c>
      <c r="K1769" s="118">
        <v>111</v>
      </c>
      <c r="L1769" s="148"/>
      <c r="M1769" s="146" t="s">
        <v>44</v>
      </c>
      <c r="N1769" s="147">
        <v>388.5</v>
      </c>
      <c r="O1769" s="147"/>
      <c r="P1769" s="147"/>
      <c r="Q1769" s="147"/>
      <c r="R1769" s="147"/>
      <c r="S1769" s="147"/>
      <c r="T1769" s="147"/>
      <c r="U1769" s="149"/>
      <c r="V1769" s="52"/>
      <c r="W1769" s="52"/>
      <c r="X1769" s="52"/>
      <c r="Y1769" s="52"/>
      <c r="Z1769" s="52"/>
      <c r="AA1769" s="52"/>
    </row>
    <row r="1770" spans="1:27" s="54" customFormat="1" ht="15" customHeight="1" x14ac:dyDescent="0.2">
      <c r="A1770" s="32">
        <v>41706.682268518518</v>
      </c>
      <c r="B1770" s="26" t="s">
        <v>152</v>
      </c>
      <c r="C1770" s="26" t="s">
        <v>1175</v>
      </c>
      <c r="D1770" s="33">
        <v>41671</v>
      </c>
      <c r="E1770" s="26" t="s">
        <v>2526</v>
      </c>
      <c r="F1770" s="26" t="s">
        <v>5044</v>
      </c>
      <c r="G1770" s="26" t="s">
        <v>42</v>
      </c>
      <c r="H1770" s="26" t="s">
        <v>5044</v>
      </c>
      <c r="I1770" s="26" t="s">
        <v>3038</v>
      </c>
      <c r="J1770" s="46">
        <v>1</v>
      </c>
      <c r="K1770" s="46">
        <v>96</v>
      </c>
      <c r="L1770" s="136"/>
      <c r="M1770" s="137" t="s">
        <v>44</v>
      </c>
      <c r="N1770" s="138">
        <v>336</v>
      </c>
      <c r="O1770" s="138"/>
      <c r="P1770" s="138"/>
      <c r="Q1770" s="138"/>
      <c r="R1770" s="138"/>
      <c r="S1770" s="138"/>
      <c r="T1770" s="138"/>
      <c r="U1770" s="138"/>
      <c r="V1770" s="26"/>
      <c r="W1770" s="26"/>
      <c r="X1770" s="26"/>
      <c r="Y1770" s="26"/>
      <c r="Z1770" s="52"/>
      <c r="AA1770" s="52"/>
    </row>
    <row r="1771" spans="1:27" s="54" customFormat="1" ht="15" customHeight="1" x14ac:dyDescent="0.2">
      <c r="A1771" s="32">
        <v>41706.675810185188</v>
      </c>
      <c r="B1771" s="26" t="s">
        <v>152</v>
      </c>
      <c r="C1771" s="26" t="s">
        <v>1175</v>
      </c>
      <c r="D1771" s="33">
        <v>41671</v>
      </c>
      <c r="E1771" s="26" t="s">
        <v>5049</v>
      </c>
      <c r="F1771" s="26" t="s">
        <v>5050</v>
      </c>
      <c r="G1771" s="26" t="s">
        <v>156</v>
      </c>
      <c r="H1771" s="26" t="s">
        <v>5050</v>
      </c>
      <c r="I1771" s="26" t="s">
        <v>5051</v>
      </c>
      <c r="J1771" s="46">
        <v>1</v>
      </c>
      <c r="K1771" s="46">
        <v>31</v>
      </c>
      <c r="L1771" s="136"/>
      <c r="M1771" s="137" t="s">
        <v>44</v>
      </c>
      <c r="N1771" s="138">
        <v>170.5</v>
      </c>
      <c r="O1771" s="138"/>
      <c r="P1771" s="138">
        <v>171.64</v>
      </c>
      <c r="Q1771" s="138"/>
      <c r="R1771" s="138"/>
      <c r="S1771" s="138"/>
      <c r="T1771" s="138"/>
      <c r="U1771" s="138"/>
      <c r="V1771" s="26"/>
      <c r="W1771" s="26"/>
      <c r="X1771" s="26"/>
      <c r="Y1771" s="26"/>
      <c r="Z1771" s="52"/>
      <c r="AA1771" s="52"/>
    </row>
    <row r="1772" spans="1:27" s="54" customFormat="1" ht="15" customHeight="1" x14ac:dyDescent="0.2">
      <c r="A1772" s="32">
        <v>41734.444814814815</v>
      </c>
      <c r="B1772" s="26" t="s">
        <v>152</v>
      </c>
      <c r="C1772" s="26" t="s">
        <v>1175</v>
      </c>
      <c r="D1772" s="33">
        <v>41699</v>
      </c>
      <c r="E1772" s="26" t="s">
        <v>5660</v>
      </c>
      <c r="F1772" s="26" t="s">
        <v>5661</v>
      </c>
      <c r="G1772" s="26" t="s">
        <v>20</v>
      </c>
      <c r="H1772" s="26" t="s">
        <v>5662</v>
      </c>
      <c r="I1772" s="26" t="s">
        <v>2986</v>
      </c>
      <c r="J1772" s="46">
        <v>1</v>
      </c>
      <c r="K1772" s="46">
        <v>15</v>
      </c>
      <c r="L1772" s="136"/>
      <c r="M1772" s="137" t="s">
        <v>44</v>
      </c>
      <c r="N1772" s="138">
        <v>50</v>
      </c>
      <c r="O1772" s="138"/>
      <c r="P1772" s="138"/>
      <c r="Q1772" s="138"/>
      <c r="R1772" s="138"/>
      <c r="S1772" s="138"/>
      <c r="T1772" s="138"/>
      <c r="U1772" s="138"/>
      <c r="V1772" s="26"/>
      <c r="W1772" s="26"/>
      <c r="X1772" s="26"/>
      <c r="Y1772" s="26"/>
      <c r="Z1772" s="52"/>
      <c r="AA1772" s="52"/>
    </row>
    <row r="1773" spans="1:27" s="54" customFormat="1" ht="15" customHeight="1" x14ac:dyDescent="0.2">
      <c r="A1773" s="32">
        <v>41734.447905092595</v>
      </c>
      <c r="B1773" s="26" t="s">
        <v>152</v>
      </c>
      <c r="C1773" s="26" t="s">
        <v>1175</v>
      </c>
      <c r="D1773" s="33">
        <v>41699</v>
      </c>
      <c r="E1773" s="26" t="s">
        <v>5663</v>
      </c>
      <c r="F1773" s="26" t="s">
        <v>5664</v>
      </c>
      <c r="G1773" s="26" t="s">
        <v>156</v>
      </c>
      <c r="H1773" s="26" t="s">
        <v>5665</v>
      </c>
      <c r="I1773" s="26" t="s">
        <v>5666</v>
      </c>
      <c r="J1773" s="46">
        <v>1</v>
      </c>
      <c r="K1773" s="46">
        <v>45</v>
      </c>
      <c r="L1773" s="136"/>
      <c r="M1773" s="137" t="s">
        <v>44</v>
      </c>
      <c r="N1773" s="138">
        <v>200</v>
      </c>
      <c r="O1773" s="138"/>
      <c r="P1773" s="138">
        <v>300</v>
      </c>
      <c r="Q1773" s="138"/>
      <c r="R1773" s="138"/>
      <c r="S1773" s="138"/>
      <c r="T1773" s="138"/>
      <c r="U1773" s="138"/>
      <c r="V1773" s="26"/>
      <c r="W1773" s="26"/>
      <c r="X1773" s="26"/>
      <c r="Y1773" s="26"/>
      <c r="Z1773" s="52"/>
      <c r="AA1773" s="52"/>
    </row>
    <row r="1774" spans="1:27" s="54" customFormat="1" ht="15" customHeight="1" x14ac:dyDescent="0.2">
      <c r="A1774" s="32">
        <v>41734.450381944444</v>
      </c>
      <c r="B1774" s="26" t="s">
        <v>152</v>
      </c>
      <c r="C1774" s="26" t="s">
        <v>1175</v>
      </c>
      <c r="D1774" s="33">
        <v>41699</v>
      </c>
      <c r="E1774" s="26" t="s">
        <v>5667</v>
      </c>
      <c r="F1774" s="26" t="s">
        <v>5668</v>
      </c>
      <c r="G1774" s="26" t="s">
        <v>20</v>
      </c>
      <c r="H1774" s="26" t="s">
        <v>5662</v>
      </c>
      <c r="I1774" s="26" t="s">
        <v>2986</v>
      </c>
      <c r="J1774" s="46">
        <v>1</v>
      </c>
      <c r="K1774" s="46">
        <v>25</v>
      </c>
      <c r="L1774" s="136"/>
      <c r="M1774" s="137" t="s">
        <v>44</v>
      </c>
      <c r="N1774" s="138">
        <v>75</v>
      </c>
      <c r="O1774" s="138"/>
      <c r="P1774" s="138">
        <v>275</v>
      </c>
      <c r="Q1774" s="138"/>
      <c r="R1774" s="138"/>
      <c r="S1774" s="138"/>
      <c r="T1774" s="138"/>
      <c r="U1774" s="138"/>
      <c r="V1774" s="26"/>
      <c r="W1774" s="26"/>
      <c r="X1774" s="26"/>
      <c r="Y1774" s="26"/>
      <c r="Z1774" s="52"/>
      <c r="AA1774" s="52"/>
    </row>
    <row r="1775" spans="1:27" s="54" customFormat="1" ht="15" customHeight="1" x14ac:dyDescent="0.2">
      <c r="A1775" s="32">
        <v>41734.453368055554</v>
      </c>
      <c r="B1775" s="26" t="s">
        <v>152</v>
      </c>
      <c r="C1775" s="26" t="s">
        <v>1175</v>
      </c>
      <c r="D1775" s="33">
        <v>41699</v>
      </c>
      <c r="E1775" s="26" t="s">
        <v>5669</v>
      </c>
      <c r="F1775" s="26" t="s">
        <v>5662</v>
      </c>
      <c r="G1775" s="26" t="s">
        <v>20</v>
      </c>
      <c r="H1775" s="26" t="s">
        <v>5662</v>
      </c>
      <c r="I1775" s="26"/>
      <c r="J1775" s="46">
        <v>1</v>
      </c>
      <c r="K1775" s="46">
        <v>10</v>
      </c>
      <c r="L1775" s="136"/>
      <c r="M1775" s="137" t="s">
        <v>44</v>
      </c>
      <c r="N1775" s="138">
        <v>30</v>
      </c>
      <c r="O1775" s="138"/>
      <c r="P1775" s="138">
        <v>250</v>
      </c>
      <c r="Q1775" s="138"/>
      <c r="R1775" s="138"/>
      <c r="S1775" s="138"/>
      <c r="T1775" s="138"/>
      <c r="U1775" s="138"/>
      <c r="V1775" s="26"/>
      <c r="W1775" s="26"/>
      <c r="X1775" s="26"/>
      <c r="Y1775" s="26"/>
      <c r="Z1775" s="52"/>
      <c r="AA1775" s="52"/>
    </row>
    <row r="1776" spans="1:27" s="54" customFormat="1" ht="15" customHeight="1" x14ac:dyDescent="0.2">
      <c r="A1776" s="32">
        <v>41734.455243055556</v>
      </c>
      <c r="B1776" s="26" t="s">
        <v>152</v>
      </c>
      <c r="C1776" s="26" t="s">
        <v>1175</v>
      </c>
      <c r="D1776" s="33">
        <v>41699</v>
      </c>
      <c r="E1776" s="26" t="s">
        <v>5670</v>
      </c>
      <c r="F1776" s="26" t="s">
        <v>5671</v>
      </c>
      <c r="G1776" s="26" t="s">
        <v>42</v>
      </c>
      <c r="H1776" s="26" t="s">
        <v>5672</v>
      </c>
      <c r="I1776" s="26" t="s">
        <v>2986</v>
      </c>
      <c r="J1776" s="46">
        <v>1</v>
      </c>
      <c r="K1776" s="46">
        <v>53</v>
      </c>
      <c r="L1776" s="136"/>
      <c r="M1776" s="137" t="s">
        <v>44</v>
      </c>
      <c r="N1776" s="138">
        <v>185</v>
      </c>
      <c r="O1776" s="138"/>
      <c r="P1776" s="138">
        <v>450</v>
      </c>
      <c r="Q1776" s="138"/>
      <c r="R1776" s="138"/>
      <c r="S1776" s="138"/>
      <c r="T1776" s="138"/>
      <c r="U1776" s="138"/>
      <c r="V1776" s="26"/>
      <c r="W1776" s="26"/>
      <c r="X1776" s="26"/>
      <c r="Y1776" s="26"/>
      <c r="Z1776" s="52"/>
      <c r="AA1776" s="52"/>
    </row>
    <row r="1777" spans="1:27" s="54" customFormat="1" ht="15" customHeight="1" x14ac:dyDescent="0.2">
      <c r="A1777" s="55">
        <v>41769.6944560185</v>
      </c>
      <c r="B1777" s="52" t="s">
        <v>152</v>
      </c>
      <c r="C1777" s="52" t="s">
        <v>1175</v>
      </c>
      <c r="D1777" s="88" t="s">
        <v>6076</v>
      </c>
      <c r="E1777" s="52" t="s">
        <v>6748</v>
      </c>
      <c r="F1777" s="52" t="s">
        <v>6749</v>
      </c>
      <c r="G1777" s="52" t="s">
        <v>20</v>
      </c>
      <c r="H1777" s="52" t="s">
        <v>5662</v>
      </c>
      <c r="I1777" s="52" t="s">
        <v>2986</v>
      </c>
      <c r="J1777" s="95">
        <v>1</v>
      </c>
      <c r="K1777" s="95">
        <v>35</v>
      </c>
      <c r="L1777" s="149"/>
      <c r="M1777" s="146" t="s">
        <v>44</v>
      </c>
      <c r="N1777" s="149">
        <v>96</v>
      </c>
      <c r="O1777" s="149"/>
      <c r="P1777" s="149"/>
      <c r="Q1777" s="149"/>
      <c r="R1777" s="149"/>
      <c r="S1777" s="149"/>
      <c r="T1777" s="149"/>
      <c r="U1777" s="149"/>
      <c r="V1777" s="52"/>
      <c r="W1777" s="26"/>
      <c r="X1777" s="26"/>
      <c r="Y1777" s="26"/>
      <c r="Z1777" s="52"/>
      <c r="AA1777" s="52"/>
    </row>
    <row r="1778" spans="1:27" s="54" customFormat="1" ht="15" customHeight="1" x14ac:dyDescent="0.2">
      <c r="A1778" s="55">
        <v>41769.696111111101</v>
      </c>
      <c r="B1778" s="52" t="s">
        <v>152</v>
      </c>
      <c r="C1778" s="52" t="s">
        <v>1175</v>
      </c>
      <c r="D1778" s="88" t="s">
        <v>6076</v>
      </c>
      <c r="E1778" s="52" t="s">
        <v>6751</v>
      </c>
      <c r="F1778" s="52" t="s">
        <v>6752</v>
      </c>
      <c r="G1778" s="52" t="s">
        <v>42</v>
      </c>
      <c r="H1778" s="52" t="s">
        <v>5662</v>
      </c>
      <c r="I1778" s="52" t="s">
        <v>2986</v>
      </c>
      <c r="J1778" s="95">
        <v>1</v>
      </c>
      <c r="K1778" s="95">
        <v>15</v>
      </c>
      <c r="L1778" s="149"/>
      <c r="M1778" s="146" t="s">
        <v>44</v>
      </c>
      <c r="N1778" s="149">
        <v>52</v>
      </c>
      <c r="O1778" s="149"/>
      <c r="P1778" s="149">
        <v>30</v>
      </c>
      <c r="Q1778" s="149"/>
      <c r="R1778" s="149"/>
      <c r="S1778" s="149"/>
      <c r="T1778" s="149"/>
      <c r="U1778" s="149"/>
      <c r="V1778" s="52"/>
      <c r="W1778" s="26"/>
      <c r="X1778" s="26"/>
      <c r="Y1778" s="26"/>
      <c r="Z1778" s="52"/>
      <c r="AA1778" s="52"/>
    </row>
    <row r="1779" spans="1:27" s="54" customFormat="1" ht="15" customHeight="1" x14ac:dyDescent="0.2">
      <c r="A1779" s="93">
        <v>41769.697650463</v>
      </c>
      <c r="B1779" s="89" t="s">
        <v>152</v>
      </c>
      <c r="C1779" s="52" t="s">
        <v>1175</v>
      </c>
      <c r="D1779" s="87" t="s">
        <v>6076</v>
      </c>
      <c r="E1779" s="89" t="s">
        <v>6755</v>
      </c>
      <c r="F1779" s="89" t="s">
        <v>6756</v>
      </c>
      <c r="G1779" s="89" t="s">
        <v>156</v>
      </c>
      <c r="H1779" s="89" t="s">
        <v>1178</v>
      </c>
      <c r="I1779" s="89" t="s">
        <v>2812</v>
      </c>
      <c r="J1779" s="95">
        <v>1</v>
      </c>
      <c r="K1779" s="95">
        <v>72</v>
      </c>
      <c r="L1779" s="149"/>
      <c r="M1779" s="146" t="s">
        <v>44</v>
      </c>
      <c r="N1779" s="149">
        <v>300</v>
      </c>
      <c r="O1779" s="149"/>
      <c r="P1779" s="149">
        <v>70</v>
      </c>
      <c r="Q1779" s="149"/>
      <c r="R1779" s="149"/>
      <c r="S1779" s="149"/>
      <c r="T1779" s="149"/>
      <c r="U1779" s="149"/>
      <c r="V1779" s="89"/>
      <c r="W1779" s="91"/>
      <c r="X1779" s="91"/>
      <c r="Y1779" s="91"/>
      <c r="Z1779" s="52"/>
      <c r="AA1779" s="52"/>
    </row>
    <row r="1780" spans="1:27" s="54" customFormat="1" ht="15" customHeight="1" x14ac:dyDescent="0.2">
      <c r="A1780" s="55">
        <v>41769.699212963002</v>
      </c>
      <c r="B1780" s="52" t="s">
        <v>152</v>
      </c>
      <c r="C1780" s="52" t="s">
        <v>1175</v>
      </c>
      <c r="D1780" s="88" t="s">
        <v>6076</v>
      </c>
      <c r="E1780" s="52" t="s">
        <v>6760</v>
      </c>
      <c r="F1780" s="52" t="s">
        <v>6761</v>
      </c>
      <c r="G1780" s="52" t="s">
        <v>42</v>
      </c>
      <c r="H1780" s="52" t="s">
        <v>6762</v>
      </c>
      <c r="I1780" s="52" t="s">
        <v>6763</v>
      </c>
      <c r="J1780" s="95">
        <v>1</v>
      </c>
      <c r="K1780" s="95">
        <v>45</v>
      </c>
      <c r="L1780" s="149"/>
      <c r="M1780" s="146" t="s">
        <v>44</v>
      </c>
      <c r="N1780" s="149">
        <v>160</v>
      </c>
      <c r="O1780" s="149"/>
      <c r="P1780" s="149">
        <v>100</v>
      </c>
      <c r="Q1780" s="149"/>
      <c r="R1780" s="149"/>
      <c r="S1780" s="149"/>
      <c r="T1780" s="149"/>
      <c r="U1780" s="149"/>
      <c r="V1780" s="52"/>
      <c r="W1780" s="26"/>
      <c r="X1780" s="26"/>
      <c r="Y1780" s="26"/>
      <c r="Z1780" s="52"/>
      <c r="AA1780" s="52"/>
    </row>
    <row r="1781" spans="1:27" s="54" customFormat="1" ht="15" customHeight="1" x14ac:dyDescent="0.2">
      <c r="A1781" s="55">
        <v>41769.700937499998</v>
      </c>
      <c r="B1781" s="52" t="s">
        <v>152</v>
      </c>
      <c r="C1781" s="52" t="s">
        <v>1175</v>
      </c>
      <c r="D1781" s="88" t="s">
        <v>6076</v>
      </c>
      <c r="E1781" s="52" t="s">
        <v>6764</v>
      </c>
      <c r="F1781" s="52" t="s">
        <v>6765</v>
      </c>
      <c r="G1781" s="52" t="s">
        <v>42</v>
      </c>
      <c r="H1781" s="52" t="s">
        <v>1831</v>
      </c>
      <c r="I1781" s="52" t="s">
        <v>2986</v>
      </c>
      <c r="J1781" s="95">
        <v>1</v>
      </c>
      <c r="K1781" s="95">
        <v>165</v>
      </c>
      <c r="L1781" s="149"/>
      <c r="M1781" s="146"/>
      <c r="N1781" s="149">
        <v>570</v>
      </c>
      <c r="O1781" s="149"/>
      <c r="P1781" s="149">
        <v>50</v>
      </c>
      <c r="Q1781" s="149"/>
      <c r="R1781" s="149"/>
      <c r="S1781" s="149"/>
      <c r="T1781" s="149"/>
      <c r="U1781" s="149"/>
      <c r="V1781" s="52"/>
      <c r="W1781" s="26"/>
      <c r="X1781" s="26"/>
      <c r="Y1781" s="26"/>
      <c r="Z1781" s="52"/>
      <c r="AA1781" s="52"/>
    </row>
    <row r="1782" spans="1:27" s="54" customFormat="1" ht="15" customHeight="1" x14ac:dyDescent="0.2">
      <c r="A1782" s="93">
        <v>41795.444895833301</v>
      </c>
      <c r="B1782" s="89" t="s">
        <v>16</v>
      </c>
      <c r="C1782" s="52" t="s">
        <v>532</v>
      </c>
      <c r="D1782" s="87" t="s">
        <v>6224</v>
      </c>
      <c r="E1782" s="89" t="s">
        <v>537</v>
      </c>
      <c r="F1782" s="89" t="s">
        <v>2608</v>
      </c>
      <c r="G1782" s="94" t="s">
        <v>26</v>
      </c>
      <c r="H1782" s="89" t="s">
        <v>2608</v>
      </c>
      <c r="I1782" s="89" t="s">
        <v>2986</v>
      </c>
      <c r="J1782" s="95">
        <v>8</v>
      </c>
      <c r="K1782" s="95">
        <v>75</v>
      </c>
      <c r="L1782" s="150"/>
      <c r="M1782" s="146" t="s">
        <v>22</v>
      </c>
      <c r="N1782" s="149"/>
      <c r="O1782" s="149"/>
      <c r="P1782" s="149"/>
      <c r="Q1782" s="149"/>
      <c r="R1782" s="149"/>
      <c r="S1782" s="149"/>
      <c r="T1782" s="149"/>
      <c r="U1782" s="149"/>
      <c r="V1782" s="89"/>
      <c r="W1782" s="91"/>
      <c r="X1782" s="91"/>
      <c r="Y1782" s="91"/>
      <c r="Z1782" s="52"/>
      <c r="AA1782" s="52"/>
    </row>
    <row r="1783" spans="1:27" s="54" customFormat="1" ht="15" customHeight="1" x14ac:dyDescent="0.2">
      <c r="A1783" s="93">
        <v>41795.446284722202</v>
      </c>
      <c r="B1783" s="89" t="s">
        <v>16</v>
      </c>
      <c r="C1783" s="52" t="s">
        <v>532</v>
      </c>
      <c r="D1783" s="87" t="s">
        <v>6224</v>
      </c>
      <c r="E1783" s="89" t="s">
        <v>537</v>
      </c>
      <c r="F1783" s="89" t="s">
        <v>7276</v>
      </c>
      <c r="G1783" s="89" t="s">
        <v>26</v>
      </c>
      <c r="H1783" s="89" t="s">
        <v>2608</v>
      </c>
      <c r="I1783" s="89" t="s">
        <v>2986</v>
      </c>
      <c r="J1783" s="95">
        <v>8</v>
      </c>
      <c r="K1783" s="95">
        <v>75</v>
      </c>
      <c r="L1783" s="150"/>
      <c r="M1783" s="146" t="s">
        <v>22</v>
      </c>
      <c r="N1783" s="149"/>
      <c r="O1783" s="149"/>
      <c r="P1783" s="149"/>
      <c r="Q1783" s="149"/>
      <c r="R1783" s="149"/>
      <c r="S1783" s="149"/>
      <c r="T1783" s="149"/>
      <c r="U1783" s="149"/>
      <c r="V1783" s="89"/>
      <c r="W1783" s="91"/>
      <c r="X1783" s="91"/>
      <c r="Y1783" s="91"/>
      <c r="Z1783" s="52"/>
      <c r="AA1783" s="52"/>
    </row>
    <row r="1784" spans="1:27" s="54" customFormat="1" ht="15" customHeight="1" x14ac:dyDescent="0.2">
      <c r="A1784" s="93">
        <v>41795.447789351798</v>
      </c>
      <c r="B1784" s="89" t="s">
        <v>16</v>
      </c>
      <c r="C1784" s="52" t="s">
        <v>532</v>
      </c>
      <c r="D1784" s="87" t="s">
        <v>6224</v>
      </c>
      <c r="E1784" s="89" t="s">
        <v>537</v>
      </c>
      <c r="F1784" s="89" t="s">
        <v>7276</v>
      </c>
      <c r="G1784" s="89" t="s">
        <v>26</v>
      </c>
      <c r="H1784" s="89" t="s">
        <v>2608</v>
      </c>
      <c r="I1784" s="89" t="s">
        <v>2986</v>
      </c>
      <c r="J1784" s="95">
        <v>8</v>
      </c>
      <c r="K1784" s="95">
        <v>75</v>
      </c>
      <c r="L1784" s="150"/>
      <c r="M1784" s="146" t="s">
        <v>44</v>
      </c>
      <c r="N1784" s="149"/>
      <c r="O1784" s="149"/>
      <c r="P1784" s="149"/>
      <c r="Q1784" s="149"/>
      <c r="R1784" s="149"/>
      <c r="S1784" s="149"/>
      <c r="T1784" s="149"/>
      <c r="U1784" s="149"/>
      <c r="V1784" s="89"/>
      <c r="W1784" s="91"/>
      <c r="X1784" s="91"/>
      <c r="Y1784" s="91"/>
      <c r="Z1784" s="52"/>
      <c r="AA1784" s="52"/>
    </row>
    <row r="1785" spans="1:27" s="54" customFormat="1" ht="15" customHeight="1" x14ac:dyDescent="0.2">
      <c r="A1785" s="93">
        <v>41795.448865740698</v>
      </c>
      <c r="B1785" s="89" t="s">
        <v>16</v>
      </c>
      <c r="C1785" s="52" t="s">
        <v>532</v>
      </c>
      <c r="D1785" s="87" t="s">
        <v>6224</v>
      </c>
      <c r="E1785" s="89" t="s">
        <v>537</v>
      </c>
      <c r="F1785" s="89" t="s">
        <v>7276</v>
      </c>
      <c r="G1785" s="89" t="s">
        <v>26</v>
      </c>
      <c r="H1785" s="89" t="s">
        <v>2608</v>
      </c>
      <c r="I1785" s="89" t="s">
        <v>2986</v>
      </c>
      <c r="J1785" s="95">
        <v>8</v>
      </c>
      <c r="K1785" s="95">
        <v>75</v>
      </c>
      <c r="L1785" s="150"/>
      <c r="M1785" s="146" t="s">
        <v>22</v>
      </c>
      <c r="N1785" s="149"/>
      <c r="O1785" s="149"/>
      <c r="P1785" s="149"/>
      <c r="Q1785" s="149"/>
      <c r="R1785" s="149"/>
      <c r="S1785" s="149"/>
      <c r="T1785" s="149"/>
      <c r="U1785" s="149"/>
      <c r="V1785" s="89"/>
      <c r="W1785" s="91"/>
      <c r="X1785" s="91"/>
      <c r="Y1785" s="91"/>
      <c r="Z1785" s="52"/>
      <c r="AA1785" s="52"/>
    </row>
    <row r="1786" spans="1:27" s="54" customFormat="1" ht="15" customHeight="1" x14ac:dyDescent="0.2">
      <c r="A1786" s="93">
        <v>41795.505671296298</v>
      </c>
      <c r="B1786" s="89" t="s">
        <v>16</v>
      </c>
      <c r="C1786" s="52" t="s">
        <v>3903</v>
      </c>
      <c r="D1786" s="87" t="s">
        <v>6224</v>
      </c>
      <c r="E1786" s="89" t="s">
        <v>7279</v>
      </c>
      <c r="F1786" s="89" t="s">
        <v>7280</v>
      </c>
      <c r="G1786" s="89" t="s">
        <v>156</v>
      </c>
      <c r="H1786" s="89" t="s">
        <v>7281</v>
      </c>
      <c r="I1786" s="89" t="s">
        <v>2926</v>
      </c>
      <c r="J1786" s="95">
        <v>2</v>
      </c>
      <c r="K1786" s="95">
        <v>24</v>
      </c>
      <c r="L1786" s="150">
        <v>10997.46</v>
      </c>
      <c r="M1786" s="146" t="s">
        <v>44</v>
      </c>
      <c r="N1786" s="149"/>
      <c r="O1786" s="149"/>
      <c r="P1786" s="149">
        <v>125</v>
      </c>
      <c r="Q1786" s="149"/>
      <c r="R1786" s="149"/>
      <c r="S1786" s="149"/>
      <c r="T1786" s="149"/>
      <c r="U1786" s="149">
        <v>150</v>
      </c>
      <c r="V1786" s="89" t="s">
        <v>7282</v>
      </c>
      <c r="W1786" s="91"/>
      <c r="X1786" s="91"/>
      <c r="Y1786" s="91"/>
      <c r="Z1786" s="52"/>
      <c r="AA1786" s="52"/>
    </row>
    <row r="1787" spans="1:27" s="54" customFormat="1" ht="15" customHeight="1" x14ac:dyDescent="0.2">
      <c r="A1787" s="37">
        <v>41491.441342592603</v>
      </c>
      <c r="B1787" s="26" t="s">
        <v>38</v>
      </c>
      <c r="C1787" s="26" t="s">
        <v>697</v>
      </c>
      <c r="D1787" s="33">
        <v>41456</v>
      </c>
      <c r="E1787" s="26" t="s">
        <v>698</v>
      </c>
      <c r="F1787" s="26" t="s">
        <v>699</v>
      </c>
      <c r="G1787" s="26" t="s">
        <v>20</v>
      </c>
      <c r="H1787" s="26" t="s">
        <v>700</v>
      </c>
      <c r="I1787" s="26"/>
      <c r="J1787" s="115">
        <v>1</v>
      </c>
      <c r="K1787" s="115">
        <v>20</v>
      </c>
      <c r="L1787" s="136">
        <v>100</v>
      </c>
      <c r="M1787" s="137" t="s">
        <v>22</v>
      </c>
      <c r="N1787" s="138"/>
      <c r="O1787" s="138"/>
      <c r="P1787" s="138"/>
      <c r="Q1787" s="138"/>
      <c r="R1787" s="138"/>
      <c r="S1787" s="138"/>
      <c r="T1787" s="138"/>
      <c r="U1787" s="138"/>
      <c r="V1787" s="26"/>
      <c r="W1787" s="26"/>
      <c r="X1787" s="26"/>
      <c r="Y1787" s="26"/>
      <c r="Z1787" s="52"/>
      <c r="AA1787" s="52"/>
    </row>
    <row r="1788" spans="1:27" s="54" customFormat="1" ht="15" customHeight="1" x14ac:dyDescent="0.2">
      <c r="A1788" s="37">
        <v>41491.442372685196</v>
      </c>
      <c r="B1788" s="26" t="s">
        <v>38</v>
      </c>
      <c r="C1788" s="26" t="s">
        <v>697</v>
      </c>
      <c r="D1788" s="33">
        <v>41456</v>
      </c>
      <c r="E1788" s="26" t="s">
        <v>701</v>
      </c>
      <c r="F1788" s="26" t="s">
        <v>702</v>
      </c>
      <c r="G1788" s="26" t="s">
        <v>20</v>
      </c>
      <c r="H1788" s="26" t="s">
        <v>700</v>
      </c>
      <c r="I1788" s="26"/>
      <c r="J1788" s="115">
        <v>1</v>
      </c>
      <c r="K1788" s="115">
        <v>14</v>
      </c>
      <c r="L1788" s="136">
        <v>70</v>
      </c>
      <c r="M1788" s="137" t="s">
        <v>22</v>
      </c>
      <c r="N1788" s="138"/>
      <c r="O1788" s="138"/>
      <c r="P1788" s="138"/>
      <c r="Q1788" s="138"/>
      <c r="R1788" s="138"/>
      <c r="S1788" s="138"/>
      <c r="T1788" s="138"/>
      <c r="U1788" s="138"/>
      <c r="V1788" s="26"/>
      <c r="W1788" s="26"/>
      <c r="X1788" s="26"/>
      <c r="Y1788" s="26"/>
      <c r="Z1788" s="52"/>
      <c r="AA1788" s="52"/>
    </row>
    <row r="1789" spans="1:27" s="54" customFormat="1" ht="15" customHeight="1" x14ac:dyDescent="0.2">
      <c r="A1789" s="48">
        <v>41611.5682407407</v>
      </c>
      <c r="B1789" s="49" t="s">
        <v>38</v>
      </c>
      <c r="C1789" s="50" t="s">
        <v>697</v>
      </c>
      <c r="D1789" s="67">
        <v>41579</v>
      </c>
      <c r="E1789" s="50" t="s">
        <v>3204</v>
      </c>
      <c r="F1789" s="50" t="s">
        <v>3205</v>
      </c>
      <c r="G1789" s="49" t="s">
        <v>20</v>
      </c>
      <c r="H1789" s="50" t="s">
        <v>700</v>
      </c>
      <c r="I1789" s="50" t="s">
        <v>2986</v>
      </c>
      <c r="J1789" s="117">
        <v>1</v>
      </c>
      <c r="K1789" s="117">
        <v>20</v>
      </c>
      <c r="L1789" s="142">
        <v>100</v>
      </c>
      <c r="M1789" s="143" t="s">
        <v>22</v>
      </c>
      <c r="N1789" s="144"/>
      <c r="O1789" s="144"/>
      <c r="P1789" s="144"/>
      <c r="Q1789" s="144"/>
      <c r="R1789" s="144"/>
      <c r="S1789" s="144"/>
      <c r="T1789" s="144"/>
      <c r="U1789" s="144"/>
      <c r="V1789" s="50"/>
      <c r="W1789" s="26"/>
      <c r="X1789" s="26"/>
      <c r="Y1789" s="26"/>
      <c r="Z1789" s="52"/>
      <c r="AA1789" s="52"/>
    </row>
    <row r="1790" spans="1:27" s="54" customFormat="1" ht="15" customHeight="1" x14ac:dyDescent="0.2">
      <c r="A1790" s="48">
        <v>41611.571087962999</v>
      </c>
      <c r="B1790" s="49" t="s">
        <v>38</v>
      </c>
      <c r="C1790" s="50" t="s">
        <v>697</v>
      </c>
      <c r="D1790" s="67">
        <v>41579</v>
      </c>
      <c r="E1790" s="50" t="s">
        <v>3206</v>
      </c>
      <c r="F1790" s="50" t="s">
        <v>575</v>
      </c>
      <c r="G1790" s="49" t="s">
        <v>26</v>
      </c>
      <c r="H1790" s="50" t="s">
        <v>3207</v>
      </c>
      <c r="I1790" s="50" t="s">
        <v>2986</v>
      </c>
      <c r="J1790" s="117">
        <v>1</v>
      </c>
      <c r="K1790" s="117">
        <v>150</v>
      </c>
      <c r="L1790" s="142"/>
      <c r="M1790" s="143" t="s">
        <v>22</v>
      </c>
      <c r="N1790" s="144"/>
      <c r="O1790" s="144"/>
      <c r="P1790" s="144"/>
      <c r="Q1790" s="144"/>
      <c r="R1790" s="144"/>
      <c r="S1790" s="144"/>
      <c r="T1790" s="144"/>
      <c r="U1790" s="144"/>
      <c r="V1790" s="50" t="s">
        <v>3208</v>
      </c>
      <c r="W1790" s="26"/>
      <c r="X1790" s="26"/>
      <c r="Y1790" s="26"/>
      <c r="Z1790" s="52"/>
      <c r="AA1790" s="52"/>
    </row>
    <row r="1791" spans="1:27" s="54" customFormat="1" ht="15" customHeight="1" x14ac:dyDescent="0.2">
      <c r="A1791" s="48">
        <v>41611.572569444397</v>
      </c>
      <c r="B1791" s="49" t="s">
        <v>38</v>
      </c>
      <c r="C1791" s="50" t="s">
        <v>697</v>
      </c>
      <c r="D1791" s="67">
        <v>41579</v>
      </c>
      <c r="E1791" s="50" t="s">
        <v>3209</v>
      </c>
      <c r="F1791" s="50" t="s">
        <v>3210</v>
      </c>
      <c r="G1791" s="49" t="s">
        <v>20</v>
      </c>
      <c r="H1791" s="50" t="s">
        <v>700</v>
      </c>
      <c r="I1791" s="50" t="s">
        <v>2986</v>
      </c>
      <c r="J1791" s="117">
        <v>1</v>
      </c>
      <c r="K1791" s="117">
        <v>51</v>
      </c>
      <c r="L1791" s="142">
        <v>225</v>
      </c>
      <c r="M1791" s="143" t="s">
        <v>22</v>
      </c>
      <c r="N1791" s="144"/>
      <c r="O1791" s="144"/>
      <c r="P1791" s="144"/>
      <c r="Q1791" s="144"/>
      <c r="R1791" s="144"/>
      <c r="S1791" s="144"/>
      <c r="T1791" s="144"/>
      <c r="U1791" s="144"/>
      <c r="V1791" s="50"/>
      <c r="W1791" s="26"/>
      <c r="X1791" s="26"/>
      <c r="Y1791" s="26"/>
      <c r="Z1791" s="52"/>
      <c r="AA1791" s="52"/>
    </row>
    <row r="1792" spans="1:27" s="54" customFormat="1" ht="15" customHeight="1" x14ac:dyDescent="0.2">
      <c r="A1792" s="48">
        <v>41611.574074074102</v>
      </c>
      <c r="B1792" s="49" t="s">
        <v>38</v>
      </c>
      <c r="C1792" s="50" t="s">
        <v>697</v>
      </c>
      <c r="D1792" s="67">
        <v>41579</v>
      </c>
      <c r="E1792" s="50" t="s">
        <v>3211</v>
      </c>
      <c r="F1792" s="50" t="s">
        <v>3212</v>
      </c>
      <c r="G1792" s="49" t="s">
        <v>20</v>
      </c>
      <c r="H1792" s="50" t="s">
        <v>700</v>
      </c>
      <c r="I1792" s="50" t="s">
        <v>2986</v>
      </c>
      <c r="J1792" s="117">
        <v>1</v>
      </c>
      <c r="K1792" s="117">
        <v>65</v>
      </c>
      <c r="L1792" s="142">
        <v>340</v>
      </c>
      <c r="M1792" s="143" t="s">
        <v>22</v>
      </c>
      <c r="N1792" s="144"/>
      <c r="O1792" s="144"/>
      <c r="P1792" s="144"/>
      <c r="Q1792" s="144"/>
      <c r="R1792" s="144"/>
      <c r="S1792" s="144"/>
      <c r="T1792" s="144"/>
      <c r="U1792" s="144"/>
      <c r="V1792" s="50"/>
      <c r="W1792" s="26"/>
      <c r="X1792" s="26"/>
      <c r="Y1792" s="26"/>
      <c r="Z1792" s="52"/>
      <c r="AA1792" s="52"/>
    </row>
    <row r="1793" spans="1:27" s="54" customFormat="1" ht="15" customHeight="1" x14ac:dyDescent="0.2">
      <c r="A1793" s="48">
        <v>41611.575335648202</v>
      </c>
      <c r="B1793" s="49" t="s">
        <v>38</v>
      </c>
      <c r="C1793" s="50" t="s">
        <v>697</v>
      </c>
      <c r="D1793" s="67">
        <v>41579</v>
      </c>
      <c r="E1793" s="50" t="s">
        <v>3213</v>
      </c>
      <c r="F1793" s="50" t="s">
        <v>3214</v>
      </c>
      <c r="G1793" s="49" t="s">
        <v>20</v>
      </c>
      <c r="H1793" s="50" t="s">
        <v>3215</v>
      </c>
      <c r="I1793" s="50" t="s">
        <v>2986</v>
      </c>
      <c r="J1793" s="117">
        <v>1</v>
      </c>
      <c r="K1793" s="117">
        <v>7</v>
      </c>
      <c r="L1793" s="142">
        <v>35</v>
      </c>
      <c r="M1793" s="143" t="s">
        <v>22</v>
      </c>
      <c r="N1793" s="144"/>
      <c r="O1793" s="144"/>
      <c r="P1793" s="144"/>
      <c r="Q1793" s="144"/>
      <c r="R1793" s="144"/>
      <c r="S1793" s="144"/>
      <c r="T1793" s="144"/>
      <c r="U1793" s="144"/>
      <c r="V1793" s="50"/>
      <c r="W1793" s="26"/>
      <c r="X1793" s="26"/>
      <c r="Y1793" s="26"/>
      <c r="Z1793" s="52"/>
      <c r="AA1793" s="52"/>
    </row>
    <row r="1794" spans="1:27" s="54" customFormat="1" ht="15" customHeight="1" x14ac:dyDescent="0.2">
      <c r="A1794" s="48">
        <v>41611.576805555596</v>
      </c>
      <c r="B1794" s="49" t="s">
        <v>38</v>
      </c>
      <c r="C1794" s="50" t="s">
        <v>697</v>
      </c>
      <c r="D1794" s="67">
        <v>41579</v>
      </c>
      <c r="E1794" s="50" t="s">
        <v>3216</v>
      </c>
      <c r="F1794" s="50" t="s">
        <v>3217</v>
      </c>
      <c r="G1794" s="49" t="s">
        <v>20</v>
      </c>
      <c r="H1794" s="50" t="s">
        <v>700</v>
      </c>
      <c r="I1794" s="50" t="s">
        <v>2986</v>
      </c>
      <c r="J1794" s="117">
        <v>1</v>
      </c>
      <c r="K1794" s="117">
        <v>56</v>
      </c>
      <c r="L1794" s="142">
        <v>280</v>
      </c>
      <c r="M1794" s="143" t="s">
        <v>22</v>
      </c>
      <c r="N1794" s="144"/>
      <c r="O1794" s="144"/>
      <c r="P1794" s="144"/>
      <c r="Q1794" s="144"/>
      <c r="R1794" s="144"/>
      <c r="S1794" s="144"/>
      <c r="T1794" s="144"/>
      <c r="U1794" s="144"/>
      <c r="V1794" s="50"/>
      <c r="W1794" s="26"/>
      <c r="X1794" s="26"/>
      <c r="Y1794" s="26"/>
      <c r="Z1794" s="52"/>
      <c r="AA1794" s="52"/>
    </row>
    <row r="1795" spans="1:27" s="54" customFormat="1" ht="15" customHeight="1" x14ac:dyDescent="0.2">
      <c r="A1795" s="32">
        <v>41645.396724537037</v>
      </c>
      <c r="B1795" s="26" t="s">
        <v>38</v>
      </c>
      <c r="C1795" s="26" t="s">
        <v>697</v>
      </c>
      <c r="D1795" s="68">
        <v>41609</v>
      </c>
      <c r="E1795" s="26" t="s">
        <v>3967</v>
      </c>
      <c r="F1795" s="26" t="s">
        <v>3968</v>
      </c>
      <c r="G1795" s="26" t="s">
        <v>20</v>
      </c>
      <c r="H1795" s="26" t="s">
        <v>3969</v>
      </c>
      <c r="I1795" s="26" t="s">
        <v>2986</v>
      </c>
      <c r="J1795" s="46">
        <v>1</v>
      </c>
      <c r="K1795" s="46">
        <v>10</v>
      </c>
      <c r="L1795" s="136"/>
      <c r="M1795" s="137" t="s">
        <v>22</v>
      </c>
      <c r="N1795" s="138"/>
      <c r="O1795" s="138"/>
      <c r="P1795" s="138"/>
      <c r="Q1795" s="138"/>
      <c r="R1795" s="138"/>
      <c r="S1795" s="138"/>
      <c r="T1795" s="138"/>
      <c r="U1795" s="138"/>
      <c r="V1795" s="26"/>
      <c r="W1795" s="26"/>
      <c r="X1795" s="26"/>
      <c r="Y1795" s="26"/>
      <c r="Z1795" s="52"/>
      <c r="AA1795" s="52"/>
    </row>
    <row r="1796" spans="1:27" s="54" customFormat="1" ht="15" customHeight="1" x14ac:dyDescent="0.2">
      <c r="A1796" s="55">
        <v>41673.428414351802</v>
      </c>
      <c r="B1796" s="52" t="s">
        <v>38</v>
      </c>
      <c r="C1796" s="52" t="s">
        <v>697</v>
      </c>
      <c r="D1796" s="69">
        <v>41640</v>
      </c>
      <c r="E1796" s="52" t="s">
        <v>4366</v>
      </c>
      <c r="F1796" s="52" t="s">
        <v>4367</v>
      </c>
      <c r="G1796" s="52" t="s">
        <v>20</v>
      </c>
      <c r="H1796" s="52" t="s">
        <v>4368</v>
      </c>
      <c r="I1796" s="52" t="s">
        <v>2986</v>
      </c>
      <c r="J1796" s="95">
        <v>1</v>
      </c>
      <c r="K1796" s="118">
        <v>27</v>
      </c>
      <c r="L1796" s="148">
        <v>135</v>
      </c>
      <c r="M1796" s="146" t="s">
        <v>22</v>
      </c>
      <c r="N1796" s="147"/>
      <c r="O1796" s="147"/>
      <c r="P1796" s="147"/>
      <c r="Q1796" s="147"/>
      <c r="R1796" s="147"/>
      <c r="S1796" s="147"/>
      <c r="T1796" s="147"/>
      <c r="U1796" s="149"/>
      <c r="V1796" s="52"/>
      <c r="W1796" s="52"/>
      <c r="X1796" s="52"/>
      <c r="Y1796" s="52"/>
      <c r="Z1796" s="52"/>
      <c r="AA1796" s="52"/>
    </row>
    <row r="1797" spans="1:27" s="54" customFormat="1" ht="15" customHeight="1" x14ac:dyDescent="0.2">
      <c r="A1797" s="32">
        <v>41700.420081018521</v>
      </c>
      <c r="B1797" s="26" t="s">
        <v>38</v>
      </c>
      <c r="C1797" s="26" t="s">
        <v>697</v>
      </c>
      <c r="D1797" s="33">
        <v>41671</v>
      </c>
      <c r="E1797" s="26" t="s">
        <v>4762</v>
      </c>
      <c r="F1797" s="26" t="s">
        <v>1747</v>
      </c>
      <c r="G1797" s="26" t="s">
        <v>26</v>
      </c>
      <c r="H1797" s="26" t="s">
        <v>4763</v>
      </c>
      <c r="I1797" s="26" t="s">
        <v>2986</v>
      </c>
      <c r="J1797" s="46">
        <v>1</v>
      </c>
      <c r="K1797" s="46">
        <v>20</v>
      </c>
      <c r="L1797" s="136">
        <v>100</v>
      </c>
      <c r="M1797" s="137" t="s">
        <v>22</v>
      </c>
      <c r="N1797" s="138"/>
      <c r="O1797" s="138"/>
      <c r="P1797" s="138"/>
      <c r="Q1797" s="138"/>
      <c r="R1797" s="138"/>
      <c r="S1797" s="138"/>
      <c r="T1797" s="138"/>
      <c r="U1797" s="138"/>
      <c r="V1797" s="26" t="s">
        <v>4764</v>
      </c>
      <c r="W1797" s="26"/>
      <c r="X1797" s="26"/>
      <c r="Y1797" s="26"/>
      <c r="Z1797" s="52"/>
      <c r="AA1797" s="52"/>
    </row>
    <row r="1798" spans="1:27" s="54" customFormat="1" ht="15" customHeight="1" x14ac:dyDescent="0.2">
      <c r="A1798" s="32">
        <v>41700.426423611112</v>
      </c>
      <c r="B1798" s="26" t="s">
        <v>38</v>
      </c>
      <c r="C1798" s="26" t="s">
        <v>697</v>
      </c>
      <c r="D1798" s="33">
        <v>41671</v>
      </c>
      <c r="E1798" s="26" t="s">
        <v>4770</v>
      </c>
      <c r="F1798" s="26" t="s">
        <v>4771</v>
      </c>
      <c r="G1798" s="26" t="s">
        <v>42</v>
      </c>
      <c r="H1798" s="26" t="s">
        <v>4772</v>
      </c>
      <c r="I1798" s="26" t="s">
        <v>2986</v>
      </c>
      <c r="J1798" s="46">
        <v>1</v>
      </c>
      <c r="K1798" s="46">
        <v>12</v>
      </c>
      <c r="L1798" s="136">
        <v>65</v>
      </c>
      <c r="M1798" s="137" t="s">
        <v>22</v>
      </c>
      <c r="N1798" s="138"/>
      <c r="O1798" s="138"/>
      <c r="P1798" s="138"/>
      <c r="Q1798" s="138"/>
      <c r="R1798" s="138"/>
      <c r="S1798" s="138"/>
      <c r="T1798" s="138"/>
      <c r="U1798" s="138"/>
      <c r="V1798" s="26"/>
      <c r="W1798" s="26"/>
      <c r="X1798" s="26"/>
      <c r="Y1798" s="26"/>
      <c r="Z1798" s="52"/>
      <c r="AA1798" s="52"/>
    </row>
    <row r="1799" spans="1:27" s="54" customFormat="1" ht="15" customHeight="1" x14ac:dyDescent="0.2">
      <c r="A1799" s="32">
        <v>41736.458703703705</v>
      </c>
      <c r="B1799" s="26" t="s">
        <v>38</v>
      </c>
      <c r="C1799" s="26" t="s">
        <v>697</v>
      </c>
      <c r="D1799" s="33">
        <v>41699</v>
      </c>
      <c r="E1799" s="26" t="s">
        <v>5754</v>
      </c>
      <c r="F1799" s="26" t="s">
        <v>5755</v>
      </c>
      <c r="G1799" s="26" t="s">
        <v>20</v>
      </c>
      <c r="H1799" s="26" t="s">
        <v>5756</v>
      </c>
      <c r="I1799" s="26" t="s">
        <v>2986</v>
      </c>
      <c r="J1799" s="46">
        <v>1</v>
      </c>
      <c r="K1799" s="46">
        <v>78</v>
      </c>
      <c r="L1799" s="136">
        <v>390</v>
      </c>
      <c r="M1799" s="137" t="s">
        <v>22</v>
      </c>
      <c r="N1799" s="138"/>
      <c r="O1799" s="138"/>
      <c r="P1799" s="138"/>
      <c r="Q1799" s="138"/>
      <c r="R1799" s="138"/>
      <c r="S1799" s="138"/>
      <c r="T1799" s="138"/>
      <c r="U1799" s="138"/>
      <c r="V1799" s="26"/>
      <c r="W1799" s="26"/>
      <c r="X1799" s="26"/>
      <c r="Y1799" s="26"/>
      <c r="Z1799" s="52"/>
      <c r="AA1799" s="52"/>
    </row>
    <row r="1800" spans="1:27" s="54" customFormat="1" ht="15" customHeight="1" x14ac:dyDescent="0.2">
      <c r="A1800" s="32">
        <v>41736.460219907407</v>
      </c>
      <c r="B1800" s="26" t="s">
        <v>38</v>
      </c>
      <c r="C1800" s="26" t="s">
        <v>697</v>
      </c>
      <c r="D1800" s="33">
        <v>41699</v>
      </c>
      <c r="E1800" s="26" t="s">
        <v>5757</v>
      </c>
      <c r="F1800" s="26" t="s">
        <v>5758</v>
      </c>
      <c r="G1800" s="26" t="s">
        <v>20</v>
      </c>
      <c r="H1800" s="26" t="s">
        <v>1747</v>
      </c>
      <c r="I1800" s="26" t="s">
        <v>2986</v>
      </c>
      <c r="J1800" s="46">
        <v>1</v>
      </c>
      <c r="K1800" s="46">
        <v>51</v>
      </c>
      <c r="L1800" s="136">
        <v>255</v>
      </c>
      <c r="M1800" s="137" t="s">
        <v>22</v>
      </c>
      <c r="N1800" s="138"/>
      <c r="O1800" s="138"/>
      <c r="P1800" s="138"/>
      <c r="Q1800" s="138"/>
      <c r="R1800" s="138"/>
      <c r="S1800" s="138"/>
      <c r="T1800" s="138"/>
      <c r="U1800" s="138"/>
      <c r="V1800" s="26"/>
      <c r="W1800" s="26"/>
      <c r="X1800" s="26"/>
      <c r="Y1800" s="26"/>
      <c r="Z1800" s="52"/>
      <c r="AA1800" s="52"/>
    </row>
    <row r="1801" spans="1:27" s="54" customFormat="1" ht="15" customHeight="1" x14ac:dyDescent="0.2">
      <c r="A1801" s="32">
        <v>41736.461643518516</v>
      </c>
      <c r="B1801" s="26" t="s">
        <v>38</v>
      </c>
      <c r="C1801" s="26" t="s">
        <v>697</v>
      </c>
      <c r="D1801" s="33">
        <v>41699</v>
      </c>
      <c r="E1801" s="26" t="s">
        <v>5759</v>
      </c>
      <c r="F1801" s="26" t="s">
        <v>1747</v>
      </c>
      <c r="G1801" s="26" t="s">
        <v>26</v>
      </c>
      <c r="H1801" s="26" t="s">
        <v>5760</v>
      </c>
      <c r="I1801" s="26" t="s">
        <v>2986</v>
      </c>
      <c r="J1801" s="46">
        <v>1</v>
      </c>
      <c r="K1801" s="46">
        <v>11</v>
      </c>
      <c r="L1801" s="136">
        <v>55</v>
      </c>
      <c r="M1801" s="137" t="s">
        <v>22</v>
      </c>
      <c r="N1801" s="138"/>
      <c r="O1801" s="138"/>
      <c r="P1801" s="138"/>
      <c r="Q1801" s="138"/>
      <c r="R1801" s="138"/>
      <c r="S1801" s="138"/>
      <c r="T1801" s="138"/>
      <c r="U1801" s="138"/>
      <c r="V1801" s="26"/>
      <c r="W1801" s="26"/>
      <c r="X1801" s="26"/>
      <c r="Y1801" s="26"/>
      <c r="Z1801" s="52"/>
      <c r="AA1801" s="52"/>
    </row>
    <row r="1802" spans="1:27" s="54" customFormat="1" ht="15" customHeight="1" x14ac:dyDescent="0.2">
      <c r="A1802" s="32">
        <v>41736.46298611111</v>
      </c>
      <c r="B1802" s="26" t="s">
        <v>38</v>
      </c>
      <c r="C1802" s="26" t="s">
        <v>697</v>
      </c>
      <c r="D1802" s="33">
        <v>41699</v>
      </c>
      <c r="E1802" s="26" t="s">
        <v>5761</v>
      </c>
      <c r="F1802" s="26" t="s">
        <v>5762</v>
      </c>
      <c r="G1802" s="26" t="s">
        <v>20</v>
      </c>
      <c r="H1802" s="26"/>
      <c r="I1802" s="26" t="s">
        <v>2986</v>
      </c>
      <c r="J1802" s="46">
        <v>1</v>
      </c>
      <c r="K1802" s="46">
        <v>127</v>
      </c>
      <c r="L1802" s="136">
        <v>635</v>
      </c>
      <c r="M1802" s="137" t="s">
        <v>22</v>
      </c>
      <c r="N1802" s="138"/>
      <c r="O1802" s="138"/>
      <c r="P1802" s="138"/>
      <c r="Q1802" s="138"/>
      <c r="R1802" s="138"/>
      <c r="S1802" s="138"/>
      <c r="T1802" s="138"/>
      <c r="U1802" s="138"/>
      <c r="V1802" s="26"/>
      <c r="W1802" s="26"/>
      <c r="X1802" s="26"/>
      <c r="Y1802" s="26"/>
      <c r="Z1802" s="52"/>
      <c r="AA1802" s="52"/>
    </row>
    <row r="1803" spans="1:27" s="54" customFormat="1" ht="15" customHeight="1" x14ac:dyDescent="0.2">
      <c r="A1803" s="55">
        <v>41764.561342592599</v>
      </c>
      <c r="B1803" s="52" t="s">
        <v>38</v>
      </c>
      <c r="C1803" s="52" t="s">
        <v>697</v>
      </c>
      <c r="D1803" s="88" t="s">
        <v>6076</v>
      </c>
      <c r="E1803" s="52" t="s">
        <v>6374</v>
      </c>
      <c r="F1803" s="52" t="s">
        <v>6375</v>
      </c>
      <c r="G1803" s="52" t="s">
        <v>20</v>
      </c>
      <c r="H1803" s="52" t="s">
        <v>6376</v>
      </c>
      <c r="I1803" s="52" t="s">
        <v>2986</v>
      </c>
      <c r="J1803" s="95">
        <v>1</v>
      </c>
      <c r="K1803" s="95">
        <v>127</v>
      </c>
      <c r="L1803" s="149">
        <v>635</v>
      </c>
      <c r="M1803" s="146" t="s">
        <v>22</v>
      </c>
      <c r="N1803" s="149"/>
      <c r="O1803" s="149"/>
      <c r="P1803" s="149"/>
      <c r="Q1803" s="149"/>
      <c r="R1803" s="149"/>
      <c r="S1803" s="149"/>
      <c r="T1803" s="149"/>
      <c r="U1803" s="149"/>
      <c r="V1803" s="52"/>
      <c r="W1803" s="26"/>
      <c r="X1803" s="26"/>
      <c r="Y1803" s="26"/>
      <c r="Z1803" s="52"/>
      <c r="AA1803" s="52"/>
    </row>
    <row r="1804" spans="1:27" s="54" customFormat="1" ht="15" customHeight="1" x14ac:dyDescent="0.2">
      <c r="A1804" s="55">
        <v>41764.566527777803</v>
      </c>
      <c r="B1804" s="52" t="s">
        <v>38</v>
      </c>
      <c r="C1804" s="52" t="s">
        <v>697</v>
      </c>
      <c r="D1804" s="88" t="s">
        <v>6076</v>
      </c>
      <c r="E1804" s="52" t="s">
        <v>6383</v>
      </c>
      <c r="F1804" s="52" t="s">
        <v>6384</v>
      </c>
      <c r="G1804" s="52" t="s">
        <v>20</v>
      </c>
      <c r="H1804" s="52" t="s">
        <v>6385</v>
      </c>
      <c r="I1804" s="52" t="s">
        <v>2986</v>
      </c>
      <c r="J1804" s="95">
        <v>1</v>
      </c>
      <c r="K1804" s="95"/>
      <c r="L1804" s="149">
        <v>565</v>
      </c>
      <c r="M1804" s="146" t="s">
        <v>22</v>
      </c>
      <c r="N1804" s="149"/>
      <c r="O1804" s="149"/>
      <c r="P1804" s="149"/>
      <c r="Q1804" s="149"/>
      <c r="R1804" s="149"/>
      <c r="S1804" s="149"/>
      <c r="T1804" s="149"/>
      <c r="U1804" s="149"/>
      <c r="V1804" s="52"/>
      <c r="W1804" s="26"/>
      <c r="X1804" s="26"/>
      <c r="Y1804" s="26"/>
      <c r="Z1804" s="52"/>
      <c r="AA1804" s="52"/>
    </row>
    <row r="1805" spans="1:27" s="54" customFormat="1" ht="15" customHeight="1" x14ac:dyDescent="0.2">
      <c r="A1805" s="93">
        <v>41795.568217592598</v>
      </c>
      <c r="B1805" s="89" t="s">
        <v>16</v>
      </c>
      <c r="C1805" s="52" t="s">
        <v>986</v>
      </c>
      <c r="D1805" s="87" t="s">
        <v>6224</v>
      </c>
      <c r="E1805" s="89" t="s">
        <v>3558</v>
      </c>
      <c r="F1805" s="89" t="s">
        <v>7283</v>
      </c>
      <c r="G1805" s="89" t="s">
        <v>20</v>
      </c>
      <c r="H1805" s="89" t="s">
        <v>7284</v>
      </c>
      <c r="I1805" s="89" t="s">
        <v>6455</v>
      </c>
      <c r="J1805" s="95">
        <v>1</v>
      </c>
      <c r="K1805" s="95">
        <v>54</v>
      </c>
      <c r="L1805" s="150">
        <v>216</v>
      </c>
      <c r="M1805" s="146" t="s">
        <v>22</v>
      </c>
      <c r="N1805" s="149"/>
      <c r="O1805" s="149"/>
      <c r="P1805" s="149"/>
      <c r="Q1805" s="149"/>
      <c r="R1805" s="149"/>
      <c r="S1805" s="149"/>
      <c r="T1805" s="149"/>
      <c r="U1805" s="149"/>
      <c r="V1805" s="89"/>
      <c r="W1805" s="91"/>
      <c r="X1805" s="91"/>
      <c r="Y1805" s="91"/>
      <c r="Z1805" s="52"/>
      <c r="AA1805" s="52"/>
    </row>
    <row r="1806" spans="1:27" s="54" customFormat="1" ht="15" customHeight="1" x14ac:dyDescent="0.2">
      <c r="A1806" s="93">
        <v>41795.569675925901</v>
      </c>
      <c r="B1806" s="89" t="s">
        <v>16</v>
      </c>
      <c r="C1806" s="52" t="s">
        <v>986</v>
      </c>
      <c r="D1806" s="87" t="s">
        <v>6224</v>
      </c>
      <c r="E1806" s="89" t="s">
        <v>3546</v>
      </c>
      <c r="F1806" s="89" t="s">
        <v>7285</v>
      </c>
      <c r="G1806" s="89" t="s">
        <v>20</v>
      </c>
      <c r="H1806" s="89" t="s">
        <v>7286</v>
      </c>
      <c r="I1806" s="89" t="s">
        <v>2986</v>
      </c>
      <c r="J1806" s="95">
        <v>1</v>
      </c>
      <c r="K1806" s="95">
        <v>63</v>
      </c>
      <c r="L1806" s="150">
        <v>252</v>
      </c>
      <c r="M1806" s="146" t="s">
        <v>22</v>
      </c>
      <c r="N1806" s="149"/>
      <c r="O1806" s="149"/>
      <c r="P1806" s="149"/>
      <c r="Q1806" s="149"/>
      <c r="R1806" s="149"/>
      <c r="S1806" s="149"/>
      <c r="T1806" s="149"/>
      <c r="U1806" s="149"/>
      <c r="V1806" s="89"/>
      <c r="W1806" s="91"/>
      <c r="X1806" s="91"/>
      <c r="Y1806" s="91"/>
      <c r="Z1806" s="52"/>
      <c r="AA1806" s="52"/>
    </row>
    <row r="1807" spans="1:27" s="54" customFormat="1" ht="15" customHeight="1" x14ac:dyDescent="0.2">
      <c r="A1807" s="93">
        <v>41795.593773148103</v>
      </c>
      <c r="B1807" s="89" t="s">
        <v>16</v>
      </c>
      <c r="C1807" s="52" t="s">
        <v>986</v>
      </c>
      <c r="D1807" s="87" t="s">
        <v>6224</v>
      </c>
      <c r="E1807" s="89" t="s">
        <v>7287</v>
      </c>
      <c r="F1807" s="89" t="s">
        <v>7288</v>
      </c>
      <c r="G1807" s="89" t="s">
        <v>20</v>
      </c>
      <c r="H1807" s="89" t="s">
        <v>7286</v>
      </c>
      <c r="I1807" s="89" t="s">
        <v>2986</v>
      </c>
      <c r="J1807" s="95">
        <v>1</v>
      </c>
      <c r="K1807" s="95">
        <v>120</v>
      </c>
      <c r="L1807" s="150">
        <v>480</v>
      </c>
      <c r="M1807" s="146" t="s">
        <v>22</v>
      </c>
      <c r="N1807" s="149"/>
      <c r="O1807" s="149"/>
      <c r="P1807" s="149"/>
      <c r="Q1807" s="149"/>
      <c r="R1807" s="149"/>
      <c r="S1807" s="149"/>
      <c r="T1807" s="149"/>
      <c r="U1807" s="149"/>
      <c r="V1807" s="89"/>
      <c r="W1807" s="91"/>
      <c r="X1807" s="91"/>
      <c r="Y1807" s="91"/>
      <c r="Z1807" s="52"/>
      <c r="AA1807" s="52"/>
    </row>
    <row r="1808" spans="1:27" s="54" customFormat="1" ht="15" customHeight="1" x14ac:dyDescent="0.2">
      <c r="A1808" s="93">
        <v>41795.595497685201</v>
      </c>
      <c r="B1808" s="89" t="s">
        <v>16</v>
      </c>
      <c r="C1808" s="52" t="s">
        <v>986</v>
      </c>
      <c r="D1808" s="87" t="s">
        <v>6224</v>
      </c>
      <c r="E1808" s="89" t="s">
        <v>3558</v>
      </c>
      <c r="F1808" s="89" t="s">
        <v>7289</v>
      </c>
      <c r="G1808" s="89" t="s">
        <v>20</v>
      </c>
      <c r="H1808" s="89" t="s">
        <v>7290</v>
      </c>
      <c r="I1808" s="89" t="s">
        <v>2986</v>
      </c>
      <c r="J1808" s="95">
        <v>1</v>
      </c>
      <c r="K1808" s="95">
        <v>60</v>
      </c>
      <c r="L1808" s="150">
        <v>240</v>
      </c>
      <c r="M1808" s="146" t="s">
        <v>22</v>
      </c>
      <c r="N1808" s="149"/>
      <c r="O1808" s="149"/>
      <c r="P1808" s="149"/>
      <c r="Q1808" s="149"/>
      <c r="R1808" s="149"/>
      <c r="S1808" s="149"/>
      <c r="T1808" s="149"/>
      <c r="U1808" s="149"/>
      <c r="V1808" s="89"/>
      <c r="W1808" s="91"/>
      <c r="X1808" s="91"/>
      <c r="Y1808" s="91"/>
      <c r="Z1808" s="52"/>
      <c r="AA1808" s="52"/>
    </row>
    <row r="1809" spans="1:27" s="54" customFormat="1" ht="15" customHeight="1" x14ac:dyDescent="0.2">
      <c r="A1809" s="93">
        <v>41795.612731481502</v>
      </c>
      <c r="B1809" s="89" t="s">
        <v>16</v>
      </c>
      <c r="C1809" s="52" t="s">
        <v>670</v>
      </c>
      <c r="D1809" s="87" t="s">
        <v>6224</v>
      </c>
      <c r="E1809" s="89" t="s">
        <v>7291</v>
      </c>
      <c r="F1809" s="89" t="s">
        <v>7292</v>
      </c>
      <c r="G1809" s="89" t="s">
        <v>26</v>
      </c>
      <c r="H1809" s="89" t="s">
        <v>7293</v>
      </c>
      <c r="I1809" s="89" t="s">
        <v>3001</v>
      </c>
      <c r="J1809" s="95">
        <v>14</v>
      </c>
      <c r="K1809" s="95">
        <v>405</v>
      </c>
      <c r="L1809" s="150"/>
      <c r="M1809" s="146" t="s">
        <v>44</v>
      </c>
      <c r="N1809" s="149"/>
      <c r="O1809" s="149">
        <v>100</v>
      </c>
      <c r="P1809" s="149"/>
      <c r="Q1809" s="149"/>
      <c r="R1809" s="149"/>
      <c r="S1809" s="149"/>
      <c r="T1809" s="149"/>
      <c r="U1809" s="149">
        <v>500</v>
      </c>
      <c r="V1809" s="89"/>
      <c r="W1809" s="91"/>
      <c r="X1809" s="91"/>
      <c r="Y1809" s="91"/>
      <c r="Z1809" s="52"/>
      <c r="AA1809" s="52"/>
    </row>
    <row r="1810" spans="1:27" s="54" customFormat="1" ht="15" customHeight="1" x14ac:dyDescent="0.2">
      <c r="A1810" s="93">
        <v>41796.398854166699</v>
      </c>
      <c r="B1810" s="89" t="s">
        <v>16</v>
      </c>
      <c r="C1810" s="52" t="s">
        <v>913</v>
      </c>
      <c r="D1810" s="87" t="s">
        <v>6224</v>
      </c>
      <c r="E1810" s="89" t="s">
        <v>7294</v>
      </c>
      <c r="F1810" s="89" t="s">
        <v>7295</v>
      </c>
      <c r="G1810" s="89" t="s">
        <v>20</v>
      </c>
      <c r="H1810" s="89" t="s">
        <v>7296</v>
      </c>
      <c r="I1810" s="89" t="s">
        <v>7297</v>
      </c>
      <c r="J1810" s="95">
        <v>3</v>
      </c>
      <c r="K1810" s="95">
        <v>62</v>
      </c>
      <c r="L1810" s="150">
        <v>217</v>
      </c>
      <c r="M1810" s="146" t="s">
        <v>22</v>
      </c>
      <c r="N1810" s="149"/>
      <c r="O1810" s="149"/>
      <c r="P1810" s="149"/>
      <c r="Q1810" s="149"/>
      <c r="R1810" s="149"/>
      <c r="S1810" s="149"/>
      <c r="T1810" s="149"/>
      <c r="U1810" s="149"/>
      <c r="V1810" s="89"/>
      <c r="W1810" s="91"/>
      <c r="X1810" s="91"/>
      <c r="Y1810" s="91"/>
      <c r="Z1810" s="52"/>
      <c r="AA1810" s="52"/>
    </row>
    <row r="1811" spans="1:27" s="54" customFormat="1" ht="15" customHeight="1" x14ac:dyDescent="0.2">
      <c r="A1811" s="93">
        <v>41796.400659722203</v>
      </c>
      <c r="B1811" s="89" t="s">
        <v>16</v>
      </c>
      <c r="C1811" s="52" t="s">
        <v>913</v>
      </c>
      <c r="D1811" s="87" t="s">
        <v>6224</v>
      </c>
      <c r="E1811" s="89" t="s">
        <v>7298</v>
      </c>
      <c r="F1811" s="89" t="s">
        <v>7299</v>
      </c>
      <c r="G1811" s="89" t="s">
        <v>20</v>
      </c>
      <c r="H1811" s="89" t="s">
        <v>7300</v>
      </c>
      <c r="I1811" s="89" t="s">
        <v>5589</v>
      </c>
      <c r="J1811" s="95">
        <v>4</v>
      </c>
      <c r="K1811" s="95">
        <v>74</v>
      </c>
      <c r="L1811" s="150">
        <v>222</v>
      </c>
      <c r="M1811" s="146" t="s">
        <v>22</v>
      </c>
      <c r="N1811" s="149"/>
      <c r="O1811" s="149"/>
      <c r="P1811" s="149"/>
      <c r="Q1811" s="149"/>
      <c r="R1811" s="149"/>
      <c r="S1811" s="149"/>
      <c r="T1811" s="149"/>
      <c r="U1811" s="149"/>
      <c r="V1811" s="89"/>
      <c r="W1811" s="91"/>
      <c r="X1811" s="91"/>
      <c r="Y1811" s="91"/>
      <c r="Z1811" s="52"/>
      <c r="AA1811" s="52"/>
    </row>
    <row r="1812" spans="1:27" s="54" customFormat="1" ht="15" customHeight="1" x14ac:dyDescent="0.2">
      <c r="A1812" s="93">
        <v>41796.401701388902</v>
      </c>
      <c r="B1812" s="89" t="s">
        <v>16</v>
      </c>
      <c r="C1812" s="52" t="s">
        <v>913</v>
      </c>
      <c r="D1812" s="87" t="s">
        <v>6224</v>
      </c>
      <c r="E1812" s="89" t="s">
        <v>7301</v>
      </c>
      <c r="F1812" s="89" t="s">
        <v>6645</v>
      </c>
      <c r="G1812" s="89" t="s">
        <v>26</v>
      </c>
      <c r="H1812" s="89" t="s">
        <v>2480</v>
      </c>
      <c r="I1812" s="89" t="s">
        <v>2986</v>
      </c>
      <c r="J1812" s="95">
        <v>1</v>
      </c>
      <c r="K1812" s="95">
        <v>300</v>
      </c>
      <c r="L1812" s="150"/>
      <c r="M1812" s="146" t="s">
        <v>22</v>
      </c>
      <c r="N1812" s="149"/>
      <c r="O1812" s="149"/>
      <c r="P1812" s="149"/>
      <c r="Q1812" s="149"/>
      <c r="R1812" s="149"/>
      <c r="S1812" s="149"/>
      <c r="T1812" s="149"/>
      <c r="U1812" s="149"/>
      <c r="V1812" s="89"/>
      <c r="W1812" s="91"/>
      <c r="X1812" s="91"/>
      <c r="Y1812" s="91"/>
      <c r="Z1812" s="52"/>
      <c r="AA1812" s="52"/>
    </row>
    <row r="1813" spans="1:27" s="54" customFormat="1" ht="15" customHeight="1" x14ac:dyDescent="0.2">
      <c r="A1813" s="93">
        <v>41796.402627314797</v>
      </c>
      <c r="B1813" s="89" t="s">
        <v>16</v>
      </c>
      <c r="C1813" s="52" t="s">
        <v>913</v>
      </c>
      <c r="D1813" s="87" t="s">
        <v>6224</v>
      </c>
      <c r="E1813" s="89" t="s">
        <v>4299</v>
      </c>
      <c r="F1813" s="89" t="s">
        <v>2758</v>
      </c>
      <c r="G1813" s="89" t="s">
        <v>26</v>
      </c>
      <c r="H1813" s="89" t="s">
        <v>7302</v>
      </c>
      <c r="I1813" s="89" t="s">
        <v>3001</v>
      </c>
      <c r="J1813" s="95">
        <v>1</v>
      </c>
      <c r="K1813" s="95">
        <v>2</v>
      </c>
      <c r="L1813" s="150">
        <v>2</v>
      </c>
      <c r="M1813" s="146" t="s">
        <v>22</v>
      </c>
      <c r="N1813" s="149"/>
      <c r="O1813" s="149"/>
      <c r="P1813" s="149"/>
      <c r="Q1813" s="149"/>
      <c r="R1813" s="149"/>
      <c r="S1813" s="149"/>
      <c r="T1813" s="149"/>
      <c r="U1813" s="149"/>
      <c r="V1813" s="89"/>
      <c r="W1813" s="91"/>
      <c r="X1813" s="91"/>
      <c r="Y1813" s="91"/>
      <c r="Z1813" s="52"/>
      <c r="AA1813" s="52"/>
    </row>
    <row r="1814" spans="1:27" s="54" customFormat="1" ht="15" customHeight="1" x14ac:dyDescent="0.2">
      <c r="A1814" s="37">
        <v>41478.464895833298</v>
      </c>
      <c r="B1814" s="26" t="s">
        <v>152</v>
      </c>
      <c r="C1814" s="26" t="s">
        <v>304</v>
      </c>
      <c r="D1814" s="33">
        <v>41456</v>
      </c>
      <c r="E1814" s="26" t="s">
        <v>305</v>
      </c>
      <c r="F1814" s="26" t="s">
        <v>306</v>
      </c>
      <c r="G1814" s="26" t="s">
        <v>42</v>
      </c>
      <c r="H1814" s="26" t="s">
        <v>307</v>
      </c>
      <c r="I1814" s="26"/>
      <c r="J1814" s="115">
        <v>2</v>
      </c>
      <c r="K1814" s="115">
        <v>30</v>
      </c>
      <c r="L1814" s="136">
        <v>66</v>
      </c>
      <c r="M1814" s="137" t="s">
        <v>44</v>
      </c>
      <c r="N1814" s="138"/>
      <c r="O1814" s="138"/>
      <c r="P1814" s="138"/>
      <c r="Q1814" s="138"/>
      <c r="R1814" s="138"/>
      <c r="S1814" s="138">
        <v>50</v>
      </c>
      <c r="T1814" s="138"/>
      <c r="U1814" s="138"/>
      <c r="V1814" s="26"/>
      <c r="W1814" s="26"/>
      <c r="X1814" s="26"/>
      <c r="Y1814" s="26"/>
      <c r="Z1814" s="52"/>
      <c r="AA1814" s="52"/>
    </row>
    <row r="1815" spans="1:27" s="54" customFormat="1" ht="15" customHeight="1" x14ac:dyDescent="0.2">
      <c r="A1815" s="37">
        <v>41485.613553240699</v>
      </c>
      <c r="B1815" s="26" t="s">
        <v>152</v>
      </c>
      <c r="C1815" s="26" t="s">
        <v>304</v>
      </c>
      <c r="D1815" s="33">
        <v>41456</v>
      </c>
      <c r="E1815" s="26" t="s">
        <v>399</v>
      </c>
      <c r="F1815" s="26" t="s">
        <v>400</v>
      </c>
      <c r="G1815" s="26" t="s">
        <v>26</v>
      </c>
      <c r="H1815" s="26" t="s">
        <v>401</v>
      </c>
      <c r="I1815" s="26"/>
      <c r="J1815" s="115">
        <v>1</v>
      </c>
      <c r="K1815" s="115">
        <v>9</v>
      </c>
      <c r="L1815" s="136">
        <v>125</v>
      </c>
      <c r="M1815" s="137" t="s">
        <v>44</v>
      </c>
      <c r="N1815" s="138"/>
      <c r="O1815" s="138"/>
      <c r="P1815" s="138"/>
      <c r="Q1815" s="138">
        <v>56</v>
      </c>
      <c r="R1815" s="138"/>
      <c r="S1815" s="138"/>
      <c r="T1815" s="138"/>
      <c r="U1815" s="138"/>
      <c r="V1815" s="26"/>
      <c r="W1815" s="26"/>
      <c r="X1815" s="26"/>
      <c r="Y1815" s="26"/>
      <c r="Z1815" s="52"/>
      <c r="AA1815" s="52"/>
    </row>
    <row r="1816" spans="1:27" s="54" customFormat="1" ht="15" customHeight="1" x14ac:dyDescent="0.2">
      <c r="A1816" s="38">
        <v>41503.382719907408</v>
      </c>
      <c r="B1816" s="29" t="s">
        <v>152</v>
      </c>
      <c r="C1816" s="29" t="s">
        <v>304</v>
      </c>
      <c r="D1816" s="30">
        <v>41487</v>
      </c>
      <c r="E1816" s="31" t="s">
        <v>1374</v>
      </c>
      <c r="F1816" s="29" t="s">
        <v>1375</v>
      </c>
      <c r="G1816" s="29" t="s">
        <v>26</v>
      </c>
      <c r="H1816" s="29" t="s">
        <v>1376</v>
      </c>
      <c r="I1816" s="29"/>
      <c r="J1816" s="116">
        <v>1</v>
      </c>
      <c r="K1816" s="116">
        <v>5</v>
      </c>
      <c r="L1816" s="139">
        <v>15</v>
      </c>
      <c r="M1816" s="140" t="s">
        <v>22</v>
      </c>
      <c r="N1816" s="141"/>
      <c r="O1816" s="141"/>
      <c r="P1816" s="141"/>
      <c r="Q1816" s="141"/>
      <c r="R1816" s="141"/>
      <c r="S1816" s="141"/>
      <c r="T1816" s="141"/>
      <c r="U1816" s="141"/>
      <c r="V1816" s="29"/>
      <c r="W1816" s="26"/>
      <c r="X1816" s="26"/>
      <c r="Y1816" s="26"/>
      <c r="Z1816" s="52"/>
      <c r="AA1816" s="52"/>
    </row>
    <row r="1817" spans="1:27" s="54" customFormat="1" ht="15" customHeight="1" x14ac:dyDescent="0.2">
      <c r="A1817" s="38">
        <v>41503.476226851853</v>
      </c>
      <c r="B1817" s="29" t="s">
        <v>152</v>
      </c>
      <c r="C1817" s="29" t="s">
        <v>304</v>
      </c>
      <c r="D1817" s="30">
        <v>41487</v>
      </c>
      <c r="E1817" s="31" t="s">
        <v>1377</v>
      </c>
      <c r="F1817" s="29" t="s">
        <v>1378</v>
      </c>
      <c r="G1817" s="29" t="s">
        <v>26</v>
      </c>
      <c r="H1817" s="29" t="s">
        <v>1379</v>
      </c>
      <c r="I1817" s="29"/>
      <c r="J1817" s="116">
        <v>1</v>
      </c>
      <c r="K1817" s="116">
        <v>13</v>
      </c>
      <c r="L1817" s="139">
        <v>36</v>
      </c>
      <c r="M1817" s="140" t="s">
        <v>22</v>
      </c>
      <c r="N1817" s="141"/>
      <c r="O1817" s="141"/>
      <c r="P1817" s="141"/>
      <c r="Q1817" s="141"/>
      <c r="R1817" s="141"/>
      <c r="S1817" s="141"/>
      <c r="T1817" s="141"/>
      <c r="U1817" s="141"/>
      <c r="V1817" s="29"/>
      <c r="W1817" s="26"/>
      <c r="X1817" s="26"/>
      <c r="Y1817" s="26"/>
      <c r="Z1817" s="52"/>
      <c r="AA1817" s="52"/>
    </row>
    <row r="1818" spans="1:27" s="54" customFormat="1" ht="15" customHeight="1" x14ac:dyDescent="0.2">
      <c r="A1818" s="38">
        <v>41515.539293981485</v>
      </c>
      <c r="B1818" s="29" t="s">
        <v>152</v>
      </c>
      <c r="C1818" s="29" t="s">
        <v>304</v>
      </c>
      <c r="D1818" s="30">
        <v>41487</v>
      </c>
      <c r="E1818" s="31" t="s">
        <v>1374</v>
      </c>
      <c r="F1818" s="29" t="s">
        <v>1375</v>
      </c>
      <c r="G1818" s="29" t="s">
        <v>26</v>
      </c>
      <c r="H1818" s="29" t="s">
        <v>1424</v>
      </c>
      <c r="I1818" s="29"/>
      <c r="J1818" s="116">
        <v>2</v>
      </c>
      <c r="K1818" s="116">
        <v>41</v>
      </c>
      <c r="L1818" s="139">
        <v>39</v>
      </c>
      <c r="M1818" s="140" t="s">
        <v>22</v>
      </c>
      <c r="N1818" s="141"/>
      <c r="O1818" s="141"/>
      <c r="P1818" s="141"/>
      <c r="Q1818" s="141"/>
      <c r="R1818" s="141"/>
      <c r="S1818" s="141"/>
      <c r="T1818" s="141"/>
      <c r="U1818" s="141"/>
      <c r="V1818" s="29"/>
      <c r="W1818" s="26"/>
      <c r="X1818" s="26"/>
      <c r="Y1818" s="26"/>
      <c r="Z1818" s="52"/>
      <c r="AA1818" s="52"/>
    </row>
    <row r="1819" spans="1:27" s="54" customFormat="1" ht="15" customHeight="1" x14ac:dyDescent="0.2">
      <c r="A1819" s="38">
        <v>41515.540208333332</v>
      </c>
      <c r="B1819" s="29" t="s">
        <v>152</v>
      </c>
      <c r="C1819" s="29" t="s">
        <v>304</v>
      </c>
      <c r="D1819" s="30">
        <v>41487</v>
      </c>
      <c r="E1819" s="31" t="s">
        <v>1425</v>
      </c>
      <c r="F1819" s="29" t="s">
        <v>1426</v>
      </c>
      <c r="G1819" s="39" t="s">
        <v>26</v>
      </c>
      <c r="H1819" s="29" t="s">
        <v>1427</v>
      </c>
      <c r="I1819" s="29"/>
      <c r="J1819" s="116">
        <v>1</v>
      </c>
      <c r="K1819" s="116">
        <v>5</v>
      </c>
      <c r="L1819" s="139">
        <v>350</v>
      </c>
      <c r="M1819" s="140" t="s">
        <v>22</v>
      </c>
      <c r="N1819" s="141"/>
      <c r="O1819" s="141"/>
      <c r="P1819" s="141"/>
      <c r="Q1819" s="141"/>
      <c r="R1819" s="141"/>
      <c r="S1819" s="141"/>
      <c r="T1819" s="141"/>
      <c r="U1819" s="141"/>
      <c r="V1819" s="29"/>
      <c r="W1819" s="26"/>
      <c r="X1819" s="26"/>
      <c r="Y1819" s="26"/>
      <c r="Z1819" s="52"/>
      <c r="AA1819" s="52"/>
    </row>
    <row r="1820" spans="1:27" s="54" customFormat="1" ht="15" customHeight="1" x14ac:dyDescent="0.2">
      <c r="A1820" s="38">
        <v>41519.472997685189</v>
      </c>
      <c r="B1820" s="29" t="s">
        <v>152</v>
      </c>
      <c r="C1820" s="29" t="s">
        <v>304</v>
      </c>
      <c r="D1820" s="30">
        <v>41487</v>
      </c>
      <c r="E1820" s="31" t="s">
        <v>1374</v>
      </c>
      <c r="F1820" s="29" t="s">
        <v>1375</v>
      </c>
      <c r="G1820" s="29" t="s">
        <v>26</v>
      </c>
      <c r="H1820" s="29" t="s">
        <v>1511</v>
      </c>
      <c r="I1820" s="29"/>
      <c r="J1820" s="116">
        <v>2</v>
      </c>
      <c r="K1820" s="116">
        <v>11</v>
      </c>
      <c r="L1820" s="139">
        <v>30</v>
      </c>
      <c r="M1820" s="140" t="s">
        <v>44</v>
      </c>
      <c r="N1820" s="141"/>
      <c r="O1820" s="141"/>
      <c r="P1820" s="141">
        <v>8.49</v>
      </c>
      <c r="Q1820" s="141"/>
      <c r="R1820" s="141"/>
      <c r="S1820" s="141"/>
      <c r="T1820" s="141"/>
      <c r="U1820" s="141"/>
      <c r="V1820" s="29"/>
      <c r="W1820" s="26"/>
      <c r="X1820" s="26"/>
      <c r="Y1820" s="26"/>
      <c r="Z1820" s="52"/>
      <c r="AA1820" s="52"/>
    </row>
    <row r="1821" spans="1:27" s="54" customFormat="1" ht="15" customHeight="1" x14ac:dyDescent="0.2">
      <c r="A1821" s="38">
        <v>41519.473761574074</v>
      </c>
      <c r="B1821" s="29" t="s">
        <v>152</v>
      </c>
      <c r="C1821" s="29" t="s">
        <v>304</v>
      </c>
      <c r="D1821" s="30">
        <v>41487</v>
      </c>
      <c r="E1821" s="31" t="s">
        <v>1512</v>
      </c>
      <c r="F1821" s="29" t="s">
        <v>1513</v>
      </c>
      <c r="G1821" s="29" t="s">
        <v>26</v>
      </c>
      <c r="H1821" s="29" t="s">
        <v>1514</v>
      </c>
      <c r="I1821" s="29"/>
      <c r="J1821" s="116">
        <v>1</v>
      </c>
      <c r="K1821" s="116">
        <v>9</v>
      </c>
      <c r="L1821" s="139">
        <v>160</v>
      </c>
      <c r="M1821" s="140" t="s">
        <v>22</v>
      </c>
      <c r="N1821" s="141"/>
      <c r="O1821" s="141"/>
      <c r="P1821" s="141"/>
      <c r="Q1821" s="141"/>
      <c r="R1821" s="141"/>
      <c r="S1821" s="141"/>
      <c r="T1821" s="141"/>
      <c r="U1821" s="141"/>
      <c r="V1821" s="29"/>
      <c r="W1821" s="26"/>
      <c r="X1821" s="26"/>
      <c r="Y1821" s="26"/>
      <c r="Z1821" s="52"/>
      <c r="AA1821" s="52"/>
    </row>
    <row r="1822" spans="1:27" s="54" customFormat="1" ht="15" customHeight="1" x14ac:dyDescent="0.2">
      <c r="A1822" s="38">
        <v>41519.52065972222</v>
      </c>
      <c r="B1822" s="29" t="s">
        <v>152</v>
      </c>
      <c r="C1822" s="29" t="s">
        <v>304</v>
      </c>
      <c r="D1822" s="30">
        <v>41487</v>
      </c>
      <c r="E1822" s="31" t="s">
        <v>1515</v>
      </c>
      <c r="F1822" s="29" t="s">
        <v>373</v>
      </c>
      <c r="G1822" s="29" t="s">
        <v>26</v>
      </c>
      <c r="H1822" s="29" t="s">
        <v>1516</v>
      </c>
      <c r="I1822" s="29"/>
      <c r="J1822" s="116">
        <v>1</v>
      </c>
      <c r="K1822" s="116">
        <v>10</v>
      </c>
      <c r="L1822" s="139"/>
      <c r="M1822" s="140" t="s">
        <v>22</v>
      </c>
      <c r="N1822" s="141"/>
      <c r="O1822" s="141"/>
      <c r="P1822" s="141"/>
      <c r="Q1822" s="141"/>
      <c r="R1822" s="141"/>
      <c r="S1822" s="141"/>
      <c r="T1822" s="141"/>
      <c r="U1822" s="141"/>
      <c r="V1822" s="29"/>
      <c r="W1822" s="26"/>
      <c r="X1822" s="26"/>
      <c r="Y1822" s="26"/>
      <c r="Z1822" s="52"/>
      <c r="AA1822" s="52"/>
    </row>
    <row r="1823" spans="1:27" s="54" customFormat="1" ht="15" customHeight="1" x14ac:dyDescent="0.2">
      <c r="A1823" s="40">
        <v>41524.382314814815</v>
      </c>
      <c r="B1823" s="41" t="s">
        <v>152</v>
      </c>
      <c r="C1823" s="34" t="s">
        <v>304</v>
      </c>
      <c r="D1823" s="33">
        <v>41456</v>
      </c>
      <c r="E1823" s="41" t="s">
        <v>1279</v>
      </c>
      <c r="F1823" s="41" t="s">
        <v>1280</v>
      </c>
      <c r="G1823" s="41" t="s">
        <v>26</v>
      </c>
      <c r="H1823" s="41" t="s">
        <v>1281</v>
      </c>
      <c r="I1823" s="41"/>
      <c r="J1823" s="119">
        <v>4</v>
      </c>
      <c r="K1823" s="119">
        <v>835</v>
      </c>
      <c r="L1823" s="151"/>
      <c r="M1823" s="152"/>
      <c r="N1823" s="153"/>
      <c r="O1823" s="153"/>
      <c r="P1823" s="153"/>
      <c r="Q1823" s="153"/>
      <c r="R1823" s="153"/>
      <c r="S1823" s="153"/>
      <c r="T1823" s="153"/>
      <c r="U1823" s="153"/>
      <c r="V1823" s="42"/>
      <c r="W1823" s="26"/>
      <c r="X1823" s="26"/>
      <c r="Y1823" s="26"/>
      <c r="Z1823" s="52"/>
      <c r="AA1823" s="52"/>
    </row>
    <row r="1824" spans="1:27" s="54" customFormat="1" ht="15" customHeight="1" x14ac:dyDescent="0.2">
      <c r="A1824" s="40">
        <v>41524.384259259263</v>
      </c>
      <c r="B1824" s="41" t="s">
        <v>152</v>
      </c>
      <c r="C1824" s="34" t="s">
        <v>304</v>
      </c>
      <c r="D1824" s="33">
        <v>41456</v>
      </c>
      <c r="E1824" s="41" t="s">
        <v>1282</v>
      </c>
      <c r="F1824" s="41" t="s">
        <v>1283</v>
      </c>
      <c r="G1824" s="41" t="s">
        <v>26</v>
      </c>
      <c r="H1824" s="41" t="s">
        <v>1281</v>
      </c>
      <c r="I1824" s="41"/>
      <c r="J1824" s="119">
        <v>1</v>
      </c>
      <c r="K1824" s="119">
        <v>100</v>
      </c>
      <c r="L1824" s="151"/>
      <c r="M1824" s="152"/>
      <c r="N1824" s="153"/>
      <c r="O1824" s="153"/>
      <c r="P1824" s="153"/>
      <c r="Q1824" s="153"/>
      <c r="R1824" s="153"/>
      <c r="S1824" s="153"/>
      <c r="T1824" s="153"/>
      <c r="U1824" s="153"/>
      <c r="V1824" s="42" t="s">
        <v>1284</v>
      </c>
      <c r="W1824" s="26"/>
      <c r="X1824" s="26"/>
      <c r="Y1824" s="26"/>
      <c r="Z1824" s="52"/>
      <c r="AA1824" s="52"/>
    </row>
    <row r="1825" spans="1:27" s="54" customFormat="1" ht="15" customHeight="1" x14ac:dyDescent="0.2">
      <c r="A1825" s="40">
        <v>41524.389120370368</v>
      </c>
      <c r="B1825" s="41" t="s">
        <v>152</v>
      </c>
      <c r="C1825" s="34" t="s">
        <v>304</v>
      </c>
      <c r="D1825" s="33">
        <v>41456</v>
      </c>
      <c r="E1825" s="41" t="s">
        <v>1285</v>
      </c>
      <c r="F1825" s="41" t="s">
        <v>1286</v>
      </c>
      <c r="G1825" s="41" t="s">
        <v>26</v>
      </c>
      <c r="H1825" s="41" t="s">
        <v>1287</v>
      </c>
      <c r="I1825" s="41"/>
      <c r="J1825" s="119">
        <v>1</v>
      </c>
      <c r="K1825" s="119">
        <v>3</v>
      </c>
      <c r="L1825" s="151"/>
      <c r="M1825" s="152"/>
      <c r="N1825" s="153"/>
      <c r="O1825" s="153"/>
      <c r="P1825" s="153"/>
      <c r="Q1825" s="153"/>
      <c r="R1825" s="153"/>
      <c r="S1825" s="153"/>
      <c r="T1825" s="153"/>
      <c r="U1825" s="153"/>
      <c r="V1825" s="42"/>
      <c r="W1825" s="26"/>
      <c r="X1825" s="26"/>
      <c r="Y1825" s="26"/>
      <c r="Z1825" s="52"/>
      <c r="AA1825" s="52"/>
    </row>
    <row r="1826" spans="1:27" s="54" customFormat="1" ht="15" customHeight="1" x14ac:dyDescent="0.2">
      <c r="A1826" s="28">
        <v>41525.858460648145</v>
      </c>
      <c r="B1826" s="29" t="s">
        <v>152</v>
      </c>
      <c r="C1826" s="29" t="s">
        <v>304</v>
      </c>
      <c r="D1826" s="30">
        <v>41487</v>
      </c>
      <c r="E1826" s="29" t="s">
        <v>1517</v>
      </c>
      <c r="F1826" s="29" t="s">
        <v>1518</v>
      </c>
      <c r="G1826" s="29" t="s">
        <v>26</v>
      </c>
      <c r="H1826" s="29" t="s">
        <v>1519</v>
      </c>
      <c r="I1826" s="29"/>
      <c r="J1826" s="116">
        <v>1</v>
      </c>
      <c r="K1826" s="116">
        <v>10</v>
      </c>
      <c r="L1826" s="139"/>
      <c r="M1826" s="140" t="s">
        <v>22</v>
      </c>
      <c r="N1826" s="141"/>
      <c r="O1826" s="141"/>
      <c r="P1826" s="141"/>
      <c r="Q1826" s="141"/>
      <c r="R1826" s="141"/>
      <c r="S1826" s="141"/>
      <c r="T1826" s="141"/>
      <c r="U1826" s="141"/>
      <c r="V1826" s="29"/>
      <c r="W1826" s="26"/>
      <c r="X1826" s="26"/>
      <c r="Y1826" s="26"/>
      <c r="Z1826" s="52"/>
      <c r="AA1826" s="52"/>
    </row>
    <row r="1827" spans="1:27" s="54" customFormat="1" ht="15" customHeight="1" x14ac:dyDescent="0.2">
      <c r="A1827" s="28">
        <v>41524.440092592595</v>
      </c>
      <c r="B1827" s="29" t="s">
        <v>152</v>
      </c>
      <c r="C1827" s="29" t="s">
        <v>304</v>
      </c>
      <c r="D1827" s="30">
        <v>41518</v>
      </c>
      <c r="E1827" s="29" t="s">
        <v>2024</v>
      </c>
      <c r="F1827" s="29" t="s">
        <v>2025</v>
      </c>
      <c r="G1827" s="29" t="s">
        <v>26</v>
      </c>
      <c r="H1827" s="29" t="s">
        <v>2026</v>
      </c>
      <c r="I1827" s="29"/>
      <c r="J1827" s="116">
        <v>1</v>
      </c>
      <c r="K1827" s="116">
        <v>6</v>
      </c>
      <c r="L1827" s="139"/>
      <c r="M1827" s="140" t="s">
        <v>44</v>
      </c>
      <c r="N1827" s="141"/>
      <c r="O1827" s="141">
        <v>10</v>
      </c>
      <c r="P1827" s="141"/>
      <c r="Q1827" s="141"/>
      <c r="R1827" s="141"/>
      <c r="S1827" s="141"/>
      <c r="T1827" s="141"/>
      <c r="U1827" s="141"/>
      <c r="V1827" s="34"/>
      <c r="W1827" s="26"/>
      <c r="X1827" s="26"/>
      <c r="Y1827" s="26"/>
      <c r="Z1827" s="52"/>
      <c r="AA1827" s="52"/>
    </row>
    <row r="1828" spans="1:27" s="54" customFormat="1" ht="15" customHeight="1" x14ac:dyDescent="0.2">
      <c r="A1828" s="32">
        <v>41529.718587962961</v>
      </c>
      <c r="B1828" s="26" t="s">
        <v>152</v>
      </c>
      <c r="C1828" s="26" t="s">
        <v>304</v>
      </c>
      <c r="D1828" s="30">
        <v>41518</v>
      </c>
      <c r="E1828" s="26" t="s">
        <v>2090</v>
      </c>
      <c r="F1828" s="26" t="s">
        <v>373</v>
      </c>
      <c r="G1828" s="26" t="s">
        <v>26</v>
      </c>
      <c r="H1828" s="26" t="s">
        <v>2091</v>
      </c>
      <c r="I1828" s="26"/>
      <c r="J1828" s="46">
        <v>1</v>
      </c>
      <c r="K1828" s="46">
        <v>4</v>
      </c>
      <c r="L1828" s="136"/>
      <c r="M1828" s="137" t="s">
        <v>22</v>
      </c>
      <c r="N1828" s="138"/>
      <c r="O1828" s="138"/>
      <c r="P1828" s="138"/>
      <c r="Q1828" s="138"/>
      <c r="R1828" s="138"/>
      <c r="S1828" s="138"/>
      <c r="T1828" s="138"/>
      <c r="U1828" s="138"/>
      <c r="V1828" s="26"/>
      <c r="W1828" s="26"/>
      <c r="X1828" s="26"/>
      <c r="Y1828" s="26"/>
      <c r="Z1828" s="52"/>
      <c r="AA1828" s="52"/>
    </row>
    <row r="1829" spans="1:27" s="54" customFormat="1" ht="15" customHeight="1" x14ac:dyDescent="0.2">
      <c r="A1829" s="32">
        <v>41533.435567129629</v>
      </c>
      <c r="B1829" s="26" t="s">
        <v>152</v>
      </c>
      <c r="C1829" s="26" t="s">
        <v>304</v>
      </c>
      <c r="D1829" s="30">
        <v>41518</v>
      </c>
      <c r="E1829" s="26" t="s">
        <v>1374</v>
      </c>
      <c r="F1829" s="26" t="s">
        <v>1375</v>
      </c>
      <c r="G1829" s="26" t="s">
        <v>26</v>
      </c>
      <c r="H1829" s="26" t="s">
        <v>2104</v>
      </c>
      <c r="I1829" s="26"/>
      <c r="J1829" s="46">
        <v>2</v>
      </c>
      <c r="K1829" s="46">
        <v>21</v>
      </c>
      <c r="L1829" s="136">
        <v>63</v>
      </c>
      <c r="M1829" s="137" t="s">
        <v>44</v>
      </c>
      <c r="N1829" s="138"/>
      <c r="O1829" s="138"/>
      <c r="P1829" s="138">
        <v>1.18</v>
      </c>
      <c r="Q1829" s="138"/>
      <c r="R1829" s="138"/>
      <c r="S1829" s="138"/>
      <c r="T1829" s="138"/>
      <c r="U1829" s="138"/>
      <c r="V1829" s="26"/>
      <c r="W1829" s="26"/>
      <c r="X1829" s="26"/>
      <c r="Y1829" s="26"/>
      <c r="Z1829" s="52"/>
      <c r="AA1829" s="52"/>
    </row>
    <row r="1830" spans="1:27" s="54" customFormat="1" ht="15" customHeight="1" x14ac:dyDescent="0.2">
      <c r="A1830" s="32">
        <v>41537.418888888889</v>
      </c>
      <c r="B1830" s="26" t="s">
        <v>152</v>
      </c>
      <c r="C1830" s="26" t="s">
        <v>304</v>
      </c>
      <c r="D1830" s="30">
        <v>41518</v>
      </c>
      <c r="E1830" s="26" t="s">
        <v>2137</v>
      </c>
      <c r="F1830" s="26" t="s">
        <v>2138</v>
      </c>
      <c r="G1830" s="26" t="s">
        <v>351</v>
      </c>
      <c r="H1830" s="26" t="s">
        <v>2139</v>
      </c>
      <c r="I1830" s="26"/>
      <c r="J1830" s="46">
        <v>1</v>
      </c>
      <c r="K1830" s="46">
        <v>13</v>
      </c>
      <c r="L1830" s="136">
        <v>33</v>
      </c>
      <c r="M1830" s="137" t="s">
        <v>22</v>
      </c>
      <c r="N1830" s="138"/>
      <c r="O1830" s="138"/>
      <c r="P1830" s="138"/>
      <c r="Q1830" s="138"/>
      <c r="R1830" s="138"/>
      <c r="S1830" s="138"/>
      <c r="T1830" s="138"/>
      <c r="U1830" s="138"/>
      <c r="V1830" s="26"/>
      <c r="W1830" s="26"/>
      <c r="X1830" s="26"/>
      <c r="Y1830" s="26"/>
      <c r="Z1830" s="52"/>
      <c r="AA1830" s="52"/>
    </row>
    <row r="1831" spans="1:27" s="54" customFormat="1" ht="15" customHeight="1" x14ac:dyDescent="0.2">
      <c r="A1831" s="32">
        <v>41537.419548611113</v>
      </c>
      <c r="B1831" s="26" t="s">
        <v>152</v>
      </c>
      <c r="C1831" s="26" t="s">
        <v>304</v>
      </c>
      <c r="D1831" s="30">
        <v>41518</v>
      </c>
      <c r="E1831" s="26" t="s">
        <v>2140</v>
      </c>
      <c r="F1831" s="26" t="s">
        <v>373</v>
      </c>
      <c r="G1831" s="26" t="s">
        <v>26</v>
      </c>
      <c r="H1831" s="26" t="s">
        <v>2141</v>
      </c>
      <c r="I1831" s="26"/>
      <c r="J1831" s="46">
        <v>1</v>
      </c>
      <c r="K1831" s="46">
        <v>2</v>
      </c>
      <c r="L1831" s="136"/>
      <c r="M1831" s="137" t="s">
        <v>44</v>
      </c>
      <c r="N1831" s="138"/>
      <c r="O1831" s="138"/>
      <c r="P1831" s="138"/>
      <c r="Q1831" s="138"/>
      <c r="R1831" s="138"/>
      <c r="S1831" s="138">
        <v>25</v>
      </c>
      <c r="T1831" s="138"/>
      <c r="U1831" s="138"/>
      <c r="V1831" s="26"/>
      <c r="W1831" s="26"/>
      <c r="X1831" s="26"/>
      <c r="Y1831" s="26"/>
      <c r="Z1831" s="52"/>
      <c r="AA1831" s="52"/>
    </row>
    <row r="1832" spans="1:27" s="54" customFormat="1" ht="15" customHeight="1" x14ac:dyDescent="0.2">
      <c r="A1832" s="32">
        <v>41541.419178240743</v>
      </c>
      <c r="B1832" s="26" t="s">
        <v>152</v>
      </c>
      <c r="C1832" s="26" t="s">
        <v>304</v>
      </c>
      <c r="D1832" s="30">
        <v>41518</v>
      </c>
      <c r="E1832" s="26" t="s">
        <v>1374</v>
      </c>
      <c r="F1832" s="26" t="s">
        <v>1375</v>
      </c>
      <c r="G1832" s="26" t="s">
        <v>26</v>
      </c>
      <c r="H1832" s="26" t="s">
        <v>2156</v>
      </c>
      <c r="I1832" s="26"/>
      <c r="J1832" s="46">
        <v>2</v>
      </c>
      <c r="K1832" s="46">
        <v>16</v>
      </c>
      <c r="L1832" s="136">
        <v>41</v>
      </c>
      <c r="M1832" s="137" t="s">
        <v>22</v>
      </c>
      <c r="N1832" s="138"/>
      <c r="O1832" s="138"/>
      <c r="P1832" s="138"/>
      <c r="Q1832" s="138"/>
      <c r="R1832" s="138"/>
      <c r="S1832" s="138"/>
      <c r="T1832" s="138"/>
      <c r="U1832" s="138"/>
      <c r="V1832" s="26"/>
      <c r="W1832" s="26"/>
      <c r="X1832" s="26"/>
      <c r="Y1832" s="26"/>
      <c r="Z1832" s="52"/>
      <c r="AA1832" s="52"/>
    </row>
    <row r="1833" spans="1:27" s="54" customFormat="1" ht="15" customHeight="1" x14ac:dyDescent="0.2">
      <c r="A1833" s="32">
        <v>41541.426041666666</v>
      </c>
      <c r="B1833" s="26" t="s">
        <v>152</v>
      </c>
      <c r="C1833" s="26" t="s">
        <v>304</v>
      </c>
      <c r="D1833" s="30">
        <v>41518</v>
      </c>
      <c r="E1833" s="26" t="s">
        <v>2157</v>
      </c>
      <c r="F1833" s="26" t="s">
        <v>2158</v>
      </c>
      <c r="G1833" s="26" t="s">
        <v>156</v>
      </c>
      <c r="H1833" s="26" t="s">
        <v>2159</v>
      </c>
      <c r="I1833" s="26"/>
      <c r="J1833" s="46">
        <v>1</v>
      </c>
      <c r="K1833" s="46">
        <v>600</v>
      </c>
      <c r="L1833" s="136"/>
      <c r="M1833" s="137" t="s">
        <v>44</v>
      </c>
      <c r="N1833" s="138"/>
      <c r="O1833" s="138">
        <v>15</v>
      </c>
      <c r="P1833" s="138">
        <v>411.72</v>
      </c>
      <c r="Q1833" s="138"/>
      <c r="R1833" s="138"/>
      <c r="S1833" s="138"/>
      <c r="T1833" s="138"/>
      <c r="U1833" s="138"/>
      <c r="V1833" s="26" t="s">
        <v>2160</v>
      </c>
      <c r="W1833" s="26"/>
      <c r="X1833" s="26"/>
      <c r="Y1833" s="26"/>
      <c r="Z1833" s="52"/>
      <c r="AA1833" s="52"/>
    </row>
    <row r="1834" spans="1:27" s="54" customFormat="1" ht="15" customHeight="1" x14ac:dyDescent="0.2">
      <c r="A1834" s="32">
        <v>41544.90929398148</v>
      </c>
      <c r="B1834" s="26" t="s">
        <v>152</v>
      </c>
      <c r="C1834" s="26" t="s">
        <v>304</v>
      </c>
      <c r="D1834" s="30">
        <v>41518</v>
      </c>
      <c r="E1834" s="26" t="s">
        <v>2213</v>
      </c>
      <c r="F1834" s="26" t="s">
        <v>373</v>
      </c>
      <c r="G1834" s="26" t="s">
        <v>26</v>
      </c>
      <c r="H1834" s="26" t="s">
        <v>2214</v>
      </c>
      <c r="I1834" s="26"/>
      <c r="J1834" s="46">
        <v>1</v>
      </c>
      <c r="K1834" s="46">
        <v>2</v>
      </c>
      <c r="L1834" s="136"/>
      <c r="M1834" s="137" t="s">
        <v>22</v>
      </c>
      <c r="N1834" s="138"/>
      <c r="O1834" s="138"/>
      <c r="P1834" s="138"/>
      <c r="Q1834" s="138"/>
      <c r="R1834" s="138"/>
      <c r="S1834" s="138"/>
      <c r="T1834" s="138"/>
      <c r="U1834" s="138"/>
      <c r="V1834" s="26"/>
      <c r="W1834" s="26"/>
      <c r="X1834" s="26"/>
      <c r="Y1834" s="26"/>
      <c r="Z1834" s="52"/>
      <c r="AA1834" s="52"/>
    </row>
    <row r="1835" spans="1:27" s="54" customFormat="1" ht="15" customHeight="1" x14ac:dyDescent="0.2">
      <c r="A1835" s="32">
        <v>41544.909918981481</v>
      </c>
      <c r="B1835" s="26" t="s">
        <v>152</v>
      </c>
      <c r="C1835" s="26" t="s">
        <v>304</v>
      </c>
      <c r="D1835" s="30">
        <v>41518</v>
      </c>
      <c r="E1835" s="26" t="s">
        <v>2215</v>
      </c>
      <c r="F1835" s="26" t="s">
        <v>373</v>
      </c>
      <c r="G1835" s="26" t="s">
        <v>26</v>
      </c>
      <c r="H1835" s="26" t="s">
        <v>2216</v>
      </c>
      <c r="I1835" s="26"/>
      <c r="J1835" s="46">
        <v>1</v>
      </c>
      <c r="K1835" s="46">
        <v>2</v>
      </c>
      <c r="L1835" s="136"/>
      <c r="M1835" s="137" t="s">
        <v>22</v>
      </c>
      <c r="N1835" s="138"/>
      <c r="O1835" s="138"/>
      <c r="P1835" s="138"/>
      <c r="Q1835" s="138"/>
      <c r="R1835" s="138"/>
      <c r="S1835" s="138"/>
      <c r="T1835" s="138"/>
      <c r="U1835" s="138"/>
      <c r="V1835" s="26"/>
      <c r="W1835" s="26"/>
      <c r="X1835" s="26"/>
      <c r="Y1835" s="26"/>
      <c r="Z1835" s="52"/>
      <c r="AA1835" s="52"/>
    </row>
    <row r="1836" spans="1:27" s="54" customFormat="1" ht="15" customHeight="1" x14ac:dyDescent="0.2">
      <c r="A1836" s="32">
        <v>41544.910543981481</v>
      </c>
      <c r="B1836" s="26" t="s">
        <v>152</v>
      </c>
      <c r="C1836" s="26" t="s">
        <v>304</v>
      </c>
      <c r="D1836" s="30">
        <v>41518</v>
      </c>
      <c r="E1836" s="26" t="s">
        <v>2217</v>
      </c>
      <c r="F1836" s="26" t="s">
        <v>373</v>
      </c>
      <c r="G1836" s="26" t="s">
        <v>26</v>
      </c>
      <c r="H1836" s="26" t="s">
        <v>2218</v>
      </c>
      <c r="I1836" s="26"/>
      <c r="J1836" s="46">
        <v>1</v>
      </c>
      <c r="K1836" s="46">
        <v>4</v>
      </c>
      <c r="L1836" s="136"/>
      <c r="M1836" s="137" t="s">
        <v>22</v>
      </c>
      <c r="N1836" s="138"/>
      <c r="O1836" s="138"/>
      <c r="P1836" s="138"/>
      <c r="Q1836" s="138"/>
      <c r="R1836" s="138"/>
      <c r="S1836" s="138"/>
      <c r="T1836" s="138"/>
      <c r="U1836" s="138"/>
      <c r="V1836" s="26"/>
      <c r="W1836" s="26"/>
      <c r="X1836" s="26"/>
      <c r="Y1836" s="26"/>
      <c r="Z1836" s="52"/>
      <c r="AA1836" s="52"/>
    </row>
    <row r="1837" spans="1:27" s="54" customFormat="1" ht="15" customHeight="1" x14ac:dyDescent="0.2">
      <c r="A1837" s="32">
        <v>41544.914618055554</v>
      </c>
      <c r="B1837" s="26" t="s">
        <v>152</v>
      </c>
      <c r="C1837" s="26" t="s">
        <v>304</v>
      </c>
      <c r="D1837" s="30">
        <v>41518</v>
      </c>
      <c r="E1837" s="26" t="s">
        <v>2219</v>
      </c>
      <c r="F1837" s="26" t="s">
        <v>1375</v>
      </c>
      <c r="G1837" s="26" t="s">
        <v>26</v>
      </c>
      <c r="H1837" s="26" t="s">
        <v>2220</v>
      </c>
      <c r="I1837" s="26"/>
      <c r="J1837" s="46">
        <v>1</v>
      </c>
      <c r="K1837" s="46">
        <v>28</v>
      </c>
      <c r="L1837" s="136">
        <v>48</v>
      </c>
      <c r="M1837" s="137" t="s">
        <v>22</v>
      </c>
      <c r="N1837" s="138"/>
      <c r="O1837" s="138"/>
      <c r="P1837" s="138"/>
      <c r="Q1837" s="138"/>
      <c r="R1837" s="138"/>
      <c r="S1837" s="138"/>
      <c r="T1837" s="138"/>
      <c r="U1837" s="138"/>
      <c r="V1837" s="26"/>
      <c r="W1837" s="26"/>
      <c r="X1837" s="26"/>
      <c r="Y1837" s="26"/>
      <c r="Z1837" s="52"/>
      <c r="AA1837" s="52"/>
    </row>
    <row r="1838" spans="1:27" s="54" customFormat="1" ht="15" customHeight="1" x14ac:dyDescent="0.2">
      <c r="A1838" s="32">
        <v>41548.528599537036</v>
      </c>
      <c r="B1838" s="26" t="s">
        <v>152</v>
      </c>
      <c r="C1838" s="26" t="s">
        <v>304</v>
      </c>
      <c r="D1838" s="30">
        <v>41518</v>
      </c>
      <c r="E1838" s="26" t="s">
        <v>2312</v>
      </c>
      <c r="F1838" s="26" t="s">
        <v>2313</v>
      </c>
      <c r="G1838" s="26" t="s">
        <v>156</v>
      </c>
      <c r="H1838" s="26" t="s">
        <v>2314</v>
      </c>
      <c r="I1838" s="26"/>
      <c r="J1838" s="46">
        <v>1</v>
      </c>
      <c r="K1838" s="46">
        <v>55</v>
      </c>
      <c r="L1838" s="136"/>
      <c r="M1838" s="137" t="s">
        <v>22</v>
      </c>
      <c r="N1838" s="138"/>
      <c r="O1838" s="138"/>
      <c r="P1838" s="138"/>
      <c r="Q1838" s="138"/>
      <c r="R1838" s="138"/>
      <c r="S1838" s="138"/>
      <c r="T1838" s="138"/>
      <c r="U1838" s="138"/>
      <c r="V1838" s="26"/>
      <c r="W1838" s="26"/>
      <c r="X1838" s="26"/>
      <c r="Y1838" s="26"/>
      <c r="Z1838" s="52"/>
      <c r="AA1838" s="52"/>
    </row>
    <row r="1839" spans="1:27" s="54" customFormat="1" ht="15" customHeight="1" x14ac:dyDescent="0.2">
      <c r="A1839" s="48">
        <v>41583.385011574101</v>
      </c>
      <c r="B1839" s="49" t="s">
        <v>152</v>
      </c>
      <c r="C1839" s="50" t="s">
        <v>304</v>
      </c>
      <c r="D1839" s="67">
        <v>41579</v>
      </c>
      <c r="E1839" s="50" t="s">
        <v>2931</v>
      </c>
      <c r="F1839" s="50" t="s">
        <v>2932</v>
      </c>
      <c r="G1839" s="49" t="s">
        <v>20</v>
      </c>
      <c r="H1839" s="50" t="s">
        <v>2933</v>
      </c>
      <c r="I1839" s="50"/>
      <c r="J1839" s="117">
        <v>1</v>
      </c>
      <c r="K1839" s="117">
        <v>50</v>
      </c>
      <c r="L1839" s="142"/>
      <c r="M1839" s="143" t="s">
        <v>22</v>
      </c>
      <c r="N1839" s="144"/>
      <c r="O1839" s="144"/>
      <c r="P1839" s="144"/>
      <c r="Q1839" s="144"/>
      <c r="R1839" s="144"/>
      <c r="S1839" s="144"/>
      <c r="T1839" s="144"/>
      <c r="U1839" s="144"/>
      <c r="V1839" s="50"/>
      <c r="W1839" s="26"/>
      <c r="X1839" s="26"/>
      <c r="Y1839" s="26"/>
      <c r="Z1839" s="52"/>
      <c r="AA1839" s="52"/>
    </row>
    <row r="1840" spans="1:27" s="54" customFormat="1" ht="15" customHeight="1" x14ac:dyDescent="0.2">
      <c r="A1840" s="48">
        <v>41589.41375</v>
      </c>
      <c r="B1840" s="49" t="s">
        <v>152</v>
      </c>
      <c r="C1840" s="50" t="s">
        <v>304</v>
      </c>
      <c r="D1840" s="67">
        <v>41579</v>
      </c>
      <c r="E1840" s="50" t="s">
        <v>2967</v>
      </c>
      <c r="F1840" s="50" t="s">
        <v>2968</v>
      </c>
      <c r="G1840" s="49" t="s">
        <v>156</v>
      </c>
      <c r="H1840" s="50" t="s">
        <v>2969</v>
      </c>
      <c r="I1840" s="50"/>
      <c r="J1840" s="117">
        <v>1</v>
      </c>
      <c r="K1840" s="117">
        <v>500</v>
      </c>
      <c r="L1840" s="142"/>
      <c r="M1840" s="143" t="s">
        <v>44</v>
      </c>
      <c r="N1840" s="144"/>
      <c r="O1840" s="144">
        <v>10</v>
      </c>
      <c r="P1840" s="144">
        <v>591.16999999999996</v>
      </c>
      <c r="Q1840" s="144">
        <v>1400</v>
      </c>
      <c r="R1840" s="144"/>
      <c r="S1840" s="144"/>
      <c r="T1840" s="144"/>
      <c r="U1840" s="144"/>
      <c r="V1840" s="50" t="s">
        <v>2970</v>
      </c>
      <c r="W1840" s="26"/>
      <c r="X1840" s="26"/>
      <c r="Y1840" s="26"/>
      <c r="Z1840" s="52"/>
      <c r="AA1840" s="52"/>
    </row>
    <row r="1841" spans="1:27" s="54" customFormat="1" ht="15" customHeight="1" x14ac:dyDescent="0.2">
      <c r="A1841" s="48">
        <v>41589.414884259299</v>
      </c>
      <c r="B1841" s="49" t="s">
        <v>152</v>
      </c>
      <c r="C1841" s="50" t="s">
        <v>304</v>
      </c>
      <c r="D1841" s="67">
        <v>41579</v>
      </c>
      <c r="E1841" s="50" t="s">
        <v>2971</v>
      </c>
      <c r="F1841" s="50" t="s">
        <v>2972</v>
      </c>
      <c r="G1841" s="49" t="s">
        <v>351</v>
      </c>
      <c r="H1841" s="50" t="s">
        <v>2973</v>
      </c>
      <c r="I1841" s="50"/>
      <c r="J1841" s="117">
        <v>1</v>
      </c>
      <c r="K1841" s="117">
        <v>1</v>
      </c>
      <c r="L1841" s="142"/>
      <c r="M1841" s="143" t="s">
        <v>22</v>
      </c>
      <c r="N1841" s="144"/>
      <c r="O1841" s="144"/>
      <c r="P1841" s="144"/>
      <c r="Q1841" s="144"/>
      <c r="R1841" s="144"/>
      <c r="S1841" s="144"/>
      <c r="T1841" s="144"/>
      <c r="U1841" s="144"/>
      <c r="V1841" s="50" t="s">
        <v>2974</v>
      </c>
      <c r="W1841" s="26"/>
      <c r="X1841" s="26"/>
      <c r="Y1841" s="26"/>
      <c r="Z1841" s="52"/>
      <c r="AA1841" s="52"/>
    </row>
    <row r="1842" spans="1:27" s="54" customFormat="1" ht="15" customHeight="1" x14ac:dyDescent="0.2">
      <c r="A1842" s="48">
        <v>41594.536388888897</v>
      </c>
      <c r="B1842" s="49" t="s">
        <v>152</v>
      </c>
      <c r="C1842" s="50" t="s">
        <v>304</v>
      </c>
      <c r="D1842" s="67">
        <v>41579</v>
      </c>
      <c r="E1842" s="50" t="s">
        <v>3033</v>
      </c>
      <c r="F1842" s="50" t="s">
        <v>3034</v>
      </c>
      <c r="G1842" s="49" t="s">
        <v>20</v>
      </c>
      <c r="H1842" s="50" t="s">
        <v>3035</v>
      </c>
      <c r="I1842" s="50" t="s">
        <v>2986</v>
      </c>
      <c r="J1842" s="117">
        <v>1</v>
      </c>
      <c r="K1842" s="117">
        <v>20</v>
      </c>
      <c r="L1842" s="142">
        <v>48</v>
      </c>
      <c r="M1842" s="143" t="s">
        <v>44</v>
      </c>
      <c r="N1842" s="144"/>
      <c r="O1842" s="144">
        <v>25</v>
      </c>
      <c r="P1842" s="144">
        <v>52.76</v>
      </c>
      <c r="Q1842" s="144"/>
      <c r="R1842" s="144"/>
      <c r="S1842" s="144"/>
      <c r="T1842" s="144"/>
      <c r="U1842" s="144"/>
      <c r="V1842" s="50"/>
      <c r="W1842" s="26"/>
      <c r="X1842" s="26"/>
      <c r="Y1842" s="26"/>
      <c r="Z1842" s="52"/>
      <c r="AA1842" s="52"/>
    </row>
    <row r="1843" spans="1:27" s="54" customFormat="1" ht="15" customHeight="1" x14ac:dyDescent="0.2">
      <c r="A1843" s="48">
        <v>41597.561979166698</v>
      </c>
      <c r="B1843" s="49" t="s">
        <v>152</v>
      </c>
      <c r="C1843" s="50" t="s">
        <v>304</v>
      </c>
      <c r="D1843" s="67">
        <v>41579</v>
      </c>
      <c r="E1843" s="50" t="s">
        <v>3052</v>
      </c>
      <c r="F1843" s="50" t="s">
        <v>3053</v>
      </c>
      <c r="G1843" s="42" t="s">
        <v>26</v>
      </c>
      <c r="H1843" s="50" t="s">
        <v>3054</v>
      </c>
      <c r="I1843" s="50" t="s">
        <v>2812</v>
      </c>
      <c r="J1843" s="117">
        <v>1</v>
      </c>
      <c r="K1843" s="117">
        <v>13</v>
      </c>
      <c r="L1843" s="142"/>
      <c r="M1843" s="143" t="s">
        <v>22</v>
      </c>
      <c r="N1843" s="144"/>
      <c r="O1843" s="144"/>
      <c r="P1843" s="144"/>
      <c r="Q1843" s="144"/>
      <c r="R1843" s="144"/>
      <c r="S1843" s="144"/>
      <c r="T1843" s="144"/>
      <c r="U1843" s="144"/>
      <c r="V1843" s="50" t="s">
        <v>3055</v>
      </c>
      <c r="W1843" s="26"/>
      <c r="X1843" s="26"/>
      <c r="Y1843" s="26"/>
      <c r="Z1843" s="52"/>
      <c r="AA1843" s="52"/>
    </row>
    <row r="1844" spans="1:27" s="54" customFormat="1" ht="15" customHeight="1" x14ac:dyDescent="0.2">
      <c r="A1844" s="48">
        <v>41601.486145833303</v>
      </c>
      <c r="B1844" s="49" t="s">
        <v>152</v>
      </c>
      <c r="C1844" s="50" t="s">
        <v>304</v>
      </c>
      <c r="D1844" s="67">
        <v>41579</v>
      </c>
      <c r="E1844" s="50" t="s">
        <v>1377</v>
      </c>
      <c r="F1844" s="50" t="s">
        <v>3095</v>
      </c>
      <c r="G1844" s="49" t="s">
        <v>26</v>
      </c>
      <c r="H1844" s="50" t="s">
        <v>3096</v>
      </c>
      <c r="I1844" s="50" t="s">
        <v>2986</v>
      </c>
      <c r="J1844" s="117">
        <v>1</v>
      </c>
      <c r="K1844" s="117">
        <v>15</v>
      </c>
      <c r="L1844" s="142"/>
      <c r="M1844" s="143" t="s">
        <v>22</v>
      </c>
      <c r="N1844" s="144"/>
      <c r="O1844" s="144"/>
      <c r="P1844" s="144"/>
      <c r="Q1844" s="144"/>
      <c r="R1844" s="144"/>
      <c r="S1844" s="144"/>
      <c r="T1844" s="144"/>
      <c r="U1844" s="144"/>
      <c r="V1844" s="50"/>
      <c r="W1844" s="26"/>
      <c r="X1844" s="26"/>
      <c r="Y1844" s="26"/>
      <c r="Z1844" s="52"/>
      <c r="AA1844" s="52"/>
    </row>
    <row r="1845" spans="1:27" s="54" customFormat="1" ht="15" customHeight="1" x14ac:dyDescent="0.2">
      <c r="A1845" s="48">
        <v>41607.630185185197</v>
      </c>
      <c r="B1845" s="49" t="s">
        <v>152</v>
      </c>
      <c r="C1845" s="50" t="s">
        <v>304</v>
      </c>
      <c r="D1845" s="67">
        <v>41579</v>
      </c>
      <c r="E1845" s="50" t="s">
        <v>3142</v>
      </c>
      <c r="F1845" s="50" t="s">
        <v>3143</v>
      </c>
      <c r="G1845" s="49" t="s">
        <v>26</v>
      </c>
      <c r="H1845" s="50" t="s">
        <v>3144</v>
      </c>
      <c r="I1845" s="50" t="s">
        <v>2986</v>
      </c>
      <c r="J1845" s="117">
        <v>1</v>
      </c>
      <c r="K1845" s="117">
        <v>18</v>
      </c>
      <c r="L1845" s="142"/>
      <c r="M1845" s="143" t="s">
        <v>22</v>
      </c>
      <c r="N1845" s="144"/>
      <c r="O1845" s="144"/>
      <c r="P1845" s="144"/>
      <c r="Q1845" s="144"/>
      <c r="R1845" s="144"/>
      <c r="S1845" s="144"/>
      <c r="T1845" s="144"/>
      <c r="U1845" s="144"/>
      <c r="V1845" s="50"/>
      <c r="W1845" s="26"/>
      <c r="X1845" s="26"/>
      <c r="Y1845" s="26"/>
      <c r="Z1845" s="52"/>
      <c r="AA1845" s="52"/>
    </row>
    <row r="1846" spans="1:27" s="54" customFormat="1" ht="15" customHeight="1" x14ac:dyDescent="0.2">
      <c r="A1846" s="48">
        <v>41607.750254629602</v>
      </c>
      <c r="B1846" s="49" t="s">
        <v>152</v>
      </c>
      <c r="C1846" s="50" t="s">
        <v>304</v>
      </c>
      <c r="D1846" s="67">
        <v>41579</v>
      </c>
      <c r="E1846" s="50" t="s">
        <v>1949</v>
      </c>
      <c r="F1846" s="50" t="s">
        <v>373</v>
      </c>
      <c r="G1846" s="49" t="s">
        <v>26</v>
      </c>
      <c r="H1846" s="50" t="s">
        <v>3145</v>
      </c>
      <c r="I1846" s="50" t="s">
        <v>2986</v>
      </c>
      <c r="J1846" s="117">
        <v>12</v>
      </c>
      <c r="K1846" s="117">
        <v>42</v>
      </c>
      <c r="L1846" s="142"/>
      <c r="M1846" s="143" t="s">
        <v>22</v>
      </c>
      <c r="N1846" s="144"/>
      <c r="O1846" s="144"/>
      <c r="P1846" s="144"/>
      <c r="Q1846" s="144"/>
      <c r="R1846" s="144"/>
      <c r="S1846" s="144"/>
      <c r="T1846" s="144"/>
      <c r="U1846" s="144"/>
      <c r="V1846" s="50"/>
      <c r="W1846" s="26"/>
      <c r="X1846" s="26"/>
      <c r="Y1846" s="26"/>
      <c r="Z1846" s="52"/>
      <c r="AA1846" s="52"/>
    </row>
    <row r="1847" spans="1:27" s="54" customFormat="1" ht="15" customHeight="1" x14ac:dyDescent="0.2">
      <c r="A1847" s="48">
        <v>41611.844791666699</v>
      </c>
      <c r="B1847" s="49" t="s">
        <v>152</v>
      </c>
      <c r="C1847" s="50" t="s">
        <v>304</v>
      </c>
      <c r="D1847" s="67">
        <v>41579</v>
      </c>
      <c r="E1847" s="50" t="s">
        <v>3247</v>
      </c>
      <c r="F1847" s="50" t="s">
        <v>3248</v>
      </c>
      <c r="G1847" s="49" t="s">
        <v>26</v>
      </c>
      <c r="H1847" s="50" t="s">
        <v>3249</v>
      </c>
      <c r="I1847" s="50" t="s">
        <v>2986</v>
      </c>
      <c r="J1847" s="117">
        <v>1</v>
      </c>
      <c r="K1847" s="117">
        <v>11</v>
      </c>
      <c r="L1847" s="142"/>
      <c r="M1847" s="143" t="s">
        <v>22</v>
      </c>
      <c r="N1847" s="144"/>
      <c r="O1847" s="144"/>
      <c r="P1847" s="144"/>
      <c r="Q1847" s="144"/>
      <c r="R1847" s="144"/>
      <c r="S1847" s="144"/>
      <c r="T1847" s="144"/>
      <c r="U1847" s="144"/>
      <c r="V1847" s="50"/>
      <c r="W1847" s="26"/>
      <c r="X1847" s="26"/>
      <c r="Y1847" s="26"/>
      <c r="Z1847" s="52"/>
      <c r="AA1847" s="52"/>
    </row>
    <row r="1848" spans="1:27" s="54" customFormat="1" ht="15" customHeight="1" x14ac:dyDescent="0.2">
      <c r="A1848" s="32">
        <v>41613.604872685188</v>
      </c>
      <c r="B1848" s="26" t="s">
        <v>152</v>
      </c>
      <c r="C1848" s="26" t="s">
        <v>304</v>
      </c>
      <c r="D1848" s="68">
        <v>41609</v>
      </c>
      <c r="E1848" s="26" t="s">
        <v>3714</v>
      </c>
      <c r="F1848" s="26" t="s">
        <v>3715</v>
      </c>
      <c r="G1848" s="26" t="s">
        <v>351</v>
      </c>
      <c r="H1848" s="26" t="s">
        <v>3716</v>
      </c>
      <c r="I1848" s="26" t="s">
        <v>2986</v>
      </c>
      <c r="J1848" s="46">
        <v>1</v>
      </c>
      <c r="K1848" s="46">
        <v>37</v>
      </c>
      <c r="L1848" s="136"/>
      <c r="M1848" s="137" t="s">
        <v>22</v>
      </c>
      <c r="N1848" s="138"/>
      <c r="O1848" s="138"/>
      <c r="P1848" s="138"/>
      <c r="Q1848" s="138"/>
      <c r="R1848" s="138"/>
      <c r="S1848" s="138"/>
      <c r="T1848" s="138"/>
      <c r="U1848" s="138"/>
      <c r="V1848" s="26"/>
      <c r="W1848" s="26"/>
      <c r="X1848" s="26"/>
      <c r="Y1848" s="26"/>
      <c r="Z1848" s="52"/>
      <c r="AA1848" s="52"/>
    </row>
    <row r="1849" spans="1:27" s="54" customFormat="1" ht="15" customHeight="1" x14ac:dyDescent="0.2">
      <c r="A1849" s="32">
        <v>41618.407557870371</v>
      </c>
      <c r="B1849" s="26" t="s">
        <v>152</v>
      </c>
      <c r="C1849" s="26" t="s">
        <v>304</v>
      </c>
      <c r="D1849" s="68">
        <v>41609</v>
      </c>
      <c r="E1849" s="26" t="s">
        <v>3730</v>
      </c>
      <c r="F1849" s="26" t="s">
        <v>3731</v>
      </c>
      <c r="G1849" s="26" t="s">
        <v>156</v>
      </c>
      <c r="H1849" s="26" t="s">
        <v>3732</v>
      </c>
      <c r="I1849" s="26" t="s">
        <v>3733</v>
      </c>
      <c r="J1849" s="46">
        <v>1</v>
      </c>
      <c r="K1849" s="46">
        <v>450</v>
      </c>
      <c r="L1849" s="136"/>
      <c r="M1849" s="137" t="s">
        <v>44</v>
      </c>
      <c r="N1849" s="138"/>
      <c r="O1849" s="138">
        <v>120</v>
      </c>
      <c r="P1849" s="138">
        <v>177.65</v>
      </c>
      <c r="Q1849" s="138">
        <v>48</v>
      </c>
      <c r="R1849" s="138"/>
      <c r="S1849" s="138">
        <v>75</v>
      </c>
      <c r="T1849" s="138"/>
      <c r="U1849" s="138"/>
      <c r="V1849" s="26" t="s">
        <v>3734</v>
      </c>
      <c r="W1849" s="26"/>
      <c r="X1849" s="26"/>
      <c r="Y1849" s="26"/>
      <c r="Z1849" s="52"/>
      <c r="AA1849" s="52"/>
    </row>
    <row r="1850" spans="1:27" s="54" customFormat="1" ht="15" customHeight="1" x14ac:dyDescent="0.2">
      <c r="A1850" s="32">
        <v>41618.408310185187</v>
      </c>
      <c r="B1850" s="26" t="s">
        <v>152</v>
      </c>
      <c r="C1850" s="26" t="s">
        <v>304</v>
      </c>
      <c r="D1850" s="68">
        <v>41609</v>
      </c>
      <c r="E1850" s="26" t="s">
        <v>3735</v>
      </c>
      <c r="F1850" s="26" t="s">
        <v>3736</v>
      </c>
      <c r="G1850" s="26" t="s">
        <v>26</v>
      </c>
      <c r="H1850" s="26" t="s">
        <v>3737</v>
      </c>
      <c r="I1850" s="26" t="s">
        <v>2986</v>
      </c>
      <c r="J1850" s="46">
        <v>1</v>
      </c>
      <c r="K1850" s="46">
        <v>0</v>
      </c>
      <c r="L1850" s="136"/>
      <c r="M1850" s="137" t="s">
        <v>22</v>
      </c>
      <c r="N1850" s="138"/>
      <c r="O1850" s="138"/>
      <c r="P1850" s="138"/>
      <c r="Q1850" s="138"/>
      <c r="R1850" s="138"/>
      <c r="S1850" s="138"/>
      <c r="T1850" s="138"/>
      <c r="U1850" s="138"/>
      <c r="V1850" s="26" t="s">
        <v>3738</v>
      </c>
      <c r="W1850" s="26"/>
      <c r="X1850" s="26"/>
      <c r="Y1850" s="26"/>
      <c r="Z1850" s="52"/>
      <c r="AA1850" s="52"/>
    </row>
    <row r="1851" spans="1:27" s="54" customFormat="1" ht="15" customHeight="1" x14ac:dyDescent="0.2">
      <c r="A1851" s="32">
        <v>41621.555474537039</v>
      </c>
      <c r="B1851" s="26" t="s">
        <v>152</v>
      </c>
      <c r="C1851" s="26" t="s">
        <v>304</v>
      </c>
      <c r="D1851" s="68">
        <v>41609</v>
      </c>
      <c r="E1851" s="26" t="s">
        <v>3745</v>
      </c>
      <c r="F1851" s="26" t="s">
        <v>3746</v>
      </c>
      <c r="G1851" s="26" t="s">
        <v>26</v>
      </c>
      <c r="H1851" s="26" t="s">
        <v>3747</v>
      </c>
      <c r="I1851" s="26" t="s">
        <v>2986</v>
      </c>
      <c r="J1851" s="46">
        <v>1</v>
      </c>
      <c r="K1851" s="46">
        <v>15</v>
      </c>
      <c r="L1851" s="136"/>
      <c r="M1851" s="137" t="s">
        <v>22</v>
      </c>
      <c r="N1851" s="138"/>
      <c r="O1851" s="138"/>
      <c r="P1851" s="138"/>
      <c r="Q1851" s="138"/>
      <c r="R1851" s="138"/>
      <c r="S1851" s="138"/>
      <c r="T1851" s="138"/>
      <c r="U1851" s="138"/>
      <c r="V1851" s="26"/>
      <c r="W1851" s="26"/>
      <c r="X1851" s="26"/>
      <c r="Y1851" s="26"/>
      <c r="Z1851" s="52"/>
      <c r="AA1851" s="52"/>
    </row>
    <row r="1852" spans="1:27" s="54" customFormat="1" ht="15" customHeight="1" x14ac:dyDescent="0.2">
      <c r="A1852" s="32">
        <v>41641.578738425924</v>
      </c>
      <c r="B1852" s="26" t="s">
        <v>152</v>
      </c>
      <c r="C1852" s="26" t="s">
        <v>304</v>
      </c>
      <c r="D1852" s="68">
        <v>41609</v>
      </c>
      <c r="E1852" s="26" t="s">
        <v>1949</v>
      </c>
      <c r="F1852" s="26" t="s">
        <v>373</v>
      </c>
      <c r="G1852" s="26" t="s">
        <v>26</v>
      </c>
      <c r="H1852" s="26" t="s">
        <v>3894</v>
      </c>
      <c r="I1852" s="26" t="s">
        <v>2986</v>
      </c>
      <c r="J1852" s="46">
        <v>2</v>
      </c>
      <c r="K1852" s="46">
        <v>2</v>
      </c>
      <c r="L1852" s="136"/>
      <c r="M1852" s="137" t="s">
        <v>22</v>
      </c>
      <c r="N1852" s="138"/>
      <c r="O1852" s="138"/>
      <c r="P1852" s="138"/>
      <c r="Q1852" s="138"/>
      <c r="R1852" s="138"/>
      <c r="S1852" s="138"/>
      <c r="T1852" s="138"/>
      <c r="U1852" s="138"/>
      <c r="V1852" s="26"/>
      <c r="W1852" s="26"/>
      <c r="X1852" s="26"/>
      <c r="Y1852" s="26"/>
      <c r="Z1852" s="52"/>
      <c r="AA1852" s="52"/>
    </row>
    <row r="1853" spans="1:27" s="54" customFormat="1" ht="15" customHeight="1" x14ac:dyDescent="0.2">
      <c r="A1853" s="53">
        <v>41641.5793402778</v>
      </c>
      <c r="B1853" s="54" t="s">
        <v>152</v>
      </c>
      <c r="C1853" s="52" t="s">
        <v>304</v>
      </c>
      <c r="D1853" s="69">
        <v>41640</v>
      </c>
      <c r="E1853" s="54" t="s">
        <v>4138</v>
      </c>
      <c r="F1853" s="54" t="s">
        <v>4120</v>
      </c>
      <c r="G1853" s="54" t="s">
        <v>26</v>
      </c>
      <c r="H1853" s="54" t="s">
        <v>4139</v>
      </c>
      <c r="I1853" s="54" t="s">
        <v>2925</v>
      </c>
      <c r="J1853" s="95">
        <v>1</v>
      </c>
      <c r="K1853" s="118">
        <v>16</v>
      </c>
      <c r="L1853" s="145"/>
      <c r="M1853" s="146" t="s">
        <v>22</v>
      </c>
      <c r="N1853" s="147"/>
      <c r="O1853" s="147"/>
      <c r="P1853" s="147"/>
      <c r="Q1853" s="147"/>
      <c r="R1853" s="147"/>
      <c r="S1853" s="147"/>
      <c r="T1853" s="147"/>
      <c r="U1853" s="147"/>
      <c r="W1853" s="52"/>
      <c r="X1853" s="52"/>
      <c r="Y1853" s="52"/>
      <c r="Z1853" s="52"/>
      <c r="AA1853" s="52"/>
    </row>
    <row r="1854" spans="1:27" s="54" customFormat="1" ht="15" customHeight="1" x14ac:dyDescent="0.2">
      <c r="A1854" s="55">
        <v>41643.448518518497</v>
      </c>
      <c r="B1854" s="52" t="s">
        <v>152</v>
      </c>
      <c r="C1854" s="52" t="s">
        <v>304</v>
      </c>
      <c r="D1854" s="69">
        <v>41640</v>
      </c>
      <c r="E1854" s="52" t="s">
        <v>4154</v>
      </c>
      <c r="F1854" s="52" t="s">
        <v>4155</v>
      </c>
      <c r="G1854" s="52" t="s">
        <v>26</v>
      </c>
      <c r="H1854" s="52" t="s">
        <v>4156</v>
      </c>
      <c r="I1854" s="52" t="s">
        <v>2986</v>
      </c>
      <c r="J1854" s="95">
        <v>1</v>
      </c>
      <c r="K1854" s="118">
        <v>5</v>
      </c>
      <c r="L1854" s="148"/>
      <c r="M1854" s="146" t="s">
        <v>44</v>
      </c>
      <c r="N1854" s="147"/>
      <c r="O1854" s="147">
        <v>60</v>
      </c>
      <c r="P1854" s="147"/>
      <c r="Q1854" s="147"/>
      <c r="R1854" s="147"/>
      <c r="S1854" s="147"/>
      <c r="T1854" s="147"/>
      <c r="U1854" s="149"/>
      <c r="V1854" s="52"/>
      <c r="W1854" s="52"/>
      <c r="X1854" s="52"/>
      <c r="Y1854" s="52"/>
      <c r="Z1854" s="52"/>
      <c r="AA1854" s="52"/>
    </row>
    <row r="1855" spans="1:27" s="54" customFormat="1" ht="15" customHeight="1" x14ac:dyDescent="0.2">
      <c r="A1855" s="55">
        <v>41649.548379629603</v>
      </c>
      <c r="B1855" s="52" t="s">
        <v>152</v>
      </c>
      <c r="C1855" s="52" t="s">
        <v>304</v>
      </c>
      <c r="D1855" s="69">
        <v>41640</v>
      </c>
      <c r="E1855" s="52" t="s">
        <v>3745</v>
      </c>
      <c r="F1855" s="52" t="s">
        <v>4165</v>
      </c>
      <c r="G1855" s="52" t="s">
        <v>26</v>
      </c>
      <c r="H1855" s="52" t="s">
        <v>4166</v>
      </c>
      <c r="I1855" s="52" t="s">
        <v>2986</v>
      </c>
      <c r="J1855" s="95">
        <v>1</v>
      </c>
      <c r="K1855" s="118">
        <v>7</v>
      </c>
      <c r="L1855" s="148"/>
      <c r="M1855" s="146" t="s">
        <v>44</v>
      </c>
      <c r="N1855" s="147"/>
      <c r="O1855" s="147">
        <v>5</v>
      </c>
      <c r="P1855" s="147"/>
      <c r="Q1855" s="147"/>
      <c r="R1855" s="147"/>
      <c r="S1855" s="147"/>
      <c r="T1855" s="147"/>
      <c r="U1855" s="149"/>
      <c r="V1855" s="52"/>
      <c r="W1855" s="52"/>
      <c r="X1855" s="52"/>
      <c r="Y1855" s="52"/>
      <c r="Z1855" s="52"/>
      <c r="AA1855" s="52"/>
    </row>
    <row r="1856" spans="1:27" s="54" customFormat="1" ht="15" customHeight="1" x14ac:dyDescent="0.2">
      <c r="A1856" s="55">
        <v>41650.592511574097</v>
      </c>
      <c r="B1856" s="52" t="s">
        <v>152</v>
      </c>
      <c r="C1856" s="52" t="s">
        <v>304</v>
      </c>
      <c r="D1856" s="69">
        <v>41640</v>
      </c>
      <c r="E1856" s="52" t="s">
        <v>4179</v>
      </c>
      <c r="F1856" s="52" t="s">
        <v>4180</v>
      </c>
      <c r="G1856" s="52" t="s">
        <v>26</v>
      </c>
      <c r="H1856" s="52" t="s">
        <v>4181</v>
      </c>
      <c r="I1856" s="52" t="s">
        <v>2986</v>
      </c>
      <c r="J1856" s="95">
        <v>1</v>
      </c>
      <c r="K1856" s="118">
        <v>9</v>
      </c>
      <c r="L1856" s="148"/>
      <c r="M1856" s="146" t="s">
        <v>44</v>
      </c>
      <c r="N1856" s="147"/>
      <c r="O1856" s="147">
        <v>5</v>
      </c>
      <c r="P1856" s="147">
        <v>27.71</v>
      </c>
      <c r="Q1856" s="147"/>
      <c r="R1856" s="147"/>
      <c r="S1856" s="147"/>
      <c r="T1856" s="147"/>
      <c r="U1856" s="149"/>
      <c r="V1856" s="52" t="s">
        <v>4182</v>
      </c>
      <c r="W1856" s="52"/>
      <c r="X1856" s="52"/>
      <c r="Y1856" s="52"/>
      <c r="Z1856" s="52"/>
      <c r="AA1856" s="52"/>
    </row>
    <row r="1857" spans="1:27" s="54" customFormat="1" ht="15" customHeight="1" x14ac:dyDescent="0.2">
      <c r="A1857" s="55">
        <v>41653.433842592603</v>
      </c>
      <c r="B1857" s="52" t="s">
        <v>152</v>
      </c>
      <c r="C1857" s="52" t="s">
        <v>304</v>
      </c>
      <c r="D1857" s="69">
        <v>41640</v>
      </c>
      <c r="E1857" s="52" t="s">
        <v>4185</v>
      </c>
      <c r="F1857" s="52" t="s">
        <v>4186</v>
      </c>
      <c r="G1857" s="52" t="s">
        <v>26</v>
      </c>
      <c r="H1857" s="52" t="s">
        <v>4187</v>
      </c>
      <c r="I1857" s="52" t="s">
        <v>2986</v>
      </c>
      <c r="J1857" s="95">
        <v>1</v>
      </c>
      <c r="K1857" s="118">
        <v>1</v>
      </c>
      <c r="L1857" s="148"/>
      <c r="M1857" s="146" t="s">
        <v>22</v>
      </c>
      <c r="N1857" s="147"/>
      <c r="O1857" s="147"/>
      <c r="P1857" s="147"/>
      <c r="Q1857" s="147"/>
      <c r="R1857" s="147"/>
      <c r="S1857" s="147"/>
      <c r="T1857" s="147"/>
      <c r="U1857" s="149"/>
      <c r="V1857" s="52"/>
      <c r="W1857" s="52"/>
      <c r="X1857" s="52"/>
      <c r="Y1857" s="52"/>
      <c r="Z1857" s="52"/>
      <c r="AA1857" s="52"/>
    </row>
    <row r="1858" spans="1:27" s="54" customFormat="1" ht="15" customHeight="1" x14ac:dyDescent="0.2">
      <c r="A1858" s="55">
        <v>41660.429363425901</v>
      </c>
      <c r="B1858" s="52" t="s">
        <v>152</v>
      </c>
      <c r="C1858" s="52" t="s">
        <v>304</v>
      </c>
      <c r="D1858" s="69">
        <v>41640</v>
      </c>
      <c r="E1858" s="52" t="s">
        <v>4225</v>
      </c>
      <c r="F1858" s="52" t="s">
        <v>4226</v>
      </c>
      <c r="G1858" s="52" t="s">
        <v>26</v>
      </c>
      <c r="H1858" s="52" t="s">
        <v>4227</v>
      </c>
      <c r="I1858" s="52" t="s">
        <v>2986</v>
      </c>
      <c r="J1858" s="95">
        <v>2</v>
      </c>
      <c r="K1858" s="118">
        <v>13</v>
      </c>
      <c r="L1858" s="148">
        <v>8</v>
      </c>
      <c r="M1858" s="146" t="s">
        <v>44</v>
      </c>
      <c r="N1858" s="147"/>
      <c r="O1858" s="147">
        <v>5</v>
      </c>
      <c r="P1858" s="147"/>
      <c r="Q1858" s="147"/>
      <c r="R1858" s="147"/>
      <c r="S1858" s="147"/>
      <c r="T1858" s="147"/>
      <c r="U1858" s="149"/>
      <c r="V1858" s="52" t="s">
        <v>4228</v>
      </c>
      <c r="W1858" s="52"/>
      <c r="X1858" s="52"/>
      <c r="Y1858" s="52"/>
      <c r="Z1858" s="52"/>
      <c r="AA1858" s="52"/>
    </row>
    <row r="1859" spans="1:27" s="54" customFormat="1" ht="15" customHeight="1" x14ac:dyDescent="0.2">
      <c r="A1859" s="55">
        <v>41660.430069444403</v>
      </c>
      <c r="B1859" s="52" t="s">
        <v>152</v>
      </c>
      <c r="C1859" s="52" t="s">
        <v>304</v>
      </c>
      <c r="D1859" s="69">
        <v>41640</v>
      </c>
      <c r="E1859" s="52" t="s">
        <v>4229</v>
      </c>
      <c r="F1859" s="52" t="s">
        <v>4230</v>
      </c>
      <c r="G1859" s="52" t="s">
        <v>26</v>
      </c>
      <c r="H1859" s="52" t="s">
        <v>4231</v>
      </c>
      <c r="I1859" s="52" t="s">
        <v>2986</v>
      </c>
      <c r="J1859" s="95">
        <v>1</v>
      </c>
      <c r="K1859" s="118">
        <v>0</v>
      </c>
      <c r="L1859" s="148"/>
      <c r="M1859" s="146" t="s">
        <v>22</v>
      </c>
      <c r="N1859" s="147"/>
      <c r="O1859" s="147"/>
      <c r="P1859" s="147"/>
      <c r="Q1859" s="147"/>
      <c r="R1859" s="147"/>
      <c r="S1859" s="147"/>
      <c r="T1859" s="147"/>
      <c r="U1859" s="149"/>
      <c r="V1859" s="52"/>
      <c r="W1859" s="52"/>
      <c r="X1859" s="52"/>
      <c r="Y1859" s="52"/>
      <c r="Z1859" s="52"/>
      <c r="AA1859" s="52"/>
    </row>
    <row r="1860" spans="1:27" s="54" customFormat="1" ht="15" customHeight="1" x14ac:dyDescent="0.2">
      <c r="A1860" s="32">
        <v>41673.421273148146</v>
      </c>
      <c r="B1860" s="26" t="s">
        <v>152</v>
      </c>
      <c r="C1860" s="26" t="s">
        <v>304</v>
      </c>
      <c r="D1860" s="33">
        <v>41671</v>
      </c>
      <c r="E1860" s="26" t="s">
        <v>4548</v>
      </c>
      <c r="F1860" s="26" t="s">
        <v>4155</v>
      </c>
      <c r="G1860" s="26" t="s">
        <v>26</v>
      </c>
      <c r="H1860" s="26" t="s">
        <v>4549</v>
      </c>
      <c r="I1860" s="26" t="s">
        <v>2986</v>
      </c>
      <c r="J1860" s="46">
        <v>1</v>
      </c>
      <c r="K1860" s="46">
        <v>5</v>
      </c>
      <c r="L1860" s="136"/>
      <c r="M1860" s="137" t="s">
        <v>44</v>
      </c>
      <c r="N1860" s="138"/>
      <c r="O1860" s="138">
        <v>15</v>
      </c>
      <c r="P1860" s="138"/>
      <c r="Q1860" s="138"/>
      <c r="R1860" s="138"/>
      <c r="S1860" s="138"/>
      <c r="T1860" s="138"/>
      <c r="U1860" s="138"/>
      <c r="V1860" s="26" t="s">
        <v>4550</v>
      </c>
      <c r="W1860" s="26"/>
      <c r="X1860" s="26"/>
      <c r="Y1860" s="26"/>
      <c r="Z1860" s="52"/>
      <c r="AA1860" s="52"/>
    </row>
    <row r="1861" spans="1:27" s="54" customFormat="1" ht="15" customHeight="1" x14ac:dyDescent="0.2">
      <c r="A1861" s="32">
        <v>41673.422280092593</v>
      </c>
      <c r="B1861" s="26" t="s">
        <v>152</v>
      </c>
      <c r="C1861" s="26" t="s">
        <v>304</v>
      </c>
      <c r="D1861" s="33">
        <v>41671</v>
      </c>
      <c r="E1861" s="26" t="s">
        <v>4551</v>
      </c>
      <c r="F1861" s="26" t="s">
        <v>4552</v>
      </c>
      <c r="G1861" s="26" t="s">
        <v>26</v>
      </c>
      <c r="H1861" s="26" t="s">
        <v>4553</v>
      </c>
      <c r="I1861" s="26" t="s">
        <v>4554</v>
      </c>
      <c r="J1861" s="46">
        <v>1</v>
      </c>
      <c r="K1861" s="46">
        <v>15</v>
      </c>
      <c r="L1861" s="136">
        <v>9</v>
      </c>
      <c r="M1861" s="137" t="s">
        <v>22</v>
      </c>
      <c r="N1861" s="138"/>
      <c r="O1861" s="138"/>
      <c r="P1861" s="138"/>
      <c r="Q1861" s="138"/>
      <c r="R1861" s="138"/>
      <c r="S1861" s="138"/>
      <c r="T1861" s="138"/>
      <c r="U1861" s="138">
        <v>15</v>
      </c>
      <c r="V1861" s="26"/>
      <c r="W1861" s="26"/>
      <c r="X1861" s="26"/>
      <c r="Y1861" s="26"/>
      <c r="Z1861" s="52"/>
      <c r="AA1861" s="52"/>
    </row>
    <row r="1862" spans="1:27" s="54" customFormat="1" ht="15" customHeight="1" x14ac:dyDescent="0.2">
      <c r="A1862" s="32">
        <v>41677.372743055559</v>
      </c>
      <c r="B1862" s="26" t="s">
        <v>152</v>
      </c>
      <c r="C1862" s="26" t="s">
        <v>304</v>
      </c>
      <c r="D1862" s="33">
        <v>41671</v>
      </c>
      <c r="E1862" s="26" t="s">
        <v>4567</v>
      </c>
      <c r="F1862" s="26" t="s">
        <v>4568</v>
      </c>
      <c r="G1862" s="26" t="s">
        <v>351</v>
      </c>
      <c r="H1862" s="26" t="s">
        <v>4569</v>
      </c>
      <c r="I1862" s="26" t="s">
        <v>2986</v>
      </c>
      <c r="J1862" s="46">
        <v>1</v>
      </c>
      <c r="K1862" s="46">
        <v>150</v>
      </c>
      <c r="L1862" s="136"/>
      <c r="M1862" s="137" t="s">
        <v>22</v>
      </c>
      <c r="N1862" s="138"/>
      <c r="O1862" s="138"/>
      <c r="P1862" s="138"/>
      <c r="Q1862" s="138"/>
      <c r="R1862" s="138"/>
      <c r="S1862" s="138"/>
      <c r="T1862" s="138"/>
      <c r="U1862" s="138"/>
      <c r="V1862" s="26"/>
      <c r="W1862" s="26"/>
      <c r="X1862" s="26"/>
      <c r="Y1862" s="26"/>
      <c r="Z1862" s="52"/>
      <c r="AA1862" s="52"/>
    </row>
    <row r="1863" spans="1:27" s="54" customFormat="1" ht="15" customHeight="1" x14ac:dyDescent="0.2">
      <c r="A1863" s="32">
        <v>41692.648819444446</v>
      </c>
      <c r="B1863" s="26" t="s">
        <v>152</v>
      </c>
      <c r="C1863" s="26" t="s">
        <v>304</v>
      </c>
      <c r="D1863" s="33">
        <v>41671</v>
      </c>
      <c r="E1863" s="26" t="s">
        <v>4627</v>
      </c>
      <c r="F1863" s="26" t="s">
        <v>4628</v>
      </c>
      <c r="G1863" s="26" t="s">
        <v>26</v>
      </c>
      <c r="H1863" s="26" t="s">
        <v>4629</v>
      </c>
      <c r="I1863" s="26" t="s">
        <v>4547</v>
      </c>
      <c r="J1863" s="46">
        <v>1</v>
      </c>
      <c r="K1863" s="46">
        <v>0</v>
      </c>
      <c r="L1863" s="136"/>
      <c r="M1863" s="137" t="s">
        <v>22</v>
      </c>
      <c r="N1863" s="138"/>
      <c r="O1863" s="138"/>
      <c r="P1863" s="138"/>
      <c r="Q1863" s="138"/>
      <c r="R1863" s="138"/>
      <c r="S1863" s="138"/>
      <c r="T1863" s="138"/>
      <c r="U1863" s="138"/>
      <c r="V1863" s="26"/>
      <c r="W1863" s="26"/>
      <c r="X1863" s="26"/>
      <c r="Y1863" s="26"/>
      <c r="Z1863" s="52"/>
      <c r="AA1863" s="52"/>
    </row>
    <row r="1864" spans="1:27" s="54" customFormat="1" ht="15" customHeight="1" x14ac:dyDescent="0.2">
      <c r="A1864" s="32">
        <v>41692.65011574074</v>
      </c>
      <c r="B1864" s="26" t="s">
        <v>152</v>
      </c>
      <c r="C1864" s="26" t="s">
        <v>304</v>
      </c>
      <c r="D1864" s="33">
        <v>41671</v>
      </c>
      <c r="E1864" s="26" t="s">
        <v>4630</v>
      </c>
      <c r="F1864" s="26" t="s">
        <v>4631</v>
      </c>
      <c r="G1864" s="26" t="s">
        <v>26</v>
      </c>
      <c r="H1864" s="26" t="s">
        <v>4632</v>
      </c>
      <c r="I1864" s="26" t="s">
        <v>4547</v>
      </c>
      <c r="J1864" s="46">
        <v>1</v>
      </c>
      <c r="K1864" s="46">
        <v>7</v>
      </c>
      <c r="L1864" s="136">
        <v>2</v>
      </c>
      <c r="M1864" s="137" t="s">
        <v>44</v>
      </c>
      <c r="N1864" s="138"/>
      <c r="O1864" s="138">
        <v>5</v>
      </c>
      <c r="P1864" s="138">
        <v>2.13</v>
      </c>
      <c r="Q1864" s="138"/>
      <c r="R1864" s="138"/>
      <c r="S1864" s="138"/>
      <c r="T1864" s="138"/>
      <c r="U1864" s="138"/>
      <c r="V1864" s="26"/>
      <c r="W1864" s="26"/>
      <c r="X1864" s="26"/>
      <c r="Y1864" s="26"/>
      <c r="Z1864" s="52"/>
      <c r="AA1864" s="52"/>
    </row>
    <row r="1865" spans="1:27" s="54" customFormat="1" ht="15" customHeight="1" x14ac:dyDescent="0.2">
      <c r="A1865" s="32">
        <v>41692.650659722225</v>
      </c>
      <c r="B1865" s="26" t="s">
        <v>152</v>
      </c>
      <c r="C1865" s="26" t="s">
        <v>304</v>
      </c>
      <c r="D1865" s="33">
        <v>41671</v>
      </c>
      <c r="E1865" s="26" t="s">
        <v>4633</v>
      </c>
      <c r="F1865" s="26" t="s">
        <v>4634</v>
      </c>
      <c r="G1865" s="26" t="s">
        <v>26</v>
      </c>
      <c r="H1865" s="26" t="s">
        <v>4635</v>
      </c>
      <c r="I1865" s="26" t="s">
        <v>3038</v>
      </c>
      <c r="J1865" s="46">
        <v>1</v>
      </c>
      <c r="K1865" s="46">
        <v>0</v>
      </c>
      <c r="L1865" s="136"/>
      <c r="M1865" s="137" t="s">
        <v>22</v>
      </c>
      <c r="N1865" s="138"/>
      <c r="O1865" s="138"/>
      <c r="P1865" s="138"/>
      <c r="Q1865" s="138"/>
      <c r="R1865" s="138"/>
      <c r="S1865" s="138"/>
      <c r="T1865" s="138"/>
      <c r="U1865" s="138"/>
      <c r="V1865" s="26"/>
      <c r="W1865" s="26"/>
      <c r="X1865" s="26"/>
      <c r="Y1865" s="26"/>
      <c r="Z1865" s="52"/>
      <c r="AA1865" s="52"/>
    </row>
    <row r="1866" spans="1:27" s="54" customFormat="1" ht="15" customHeight="1" x14ac:dyDescent="0.2">
      <c r="A1866" s="32">
        <v>41692.651203703703</v>
      </c>
      <c r="B1866" s="26" t="s">
        <v>152</v>
      </c>
      <c r="C1866" s="26" t="s">
        <v>304</v>
      </c>
      <c r="D1866" s="33">
        <v>41671</v>
      </c>
      <c r="E1866" s="26" t="s">
        <v>4636</v>
      </c>
      <c r="F1866" s="26" t="s">
        <v>4637</v>
      </c>
      <c r="G1866" s="26" t="s">
        <v>26</v>
      </c>
      <c r="H1866" s="26" t="s">
        <v>4638</v>
      </c>
      <c r="I1866" s="26" t="s">
        <v>2986</v>
      </c>
      <c r="J1866" s="46">
        <v>1</v>
      </c>
      <c r="K1866" s="46">
        <v>0</v>
      </c>
      <c r="L1866" s="136"/>
      <c r="M1866" s="137" t="s">
        <v>22</v>
      </c>
      <c r="N1866" s="138"/>
      <c r="O1866" s="138"/>
      <c r="P1866" s="138"/>
      <c r="Q1866" s="138"/>
      <c r="R1866" s="138"/>
      <c r="S1866" s="138"/>
      <c r="T1866" s="138"/>
      <c r="U1866" s="138"/>
      <c r="V1866" s="26"/>
      <c r="W1866" s="26"/>
      <c r="X1866" s="26"/>
      <c r="Y1866" s="26"/>
      <c r="Z1866" s="52"/>
      <c r="AA1866" s="52"/>
    </row>
    <row r="1867" spans="1:27" s="54" customFormat="1" ht="15" customHeight="1" x14ac:dyDescent="0.2">
      <c r="A1867" s="32">
        <v>41692.652048611111</v>
      </c>
      <c r="B1867" s="26" t="s">
        <v>152</v>
      </c>
      <c r="C1867" s="26" t="s">
        <v>304</v>
      </c>
      <c r="D1867" s="33">
        <v>41671</v>
      </c>
      <c r="E1867" s="26" t="s">
        <v>4639</v>
      </c>
      <c r="F1867" s="26" t="s">
        <v>4165</v>
      </c>
      <c r="G1867" s="26" t="s">
        <v>26</v>
      </c>
      <c r="H1867" s="26" t="s">
        <v>4640</v>
      </c>
      <c r="I1867" s="26" t="s">
        <v>2986</v>
      </c>
      <c r="J1867" s="46">
        <v>1</v>
      </c>
      <c r="K1867" s="46">
        <v>0</v>
      </c>
      <c r="L1867" s="136"/>
      <c r="M1867" s="137" t="s">
        <v>22</v>
      </c>
      <c r="N1867" s="138"/>
      <c r="O1867" s="138"/>
      <c r="P1867" s="138"/>
      <c r="Q1867" s="138"/>
      <c r="R1867" s="138"/>
      <c r="S1867" s="138"/>
      <c r="T1867" s="138"/>
      <c r="U1867" s="138"/>
      <c r="V1867" s="26"/>
      <c r="W1867" s="26"/>
      <c r="X1867" s="26"/>
      <c r="Y1867" s="26"/>
      <c r="Z1867" s="52"/>
      <c r="AA1867" s="52"/>
    </row>
    <row r="1868" spans="1:27" s="54" customFormat="1" ht="15" customHeight="1" x14ac:dyDescent="0.2">
      <c r="A1868" s="32">
        <v>41692.652974537035</v>
      </c>
      <c r="B1868" s="26" t="s">
        <v>152</v>
      </c>
      <c r="C1868" s="26" t="s">
        <v>304</v>
      </c>
      <c r="D1868" s="33">
        <v>41671</v>
      </c>
      <c r="E1868" s="26" t="s">
        <v>4641</v>
      </c>
      <c r="F1868" s="26" t="s">
        <v>4642</v>
      </c>
      <c r="G1868" s="26" t="s">
        <v>26</v>
      </c>
      <c r="H1868" s="26" t="s">
        <v>4643</v>
      </c>
      <c r="I1868" s="26" t="s">
        <v>2986</v>
      </c>
      <c r="J1868" s="46">
        <v>1</v>
      </c>
      <c r="K1868" s="46">
        <v>20</v>
      </c>
      <c r="L1868" s="136"/>
      <c r="M1868" s="137" t="s">
        <v>44</v>
      </c>
      <c r="N1868" s="138"/>
      <c r="O1868" s="138">
        <v>35</v>
      </c>
      <c r="P1868" s="138"/>
      <c r="Q1868" s="138"/>
      <c r="R1868" s="138"/>
      <c r="S1868" s="138"/>
      <c r="T1868" s="138"/>
      <c r="U1868" s="138"/>
      <c r="V1868" s="26" t="s">
        <v>4644</v>
      </c>
      <c r="W1868" s="26"/>
      <c r="X1868" s="26"/>
      <c r="Y1868" s="26"/>
      <c r="Z1868" s="52"/>
      <c r="AA1868" s="52"/>
    </row>
    <row r="1869" spans="1:27" s="54" customFormat="1" ht="15" customHeight="1" x14ac:dyDescent="0.2">
      <c r="A1869" s="32">
        <v>41692.654398148145</v>
      </c>
      <c r="B1869" s="26" t="s">
        <v>152</v>
      </c>
      <c r="C1869" s="26" t="s">
        <v>304</v>
      </c>
      <c r="D1869" s="33">
        <v>41671</v>
      </c>
      <c r="E1869" s="26" t="s">
        <v>4645</v>
      </c>
      <c r="F1869" s="26" t="s">
        <v>4646</v>
      </c>
      <c r="G1869" s="26" t="s">
        <v>26</v>
      </c>
      <c r="H1869" s="26" t="s">
        <v>4647</v>
      </c>
      <c r="I1869" s="26" t="s">
        <v>4324</v>
      </c>
      <c r="J1869" s="46">
        <v>1</v>
      </c>
      <c r="K1869" s="46">
        <v>10</v>
      </c>
      <c r="L1869" s="136">
        <v>6</v>
      </c>
      <c r="M1869" s="137" t="s">
        <v>22</v>
      </c>
      <c r="N1869" s="138"/>
      <c r="O1869" s="138"/>
      <c r="P1869" s="138"/>
      <c r="Q1869" s="138"/>
      <c r="R1869" s="138"/>
      <c r="S1869" s="138"/>
      <c r="T1869" s="138"/>
      <c r="U1869" s="138"/>
      <c r="V1869" s="26"/>
      <c r="W1869" s="26"/>
      <c r="X1869" s="26"/>
      <c r="Y1869" s="26"/>
      <c r="Z1869" s="52"/>
      <c r="AA1869" s="52"/>
    </row>
    <row r="1870" spans="1:27" s="54" customFormat="1" ht="15" customHeight="1" x14ac:dyDescent="0.2">
      <c r="A1870" s="32">
        <v>41692.655243055553</v>
      </c>
      <c r="B1870" s="26" t="s">
        <v>152</v>
      </c>
      <c r="C1870" s="26" t="s">
        <v>304</v>
      </c>
      <c r="D1870" s="33">
        <v>41671</v>
      </c>
      <c r="E1870" s="26" t="s">
        <v>4648</v>
      </c>
      <c r="F1870" s="26" t="s">
        <v>4649</v>
      </c>
      <c r="G1870" s="26" t="s">
        <v>26</v>
      </c>
      <c r="H1870" s="26" t="s">
        <v>4650</v>
      </c>
      <c r="I1870" s="26" t="s">
        <v>2986</v>
      </c>
      <c r="J1870" s="46">
        <v>2</v>
      </c>
      <c r="K1870" s="46">
        <v>4</v>
      </c>
      <c r="L1870" s="136"/>
      <c r="M1870" s="137" t="s">
        <v>44</v>
      </c>
      <c r="N1870" s="138"/>
      <c r="O1870" s="138">
        <v>5</v>
      </c>
      <c r="P1870" s="138"/>
      <c r="Q1870" s="138"/>
      <c r="R1870" s="138"/>
      <c r="S1870" s="138"/>
      <c r="T1870" s="138"/>
      <c r="U1870" s="138"/>
      <c r="V1870" s="26"/>
      <c r="W1870" s="26"/>
      <c r="X1870" s="26"/>
      <c r="Y1870" s="26"/>
      <c r="Z1870" s="52"/>
      <c r="AA1870" s="52"/>
    </row>
    <row r="1871" spans="1:27" s="54" customFormat="1" ht="15" customHeight="1" x14ac:dyDescent="0.2">
      <c r="A1871" s="32">
        <v>41692.656076388892</v>
      </c>
      <c r="B1871" s="26" t="s">
        <v>152</v>
      </c>
      <c r="C1871" s="26" t="s">
        <v>304</v>
      </c>
      <c r="D1871" s="33">
        <v>41671</v>
      </c>
      <c r="E1871" s="26" t="s">
        <v>4651</v>
      </c>
      <c r="F1871" s="26" t="s">
        <v>4652</v>
      </c>
      <c r="G1871" s="26" t="s">
        <v>26</v>
      </c>
      <c r="H1871" s="26" t="s">
        <v>4653</v>
      </c>
      <c r="I1871" s="26" t="s">
        <v>4324</v>
      </c>
      <c r="J1871" s="46">
        <v>1</v>
      </c>
      <c r="K1871" s="46">
        <v>24</v>
      </c>
      <c r="L1871" s="136"/>
      <c r="M1871" s="137" t="s">
        <v>44</v>
      </c>
      <c r="N1871" s="138"/>
      <c r="O1871" s="138">
        <v>5</v>
      </c>
      <c r="P1871" s="138"/>
      <c r="Q1871" s="138"/>
      <c r="R1871" s="138"/>
      <c r="S1871" s="138"/>
      <c r="T1871" s="138"/>
      <c r="U1871" s="138"/>
      <c r="V1871" s="26"/>
      <c r="W1871" s="26"/>
      <c r="X1871" s="26"/>
      <c r="Y1871" s="26"/>
      <c r="Z1871" s="52"/>
      <c r="AA1871" s="52"/>
    </row>
    <row r="1872" spans="1:27" s="54" customFormat="1" ht="15" customHeight="1" x14ac:dyDescent="0.2">
      <c r="A1872" s="32">
        <v>41692.657048611109</v>
      </c>
      <c r="B1872" s="26" t="s">
        <v>152</v>
      </c>
      <c r="C1872" s="26" t="s">
        <v>304</v>
      </c>
      <c r="D1872" s="33">
        <v>41671</v>
      </c>
      <c r="E1872" s="26" t="s">
        <v>4654</v>
      </c>
      <c r="F1872" s="26" t="s">
        <v>4655</v>
      </c>
      <c r="G1872" s="26" t="s">
        <v>26</v>
      </c>
      <c r="H1872" s="26" t="s">
        <v>4656</v>
      </c>
      <c r="I1872" s="26" t="s">
        <v>2986</v>
      </c>
      <c r="J1872" s="46">
        <v>2</v>
      </c>
      <c r="K1872" s="46">
        <v>2</v>
      </c>
      <c r="L1872" s="136"/>
      <c r="M1872" s="137" t="s">
        <v>44</v>
      </c>
      <c r="N1872" s="138"/>
      <c r="O1872" s="138"/>
      <c r="P1872" s="138">
        <v>4.26</v>
      </c>
      <c r="Q1872" s="138"/>
      <c r="R1872" s="138"/>
      <c r="S1872" s="138"/>
      <c r="T1872" s="138"/>
      <c r="U1872" s="138"/>
      <c r="V1872" s="26"/>
      <c r="W1872" s="26"/>
      <c r="X1872" s="26"/>
      <c r="Y1872" s="26"/>
      <c r="Z1872" s="52"/>
      <c r="AA1872" s="52"/>
    </row>
    <row r="1873" spans="1:27" s="54" customFormat="1" ht="15" customHeight="1" x14ac:dyDescent="0.2">
      <c r="A1873" s="32">
        <v>41703.49658564815</v>
      </c>
      <c r="B1873" s="26" t="s">
        <v>152</v>
      </c>
      <c r="C1873" s="26" t="s">
        <v>304</v>
      </c>
      <c r="D1873" s="33">
        <v>41671</v>
      </c>
      <c r="E1873" s="26" t="s">
        <v>4914</v>
      </c>
      <c r="F1873" s="26" t="s">
        <v>4915</v>
      </c>
      <c r="G1873" s="26" t="s">
        <v>26</v>
      </c>
      <c r="H1873" s="26" t="s">
        <v>4916</v>
      </c>
      <c r="I1873" s="26" t="s">
        <v>2986</v>
      </c>
      <c r="J1873" s="46">
        <v>4</v>
      </c>
      <c r="K1873" s="46">
        <v>6</v>
      </c>
      <c r="L1873" s="136"/>
      <c r="M1873" s="137" t="s">
        <v>22</v>
      </c>
      <c r="N1873" s="138"/>
      <c r="O1873" s="138"/>
      <c r="P1873" s="138"/>
      <c r="Q1873" s="138"/>
      <c r="R1873" s="138"/>
      <c r="S1873" s="138"/>
      <c r="T1873" s="138"/>
      <c r="U1873" s="138"/>
      <c r="V1873" s="26" t="s">
        <v>4917</v>
      </c>
      <c r="W1873" s="26"/>
      <c r="X1873" s="26"/>
      <c r="Y1873" s="26"/>
      <c r="Z1873" s="52"/>
      <c r="AA1873" s="52"/>
    </row>
    <row r="1874" spans="1:27" s="54" customFormat="1" ht="15" customHeight="1" x14ac:dyDescent="0.2">
      <c r="A1874" s="32">
        <v>41703.499120370368</v>
      </c>
      <c r="B1874" s="26" t="s">
        <v>152</v>
      </c>
      <c r="C1874" s="26" t="s">
        <v>304</v>
      </c>
      <c r="D1874" s="33">
        <v>41671</v>
      </c>
      <c r="E1874" s="26" t="s">
        <v>4918</v>
      </c>
      <c r="F1874" s="26" t="s">
        <v>4919</v>
      </c>
      <c r="G1874" s="26" t="s">
        <v>26</v>
      </c>
      <c r="H1874" s="26" t="s">
        <v>4920</v>
      </c>
      <c r="I1874" s="26" t="s">
        <v>2986</v>
      </c>
      <c r="J1874" s="46">
        <v>4</v>
      </c>
      <c r="K1874" s="46">
        <v>0</v>
      </c>
      <c r="L1874" s="136"/>
      <c r="M1874" s="137" t="s">
        <v>22</v>
      </c>
      <c r="N1874" s="138"/>
      <c r="O1874" s="138"/>
      <c r="P1874" s="138"/>
      <c r="Q1874" s="138"/>
      <c r="R1874" s="138"/>
      <c r="S1874" s="138"/>
      <c r="T1874" s="138"/>
      <c r="U1874" s="138"/>
      <c r="V1874" s="26" t="s">
        <v>4921</v>
      </c>
      <c r="W1874" s="26"/>
      <c r="X1874" s="26"/>
      <c r="Y1874" s="26"/>
      <c r="Z1874" s="52"/>
      <c r="AA1874" s="52"/>
    </row>
    <row r="1875" spans="1:27" s="54" customFormat="1" ht="15" customHeight="1" x14ac:dyDescent="0.2">
      <c r="A1875" s="32">
        <v>41703.500868055555</v>
      </c>
      <c r="B1875" s="26" t="s">
        <v>152</v>
      </c>
      <c r="C1875" s="26" t="s">
        <v>304</v>
      </c>
      <c r="D1875" s="33">
        <v>41671</v>
      </c>
      <c r="E1875" s="26" t="s">
        <v>4922</v>
      </c>
      <c r="F1875" s="26" t="s">
        <v>4923</v>
      </c>
      <c r="G1875" s="26" t="s">
        <v>26</v>
      </c>
      <c r="H1875" s="26" t="s">
        <v>4924</v>
      </c>
      <c r="I1875" s="26" t="s">
        <v>2986</v>
      </c>
      <c r="J1875" s="46">
        <v>1</v>
      </c>
      <c r="K1875" s="46">
        <v>19</v>
      </c>
      <c r="L1875" s="136"/>
      <c r="M1875" s="137" t="s">
        <v>22</v>
      </c>
      <c r="N1875" s="138"/>
      <c r="O1875" s="138"/>
      <c r="P1875" s="138"/>
      <c r="Q1875" s="138"/>
      <c r="R1875" s="138"/>
      <c r="S1875" s="138"/>
      <c r="T1875" s="138"/>
      <c r="U1875" s="138"/>
      <c r="V1875" s="26" t="s">
        <v>4925</v>
      </c>
      <c r="W1875" s="26"/>
      <c r="X1875" s="26"/>
      <c r="Y1875" s="26"/>
      <c r="Z1875" s="52"/>
      <c r="AA1875" s="52"/>
    </row>
    <row r="1876" spans="1:27" s="54" customFormat="1" ht="15" customHeight="1" x14ac:dyDescent="0.2">
      <c r="A1876" s="32">
        <v>41703.504178240742</v>
      </c>
      <c r="B1876" s="26" t="s">
        <v>152</v>
      </c>
      <c r="C1876" s="26" t="s">
        <v>304</v>
      </c>
      <c r="D1876" s="33">
        <v>41671</v>
      </c>
      <c r="E1876" s="26" t="s">
        <v>1661</v>
      </c>
      <c r="F1876" s="26" t="s">
        <v>4926</v>
      </c>
      <c r="G1876" s="26" t="s">
        <v>26</v>
      </c>
      <c r="H1876" s="26" t="s">
        <v>4927</v>
      </c>
      <c r="I1876" s="26" t="s">
        <v>2986</v>
      </c>
      <c r="J1876" s="46">
        <v>1</v>
      </c>
      <c r="K1876" s="46">
        <v>28</v>
      </c>
      <c r="L1876" s="136"/>
      <c r="M1876" s="137" t="s">
        <v>44</v>
      </c>
      <c r="N1876" s="138"/>
      <c r="O1876" s="138">
        <v>10.98</v>
      </c>
      <c r="P1876" s="138">
        <v>16.440000000000001</v>
      </c>
      <c r="Q1876" s="138"/>
      <c r="R1876" s="138"/>
      <c r="S1876" s="138"/>
      <c r="T1876" s="138"/>
      <c r="U1876" s="138"/>
      <c r="V1876" s="26" t="s">
        <v>4928</v>
      </c>
      <c r="W1876" s="26"/>
      <c r="X1876" s="26"/>
      <c r="Y1876" s="26"/>
      <c r="Z1876" s="52"/>
      <c r="AA1876" s="52"/>
    </row>
    <row r="1877" spans="1:27" s="54" customFormat="1" ht="15" customHeight="1" x14ac:dyDescent="0.2">
      <c r="A1877" s="32">
        <v>41703.506666666668</v>
      </c>
      <c r="B1877" s="26" t="s">
        <v>152</v>
      </c>
      <c r="C1877" s="26" t="s">
        <v>304</v>
      </c>
      <c r="D1877" s="33">
        <v>41671</v>
      </c>
      <c r="E1877" s="26" t="s">
        <v>4929</v>
      </c>
      <c r="F1877" s="26" t="s">
        <v>4930</v>
      </c>
      <c r="G1877" s="26" t="s">
        <v>26</v>
      </c>
      <c r="H1877" s="26" t="s">
        <v>4931</v>
      </c>
      <c r="I1877" s="26" t="s">
        <v>4932</v>
      </c>
      <c r="J1877" s="46">
        <v>1</v>
      </c>
      <c r="K1877" s="46">
        <v>14</v>
      </c>
      <c r="L1877" s="136"/>
      <c r="M1877" s="137" t="s">
        <v>22</v>
      </c>
      <c r="N1877" s="138"/>
      <c r="O1877" s="138"/>
      <c r="P1877" s="138"/>
      <c r="Q1877" s="138"/>
      <c r="R1877" s="138"/>
      <c r="S1877" s="138"/>
      <c r="T1877" s="138"/>
      <c r="U1877" s="138"/>
      <c r="V1877" s="26" t="s">
        <v>4933</v>
      </c>
      <c r="W1877" s="26"/>
      <c r="X1877" s="26"/>
      <c r="Y1877" s="26"/>
      <c r="Z1877" s="52"/>
      <c r="AA1877" s="52"/>
    </row>
    <row r="1878" spans="1:27" s="54" customFormat="1" ht="15" customHeight="1" x14ac:dyDescent="0.2">
      <c r="A1878" s="32">
        <v>41703.507581018515</v>
      </c>
      <c r="B1878" s="26" t="s">
        <v>152</v>
      </c>
      <c r="C1878" s="26" t="s">
        <v>304</v>
      </c>
      <c r="D1878" s="33">
        <v>41671</v>
      </c>
      <c r="E1878" s="26" t="s">
        <v>4934</v>
      </c>
      <c r="F1878" s="26" t="s">
        <v>373</v>
      </c>
      <c r="G1878" s="26" t="s">
        <v>26</v>
      </c>
      <c r="H1878" s="26" t="s">
        <v>4935</v>
      </c>
      <c r="I1878" s="26" t="s">
        <v>2986</v>
      </c>
      <c r="J1878" s="46">
        <v>7</v>
      </c>
      <c r="K1878" s="46">
        <v>18</v>
      </c>
      <c r="L1878" s="136"/>
      <c r="M1878" s="137" t="s">
        <v>22</v>
      </c>
      <c r="N1878" s="138"/>
      <c r="O1878" s="138"/>
      <c r="P1878" s="138"/>
      <c r="Q1878" s="138"/>
      <c r="R1878" s="138"/>
      <c r="S1878" s="138"/>
      <c r="T1878" s="138"/>
      <c r="U1878" s="138"/>
      <c r="V1878" s="26"/>
      <c r="W1878" s="26"/>
      <c r="X1878" s="26"/>
      <c r="Y1878" s="26"/>
      <c r="Z1878" s="52"/>
      <c r="AA1878" s="52"/>
    </row>
    <row r="1879" spans="1:27" s="54" customFormat="1" ht="15" customHeight="1" x14ac:dyDescent="0.2">
      <c r="A1879" s="32">
        <v>41730.475717592592</v>
      </c>
      <c r="B1879" s="26" t="s">
        <v>152</v>
      </c>
      <c r="C1879" s="26" t="s">
        <v>304</v>
      </c>
      <c r="D1879" s="33">
        <v>41699</v>
      </c>
      <c r="E1879" s="26" t="s">
        <v>1949</v>
      </c>
      <c r="F1879" s="26" t="s">
        <v>373</v>
      </c>
      <c r="G1879" s="26" t="s">
        <v>26</v>
      </c>
      <c r="H1879" s="26" t="s">
        <v>5409</v>
      </c>
      <c r="I1879" s="26" t="s">
        <v>2986</v>
      </c>
      <c r="J1879" s="46">
        <v>2</v>
      </c>
      <c r="K1879" s="46">
        <v>31</v>
      </c>
      <c r="L1879" s="136"/>
      <c r="M1879" s="137" t="s">
        <v>22</v>
      </c>
      <c r="N1879" s="138"/>
      <c r="O1879" s="138"/>
      <c r="P1879" s="138"/>
      <c r="Q1879" s="138"/>
      <c r="R1879" s="138"/>
      <c r="S1879" s="138"/>
      <c r="T1879" s="138"/>
      <c r="U1879" s="138"/>
      <c r="V1879" s="26"/>
      <c r="W1879" s="26"/>
      <c r="X1879" s="26"/>
      <c r="Y1879" s="26"/>
      <c r="Z1879" s="52"/>
      <c r="AA1879" s="52"/>
    </row>
    <row r="1880" spans="1:27" s="54" customFormat="1" ht="15" customHeight="1" x14ac:dyDescent="0.2">
      <c r="A1880" s="32">
        <v>41730.476979166669</v>
      </c>
      <c r="B1880" s="26" t="s">
        <v>152</v>
      </c>
      <c r="C1880" s="26" t="s">
        <v>304</v>
      </c>
      <c r="D1880" s="33">
        <v>41699</v>
      </c>
      <c r="E1880" s="26" t="s">
        <v>5410</v>
      </c>
      <c r="F1880" s="26" t="s">
        <v>4155</v>
      </c>
      <c r="G1880" s="26" t="s">
        <v>26</v>
      </c>
      <c r="H1880" s="26" t="s">
        <v>5411</v>
      </c>
      <c r="I1880" s="26" t="s">
        <v>2986</v>
      </c>
      <c r="J1880" s="46">
        <v>1</v>
      </c>
      <c r="K1880" s="46">
        <v>12</v>
      </c>
      <c r="L1880" s="136"/>
      <c r="M1880" s="137" t="s">
        <v>44</v>
      </c>
      <c r="N1880" s="138"/>
      <c r="O1880" s="138">
        <v>20</v>
      </c>
      <c r="P1880" s="138"/>
      <c r="Q1880" s="138"/>
      <c r="R1880" s="138"/>
      <c r="S1880" s="138"/>
      <c r="T1880" s="138"/>
      <c r="U1880" s="138"/>
      <c r="V1880" s="26"/>
      <c r="W1880" s="26"/>
      <c r="X1880" s="26"/>
      <c r="Y1880" s="26"/>
      <c r="Z1880" s="52"/>
      <c r="AA1880" s="52"/>
    </row>
    <row r="1881" spans="1:27" s="54" customFormat="1" ht="15" customHeight="1" x14ac:dyDescent="0.2">
      <c r="A1881" s="32">
        <v>41730.477627314816</v>
      </c>
      <c r="B1881" s="26" t="s">
        <v>152</v>
      </c>
      <c r="C1881" s="26" t="s">
        <v>304</v>
      </c>
      <c r="D1881" s="33">
        <v>41699</v>
      </c>
      <c r="E1881" s="26" t="s">
        <v>5412</v>
      </c>
      <c r="F1881" s="26" t="s">
        <v>5413</v>
      </c>
      <c r="G1881" s="26" t="s">
        <v>26</v>
      </c>
      <c r="H1881" s="26" t="s">
        <v>5414</v>
      </c>
      <c r="I1881" s="26" t="s">
        <v>2986</v>
      </c>
      <c r="J1881" s="46">
        <v>2</v>
      </c>
      <c r="K1881" s="46">
        <v>0</v>
      </c>
      <c r="L1881" s="136"/>
      <c r="M1881" s="137" t="s">
        <v>22</v>
      </c>
      <c r="N1881" s="138"/>
      <c r="O1881" s="138"/>
      <c r="P1881" s="138"/>
      <c r="Q1881" s="138"/>
      <c r="R1881" s="138"/>
      <c r="S1881" s="138"/>
      <c r="T1881" s="138"/>
      <c r="U1881" s="138"/>
      <c r="V1881" s="26"/>
      <c r="W1881" s="26"/>
      <c r="X1881" s="26"/>
      <c r="Y1881" s="26"/>
      <c r="Z1881" s="52"/>
      <c r="AA1881" s="52"/>
    </row>
    <row r="1882" spans="1:27" s="54" customFormat="1" ht="15" customHeight="1" x14ac:dyDescent="0.2">
      <c r="A1882" s="32">
        <v>41730.478391203702</v>
      </c>
      <c r="B1882" s="26" t="s">
        <v>152</v>
      </c>
      <c r="C1882" s="26" t="s">
        <v>304</v>
      </c>
      <c r="D1882" s="33">
        <v>41699</v>
      </c>
      <c r="E1882" s="26" t="s">
        <v>5415</v>
      </c>
      <c r="F1882" s="26" t="s">
        <v>1378</v>
      </c>
      <c r="G1882" s="26" t="s">
        <v>26</v>
      </c>
      <c r="H1882" s="26" t="s">
        <v>3035</v>
      </c>
      <c r="I1882" s="26" t="s">
        <v>2986</v>
      </c>
      <c r="J1882" s="46">
        <v>1</v>
      </c>
      <c r="K1882" s="46">
        <v>3</v>
      </c>
      <c r="L1882" s="136"/>
      <c r="M1882" s="137" t="s">
        <v>22</v>
      </c>
      <c r="N1882" s="138"/>
      <c r="O1882" s="138"/>
      <c r="P1882" s="138"/>
      <c r="Q1882" s="138"/>
      <c r="R1882" s="138"/>
      <c r="S1882" s="138"/>
      <c r="T1882" s="138"/>
      <c r="U1882" s="138"/>
      <c r="V1882" s="26"/>
      <c r="W1882" s="26"/>
      <c r="X1882" s="26"/>
      <c r="Y1882" s="26"/>
      <c r="Z1882" s="52"/>
      <c r="AA1882" s="52"/>
    </row>
    <row r="1883" spans="1:27" s="54" customFormat="1" ht="15" customHeight="1" x14ac:dyDescent="0.2">
      <c r="A1883" s="32">
        <v>41730.478877314818</v>
      </c>
      <c r="B1883" s="26" t="s">
        <v>152</v>
      </c>
      <c r="C1883" s="26" t="s">
        <v>304</v>
      </c>
      <c r="D1883" s="33">
        <v>41699</v>
      </c>
      <c r="E1883" s="26" t="s">
        <v>5416</v>
      </c>
      <c r="F1883" s="26" t="s">
        <v>5417</v>
      </c>
      <c r="G1883" s="26" t="s">
        <v>26</v>
      </c>
      <c r="H1883" s="26" t="s">
        <v>5418</v>
      </c>
      <c r="I1883" s="26" t="s">
        <v>2986</v>
      </c>
      <c r="J1883" s="46">
        <v>1</v>
      </c>
      <c r="K1883" s="46">
        <v>1</v>
      </c>
      <c r="L1883" s="136"/>
      <c r="M1883" s="137" t="s">
        <v>22</v>
      </c>
      <c r="N1883" s="138"/>
      <c r="O1883" s="138"/>
      <c r="P1883" s="138"/>
      <c r="Q1883" s="138"/>
      <c r="R1883" s="138"/>
      <c r="S1883" s="138"/>
      <c r="T1883" s="138"/>
      <c r="U1883" s="138"/>
      <c r="V1883" s="26"/>
      <c r="W1883" s="26"/>
      <c r="X1883" s="26"/>
      <c r="Y1883" s="26"/>
      <c r="Z1883" s="52"/>
      <c r="AA1883" s="52"/>
    </row>
    <row r="1884" spans="1:27" s="54" customFormat="1" ht="15" customHeight="1" x14ac:dyDescent="0.2">
      <c r="A1884" s="32">
        <v>41730.483252314814</v>
      </c>
      <c r="B1884" s="26" t="s">
        <v>152</v>
      </c>
      <c r="C1884" s="26" t="s">
        <v>304</v>
      </c>
      <c r="D1884" s="33">
        <v>41699</v>
      </c>
      <c r="E1884" s="26" t="s">
        <v>5420</v>
      </c>
      <c r="F1884" s="26" t="s">
        <v>3488</v>
      </c>
      <c r="G1884" s="26" t="s">
        <v>26</v>
      </c>
      <c r="H1884" s="26" t="s">
        <v>5421</v>
      </c>
      <c r="I1884" s="26" t="s">
        <v>4324</v>
      </c>
      <c r="J1884" s="46">
        <v>1</v>
      </c>
      <c r="K1884" s="46">
        <v>18</v>
      </c>
      <c r="L1884" s="136">
        <v>9</v>
      </c>
      <c r="M1884" s="137" t="s">
        <v>44</v>
      </c>
      <c r="N1884" s="138"/>
      <c r="O1884" s="138"/>
      <c r="P1884" s="138">
        <v>23.69</v>
      </c>
      <c r="Q1884" s="138"/>
      <c r="R1884" s="138"/>
      <c r="S1884" s="138"/>
      <c r="T1884" s="138"/>
      <c r="U1884" s="138">
        <v>20.86</v>
      </c>
      <c r="V1884" s="26"/>
      <c r="W1884" s="26"/>
      <c r="X1884" s="26"/>
      <c r="Y1884" s="26"/>
      <c r="Z1884" s="52"/>
      <c r="AA1884" s="52"/>
    </row>
    <row r="1885" spans="1:27" s="54" customFormat="1" ht="15" customHeight="1" x14ac:dyDescent="0.2">
      <c r="A1885" s="32">
        <v>41730.486111111109</v>
      </c>
      <c r="B1885" s="26" t="s">
        <v>152</v>
      </c>
      <c r="C1885" s="26" t="s">
        <v>304</v>
      </c>
      <c r="D1885" s="33">
        <v>41699</v>
      </c>
      <c r="E1885" s="26" t="s">
        <v>5422</v>
      </c>
      <c r="F1885" s="26" t="s">
        <v>5423</v>
      </c>
      <c r="G1885" s="26" t="s">
        <v>156</v>
      </c>
      <c r="H1885" s="26" t="s">
        <v>5424</v>
      </c>
      <c r="I1885" s="26" t="s">
        <v>5425</v>
      </c>
      <c r="J1885" s="46">
        <v>1</v>
      </c>
      <c r="K1885" s="46">
        <v>400</v>
      </c>
      <c r="L1885" s="136"/>
      <c r="M1885" s="137" t="s">
        <v>44</v>
      </c>
      <c r="N1885" s="138"/>
      <c r="O1885" s="138"/>
      <c r="P1885" s="138"/>
      <c r="Q1885" s="138"/>
      <c r="R1885" s="138"/>
      <c r="S1885" s="138">
        <v>1363</v>
      </c>
      <c r="T1885" s="138"/>
      <c r="U1885" s="138">
        <v>796</v>
      </c>
      <c r="V1885" s="26" t="s">
        <v>5426</v>
      </c>
      <c r="W1885" s="26"/>
      <c r="X1885" s="26"/>
      <c r="Y1885" s="26"/>
      <c r="Z1885" s="52"/>
      <c r="AA1885" s="52"/>
    </row>
    <row r="1886" spans="1:27" s="54" customFormat="1" ht="15" customHeight="1" x14ac:dyDescent="0.2">
      <c r="A1886" s="32">
        <v>41730.481516203705</v>
      </c>
      <c r="B1886" s="26" t="s">
        <v>152</v>
      </c>
      <c r="C1886" s="26" t="s">
        <v>304</v>
      </c>
      <c r="D1886" s="33">
        <v>41699</v>
      </c>
      <c r="E1886" s="26" t="s">
        <v>5428</v>
      </c>
      <c r="F1886" s="26" t="s">
        <v>5429</v>
      </c>
      <c r="G1886" s="26" t="s">
        <v>26</v>
      </c>
      <c r="H1886" s="26" t="s">
        <v>5430</v>
      </c>
      <c r="I1886" s="26" t="s">
        <v>2812</v>
      </c>
      <c r="J1886" s="46">
        <v>1</v>
      </c>
      <c r="K1886" s="46">
        <v>15</v>
      </c>
      <c r="L1886" s="136">
        <v>35</v>
      </c>
      <c r="M1886" s="137" t="s">
        <v>44</v>
      </c>
      <c r="N1886" s="138"/>
      <c r="O1886" s="138">
        <v>10</v>
      </c>
      <c r="P1886" s="138">
        <v>5.87</v>
      </c>
      <c r="Q1886" s="138"/>
      <c r="R1886" s="138"/>
      <c r="S1886" s="138"/>
      <c r="T1886" s="138"/>
      <c r="U1886" s="138">
        <v>11.25</v>
      </c>
      <c r="V1886" s="26"/>
      <c r="W1886" s="26"/>
      <c r="X1886" s="26"/>
      <c r="Y1886" s="26"/>
      <c r="Z1886" s="52"/>
      <c r="AA1886" s="52"/>
    </row>
    <row r="1887" spans="1:27" s="54" customFormat="1" ht="15" customHeight="1" x14ac:dyDescent="0.2">
      <c r="A1887" s="32">
        <v>41730.487488425926</v>
      </c>
      <c r="B1887" s="26" t="s">
        <v>152</v>
      </c>
      <c r="C1887" s="26" t="s">
        <v>304</v>
      </c>
      <c r="D1887" s="33">
        <v>41699</v>
      </c>
      <c r="E1887" s="26" t="s">
        <v>5431</v>
      </c>
      <c r="F1887" s="26" t="s">
        <v>5432</v>
      </c>
      <c r="G1887" s="26" t="s">
        <v>20</v>
      </c>
      <c r="H1887" s="26" t="s">
        <v>5433</v>
      </c>
      <c r="I1887" s="26" t="s">
        <v>2986</v>
      </c>
      <c r="J1887" s="46">
        <v>1</v>
      </c>
      <c r="K1887" s="46">
        <v>23</v>
      </c>
      <c r="L1887" s="136">
        <v>38</v>
      </c>
      <c r="M1887" s="137" t="s">
        <v>44</v>
      </c>
      <c r="N1887" s="138"/>
      <c r="O1887" s="138">
        <v>20</v>
      </c>
      <c r="P1887" s="138"/>
      <c r="Q1887" s="138"/>
      <c r="R1887" s="138"/>
      <c r="S1887" s="138"/>
      <c r="T1887" s="138"/>
      <c r="U1887" s="138"/>
      <c r="V1887" s="26"/>
      <c r="W1887" s="26"/>
      <c r="X1887" s="26"/>
      <c r="Y1887" s="26"/>
      <c r="Z1887" s="52"/>
      <c r="AA1887" s="52"/>
    </row>
    <row r="1888" spans="1:27" s="54" customFormat="1" ht="15" customHeight="1" x14ac:dyDescent="0.2">
      <c r="A1888" s="32">
        <v>41730.490219907406</v>
      </c>
      <c r="B1888" s="26" t="s">
        <v>152</v>
      </c>
      <c r="C1888" s="26" t="s">
        <v>304</v>
      </c>
      <c r="D1888" s="33">
        <v>41699</v>
      </c>
      <c r="E1888" s="26" t="s">
        <v>5435</v>
      </c>
      <c r="F1888" s="26" t="s">
        <v>5436</v>
      </c>
      <c r="G1888" s="26" t="s">
        <v>20</v>
      </c>
      <c r="H1888" s="26" t="s">
        <v>5437</v>
      </c>
      <c r="I1888" s="26" t="s">
        <v>5438</v>
      </c>
      <c r="J1888" s="46">
        <v>3</v>
      </c>
      <c r="K1888" s="46">
        <v>48</v>
      </c>
      <c r="L1888" s="136">
        <v>88</v>
      </c>
      <c r="M1888" s="137" t="s">
        <v>44</v>
      </c>
      <c r="N1888" s="138"/>
      <c r="O1888" s="138">
        <v>75</v>
      </c>
      <c r="P1888" s="138">
        <v>26.83</v>
      </c>
      <c r="Q1888" s="138"/>
      <c r="R1888" s="138"/>
      <c r="S1888" s="138"/>
      <c r="T1888" s="138"/>
      <c r="U1888" s="138"/>
      <c r="V1888" s="26"/>
      <c r="W1888" s="26"/>
      <c r="X1888" s="26"/>
      <c r="Y1888" s="26"/>
      <c r="Z1888" s="52"/>
      <c r="AA1888" s="52"/>
    </row>
    <row r="1889" spans="1:27" s="54" customFormat="1" ht="15" customHeight="1" x14ac:dyDescent="0.2">
      <c r="A1889" s="32">
        <v>41730.491157407407</v>
      </c>
      <c r="B1889" s="26" t="s">
        <v>152</v>
      </c>
      <c r="C1889" s="26" t="s">
        <v>304</v>
      </c>
      <c r="D1889" s="33">
        <v>41699</v>
      </c>
      <c r="E1889" s="26" t="s">
        <v>5439</v>
      </c>
      <c r="F1889" s="26" t="s">
        <v>5440</v>
      </c>
      <c r="G1889" s="26" t="s">
        <v>26</v>
      </c>
      <c r="H1889" s="26" t="s">
        <v>5441</v>
      </c>
      <c r="I1889" s="26" t="s">
        <v>4547</v>
      </c>
      <c r="J1889" s="46">
        <v>1</v>
      </c>
      <c r="K1889" s="46">
        <v>2</v>
      </c>
      <c r="L1889" s="136">
        <v>4</v>
      </c>
      <c r="M1889" s="137" t="s">
        <v>22</v>
      </c>
      <c r="N1889" s="138"/>
      <c r="O1889" s="138"/>
      <c r="P1889" s="138"/>
      <c r="Q1889" s="138"/>
      <c r="R1889" s="138"/>
      <c r="S1889" s="138"/>
      <c r="T1889" s="138"/>
      <c r="U1889" s="138"/>
      <c r="V1889" s="26"/>
      <c r="W1889" s="26"/>
      <c r="X1889" s="26"/>
      <c r="Y1889" s="26"/>
      <c r="Z1889" s="52"/>
      <c r="AA1889" s="52"/>
    </row>
    <row r="1890" spans="1:27" s="54" customFormat="1" ht="15" customHeight="1" x14ac:dyDescent="0.2">
      <c r="A1890" s="32">
        <v>41730.491886574076</v>
      </c>
      <c r="B1890" s="26" t="s">
        <v>152</v>
      </c>
      <c r="C1890" s="26" t="s">
        <v>304</v>
      </c>
      <c r="D1890" s="33">
        <v>41699</v>
      </c>
      <c r="E1890" s="26" t="s">
        <v>5442</v>
      </c>
      <c r="F1890" s="26" t="s">
        <v>4226</v>
      </c>
      <c r="G1890" s="26" t="s">
        <v>26</v>
      </c>
      <c r="H1890" s="26" t="s">
        <v>5443</v>
      </c>
      <c r="I1890" s="26" t="s">
        <v>5444</v>
      </c>
      <c r="J1890" s="46">
        <v>1</v>
      </c>
      <c r="K1890" s="46">
        <v>6</v>
      </c>
      <c r="L1890" s="136"/>
      <c r="M1890" s="137" t="s">
        <v>22</v>
      </c>
      <c r="N1890" s="138"/>
      <c r="O1890" s="138"/>
      <c r="P1890" s="138"/>
      <c r="Q1890" s="138"/>
      <c r="R1890" s="138"/>
      <c r="S1890" s="138"/>
      <c r="T1890" s="138"/>
      <c r="U1890" s="138"/>
      <c r="V1890" s="26"/>
      <c r="W1890" s="26"/>
      <c r="X1890" s="26"/>
      <c r="Y1890" s="26"/>
      <c r="Z1890" s="52"/>
      <c r="AA1890" s="52"/>
    </row>
    <row r="1891" spans="1:27" s="54" customFormat="1" ht="15" customHeight="1" x14ac:dyDescent="0.2">
      <c r="A1891" s="32">
        <v>41730.492858796293</v>
      </c>
      <c r="B1891" s="26" t="s">
        <v>152</v>
      </c>
      <c r="C1891" s="26" t="s">
        <v>304</v>
      </c>
      <c r="D1891" s="33">
        <v>41699</v>
      </c>
      <c r="E1891" s="26" t="s">
        <v>5445</v>
      </c>
      <c r="F1891" s="26" t="s">
        <v>5446</v>
      </c>
      <c r="G1891" s="26" t="s">
        <v>26</v>
      </c>
      <c r="H1891" s="26" t="s">
        <v>5447</v>
      </c>
      <c r="I1891" s="26" t="s">
        <v>4324</v>
      </c>
      <c r="J1891" s="46">
        <v>1</v>
      </c>
      <c r="K1891" s="46">
        <v>9</v>
      </c>
      <c r="L1891" s="136"/>
      <c r="M1891" s="137" t="s">
        <v>22</v>
      </c>
      <c r="N1891" s="138"/>
      <c r="O1891" s="138"/>
      <c r="P1891" s="138"/>
      <c r="Q1891" s="138"/>
      <c r="R1891" s="138"/>
      <c r="S1891" s="138"/>
      <c r="T1891" s="138"/>
      <c r="U1891" s="138"/>
      <c r="V1891" s="26"/>
      <c r="W1891" s="26"/>
      <c r="X1891" s="26"/>
      <c r="Y1891" s="26"/>
      <c r="Z1891" s="52"/>
      <c r="AA1891" s="52"/>
    </row>
    <row r="1892" spans="1:27" s="54" customFormat="1" ht="15" customHeight="1" x14ac:dyDescent="0.2">
      <c r="A1892" s="32">
        <v>41730.493611111109</v>
      </c>
      <c r="B1892" s="26" t="s">
        <v>152</v>
      </c>
      <c r="C1892" s="26" t="s">
        <v>304</v>
      </c>
      <c r="D1892" s="33">
        <v>41699</v>
      </c>
      <c r="E1892" s="26" t="s">
        <v>5448</v>
      </c>
      <c r="F1892" s="26" t="s">
        <v>4923</v>
      </c>
      <c r="G1892" s="26" t="s">
        <v>26</v>
      </c>
      <c r="H1892" s="26" t="s">
        <v>5449</v>
      </c>
      <c r="I1892" s="26" t="s">
        <v>4324</v>
      </c>
      <c r="J1892" s="46">
        <v>1</v>
      </c>
      <c r="K1892" s="46">
        <v>22</v>
      </c>
      <c r="L1892" s="136"/>
      <c r="M1892" s="137" t="s">
        <v>22</v>
      </c>
      <c r="N1892" s="138"/>
      <c r="O1892" s="138"/>
      <c r="P1892" s="138"/>
      <c r="Q1892" s="138"/>
      <c r="R1892" s="138"/>
      <c r="S1892" s="138"/>
      <c r="T1892" s="138"/>
      <c r="U1892" s="138"/>
      <c r="V1892" s="26"/>
      <c r="W1892" s="26"/>
      <c r="X1892" s="26"/>
      <c r="Y1892" s="26"/>
      <c r="Z1892" s="52"/>
      <c r="AA1892" s="52"/>
    </row>
    <row r="1893" spans="1:27" s="54" customFormat="1" ht="15" customHeight="1" x14ac:dyDescent="0.2">
      <c r="A1893" s="32">
        <v>41730.494328703702</v>
      </c>
      <c r="B1893" s="26" t="s">
        <v>152</v>
      </c>
      <c r="C1893" s="26" t="s">
        <v>304</v>
      </c>
      <c r="D1893" s="33">
        <v>41699</v>
      </c>
      <c r="E1893" s="26" t="s">
        <v>5450</v>
      </c>
      <c r="F1893" s="26" t="s">
        <v>5451</v>
      </c>
      <c r="G1893" s="26" t="s">
        <v>26</v>
      </c>
      <c r="H1893" s="26" t="s">
        <v>5452</v>
      </c>
      <c r="I1893" s="26" t="s">
        <v>5453</v>
      </c>
      <c r="J1893" s="46">
        <v>1</v>
      </c>
      <c r="K1893" s="46">
        <v>2</v>
      </c>
      <c r="L1893" s="136"/>
      <c r="M1893" s="137" t="s">
        <v>22</v>
      </c>
      <c r="N1893" s="138"/>
      <c r="O1893" s="138"/>
      <c r="P1893" s="138"/>
      <c r="Q1893" s="138"/>
      <c r="R1893" s="138"/>
      <c r="S1893" s="138"/>
      <c r="T1893" s="138"/>
      <c r="U1893" s="138"/>
      <c r="V1893" s="26"/>
      <c r="W1893" s="26"/>
      <c r="X1893" s="26"/>
      <c r="Y1893" s="26"/>
      <c r="Z1893" s="52"/>
      <c r="AA1893" s="52"/>
    </row>
    <row r="1894" spans="1:27" s="54" customFormat="1" ht="15" customHeight="1" x14ac:dyDescent="0.2">
      <c r="A1894" s="32">
        <v>41730.494837962964</v>
      </c>
      <c r="B1894" s="26" t="s">
        <v>152</v>
      </c>
      <c r="C1894" s="26" t="s">
        <v>304</v>
      </c>
      <c r="D1894" s="33">
        <v>41699</v>
      </c>
      <c r="E1894" s="26" t="s">
        <v>5454</v>
      </c>
      <c r="F1894" s="26" t="s">
        <v>5417</v>
      </c>
      <c r="G1894" s="26" t="s">
        <v>26</v>
      </c>
      <c r="H1894" s="26" t="s">
        <v>5455</v>
      </c>
      <c r="I1894" s="26" t="s">
        <v>2986</v>
      </c>
      <c r="J1894" s="46">
        <v>1</v>
      </c>
      <c r="K1894" s="46">
        <v>0</v>
      </c>
      <c r="L1894" s="136"/>
      <c r="M1894" s="137" t="s">
        <v>22</v>
      </c>
      <c r="N1894" s="138"/>
      <c r="O1894" s="138"/>
      <c r="P1894" s="138"/>
      <c r="Q1894" s="138"/>
      <c r="R1894" s="138"/>
      <c r="S1894" s="138"/>
      <c r="T1894" s="138"/>
      <c r="U1894" s="138"/>
      <c r="V1894" s="26"/>
      <c r="W1894" s="26"/>
      <c r="X1894" s="26"/>
      <c r="Y1894" s="26"/>
      <c r="Z1894" s="52"/>
      <c r="AA1894" s="52"/>
    </row>
    <row r="1895" spans="1:27" s="54" customFormat="1" ht="15" customHeight="1" x14ac:dyDescent="0.2">
      <c r="A1895" s="32">
        <v>41730.49596064815</v>
      </c>
      <c r="B1895" s="26" t="s">
        <v>152</v>
      </c>
      <c r="C1895" s="26" t="s">
        <v>304</v>
      </c>
      <c r="D1895" s="33">
        <v>41699</v>
      </c>
      <c r="E1895" s="26" t="s">
        <v>5460</v>
      </c>
      <c r="F1895" s="26" t="s">
        <v>1378</v>
      </c>
      <c r="G1895" s="26" t="s">
        <v>26</v>
      </c>
      <c r="H1895" s="26" t="s">
        <v>3035</v>
      </c>
      <c r="I1895" s="26" t="s">
        <v>4324</v>
      </c>
      <c r="J1895" s="46">
        <v>1</v>
      </c>
      <c r="K1895" s="46">
        <v>58</v>
      </c>
      <c r="L1895" s="136"/>
      <c r="M1895" s="137" t="s">
        <v>44</v>
      </c>
      <c r="N1895" s="138"/>
      <c r="O1895" s="138">
        <v>10</v>
      </c>
      <c r="P1895" s="138">
        <v>154.27000000000001</v>
      </c>
      <c r="Q1895" s="138"/>
      <c r="R1895" s="138"/>
      <c r="S1895" s="138"/>
      <c r="T1895" s="138"/>
      <c r="U1895" s="138"/>
      <c r="V1895" s="26"/>
      <c r="W1895" s="26"/>
      <c r="X1895" s="26"/>
      <c r="Y1895" s="26"/>
      <c r="Z1895" s="52"/>
      <c r="AA1895" s="52"/>
    </row>
    <row r="1896" spans="1:27" s="54" customFormat="1" ht="15" customHeight="1" x14ac:dyDescent="0.2">
      <c r="A1896" s="55">
        <v>41758.467546296299</v>
      </c>
      <c r="B1896" s="52" t="s">
        <v>152</v>
      </c>
      <c r="C1896" s="52" t="s">
        <v>304</v>
      </c>
      <c r="D1896" s="88" t="s">
        <v>6076</v>
      </c>
      <c r="E1896" s="52" t="s">
        <v>6142</v>
      </c>
      <c r="F1896" s="52" t="s">
        <v>6143</v>
      </c>
      <c r="G1896" s="52" t="s">
        <v>42</v>
      </c>
      <c r="H1896" s="52" t="s">
        <v>6144</v>
      </c>
      <c r="I1896" s="52" t="s">
        <v>2986</v>
      </c>
      <c r="J1896" s="95">
        <v>1</v>
      </c>
      <c r="K1896" s="95">
        <v>29</v>
      </c>
      <c r="L1896" s="149">
        <v>81</v>
      </c>
      <c r="M1896" s="146" t="s">
        <v>22</v>
      </c>
      <c r="N1896" s="149"/>
      <c r="O1896" s="149"/>
      <c r="P1896" s="149"/>
      <c r="Q1896" s="149"/>
      <c r="R1896" s="149"/>
      <c r="S1896" s="149"/>
      <c r="T1896" s="149"/>
      <c r="U1896" s="149"/>
      <c r="V1896" s="52"/>
      <c r="W1896" s="26"/>
      <c r="X1896" s="26"/>
      <c r="Y1896" s="26"/>
      <c r="Z1896" s="52"/>
      <c r="AA1896" s="52"/>
    </row>
    <row r="1897" spans="1:27" s="54" customFormat="1" ht="15" customHeight="1" x14ac:dyDescent="0.2">
      <c r="A1897" s="55">
        <v>41758.4699189815</v>
      </c>
      <c r="B1897" s="52" t="s">
        <v>152</v>
      </c>
      <c r="C1897" s="52" t="s">
        <v>304</v>
      </c>
      <c r="D1897" s="88" t="s">
        <v>6076</v>
      </c>
      <c r="E1897" s="52" t="s">
        <v>6145</v>
      </c>
      <c r="F1897" s="52" t="s">
        <v>6146</v>
      </c>
      <c r="G1897" s="52" t="s">
        <v>20</v>
      </c>
      <c r="H1897" s="52" t="s">
        <v>6147</v>
      </c>
      <c r="I1897" s="52" t="s">
        <v>6148</v>
      </c>
      <c r="J1897" s="95">
        <v>3</v>
      </c>
      <c r="K1897" s="95">
        <v>58</v>
      </c>
      <c r="L1897" s="149">
        <v>162</v>
      </c>
      <c r="M1897" s="146" t="s">
        <v>44</v>
      </c>
      <c r="N1897" s="149"/>
      <c r="O1897" s="149"/>
      <c r="P1897" s="149">
        <v>45.93</v>
      </c>
      <c r="Q1897" s="149"/>
      <c r="R1897" s="149"/>
      <c r="S1897" s="149"/>
      <c r="T1897" s="149"/>
      <c r="U1897" s="149"/>
      <c r="V1897" s="52"/>
      <c r="W1897" s="26"/>
      <c r="X1897" s="26"/>
      <c r="Y1897" s="26"/>
      <c r="Z1897" s="52"/>
      <c r="AA1897" s="52"/>
    </row>
    <row r="1898" spans="1:27" s="54" customFormat="1" ht="15" customHeight="1" x14ac:dyDescent="0.2">
      <c r="A1898" s="55">
        <v>41758.470879629604</v>
      </c>
      <c r="B1898" s="52" t="s">
        <v>152</v>
      </c>
      <c r="C1898" s="52" t="s">
        <v>304</v>
      </c>
      <c r="D1898" s="88" t="s">
        <v>6076</v>
      </c>
      <c r="E1898" s="52" t="s">
        <v>6149</v>
      </c>
      <c r="F1898" s="52" t="s">
        <v>6150</v>
      </c>
      <c r="G1898" s="52" t="s">
        <v>42</v>
      </c>
      <c r="H1898" s="52" t="s">
        <v>6151</v>
      </c>
      <c r="I1898" s="52" t="s">
        <v>4324</v>
      </c>
      <c r="J1898" s="95">
        <v>2</v>
      </c>
      <c r="K1898" s="95">
        <v>11</v>
      </c>
      <c r="L1898" s="149">
        <v>21</v>
      </c>
      <c r="M1898" s="146" t="s">
        <v>22</v>
      </c>
      <c r="N1898" s="149"/>
      <c r="O1898" s="149"/>
      <c r="P1898" s="149"/>
      <c r="Q1898" s="149"/>
      <c r="R1898" s="149"/>
      <c r="S1898" s="149"/>
      <c r="T1898" s="149"/>
      <c r="U1898" s="149"/>
      <c r="V1898" s="52"/>
      <c r="W1898" s="26"/>
      <c r="X1898" s="26"/>
      <c r="Y1898" s="26"/>
      <c r="Z1898" s="52"/>
      <c r="AA1898" s="52"/>
    </row>
    <row r="1899" spans="1:27" s="54" customFormat="1" ht="15" customHeight="1" x14ac:dyDescent="0.2">
      <c r="A1899" s="93">
        <v>41758.473090277803</v>
      </c>
      <c r="B1899" s="89" t="s">
        <v>152</v>
      </c>
      <c r="C1899" s="52" t="s">
        <v>304</v>
      </c>
      <c r="D1899" s="87" t="s">
        <v>6076</v>
      </c>
      <c r="E1899" s="89" t="s">
        <v>6152</v>
      </c>
      <c r="F1899" s="89" t="s">
        <v>6153</v>
      </c>
      <c r="G1899" s="89" t="s">
        <v>156</v>
      </c>
      <c r="H1899" s="89" t="s">
        <v>6154</v>
      </c>
      <c r="I1899" s="89" t="s">
        <v>3733</v>
      </c>
      <c r="J1899" s="95">
        <v>1</v>
      </c>
      <c r="K1899" s="95">
        <v>550</v>
      </c>
      <c r="L1899" s="149"/>
      <c r="M1899" s="146" t="s">
        <v>44</v>
      </c>
      <c r="N1899" s="149"/>
      <c r="O1899" s="149">
        <v>50</v>
      </c>
      <c r="P1899" s="149">
        <v>43.92</v>
      </c>
      <c r="Q1899" s="149"/>
      <c r="R1899" s="149"/>
      <c r="S1899" s="149"/>
      <c r="T1899" s="149"/>
      <c r="U1899" s="149"/>
      <c r="V1899" s="89"/>
      <c r="W1899" s="91"/>
      <c r="X1899" s="91"/>
      <c r="Y1899" s="91"/>
      <c r="Z1899" s="52"/>
      <c r="AA1899" s="52"/>
    </row>
    <row r="1900" spans="1:27" s="54" customFormat="1" ht="15" customHeight="1" x14ac:dyDescent="0.2">
      <c r="A1900" s="93">
        <v>41758.475150462997</v>
      </c>
      <c r="B1900" s="89" t="s">
        <v>152</v>
      </c>
      <c r="C1900" s="52" t="s">
        <v>304</v>
      </c>
      <c r="D1900" s="87" t="s">
        <v>6076</v>
      </c>
      <c r="E1900" s="94" t="s">
        <v>6155</v>
      </c>
      <c r="F1900" s="89" t="s">
        <v>6156</v>
      </c>
      <c r="G1900" s="89" t="s">
        <v>156</v>
      </c>
      <c r="H1900" s="89" t="s">
        <v>6157</v>
      </c>
      <c r="I1900" s="89" t="s">
        <v>6158</v>
      </c>
      <c r="J1900" s="95">
        <v>2</v>
      </c>
      <c r="K1900" s="95">
        <v>100</v>
      </c>
      <c r="L1900" s="149"/>
      <c r="M1900" s="146" t="s">
        <v>44</v>
      </c>
      <c r="N1900" s="149"/>
      <c r="O1900" s="149"/>
      <c r="P1900" s="149"/>
      <c r="Q1900" s="149">
        <v>1076</v>
      </c>
      <c r="R1900" s="149"/>
      <c r="S1900" s="149"/>
      <c r="T1900" s="149"/>
      <c r="U1900" s="149"/>
      <c r="V1900" s="89"/>
      <c r="W1900" s="91"/>
      <c r="X1900" s="91"/>
      <c r="Y1900" s="91"/>
      <c r="Z1900" s="52"/>
      <c r="AA1900" s="52"/>
    </row>
    <row r="1901" spans="1:27" s="54" customFormat="1" ht="15" customHeight="1" x14ac:dyDescent="0.2">
      <c r="A1901" s="93">
        <v>41758.481249999997</v>
      </c>
      <c r="B1901" s="89" t="s">
        <v>152</v>
      </c>
      <c r="C1901" s="52" t="s">
        <v>304</v>
      </c>
      <c r="D1901" s="87" t="s">
        <v>6076</v>
      </c>
      <c r="E1901" s="89" t="s">
        <v>1949</v>
      </c>
      <c r="F1901" s="89" t="s">
        <v>373</v>
      </c>
      <c r="G1901" s="89" t="s">
        <v>26</v>
      </c>
      <c r="H1901" s="89" t="s">
        <v>6159</v>
      </c>
      <c r="I1901" s="89" t="s">
        <v>2986</v>
      </c>
      <c r="J1901" s="95">
        <v>5</v>
      </c>
      <c r="K1901" s="95">
        <v>25</v>
      </c>
      <c r="L1901" s="149"/>
      <c r="M1901" s="146" t="s">
        <v>22</v>
      </c>
      <c r="N1901" s="149"/>
      <c r="O1901" s="149"/>
      <c r="P1901" s="149"/>
      <c r="Q1901" s="149"/>
      <c r="R1901" s="149"/>
      <c r="S1901" s="149"/>
      <c r="T1901" s="149"/>
      <c r="U1901" s="149"/>
      <c r="V1901" s="89"/>
      <c r="W1901" s="91"/>
      <c r="X1901" s="91"/>
      <c r="Y1901" s="91"/>
      <c r="Z1901" s="52"/>
      <c r="AA1901" s="52"/>
    </row>
    <row r="1902" spans="1:27" s="54" customFormat="1" ht="15" customHeight="1" x14ac:dyDescent="0.2">
      <c r="A1902" s="93">
        <v>41796.403564814798</v>
      </c>
      <c r="B1902" s="89" t="s">
        <v>16</v>
      </c>
      <c r="C1902" s="52" t="s">
        <v>913</v>
      </c>
      <c r="D1902" s="87" t="s">
        <v>6224</v>
      </c>
      <c r="E1902" s="89" t="s">
        <v>4322</v>
      </c>
      <c r="F1902" s="89" t="s">
        <v>1975</v>
      </c>
      <c r="G1902" s="89" t="s">
        <v>26</v>
      </c>
      <c r="H1902" s="89" t="s">
        <v>1975</v>
      </c>
      <c r="I1902" s="89" t="s">
        <v>3001</v>
      </c>
      <c r="J1902" s="95">
        <v>1</v>
      </c>
      <c r="K1902" s="95">
        <v>2</v>
      </c>
      <c r="L1902" s="150"/>
      <c r="M1902" s="146" t="s">
        <v>22</v>
      </c>
      <c r="N1902" s="149"/>
      <c r="O1902" s="149"/>
      <c r="P1902" s="149"/>
      <c r="Q1902" s="149"/>
      <c r="R1902" s="149"/>
      <c r="S1902" s="149"/>
      <c r="T1902" s="149"/>
      <c r="U1902" s="149"/>
      <c r="V1902" s="89"/>
      <c r="W1902" s="91"/>
      <c r="X1902" s="91"/>
      <c r="Y1902" s="91"/>
      <c r="Z1902" s="52"/>
      <c r="AA1902" s="52"/>
    </row>
    <row r="1903" spans="1:27" s="54" customFormat="1" ht="15" customHeight="1" x14ac:dyDescent="0.2">
      <c r="A1903" s="93">
        <v>41796.404976851802</v>
      </c>
      <c r="B1903" s="89" t="s">
        <v>16</v>
      </c>
      <c r="C1903" s="52" t="s">
        <v>913</v>
      </c>
      <c r="D1903" s="87" t="s">
        <v>6224</v>
      </c>
      <c r="E1903" s="89" t="s">
        <v>7303</v>
      </c>
      <c r="F1903" s="89" t="s">
        <v>915</v>
      </c>
      <c r="G1903" s="89" t="s">
        <v>26</v>
      </c>
      <c r="H1903" s="89" t="s">
        <v>7304</v>
      </c>
      <c r="I1903" s="89"/>
      <c r="J1903" s="95">
        <v>1</v>
      </c>
      <c r="K1903" s="95">
        <v>6</v>
      </c>
      <c r="L1903" s="150">
        <v>165</v>
      </c>
      <c r="M1903" s="146" t="s">
        <v>22</v>
      </c>
      <c r="N1903" s="149"/>
      <c r="O1903" s="149"/>
      <c r="P1903" s="149"/>
      <c r="Q1903" s="149"/>
      <c r="R1903" s="149"/>
      <c r="S1903" s="149"/>
      <c r="T1903" s="149"/>
      <c r="U1903" s="149"/>
      <c r="V1903" s="89"/>
      <c r="W1903" s="91"/>
      <c r="X1903" s="91"/>
      <c r="Y1903" s="91"/>
      <c r="Z1903" s="52"/>
      <c r="AA1903" s="52"/>
    </row>
    <row r="1904" spans="1:27" s="54" customFormat="1" ht="15" customHeight="1" x14ac:dyDescent="0.2">
      <c r="A1904" s="93">
        <v>41796.408263888901</v>
      </c>
      <c r="B1904" s="89" t="s">
        <v>16</v>
      </c>
      <c r="C1904" s="52" t="s">
        <v>913</v>
      </c>
      <c r="D1904" s="87" t="s">
        <v>6224</v>
      </c>
      <c r="E1904" s="89" t="s">
        <v>4823</v>
      </c>
      <c r="F1904" s="89" t="s">
        <v>2665</v>
      </c>
      <c r="G1904" s="89" t="s">
        <v>20</v>
      </c>
      <c r="H1904" s="89" t="s">
        <v>511</v>
      </c>
      <c r="I1904" s="89" t="s">
        <v>3001</v>
      </c>
      <c r="J1904" s="95">
        <v>1</v>
      </c>
      <c r="K1904" s="95">
        <v>6</v>
      </c>
      <c r="L1904" s="150">
        <v>12</v>
      </c>
      <c r="M1904" s="146" t="s">
        <v>22</v>
      </c>
      <c r="N1904" s="149"/>
      <c r="O1904" s="149"/>
      <c r="P1904" s="149"/>
      <c r="Q1904" s="149"/>
      <c r="R1904" s="149"/>
      <c r="S1904" s="149"/>
      <c r="T1904" s="149"/>
      <c r="U1904" s="149"/>
      <c r="V1904" s="89"/>
      <c r="W1904" s="91"/>
      <c r="X1904" s="91"/>
      <c r="Y1904" s="91"/>
      <c r="Z1904" s="52"/>
      <c r="AA1904" s="52"/>
    </row>
    <row r="1905" spans="1:27" s="54" customFormat="1" ht="15" customHeight="1" x14ac:dyDescent="0.2">
      <c r="A1905" s="93">
        <v>41796.409907407397</v>
      </c>
      <c r="B1905" s="89" t="s">
        <v>16</v>
      </c>
      <c r="C1905" s="52" t="s">
        <v>913</v>
      </c>
      <c r="D1905" s="87" t="s">
        <v>6224</v>
      </c>
      <c r="E1905" s="89" t="s">
        <v>7305</v>
      </c>
      <c r="F1905" s="89" t="s">
        <v>7306</v>
      </c>
      <c r="G1905" s="89" t="s">
        <v>26</v>
      </c>
      <c r="H1905" s="89">
        <v>1</v>
      </c>
      <c r="I1905" s="89" t="s">
        <v>2986</v>
      </c>
      <c r="J1905" s="95">
        <v>1</v>
      </c>
      <c r="K1905" s="95">
        <v>18</v>
      </c>
      <c r="L1905" s="150"/>
      <c r="M1905" s="146" t="s">
        <v>22</v>
      </c>
      <c r="N1905" s="149"/>
      <c r="O1905" s="149"/>
      <c r="P1905" s="149"/>
      <c r="Q1905" s="149"/>
      <c r="R1905" s="149"/>
      <c r="S1905" s="149"/>
      <c r="T1905" s="149"/>
      <c r="U1905" s="149"/>
      <c r="V1905" s="89"/>
      <c r="W1905" s="91"/>
      <c r="X1905" s="91"/>
      <c r="Y1905" s="91"/>
      <c r="Z1905" s="52"/>
      <c r="AA1905" s="52"/>
    </row>
    <row r="1906" spans="1:27" s="54" customFormat="1" ht="15" customHeight="1" x14ac:dyDescent="0.2">
      <c r="A1906" s="93">
        <v>41796.411099536999</v>
      </c>
      <c r="B1906" s="89" t="s">
        <v>16</v>
      </c>
      <c r="C1906" s="52" t="s">
        <v>913</v>
      </c>
      <c r="D1906" s="87" t="s">
        <v>6224</v>
      </c>
      <c r="E1906" s="89" t="s">
        <v>7307</v>
      </c>
      <c r="F1906" s="89" t="s">
        <v>3993</v>
      </c>
      <c r="G1906" s="89" t="s">
        <v>26</v>
      </c>
      <c r="H1906" s="89" t="s">
        <v>3993</v>
      </c>
      <c r="I1906" s="89" t="s">
        <v>2986</v>
      </c>
      <c r="J1906" s="95">
        <v>1</v>
      </c>
      <c r="K1906" s="95">
        <v>8</v>
      </c>
      <c r="L1906" s="150">
        <v>8</v>
      </c>
      <c r="M1906" s="146" t="s">
        <v>22</v>
      </c>
      <c r="N1906" s="149"/>
      <c r="O1906" s="149"/>
      <c r="P1906" s="149"/>
      <c r="Q1906" s="149"/>
      <c r="R1906" s="149"/>
      <c r="S1906" s="149"/>
      <c r="T1906" s="149"/>
      <c r="U1906" s="149"/>
      <c r="V1906" s="89"/>
      <c r="W1906" s="91"/>
      <c r="X1906" s="91"/>
      <c r="Y1906" s="91"/>
      <c r="Z1906" s="52"/>
      <c r="AA1906" s="52"/>
    </row>
    <row r="1907" spans="1:27" s="54" customFormat="1" ht="15" customHeight="1" x14ac:dyDescent="0.2">
      <c r="A1907" s="93">
        <v>41796.413402777798</v>
      </c>
      <c r="B1907" s="89" t="s">
        <v>16</v>
      </c>
      <c r="C1907" s="52" t="s">
        <v>913</v>
      </c>
      <c r="D1907" s="87" t="s">
        <v>6224</v>
      </c>
      <c r="E1907" s="89" t="s">
        <v>7308</v>
      </c>
      <c r="F1907" s="89" t="s">
        <v>7309</v>
      </c>
      <c r="G1907" s="89" t="s">
        <v>156</v>
      </c>
      <c r="H1907" s="89" t="s">
        <v>7310</v>
      </c>
      <c r="I1907" s="89" t="s">
        <v>5589</v>
      </c>
      <c r="J1907" s="95">
        <v>1</v>
      </c>
      <c r="K1907" s="95">
        <v>1200</v>
      </c>
      <c r="L1907" s="150"/>
      <c r="M1907" s="146" t="s">
        <v>44</v>
      </c>
      <c r="N1907" s="149"/>
      <c r="O1907" s="149">
        <v>165</v>
      </c>
      <c r="P1907" s="149"/>
      <c r="Q1907" s="149"/>
      <c r="R1907" s="149"/>
      <c r="S1907" s="149"/>
      <c r="T1907" s="149"/>
      <c r="U1907" s="149"/>
      <c r="V1907" s="89"/>
      <c r="W1907" s="91"/>
      <c r="X1907" s="91"/>
      <c r="Y1907" s="91"/>
      <c r="Z1907" s="52"/>
      <c r="AA1907" s="52"/>
    </row>
    <row r="1908" spans="1:27" s="54" customFormat="1" ht="15" customHeight="1" x14ac:dyDescent="0.2">
      <c r="A1908" s="93">
        <v>41796.414131944402</v>
      </c>
      <c r="B1908" s="89" t="s">
        <v>16</v>
      </c>
      <c r="C1908" s="52" t="s">
        <v>913</v>
      </c>
      <c r="D1908" s="87" t="s">
        <v>6224</v>
      </c>
      <c r="E1908" s="89" t="s">
        <v>4322</v>
      </c>
      <c r="F1908" s="89" t="s">
        <v>1975</v>
      </c>
      <c r="G1908" s="89" t="s">
        <v>26</v>
      </c>
      <c r="H1908" s="89" t="s">
        <v>1975</v>
      </c>
      <c r="I1908" s="89" t="s">
        <v>2986</v>
      </c>
      <c r="J1908" s="95">
        <v>1</v>
      </c>
      <c r="K1908" s="95">
        <v>8</v>
      </c>
      <c r="L1908" s="150"/>
      <c r="M1908" s="146" t="s">
        <v>22</v>
      </c>
      <c r="N1908" s="149"/>
      <c r="O1908" s="149"/>
      <c r="P1908" s="149"/>
      <c r="Q1908" s="149"/>
      <c r="R1908" s="149"/>
      <c r="S1908" s="149"/>
      <c r="T1908" s="149"/>
      <c r="U1908" s="149"/>
      <c r="V1908" s="89"/>
      <c r="W1908" s="91"/>
      <c r="X1908" s="91"/>
      <c r="Y1908" s="91"/>
      <c r="Z1908" s="52"/>
      <c r="AA1908" s="52"/>
    </row>
    <row r="1909" spans="1:27" s="54" customFormat="1" ht="15" customHeight="1" x14ac:dyDescent="0.2">
      <c r="A1909" s="37">
        <v>41460.591400463003</v>
      </c>
      <c r="B1909" s="26" t="s">
        <v>38</v>
      </c>
      <c r="C1909" s="26" t="s">
        <v>47</v>
      </c>
      <c r="D1909" s="33">
        <v>41456</v>
      </c>
      <c r="E1909" s="26" t="s">
        <v>48</v>
      </c>
      <c r="F1909" s="26" t="s">
        <v>49</v>
      </c>
      <c r="G1909" s="26" t="s">
        <v>26</v>
      </c>
      <c r="H1909" s="26" t="s">
        <v>50</v>
      </c>
      <c r="I1909" s="26"/>
      <c r="J1909" s="115">
        <v>1</v>
      </c>
      <c r="K1909" s="115">
        <v>27</v>
      </c>
      <c r="L1909" s="136">
        <v>14</v>
      </c>
      <c r="M1909" s="137" t="s">
        <v>44</v>
      </c>
      <c r="N1909" s="138"/>
      <c r="O1909" s="138">
        <v>5</v>
      </c>
      <c r="P1909" s="138">
        <v>2.99</v>
      </c>
      <c r="Q1909" s="138"/>
      <c r="R1909" s="138"/>
      <c r="S1909" s="138"/>
      <c r="T1909" s="138"/>
      <c r="U1909" s="138"/>
      <c r="V1909" s="26"/>
      <c r="W1909" s="26"/>
      <c r="X1909" s="26"/>
      <c r="Y1909" s="26"/>
      <c r="Z1909" s="52"/>
      <c r="AA1909" s="52"/>
    </row>
    <row r="1910" spans="1:27" s="54" customFormat="1" ht="15" customHeight="1" x14ac:dyDescent="0.2">
      <c r="A1910" s="37">
        <v>41460.5924884259</v>
      </c>
      <c r="B1910" s="26" t="s">
        <v>38</v>
      </c>
      <c r="C1910" s="26" t="s">
        <v>47</v>
      </c>
      <c r="D1910" s="33">
        <v>41456</v>
      </c>
      <c r="E1910" s="26" t="s">
        <v>51</v>
      </c>
      <c r="F1910" s="26" t="s">
        <v>52</v>
      </c>
      <c r="G1910" s="26" t="s">
        <v>26</v>
      </c>
      <c r="H1910" s="26" t="s">
        <v>53</v>
      </c>
      <c r="I1910" s="26"/>
      <c r="J1910" s="115">
        <v>1</v>
      </c>
      <c r="K1910" s="115">
        <v>38</v>
      </c>
      <c r="L1910" s="136">
        <v>12</v>
      </c>
      <c r="M1910" s="137" t="s">
        <v>44</v>
      </c>
      <c r="N1910" s="138"/>
      <c r="O1910" s="138">
        <v>10</v>
      </c>
      <c r="P1910" s="138"/>
      <c r="Q1910" s="138"/>
      <c r="R1910" s="138"/>
      <c r="S1910" s="138"/>
      <c r="T1910" s="138"/>
      <c r="U1910" s="138"/>
      <c r="V1910" s="26"/>
      <c r="W1910" s="26"/>
      <c r="X1910" s="26"/>
      <c r="Y1910" s="26"/>
      <c r="Z1910" s="52"/>
      <c r="AA1910" s="52"/>
    </row>
    <row r="1911" spans="1:27" s="54" customFormat="1" ht="15" customHeight="1" x14ac:dyDescent="0.2">
      <c r="A1911" s="37">
        <v>41460.594837962999</v>
      </c>
      <c r="B1911" s="26" t="s">
        <v>38</v>
      </c>
      <c r="C1911" s="26" t="s">
        <v>47</v>
      </c>
      <c r="D1911" s="33">
        <v>41456</v>
      </c>
      <c r="E1911" s="26" t="s">
        <v>54</v>
      </c>
      <c r="F1911" s="26" t="s">
        <v>55</v>
      </c>
      <c r="G1911" s="26" t="s">
        <v>26</v>
      </c>
      <c r="H1911" s="26" t="s">
        <v>56</v>
      </c>
      <c r="I1911" s="26"/>
      <c r="J1911" s="115">
        <v>1</v>
      </c>
      <c r="K1911" s="115">
        <v>0</v>
      </c>
      <c r="L1911" s="136">
        <v>0</v>
      </c>
      <c r="M1911" s="137" t="s">
        <v>22</v>
      </c>
      <c r="N1911" s="138"/>
      <c r="O1911" s="138"/>
      <c r="P1911" s="138"/>
      <c r="Q1911" s="138"/>
      <c r="R1911" s="138"/>
      <c r="S1911" s="138"/>
      <c r="T1911" s="138"/>
      <c r="U1911" s="138"/>
      <c r="V1911" s="26" t="s">
        <v>57</v>
      </c>
      <c r="W1911" s="26"/>
      <c r="X1911" s="26"/>
      <c r="Y1911" s="26"/>
      <c r="Z1911" s="52"/>
      <c r="AA1911" s="52"/>
    </row>
    <row r="1912" spans="1:27" s="54" customFormat="1" ht="15" customHeight="1" x14ac:dyDescent="0.2">
      <c r="A1912" s="37">
        <v>41460.602847222202</v>
      </c>
      <c r="B1912" s="26" t="s">
        <v>38</v>
      </c>
      <c r="C1912" s="26" t="s">
        <v>47</v>
      </c>
      <c r="D1912" s="33">
        <v>41456</v>
      </c>
      <c r="E1912" s="26" t="s">
        <v>58</v>
      </c>
      <c r="F1912" s="26" t="s">
        <v>59</v>
      </c>
      <c r="G1912" s="26" t="s">
        <v>60</v>
      </c>
      <c r="H1912" s="26" t="s">
        <v>61</v>
      </c>
      <c r="I1912" s="26"/>
      <c r="J1912" s="115">
        <v>1</v>
      </c>
      <c r="K1912" s="115">
        <v>5</v>
      </c>
      <c r="L1912" s="136"/>
      <c r="M1912" s="137" t="s">
        <v>22</v>
      </c>
      <c r="N1912" s="138"/>
      <c r="O1912" s="138"/>
      <c r="P1912" s="138"/>
      <c r="Q1912" s="138"/>
      <c r="R1912" s="138"/>
      <c r="S1912" s="138"/>
      <c r="T1912" s="138"/>
      <c r="U1912" s="138"/>
      <c r="V1912" s="26"/>
      <c r="W1912" s="26"/>
      <c r="X1912" s="26"/>
      <c r="Y1912" s="26"/>
      <c r="Z1912" s="52"/>
      <c r="AA1912" s="52"/>
    </row>
    <row r="1913" spans="1:27" s="54" customFormat="1" ht="15" customHeight="1" x14ac:dyDescent="0.2">
      <c r="A1913" s="37">
        <v>41461.465648148202</v>
      </c>
      <c r="B1913" s="26" t="s">
        <v>38</v>
      </c>
      <c r="C1913" s="26" t="s">
        <v>47</v>
      </c>
      <c r="D1913" s="33">
        <v>41456</v>
      </c>
      <c r="E1913" s="26" t="s">
        <v>67</v>
      </c>
      <c r="F1913" s="26" t="s">
        <v>68</v>
      </c>
      <c r="G1913" s="26" t="s">
        <v>26</v>
      </c>
      <c r="H1913" s="26" t="s">
        <v>69</v>
      </c>
      <c r="I1913" s="26"/>
      <c r="J1913" s="115">
        <v>1</v>
      </c>
      <c r="K1913" s="115">
        <v>5</v>
      </c>
      <c r="L1913" s="136">
        <v>2</v>
      </c>
      <c r="M1913" s="137" t="s">
        <v>22</v>
      </c>
      <c r="N1913" s="138"/>
      <c r="O1913" s="138"/>
      <c r="P1913" s="138"/>
      <c r="Q1913" s="138"/>
      <c r="R1913" s="138"/>
      <c r="S1913" s="138"/>
      <c r="T1913" s="138"/>
      <c r="U1913" s="138"/>
      <c r="V1913" s="26" t="s">
        <v>70</v>
      </c>
      <c r="W1913" s="26"/>
      <c r="X1913" s="26"/>
      <c r="Y1913" s="26"/>
      <c r="Z1913" s="52"/>
      <c r="AA1913" s="52"/>
    </row>
    <row r="1914" spans="1:27" s="54" customFormat="1" ht="15" customHeight="1" x14ac:dyDescent="0.2">
      <c r="A1914" s="37">
        <v>41461.469305555598</v>
      </c>
      <c r="B1914" s="26" t="s">
        <v>38</v>
      </c>
      <c r="C1914" s="26" t="s">
        <v>47</v>
      </c>
      <c r="D1914" s="33">
        <v>41456</v>
      </c>
      <c r="E1914" s="26" t="s">
        <v>71</v>
      </c>
      <c r="F1914" s="26" t="s">
        <v>72</v>
      </c>
      <c r="G1914" s="26" t="s">
        <v>26</v>
      </c>
      <c r="H1914" s="26" t="s">
        <v>73</v>
      </c>
      <c r="I1914" s="26"/>
      <c r="J1914" s="115">
        <v>1</v>
      </c>
      <c r="K1914" s="115">
        <v>0</v>
      </c>
      <c r="L1914" s="136"/>
      <c r="M1914" s="137" t="s">
        <v>22</v>
      </c>
      <c r="N1914" s="138"/>
      <c r="O1914" s="138"/>
      <c r="P1914" s="138"/>
      <c r="Q1914" s="138"/>
      <c r="R1914" s="138"/>
      <c r="S1914" s="138"/>
      <c r="T1914" s="138"/>
      <c r="U1914" s="138"/>
      <c r="V1914" s="26" t="s">
        <v>74</v>
      </c>
      <c r="W1914" s="26"/>
      <c r="X1914" s="26"/>
      <c r="Y1914" s="26"/>
      <c r="Z1914" s="52"/>
      <c r="AA1914" s="52"/>
    </row>
    <row r="1915" spans="1:27" s="54" customFormat="1" ht="15" customHeight="1" x14ac:dyDescent="0.2">
      <c r="A1915" s="37">
        <v>41461.490231481497</v>
      </c>
      <c r="B1915" s="26" t="s">
        <v>38</v>
      </c>
      <c r="C1915" s="26" t="s">
        <v>47</v>
      </c>
      <c r="D1915" s="33">
        <v>41456</v>
      </c>
      <c r="E1915" s="26" t="s">
        <v>75</v>
      </c>
      <c r="F1915" s="26" t="s">
        <v>76</v>
      </c>
      <c r="G1915" s="26" t="s">
        <v>26</v>
      </c>
      <c r="H1915" s="26" t="s">
        <v>76</v>
      </c>
      <c r="I1915" s="26"/>
      <c r="J1915" s="115">
        <v>1</v>
      </c>
      <c r="K1915" s="115">
        <v>39</v>
      </c>
      <c r="L1915" s="136"/>
      <c r="M1915" s="137" t="s">
        <v>44</v>
      </c>
      <c r="N1915" s="138"/>
      <c r="O1915" s="138">
        <v>5</v>
      </c>
      <c r="P1915" s="138">
        <v>22</v>
      </c>
      <c r="Q1915" s="138">
        <v>25</v>
      </c>
      <c r="R1915" s="138"/>
      <c r="S1915" s="138"/>
      <c r="T1915" s="138"/>
      <c r="U1915" s="138"/>
      <c r="V1915" s="26"/>
      <c r="W1915" s="26"/>
      <c r="X1915" s="26"/>
      <c r="Y1915" s="26"/>
      <c r="Z1915" s="52"/>
      <c r="AA1915" s="52"/>
    </row>
    <row r="1916" spans="1:27" s="54" customFormat="1" ht="15" customHeight="1" x14ac:dyDescent="0.2">
      <c r="A1916" s="37">
        <v>41461.491400462997</v>
      </c>
      <c r="B1916" s="26" t="s">
        <v>38</v>
      </c>
      <c r="C1916" s="26" t="s">
        <v>47</v>
      </c>
      <c r="D1916" s="33">
        <v>41456</v>
      </c>
      <c r="E1916" s="26" t="s">
        <v>77</v>
      </c>
      <c r="F1916" s="26" t="s">
        <v>78</v>
      </c>
      <c r="G1916" s="26" t="s">
        <v>26</v>
      </c>
      <c r="H1916" s="26" t="s">
        <v>79</v>
      </c>
      <c r="I1916" s="26"/>
      <c r="J1916" s="115">
        <v>1</v>
      </c>
      <c r="K1916" s="115">
        <v>44</v>
      </c>
      <c r="L1916" s="136"/>
      <c r="M1916" s="137" t="s">
        <v>22</v>
      </c>
      <c r="N1916" s="138"/>
      <c r="O1916" s="138"/>
      <c r="P1916" s="138"/>
      <c r="Q1916" s="138"/>
      <c r="R1916" s="138"/>
      <c r="S1916" s="138"/>
      <c r="T1916" s="138"/>
      <c r="U1916" s="138"/>
      <c r="V1916" s="26" t="s">
        <v>80</v>
      </c>
      <c r="W1916" s="26"/>
      <c r="X1916" s="26"/>
      <c r="Y1916" s="26"/>
      <c r="Z1916" s="52"/>
      <c r="AA1916" s="52"/>
    </row>
    <row r="1917" spans="1:27" s="54" customFormat="1" ht="15" customHeight="1" x14ac:dyDescent="0.2">
      <c r="A1917" s="37">
        <v>41461.614027777803</v>
      </c>
      <c r="B1917" s="26" t="s">
        <v>38</v>
      </c>
      <c r="C1917" s="26" t="s">
        <v>47</v>
      </c>
      <c r="D1917" s="33">
        <v>41456</v>
      </c>
      <c r="E1917" s="26" t="s">
        <v>81</v>
      </c>
      <c r="F1917" s="26" t="s">
        <v>82</v>
      </c>
      <c r="G1917" s="26" t="s">
        <v>26</v>
      </c>
      <c r="H1917" s="26" t="s">
        <v>50</v>
      </c>
      <c r="I1917" s="26"/>
      <c r="J1917" s="115">
        <v>1</v>
      </c>
      <c r="K1917" s="115">
        <v>18</v>
      </c>
      <c r="L1917" s="136">
        <v>7</v>
      </c>
      <c r="M1917" s="137" t="s">
        <v>44</v>
      </c>
      <c r="N1917" s="138"/>
      <c r="O1917" s="138">
        <v>1</v>
      </c>
      <c r="P1917" s="138">
        <v>20</v>
      </c>
      <c r="Q1917" s="138"/>
      <c r="R1917" s="138"/>
      <c r="S1917" s="138"/>
      <c r="T1917" s="138"/>
      <c r="U1917" s="138"/>
      <c r="V1917" s="26"/>
      <c r="W1917" s="26"/>
      <c r="X1917" s="26"/>
      <c r="Y1917" s="26"/>
      <c r="Z1917" s="52"/>
      <c r="AA1917" s="52"/>
    </row>
    <row r="1918" spans="1:27" s="54" customFormat="1" ht="15" customHeight="1" x14ac:dyDescent="0.2">
      <c r="A1918" s="37">
        <v>41462.613703703697</v>
      </c>
      <c r="B1918" s="26" t="s">
        <v>38</v>
      </c>
      <c r="C1918" s="26" t="s">
        <v>47</v>
      </c>
      <c r="D1918" s="33">
        <v>41456</v>
      </c>
      <c r="E1918" s="26" t="s">
        <v>116</v>
      </c>
      <c r="F1918" s="26" t="s">
        <v>52</v>
      </c>
      <c r="G1918" s="26" t="s">
        <v>26</v>
      </c>
      <c r="H1918" s="26" t="s">
        <v>117</v>
      </c>
      <c r="I1918" s="26"/>
      <c r="J1918" s="115">
        <v>1</v>
      </c>
      <c r="K1918" s="115">
        <v>36</v>
      </c>
      <c r="L1918" s="136">
        <v>12</v>
      </c>
      <c r="M1918" s="137" t="s">
        <v>44</v>
      </c>
      <c r="N1918" s="138"/>
      <c r="O1918" s="138">
        <v>10</v>
      </c>
      <c r="P1918" s="138"/>
      <c r="Q1918" s="138"/>
      <c r="R1918" s="138"/>
      <c r="S1918" s="138"/>
      <c r="T1918" s="138"/>
      <c r="U1918" s="138"/>
      <c r="V1918" s="26"/>
      <c r="W1918" s="26"/>
      <c r="X1918" s="26"/>
      <c r="Y1918" s="26"/>
      <c r="Z1918" s="52"/>
      <c r="AA1918" s="52"/>
    </row>
    <row r="1919" spans="1:27" s="54" customFormat="1" ht="15" customHeight="1" x14ac:dyDescent="0.2">
      <c r="A1919" s="37">
        <v>41462.614456018498</v>
      </c>
      <c r="B1919" s="26" t="s">
        <v>38</v>
      </c>
      <c r="C1919" s="26" t="s">
        <v>47</v>
      </c>
      <c r="D1919" s="33">
        <v>41456</v>
      </c>
      <c r="E1919" s="26" t="s">
        <v>118</v>
      </c>
      <c r="F1919" s="26" t="s">
        <v>119</v>
      </c>
      <c r="G1919" s="26" t="s">
        <v>26</v>
      </c>
      <c r="H1919" s="26" t="s">
        <v>120</v>
      </c>
      <c r="I1919" s="26"/>
      <c r="J1919" s="115">
        <v>1</v>
      </c>
      <c r="K1919" s="115">
        <v>28</v>
      </c>
      <c r="L1919" s="136"/>
      <c r="M1919" s="137" t="s">
        <v>22</v>
      </c>
      <c r="N1919" s="138"/>
      <c r="O1919" s="138"/>
      <c r="P1919" s="138"/>
      <c r="Q1919" s="138"/>
      <c r="R1919" s="138"/>
      <c r="S1919" s="138"/>
      <c r="T1919" s="138"/>
      <c r="U1919" s="138"/>
      <c r="V1919" s="26"/>
      <c r="W1919" s="26"/>
      <c r="X1919" s="26"/>
      <c r="Y1919" s="26"/>
      <c r="Z1919" s="52"/>
      <c r="AA1919" s="52"/>
    </row>
    <row r="1920" spans="1:27" s="54" customFormat="1" ht="15" customHeight="1" x14ac:dyDescent="0.2">
      <c r="A1920" s="37">
        <v>41462.616249999999</v>
      </c>
      <c r="B1920" s="26" t="s">
        <v>38</v>
      </c>
      <c r="C1920" s="26" t="s">
        <v>47</v>
      </c>
      <c r="D1920" s="33">
        <v>41456</v>
      </c>
      <c r="E1920" s="26" t="s">
        <v>121</v>
      </c>
      <c r="F1920" s="26" t="s">
        <v>49</v>
      </c>
      <c r="G1920" s="26" t="s">
        <v>26</v>
      </c>
      <c r="H1920" s="26" t="s">
        <v>50</v>
      </c>
      <c r="I1920" s="26"/>
      <c r="J1920" s="115">
        <v>1</v>
      </c>
      <c r="K1920" s="115">
        <v>6</v>
      </c>
      <c r="L1920" s="136">
        <v>1</v>
      </c>
      <c r="M1920" s="137" t="s">
        <v>22</v>
      </c>
      <c r="N1920" s="138"/>
      <c r="O1920" s="138"/>
      <c r="P1920" s="138"/>
      <c r="Q1920" s="138"/>
      <c r="R1920" s="138"/>
      <c r="S1920" s="138"/>
      <c r="T1920" s="138"/>
      <c r="U1920" s="138"/>
      <c r="V1920" s="26" t="s">
        <v>122</v>
      </c>
      <c r="W1920" s="26"/>
      <c r="X1920" s="26"/>
      <c r="Y1920" s="26"/>
      <c r="Z1920" s="52"/>
      <c r="AA1920" s="52"/>
    </row>
    <row r="1921" spans="1:27" s="54" customFormat="1" ht="15" customHeight="1" x14ac:dyDescent="0.2">
      <c r="A1921" s="37">
        <v>41462.680289351898</v>
      </c>
      <c r="B1921" s="26" t="s">
        <v>38</v>
      </c>
      <c r="C1921" s="26" t="s">
        <v>47</v>
      </c>
      <c r="D1921" s="33">
        <v>41456</v>
      </c>
      <c r="E1921" s="26" t="s">
        <v>123</v>
      </c>
      <c r="F1921" s="26" t="s">
        <v>124</v>
      </c>
      <c r="G1921" s="26" t="s">
        <v>26</v>
      </c>
      <c r="H1921" s="26" t="s">
        <v>125</v>
      </c>
      <c r="I1921" s="26"/>
      <c r="J1921" s="115">
        <v>1</v>
      </c>
      <c r="K1921" s="115">
        <v>0</v>
      </c>
      <c r="L1921" s="136"/>
      <c r="M1921" s="137" t="s">
        <v>22</v>
      </c>
      <c r="N1921" s="138"/>
      <c r="O1921" s="138"/>
      <c r="P1921" s="138"/>
      <c r="Q1921" s="138"/>
      <c r="R1921" s="138"/>
      <c r="S1921" s="138"/>
      <c r="T1921" s="138"/>
      <c r="U1921" s="138"/>
      <c r="V1921" s="26" t="s">
        <v>126</v>
      </c>
      <c r="W1921" s="26"/>
      <c r="X1921" s="26"/>
      <c r="Y1921" s="26"/>
      <c r="Z1921" s="52"/>
      <c r="AA1921" s="52"/>
    </row>
    <row r="1922" spans="1:27" s="54" customFormat="1" ht="15" customHeight="1" x14ac:dyDescent="0.2">
      <c r="A1922" s="37">
        <v>41462.682002314803</v>
      </c>
      <c r="B1922" s="26" t="s">
        <v>38</v>
      </c>
      <c r="C1922" s="26" t="s">
        <v>47</v>
      </c>
      <c r="D1922" s="33">
        <v>41456</v>
      </c>
      <c r="E1922" s="26" t="s">
        <v>127</v>
      </c>
      <c r="F1922" s="26" t="s">
        <v>128</v>
      </c>
      <c r="G1922" s="26" t="s">
        <v>26</v>
      </c>
      <c r="H1922" s="26" t="s">
        <v>129</v>
      </c>
      <c r="I1922" s="26"/>
      <c r="J1922" s="115">
        <v>1</v>
      </c>
      <c r="K1922" s="115">
        <v>0</v>
      </c>
      <c r="L1922" s="136"/>
      <c r="M1922" s="137" t="s">
        <v>22</v>
      </c>
      <c r="N1922" s="138"/>
      <c r="O1922" s="138"/>
      <c r="P1922" s="138"/>
      <c r="Q1922" s="138"/>
      <c r="R1922" s="138"/>
      <c r="S1922" s="138"/>
      <c r="T1922" s="138"/>
      <c r="U1922" s="138"/>
      <c r="V1922" s="26" t="s">
        <v>130</v>
      </c>
      <c r="W1922" s="26"/>
      <c r="X1922" s="26"/>
      <c r="Y1922" s="26"/>
      <c r="Z1922" s="52"/>
      <c r="AA1922" s="52"/>
    </row>
    <row r="1923" spans="1:27" s="54" customFormat="1" ht="15" customHeight="1" x14ac:dyDescent="0.2">
      <c r="A1923" s="37">
        <v>41466.628159722197</v>
      </c>
      <c r="B1923" s="26" t="s">
        <v>38</v>
      </c>
      <c r="C1923" s="26" t="s">
        <v>47</v>
      </c>
      <c r="D1923" s="33">
        <v>41456</v>
      </c>
      <c r="E1923" s="26" t="s">
        <v>185</v>
      </c>
      <c r="F1923" s="26" t="s">
        <v>186</v>
      </c>
      <c r="G1923" s="26" t="s">
        <v>42</v>
      </c>
      <c r="H1923" s="26" t="s">
        <v>117</v>
      </c>
      <c r="I1923" s="26"/>
      <c r="J1923" s="115">
        <v>1</v>
      </c>
      <c r="K1923" s="115">
        <v>38</v>
      </c>
      <c r="L1923" s="136">
        <v>72</v>
      </c>
      <c r="M1923" s="137" t="s">
        <v>44</v>
      </c>
      <c r="N1923" s="138"/>
      <c r="O1923" s="138">
        <v>10</v>
      </c>
      <c r="P1923" s="138"/>
      <c r="Q1923" s="138"/>
      <c r="R1923" s="138"/>
      <c r="S1923" s="138"/>
      <c r="T1923" s="138"/>
      <c r="U1923" s="138"/>
      <c r="V1923" s="26"/>
      <c r="W1923" s="26"/>
      <c r="X1923" s="26"/>
      <c r="Y1923" s="26"/>
      <c r="Z1923" s="52"/>
      <c r="AA1923" s="52"/>
    </row>
    <row r="1924" spans="1:27" s="54" customFormat="1" ht="15" customHeight="1" x14ac:dyDescent="0.2">
      <c r="A1924" s="38">
        <v>41488.467685185184</v>
      </c>
      <c r="B1924" s="29" t="s">
        <v>38</v>
      </c>
      <c r="C1924" s="29" t="s">
        <v>47</v>
      </c>
      <c r="D1924" s="30">
        <v>41487</v>
      </c>
      <c r="E1924" s="29" t="s">
        <v>1288</v>
      </c>
      <c r="F1924" s="29" t="s">
        <v>1289</v>
      </c>
      <c r="G1924" s="29" t="s">
        <v>20</v>
      </c>
      <c r="H1924" s="29" t="s">
        <v>1290</v>
      </c>
      <c r="I1924" s="29"/>
      <c r="J1924" s="116">
        <v>1</v>
      </c>
      <c r="K1924" s="116">
        <v>23</v>
      </c>
      <c r="L1924" s="139">
        <v>69</v>
      </c>
      <c r="M1924" s="140" t="s">
        <v>44</v>
      </c>
      <c r="N1924" s="141"/>
      <c r="O1924" s="141">
        <v>5</v>
      </c>
      <c r="P1924" s="141"/>
      <c r="Q1924" s="141"/>
      <c r="R1924" s="141"/>
      <c r="S1924" s="141"/>
      <c r="T1924" s="141"/>
      <c r="U1924" s="141"/>
      <c r="V1924" s="29"/>
      <c r="W1924" s="26"/>
      <c r="X1924" s="26"/>
      <c r="Y1924" s="26"/>
      <c r="Z1924" s="52"/>
      <c r="AA1924" s="52"/>
    </row>
    <row r="1925" spans="1:27" s="54" customFormat="1" ht="15" customHeight="1" x14ac:dyDescent="0.2">
      <c r="A1925" s="38">
        <v>41517.425173611111</v>
      </c>
      <c r="B1925" s="29" t="s">
        <v>38</v>
      </c>
      <c r="C1925" s="29" t="s">
        <v>47</v>
      </c>
      <c r="D1925" s="30">
        <v>41487</v>
      </c>
      <c r="E1925" s="31" t="s">
        <v>1454</v>
      </c>
      <c r="F1925" s="29" t="s">
        <v>1455</v>
      </c>
      <c r="G1925" s="29" t="s">
        <v>156</v>
      </c>
      <c r="H1925" s="29" t="s">
        <v>1456</v>
      </c>
      <c r="I1925" s="29"/>
      <c r="J1925" s="116">
        <v>1</v>
      </c>
      <c r="K1925" s="116">
        <v>32</v>
      </c>
      <c r="L1925" s="139"/>
      <c r="M1925" s="140" t="s">
        <v>44</v>
      </c>
      <c r="N1925" s="141"/>
      <c r="O1925" s="141">
        <v>20</v>
      </c>
      <c r="P1925" s="141"/>
      <c r="Q1925" s="141"/>
      <c r="R1925" s="141"/>
      <c r="S1925" s="141"/>
      <c r="T1925" s="141">
        <v>1</v>
      </c>
      <c r="U1925" s="141"/>
      <c r="V1925" s="29" t="s">
        <v>7669</v>
      </c>
      <c r="W1925" s="26"/>
      <c r="X1925" s="26"/>
      <c r="Y1925" s="26"/>
      <c r="Z1925" s="52"/>
      <c r="AA1925" s="52"/>
    </row>
    <row r="1926" spans="1:27" s="54" customFormat="1" ht="15" customHeight="1" x14ac:dyDescent="0.2">
      <c r="A1926" s="38">
        <v>41518.547048611108</v>
      </c>
      <c r="B1926" s="29" t="s">
        <v>38</v>
      </c>
      <c r="C1926" s="29" t="s">
        <v>47</v>
      </c>
      <c r="D1926" s="30">
        <v>41487</v>
      </c>
      <c r="E1926" s="31" t="s">
        <v>1498</v>
      </c>
      <c r="F1926" s="29" t="s">
        <v>1499</v>
      </c>
      <c r="G1926" s="29" t="s">
        <v>26</v>
      </c>
      <c r="H1926" s="29" t="s">
        <v>1500</v>
      </c>
      <c r="I1926" s="29"/>
      <c r="J1926" s="116">
        <v>1</v>
      </c>
      <c r="K1926" s="116">
        <v>25</v>
      </c>
      <c r="L1926" s="139"/>
      <c r="M1926" s="140" t="s">
        <v>22</v>
      </c>
      <c r="N1926" s="141"/>
      <c r="O1926" s="141"/>
      <c r="P1926" s="141"/>
      <c r="Q1926" s="141"/>
      <c r="R1926" s="141"/>
      <c r="S1926" s="141"/>
      <c r="T1926" s="141"/>
      <c r="U1926" s="141"/>
      <c r="V1926" s="29"/>
      <c r="W1926" s="26"/>
      <c r="X1926" s="26"/>
      <c r="Y1926" s="26"/>
      <c r="Z1926" s="52"/>
      <c r="AA1926" s="52"/>
    </row>
    <row r="1927" spans="1:27" s="54" customFormat="1" ht="15" customHeight="1" x14ac:dyDescent="0.2">
      <c r="A1927" s="38">
        <v>41518.547905092593</v>
      </c>
      <c r="B1927" s="29" t="s">
        <v>38</v>
      </c>
      <c r="C1927" s="29" t="s">
        <v>47</v>
      </c>
      <c r="D1927" s="30">
        <v>41487</v>
      </c>
      <c r="E1927" s="31" t="s">
        <v>1501</v>
      </c>
      <c r="F1927" s="29" t="s">
        <v>1502</v>
      </c>
      <c r="G1927" s="29" t="s">
        <v>26</v>
      </c>
      <c r="H1927" s="29" t="s">
        <v>1290</v>
      </c>
      <c r="I1927" s="29"/>
      <c r="J1927" s="116">
        <v>2</v>
      </c>
      <c r="K1927" s="116">
        <v>26</v>
      </c>
      <c r="L1927" s="139">
        <v>130</v>
      </c>
      <c r="M1927" s="140" t="s">
        <v>44</v>
      </c>
      <c r="N1927" s="141"/>
      <c r="O1927" s="141">
        <v>15</v>
      </c>
      <c r="P1927" s="141"/>
      <c r="Q1927" s="141"/>
      <c r="R1927" s="141"/>
      <c r="S1927" s="141"/>
      <c r="T1927" s="141"/>
      <c r="U1927" s="141"/>
      <c r="V1927" s="29"/>
      <c r="W1927" s="26"/>
      <c r="X1927" s="26"/>
      <c r="Y1927" s="26"/>
      <c r="Z1927" s="52"/>
      <c r="AA1927" s="52"/>
    </row>
    <row r="1928" spans="1:27" s="54" customFormat="1" ht="15" customHeight="1" x14ac:dyDescent="0.2">
      <c r="A1928" s="38">
        <v>41518.549375000002</v>
      </c>
      <c r="B1928" s="29" t="s">
        <v>38</v>
      </c>
      <c r="C1928" s="29" t="s">
        <v>47</v>
      </c>
      <c r="D1928" s="30">
        <v>41487</v>
      </c>
      <c r="E1928" s="31" t="s">
        <v>1503</v>
      </c>
      <c r="F1928" s="29" t="s">
        <v>1502</v>
      </c>
      <c r="G1928" s="29" t="s">
        <v>26</v>
      </c>
      <c r="H1928" s="29" t="s">
        <v>1290</v>
      </c>
      <c r="I1928" s="29"/>
      <c r="J1928" s="116">
        <v>1</v>
      </c>
      <c r="K1928" s="116">
        <v>8</v>
      </c>
      <c r="L1928" s="139">
        <v>40</v>
      </c>
      <c r="M1928" s="140" t="s">
        <v>44</v>
      </c>
      <c r="N1928" s="141"/>
      <c r="O1928" s="141">
        <v>5</v>
      </c>
      <c r="P1928" s="141"/>
      <c r="Q1928" s="141"/>
      <c r="R1928" s="141"/>
      <c r="S1928" s="141"/>
      <c r="T1928" s="141"/>
      <c r="U1928" s="141"/>
      <c r="V1928" s="29"/>
      <c r="W1928" s="26"/>
      <c r="X1928" s="26"/>
      <c r="Y1928" s="26"/>
      <c r="Z1928" s="52"/>
      <c r="AA1928" s="52"/>
    </row>
    <row r="1929" spans="1:27" s="54" customFormat="1" ht="15" customHeight="1" x14ac:dyDescent="0.2">
      <c r="A1929" s="28">
        <v>41519.61037037037</v>
      </c>
      <c r="B1929" s="29" t="s">
        <v>38</v>
      </c>
      <c r="C1929" s="29" t="s">
        <v>47</v>
      </c>
      <c r="D1929" s="30">
        <v>41518</v>
      </c>
      <c r="E1929" s="29" t="s">
        <v>2017</v>
      </c>
      <c r="F1929" s="29" t="s">
        <v>1502</v>
      </c>
      <c r="G1929" s="29" t="s">
        <v>26</v>
      </c>
      <c r="H1929" s="29" t="s">
        <v>1290</v>
      </c>
      <c r="I1929" s="29"/>
      <c r="J1929" s="116">
        <v>1</v>
      </c>
      <c r="K1929" s="116">
        <v>15</v>
      </c>
      <c r="L1929" s="139">
        <v>45</v>
      </c>
      <c r="M1929" s="140" t="s">
        <v>22</v>
      </c>
      <c r="N1929" s="141"/>
      <c r="O1929" s="141"/>
      <c r="P1929" s="141"/>
      <c r="Q1929" s="141"/>
      <c r="R1929" s="141"/>
      <c r="S1929" s="141"/>
      <c r="T1929" s="141"/>
      <c r="U1929" s="141"/>
      <c r="V1929" s="29"/>
      <c r="W1929" s="26"/>
      <c r="X1929" s="26"/>
      <c r="Y1929" s="26"/>
      <c r="Z1929" s="52"/>
      <c r="AA1929" s="52"/>
    </row>
    <row r="1930" spans="1:27" s="54" customFormat="1" ht="15" customHeight="1" x14ac:dyDescent="0.2">
      <c r="A1930" s="28">
        <v>41519.611122685186</v>
      </c>
      <c r="B1930" s="29" t="s">
        <v>38</v>
      </c>
      <c r="C1930" s="29" t="s">
        <v>47</v>
      </c>
      <c r="D1930" s="30">
        <v>41518</v>
      </c>
      <c r="E1930" s="29" t="s">
        <v>2018</v>
      </c>
      <c r="F1930" s="29" t="s">
        <v>72</v>
      </c>
      <c r="G1930" s="29" t="s">
        <v>26</v>
      </c>
      <c r="H1930" s="29" t="s">
        <v>2019</v>
      </c>
      <c r="I1930" s="29"/>
      <c r="J1930" s="116">
        <v>1</v>
      </c>
      <c r="K1930" s="116">
        <v>10</v>
      </c>
      <c r="L1930" s="139">
        <v>20</v>
      </c>
      <c r="M1930" s="140" t="s">
        <v>22</v>
      </c>
      <c r="N1930" s="141"/>
      <c r="O1930" s="141"/>
      <c r="P1930" s="141"/>
      <c r="Q1930" s="141"/>
      <c r="R1930" s="141"/>
      <c r="S1930" s="141"/>
      <c r="T1930" s="141"/>
      <c r="U1930" s="141"/>
      <c r="V1930" s="29"/>
      <c r="W1930" s="26"/>
      <c r="X1930" s="26"/>
      <c r="Y1930" s="26"/>
      <c r="Z1930" s="52"/>
      <c r="AA1930" s="52"/>
    </row>
    <row r="1931" spans="1:27" s="54" customFormat="1" ht="15" customHeight="1" x14ac:dyDescent="0.2">
      <c r="A1931" s="32">
        <v>41528.607094907406</v>
      </c>
      <c r="B1931" s="26" t="s">
        <v>38</v>
      </c>
      <c r="C1931" s="26" t="s">
        <v>47</v>
      </c>
      <c r="D1931" s="30">
        <v>41518</v>
      </c>
      <c r="E1931" s="26" t="s">
        <v>2081</v>
      </c>
      <c r="F1931" s="26" t="s">
        <v>2082</v>
      </c>
      <c r="G1931" s="26" t="s">
        <v>20</v>
      </c>
      <c r="H1931" s="26" t="s">
        <v>2083</v>
      </c>
      <c r="I1931" s="26"/>
      <c r="J1931" s="46">
        <v>1</v>
      </c>
      <c r="K1931" s="46">
        <v>145</v>
      </c>
      <c r="L1931" s="136">
        <v>400</v>
      </c>
      <c r="M1931" s="137" t="s">
        <v>44</v>
      </c>
      <c r="N1931" s="138"/>
      <c r="O1931" s="138">
        <v>50</v>
      </c>
      <c r="P1931" s="138"/>
      <c r="Q1931" s="138"/>
      <c r="R1931" s="138"/>
      <c r="S1931" s="138"/>
      <c r="T1931" s="138"/>
      <c r="U1931" s="138"/>
      <c r="V1931" s="26"/>
      <c r="W1931" s="26"/>
      <c r="X1931" s="26"/>
      <c r="Y1931" s="26"/>
      <c r="Z1931" s="52"/>
      <c r="AA1931" s="52"/>
    </row>
    <row r="1932" spans="1:27" s="54" customFormat="1" ht="15" customHeight="1" x14ac:dyDescent="0.2">
      <c r="A1932" s="32">
        <v>41529.675937499997</v>
      </c>
      <c r="B1932" s="26" t="s">
        <v>38</v>
      </c>
      <c r="C1932" s="26" t="s">
        <v>47</v>
      </c>
      <c r="D1932" s="30">
        <v>41518</v>
      </c>
      <c r="E1932" s="26" t="s">
        <v>2087</v>
      </c>
      <c r="F1932" s="26" t="s">
        <v>2088</v>
      </c>
      <c r="G1932" s="26" t="s">
        <v>20</v>
      </c>
      <c r="H1932" s="26" t="s">
        <v>2089</v>
      </c>
      <c r="I1932" s="26"/>
      <c r="J1932" s="46">
        <v>1</v>
      </c>
      <c r="K1932" s="46">
        <v>59</v>
      </c>
      <c r="L1932" s="136">
        <v>177</v>
      </c>
      <c r="M1932" s="137" t="s">
        <v>44</v>
      </c>
      <c r="N1932" s="138"/>
      <c r="O1932" s="138">
        <v>30</v>
      </c>
      <c r="P1932" s="138"/>
      <c r="Q1932" s="138"/>
      <c r="R1932" s="138"/>
      <c r="S1932" s="138"/>
      <c r="T1932" s="138"/>
      <c r="U1932" s="138"/>
      <c r="V1932" s="26"/>
      <c r="W1932" s="26"/>
      <c r="X1932" s="26"/>
      <c r="Y1932" s="26"/>
      <c r="Z1932" s="52"/>
      <c r="AA1932" s="52"/>
    </row>
    <row r="1933" spans="1:27" s="54" customFormat="1" ht="15" customHeight="1" x14ac:dyDescent="0.2">
      <c r="A1933" s="32">
        <v>41540.675925925927</v>
      </c>
      <c r="B1933" s="26" t="s">
        <v>38</v>
      </c>
      <c r="C1933" s="26" t="s">
        <v>47</v>
      </c>
      <c r="D1933" s="30">
        <v>41518</v>
      </c>
      <c r="E1933" s="26" t="s">
        <v>71</v>
      </c>
      <c r="F1933" s="26" t="s">
        <v>2142</v>
      </c>
      <c r="G1933" s="26" t="s">
        <v>42</v>
      </c>
      <c r="H1933" s="26" t="s">
        <v>120</v>
      </c>
      <c r="I1933" s="26"/>
      <c r="J1933" s="46">
        <v>1</v>
      </c>
      <c r="K1933" s="46">
        <v>23</v>
      </c>
      <c r="L1933" s="136">
        <v>0</v>
      </c>
      <c r="M1933" s="137" t="s">
        <v>44</v>
      </c>
      <c r="N1933" s="138"/>
      <c r="O1933" s="138">
        <v>25</v>
      </c>
      <c r="P1933" s="138"/>
      <c r="Q1933" s="138"/>
      <c r="R1933" s="138"/>
      <c r="S1933" s="138"/>
      <c r="T1933" s="138"/>
      <c r="U1933" s="138"/>
      <c r="V1933" s="26" t="s">
        <v>2143</v>
      </c>
      <c r="W1933" s="26"/>
      <c r="X1933" s="26"/>
      <c r="Y1933" s="26"/>
      <c r="Z1933" s="52"/>
      <c r="AA1933" s="52"/>
    </row>
    <row r="1934" spans="1:27" s="54" customFormat="1" ht="15" customHeight="1" x14ac:dyDescent="0.2">
      <c r="A1934" s="32">
        <v>41545.603425925925</v>
      </c>
      <c r="B1934" s="26" t="s">
        <v>38</v>
      </c>
      <c r="C1934" s="26" t="s">
        <v>47</v>
      </c>
      <c r="D1934" s="30">
        <v>41518</v>
      </c>
      <c r="E1934" s="26" t="s">
        <v>2221</v>
      </c>
      <c r="F1934" s="26" t="s">
        <v>2222</v>
      </c>
      <c r="G1934" s="26" t="s">
        <v>156</v>
      </c>
      <c r="H1934" s="26" t="s">
        <v>2223</v>
      </c>
      <c r="I1934" s="26"/>
      <c r="J1934" s="46">
        <v>1</v>
      </c>
      <c r="K1934" s="46">
        <v>22</v>
      </c>
      <c r="L1934" s="136"/>
      <c r="M1934" s="137" t="s">
        <v>22</v>
      </c>
      <c r="N1934" s="138"/>
      <c r="O1934" s="138"/>
      <c r="P1934" s="138"/>
      <c r="Q1934" s="138"/>
      <c r="R1934" s="138"/>
      <c r="S1934" s="138"/>
      <c r="T1934" s="138"/>
      <c r="U1934" s="138"/>
      <c r="V1934" s="26" t="s">
        <v>2224</v>
      </c>
      <c r="W1934" s="26"/>
      <c r="X1934" s="26"/>
      <c r="Y1934" s="26"/>
      <c r="Z1934" s="52"/>
      <c r="AA1934" s="52"/>
    </row>
    <row r="1935" spans="1:27" s="54" customFormat="1" ht="15" customHeight="1" x14ac:dyDescent="0.2">
      <c r="A1935" s="32">
        <v>41545.604305555556</v>
      </c>
      <c r="B1935" s="26" t="s">
        <v>38</v>
      </c>
      <c r="C1935" s="26" t="s">
        <v>47</v>
      </c>
      <c r="D1935" s="30">
        <v>41518</v>
      </c>
      <c r="E1935" s="26" t="s">
        <v>2225</v>
      </c>
      <c r="F1935" s="26" t="s">
        <v>2226</v>
      </c>
      <c r="G1935" s="26" t="s">
        <v>156</v>
      </c>
      <c r="H1935" s="26" t="s">
        <v>2227</v>
      </c>
      <c r="I1935" s="26"/>
      <c r="J1935" s="46">
        <v>1</v>
      </c>
      <c r="K1935" s="46">
        <v>45</v>
      </c>
      <c r="L1935" s="136"/>
      <c r="M1935" s="137" t="s">
        <v>22</v>
      </c>
      <c r="N1935" s="138"/>
      <c r="O1935" s="138"/>
      <c r="P1935" s="138"/>
      <c r="Q1935" s="138"/>
      <c r="R1935" s="138"/>
      <c r="S1935" s="138"/>
      <c r="T1935" s="138"/>
      <c r="U1935" s="138"/>
      <c r="V1935" s="26" t="s">
        <v>2228</v>
      </c>
      <c r="W1935" s="26"/>
      <c r="X1935" s="26"/>
      <c r="Y1935" s="26"/>
      <c r="Z1935" s="52"/>
      <c r="AA1935" s="52"/>
    </row>
    <row r="1936" spans="1:27" s="54" customFormat="1" ht="15" customHeight="1" x14ac:dyDescent="0.2">
      <c r="A1936" s="48">
        <v>41592.6394560185</v>
      </c>
      <c r="B1936" s="49" t="s">
        <v>38</v>
      </c>
      <c r="C1936" s="50" t="s">
        <v>47</v>
      </c>
      <c r="D1936" s="67">
        <v>41579</v>
      </c>
      <c r="E1936" s="50" t="s">
        <v>3014</v>
      </c>
      <c r="F1936" s="50" t="s">
        <v>3015</v>
      </c>
      <c r="G1936" s="49" t="s">
        <v>42</v>
      </c>
      <c r="H1936" s="50" t="s">
        <v>3016</v>
      </c>
      <c r="I1936" s="50" t="s">
        <v>2926</v>
      </c>
      <c r="J1936" s="117">
        <v>1</v>
      </c>
      <c r="K1936" s="117">
        <v>14</v>
      </c>
      <c r="L1936" s="142"/>
      <c r="M1936" s="143" t="s">
        <v>44</v>
      </c>
      <c r="N1936" s="144"/>
      <c r="O1936" s="144">
        <v>25</v>
      </c>
      <c r="P1936" s="144"/>
      <c r="Q1936" s="144"/>
      <c r="R1936" s="144"/>
      <c r="S1936" s="144"/>
      <c r="T1936" s="144"/>
      <c r="U1936" s="144"/>
      <c r="V1936" s="50" t="s">
        <v>3017</v>
      </c>
      <c r="W1936" s="26"/>
      <c r="X1936" s="26"/>
      <c r="Y1936" s="26"/>
      <c r="Z1936" s="52"/>
      <c r="AA1936" s="52"/>
    </row>
    <row r="1937" spans="1:27" s="54" customFormat="1" ht="15" customHeight="1" x14ac:dyDescent="0.2">
      <c r="A1937" s="48">
        <v>41592.640474537002</v>
      </c>
      <c r="B1937" s="49" t="s">
        <v>38</v>
      </c>
      <c r="C1937" s="50" t="s">
        <v>47</v>
      </c>
      <c r="D1937" s="67">
        <v>41579</v>
      </c>
      <c r="E1937" s="50" t="s">
        <v>2087</v>
      </c>
      <c r="F1937" s="50" t="s">
        <v>2088</v>
      </c>
      <c r="G1937" s="49" t="s">
        <v>20</v>
      </c>
      <c r="H1937" s="50" t="s">
        <v>2089</v>
      </c>
      <c r="I1937" s="50" t="s">
        <v>2926</v>
      </c>
      <c r="J1937" s="117">
        <v>1</v>
      </c>
      <c r="K1937" s="117">
        <v>25</v>
      </c>
      <c r="L1937" s="142">
        <v>48</v>
      </c>
      <c r="M1937" s="143" t="s">
        <v>44</v>
      </c>
      <c r="N1937" s="144"/>
      <c r="O1937" s="144">
        <v>30</v>
      </c>
      <c r="P1937" s="144"/>
      <c r="Q1937" s="144"/>
      <c r="R1937" s="144"/>
      <c r="S1937" s="144"/>
      <c r="T1937" s="144"/>
      <c r="U1937" s="144"/>
      <c r="V1937" s="50"/>
      <c r="W1937" s="26"/>
      <c r="X1937" s="26"/>
      <c r="Y1937" s="26"/>
      <c r="Z1937" s="52"/>
      <c r="AA1937" s="52"/>
    </row>
    <row r="1938" spans="1:27" s="54" customFormat="1" ht="15" customHeight="1" x14ac:dyDescent="0.2">
      <c r="A1938" s="48">
        <v>41594.677430555603</v>
      </c>
      <c r="B1938" s="49" t="s">
        <v>38</v>
      </c>
      <c r="C1938" s="50" t="s">
        <v>47</v>
      </c>
      <c r="D1938" s="67">
        <v>41579</v>
      </c>
      <c r="E1938" s="50" t="s">
        <v>3014</v>
      </c>
      <c r="F1938" s="50" t="s">
        <v>3015</v>
      </c>
      <c r="G1938" s="49" t="s">
        <v>42</v>
      </c>
      <c r="H1938" s="50" t="s">
        <v>3040</v>
      </c>
      <c r="I1938" s="50" t="s">
        <v>2926</v>
      </c>
      <c r="J1938" s="117">
        <v>1</v>
      </c>
      <c r="K1938" s="117">
        <v>17</v>
      </c>
      <c r="L1938" s="142"/>
      <c r="M1938" s="143" t="s">
        <v>44</v>
      </c>
      <c r="N1938" s="144"/>
      <c r="O1938" s="144">
        <v>25</v>
      </c>
      <c r="P1938" s="144"/>
      <c r="Q1938" s="144"/>
      <c r="R1938" s="144"/>
      <c r="S1938" s="144"/>
      <c r="T1938" s="144"/>
      <c r="U1938" s="144"/>
      <c r="V1938" s="50"/>
      <c r="W1938" s="26"/>
      <c r="X1938" s="26"/>
      <c r="Y1938" s="26"/>
      <c r="Z1938" s="52"/>
      <c r="AA1938" s="52"/>
    </row>
    <row r="1939" spans="1:27" s="54" customFormat="1" ht="15" customHeight="1" x14ac:dyDescent="0.2">
      <c r="A1939" s="48">
        <v>41594.678009259304</v>
      </c>
      <c r="B1939" s="49" t="s">
        <v>38</v>
      </c>
      <c r="C1939" s="50" t="s">
        <v>47</v>
      </c>
      <c r="D1939" s="67">
        <v>41579</v>
      </c>
      <c r="E1939" s="50" t="s">
        <v>3041</v>
      </c>
      <c r="F1939" s="50" t="s">
        <v>1502</v>
      </c>
      <c r="G1939" s="49" t="s">
        <v>26</v>
      </c>
      <c r="H1939" s="50" t="s">
        <v>1290</v>
      </c>
      <c r="I1939" s="50" t="s">
        <v>2926</v>
      </c>
      <c r="J1939" s="117">
        <v>1</v>
      </c>
      <c r="K1939" s="117">
        <v>8</v>
      </c>
      <c r="L1939" s="142">
        <v>40</v>
      </c>
      <c r="M1939" s="143" t="s">
        <v>22</v>
      </c>
      <c r="N1939" s="144"/>
      <c r="O1939" s="144"/>
      <c r="P1939" s="144"/>
      <c r="Q1939" s="144"/>
      <c r="R1939" s="144"/>
      <c r="S1939" s="144"/>
      <c r="T1939" s="144"/>
      <c r="U1939" s="144"/>
      <c r="V1939" s="50"/>
      <c r="W1939" s="26"/>
      <c r="X1939" s="26"/>
      <c r="Y1939" s="26"/>
      <c r="Z1939" s="52"/>
      <c r="AA1939" s="52"/>
    </row>
    <row r="1940" spans="1:27" s="54" customFormat="1" ht="15" customHeight="1" x14ac:dyDescent="0.2">
      <c r="A1940" s="48">
        <v>41600.6024189815</v>
      </c>
      <c r="B1940" s="49" t="s">
        <v>38</v>
      </c>
      <c r="C1940" s="50" t="s">
        <v>47</v>
      </c>
      <c r="D1940" s="67">
        <v>41579</v>
      </c>
      <c r="E1940" s="50" t="s">
        <v>3072</v>
      </c>
      <c r="F1940" s="50" t="s">
        <v>3073</v>
      </c>
      <c r="G1940" s="49" t="s">
        <v>20</v>
      </c>
      <c r="H1940" s="50" t="s">
        <v>2083</v>
      </c>
      <c r="I1940" s="50" t="s">
        <v>2926</v>
      </c>
      <c r="J1940" s="117">
        <v>1</v>
      </c>
      <c r="K1940" s="117">
        <v>83</v>
      </c>
      <c r="L1940" s="142">
        <v>332</v>
      </c>
      <c r="M1940" s="143" t="s">
        <v>22</v>
      </c>
      <c r="N1940" s="144"/>
      <c r="O1940" s="144"/>
      <c r="P1940" s="144"/>
      <c r="Q1940" s="144"/>
      <c r="R1940" s="144"/>
      <c r="S1940" s="144"/>
      <c r="T1940" s="144"/>
      <c r="U1940" s="144"/>
      <c r="V1940" s="50"/>
      <c r="W1940" s="26"/>
      <c r="X1940" s="26"/>
      <c r="Y1940" s="26"/>
      <c r="Z1940" s="52"/>
      <c r="AA1940" s="52"/>
    </row>
    <row r="1941" spans="1:27" s="54" customFormat="1" ht="15" customHeight="1" x14ac:dyDescent="0.2">
      <c r="A1941" s="48">
        <v>41600.603009259299</v>
      </c>
      <c r="B1941" s="49" t="s">
        <v>38</v>
      </c>
      <c r="C1941" s="50" t="s">
        <v>47</v>
      </c>
      <c r="D1941" s="67">
        <v>41579</v>
      </c>
      <c r="E1941" s="50" t="s">
        <v>3077</v>
      </c>
      <c r="F1941" s="50" t="s">
        <v>3078</v>
      </c>
      <c r="G1941" s="49" t="s">
        <v>351</v>
      </c>
      <c r="H1941" s="50" t="s">
        <v>3079</v>
      </c>
      <c r="I1941" s="50" t="s">
        <v>2926</v>
      </c>
      <c r="J1941" s="117">
        <v>1</v>
      </c>
      <c r="K1941" s="117">
        <v>50</v>
      </c>
      <c r="L1941" s="142"/>
      <c r="M1941" s="143" t="s">
        <v>22</v>
      </c>
      <c r="N1941" s="144"/>
      <c r="O1941" s="144"/>
      <c r="P1941" s="144"/>
      <c r="Q1941" s="144"/>
      <c r="R1941" s="144"/>
      <c r="S1941" s="144"/>
      <c r="T1941" s="144"/>
      <c r="U1941" s="144"/>
      <c r="V1941" s="50"/>
      <c r="W1941" s="26"/>
      <c r="X1941" s="26"/>
      <c r="Y1941" s="26"/>
      <c r="Z1941" s="52"/>
      <c r="AA1941" s="52"/>
    </row>
    <row r="1942" spans="1:27" s="54" customFormat="1" ht="15" customHeight="1" x14ac:dyDescent="0.2">
      <c r="A1942" s="32">
        <v>41628.372106481482</v>
      </c>
      <c r="B1942" s="26" t="s">
        <v>38</v>
      </c>
      <c r="C1942" s="26" t="s">
        <v>47</v>
      </c>
      <c r="D1942" s="68">
        <v>41609</v>
      </c>
      <c r="E1942" s="26" t="s">
        <v>3796</v>
      </c>
      <c r="F1942" s="26" t="s">
        <v>3797</v>
      </c>
      <c r="G1942" s="26" t="s">
        <v>156</v>
      </c>
      <c r="H1942" s="26" t="s">
        <v>3798</v>
      </c>
      <c r="I1942" s="26" t="s">
        <v>3799</v>
      </c>
      <c r="J1942" s="46">
        <v>1</v>
      </c>
      <c r="K1942" s="46">
        <v>48</v>
      </c>
      <c r="L1942" s="136"/>
      <c r="M1942" s="137" t="s">
        <v>44</v>
      </c>
      <c r="N1942" s="138"/>
      <c r="O1942" s="138">
        <v>60</v>
      </c>
      <c r="P1942" s="138"/>
      <c r="Q1942" s="138"/>
      <c r="R1942" s="138"/>
      <c r="S1942" s="138">
        <v>311.37</v>
      </c>
      <c r="T1942" s="138"/>
      <c r="U1942" s="138"/>
      <c r="V1942" s="26" t="s">
        <v>3800</v>
      </c>
      <c r="W1942" s="26"/>
      <c r="X1942" s="26"/>
      <c r="Y1942" s="26"/>
      <c r="Z1942" s="52"/>
      <c r="AA1942" s="52"/>
    </row>
    <row r="1943" spans="1:27" s="54" customFormat="1" ht="15" customHeight="1" x14ac:dyDescent="0.2">
      <c r="A1943" s="53">
        <v>41640.558796296304</v>
      </c>
      <c r="B1943" s="54" t="s">
        <v>38</v>
      </c>
      <c r="C1943" s="52" t="s">
        <v>47</v>
      </c>
      <c r="D1943" s="69">
        <v>41640</v>
      </c>
      <c r="E1943" s="54" t="s">
        <v>4122</v>
      </c>
      <c r="F1943" s="54" t="s">
        <v>4123</v>
      </c>
      <c r="G1943" s="54" t="s">
        <v>26</v>
      </c>
      <c r="H1943" s="54" t="s">
        <v>4124</v>
      </c>
      <c r="I1943" s="54" t="s">
        <v>3001</v>
      </c>
      <c r="J1943" s="95">
        <v>2</v>
      </c>
      <c r="K1943" s="118">
        <v>11</v>
      </c>
      <c r="L1943" s="145"/>
      <c r="M1943" s="146" t="s">
        <v>44</v>
      </c>
      <c r="N1943" s="147"/>
      <c r="O1943" s="147"/>
      <c r="P1943" s="147"/>
      <c r="Q1943" s="147">
        <v>28</v>
      </c>
      <c r="R1943" s="147"/>
      <c r="S1943" s="147"/>
      <c r="T1943" s="147"/>
      <c r="U1943" s="147"/>
      <c r="V1943" s="54" t="s">
        <v>4125</v>
      </c>
      <c r="W1943" s="52"/>
      <c r="X1943" s="52"/>
      <c r="Y1943" s="52"/>
      <c r="Z1943" s="52"/>
      <c r="AA1943" s="52"/>
    </row>
    <row r="1944" spans="1:27" s="26" customFormat="1" ht="15" customHeight="1" x14ac:dyDescent="0.2">
      <c r="A1944" s="55">
        <v>41649.665879629603</v>
      </c>
      <c r="B1944" s="52" t="s">
        <v>38</v>
      </c>
      <c r="C1944" s="52" t="s">
        <v>47</v>
      </c>
      <c r="D1944" s="69">
        <v>41640</v>
      </c>
      <c r="E1944" s="52" t="s">
        <v>4175</v>
      </c>
      <c r="F1944" s="52" t="s">
        <v>4176</v>
      </c>
      <c r="G1944" s="52" t="s">
        <v>20</v>
      </c>
      <c r="H1944" s="52" t="s">
        <v>4177</v>
      </c>
      <c r="I1944" s="52" t="s">
        <v>3001</v>
      </c>
      <c r="J1944" s="95">
        <v>2</v>
      </c>
      <c r="K1944" s="118">
        <v>33</v>
      </c>
      <c r="L1944" s="148">
        <v>100</v>
      </c>
      <c r="M1944" s="146" t="s">
        <v>44</v>
      </c>
      <c r="N1944" s="147"/>
      <c r="O1944" s="147">
        <v>30</v>
      </c>
      <c r="P1944" s="147"/>
      <c r="Q1944" s="147"/>
      <c r="R1944" s="147"/>
      <c r="S1944" s="147"/>
      <c r="T1944" s="147"/>
      <c r="U1944" s="149"/>
      <c r="V1944" s="52" t="s">
        <v>4178</v>
      </c>
      <c r="W1944" s="52"/>
      <c r="X1944" s="52"/>
      <c r="Y1944" s="52"/>
    </row>
    <row r="1945" spans="1:27" s="26" customFormat="1" ht="15" customHeight="1" x14ac:dyDescent="0.2">
      <c r="A1945" s="55">
        <v>41657.670578703699</v>
      </c>
      <c r="B1945" s="52" t="s">
        <v>38</v>
      </c>
      <c r="C1945" s="52" t="s">
        <v>47</v>
      </c>
      <c r="D1945" s="69">
        <v>41640</v>
      </c>
      <c r="E1945" s="52" t="s">
        <v>4198</v>
      </c>
      <c r="F1945" s="52" t="s">
        <v>4199</v>
      </c>
      <c r="G1945" s="52" t="s">
        <v>26</v>
      </c>
      <c r="H1945" s="52" t="s">
        <v>4200</v>
      </c>
      <c r="I1945" s="52" t="s">
        <v>3001</v>
      </c>
      <c r="J1945" s="95">
        <v>1</v>
      </c>
      <c r="K1945" s="118">
        <v>5</v>
      </c>
      <c r="L1945" s="148">
        <v>34</v>
      </c>
      <c r="M1945" s="146" t="s">
        <v>22</v>
      </c>
      <c r="N1945" s="147"/>
      <c r="O1945" s="147"/>
      <c r="P1945" s="147"/>
      <c r="Q1945" s="147"/>
      <c r="R1945" s="147"/>
      <c r="S1945" s="147"/>
      <c r="T1945" s="147"/>
      <c r="U1945" s="149"/>
      <c r="V1945" s="52" t="s">
        <v>4201</v>
      </c>
      <c r="W1945" s="52"/>
      <c r="X1945" s="52"/>
      <c r="Y1945" s="52"/>
    </row>
    <row r="1946" spans="1:27" s="26" customFormat="1" ht="15" customHeight="1" x14ac:dyDescent="0.2">
      <c r="A1946" s="55">
        <v>41657.671620370398</v>
      </c>
      <c r="B1946" s="52" t="s">
        <v>38</v>
      </c>
      <c r="C1946" s="52" t="s">
        <v>47</v>
      </c>
      <c r="D1946" s="69">
        <v>41640</v>
      </c>
      <c r="E1946" s="52" t="s">
        <v>4202</v>
      </c>
      <c r="F1946" s="52" t="s">
        <v>4203</v>
      </c>
      <c r="G1946" s="52" t="s">
        <v>26</v>
      </c>
      <c r="H1946" s="52" t="s">
        <v>4204</v>
      </c>
      <c r="I1946" s="52" t="s">
        <v>3001</v>
      </c>
      <c r="J1946" s="95">
        <v>1</v>
      </c>
      <c r="K1946" s="118">
        <v>5</v>
      </c>
      <c r="L1946" s="148"/>
      <c r="M1946" s="146" t="s">
        <v>44</v>
      </c>
      <c r="N1946" s="147"/>
      <c r="O1946" s="147">
        <v>10</v>
      </c>
      <c r="P1946" s="147"/>
      <c r="Q1946" s="147"/>
      <c r="R1946" s="147"/>
      <c r="S1946" s="147"/>
      <c r="T1946" s="147"/>
      <c r="U1946" s="149"/>
      <c r="V1946" s="52"/>
      <c r="W1946" s="52"/>
      <c r="X1946" s="52"/>
      <c r="Y1946" s="52"/>
    </row>
    <row r="1947" spans="1:27" s="26" customFormat="1" ht="15" customHeight="1" x14ac:dyDescent="0.2">
      <c r="A1947" s="55">
        <v>41657.672534722202</v>
      </c>
      <c r="B1947" s="52" t="s">
        <v>38</v>
      </c>
      <c r="C1947" s="52" t="s">
        <v>47</v>
      </c>
      <c r="D1947" s="69">
        <v>41640</v>
      </c>
      <c r="E1947" s="52" t="s">
        <v>4205</v>
      </c>
      <c r="F1947" s="52" t="s">
        <v>4206</v>
      </c>
      <c r="G1947" s="52" t="s">
        <v>26</v>
      </c>
      <c r="H1947" s="52" t="s">
        <v>4207</v>
      </c>
      <c r="I1947" s="52" t="s">
        <v>3001</v>
      </c>
      <c r="J1947" s="95">
        <v>1</v>
      </c>
      <c r="K1947" s="118">
        <v>28</v>
      </c>
      <c r="L1947" s="148"/>
      <c r="M1947" s="146" t="s">
        <v>44</v>
      </c>
      <c r="N1947" s="147"/>
      <c r="O1947" s="147">
        <v>20</v>
      </c>
      <c r="P1947" s="147"/>
      <c r="Q1947" s="147"/>
      <c r="R1947" s="147"/>
      <c r="S1947" s="147"/>
      <c r="T1947" s="147"/>
      <c r="U1947" s="149"/>
      <c r="V1947" s="52"/>
      <c r="W1947" s="52"/>
      <c r="X1947" s="52"/>
      <c r="Y1947" s="52"/>
    </row>
    <row r="1948" spans="1:27" s="26" customFormat="1" ht="15" customHeight="1" x14ac:dyDescent="0.2">
      <c r="A1948" s="55">
        <v>41657.673252314802</v>
      </c>
      <c r="B1948" s="52" t="s">
        <v>38</v>
      </c>
      <c r="C1948" s="52" t="s">
        <v>47</v>
      </c>
      <c r="D1948" s="69">
        <v>41640</v>
      </c>
      <c r="E1948" s="52" t="s">
        <v>4208</v>
      </c>
      <c r="F1948" s="52" t="s">
        <v>4209</v>
      </c>
      <c r="G1948" s="52" t="s">
        <v>26</v>
      </c>
      <c r="H1948" s="52" t="s">
        <v>4210</v>
      </c>
      <c r="I1948" s="52" t="s">
        <v>3001</v>
      </c>
      <c r="J1948" s="95">
        <v>1</v>
      </c>
      <c r="K1948" s="118">
        <v>15</v>
      </c>
      <c r="L1948" s="148"/>
      <c r="M1948" s="146" t="s">
        <v>22</v>
      </c>
      <c r="N1948" s="147"/>
      <c r="O1948" s="147"/>
      <c r="P1948" s="147"/>
      <c r="Q1948" s="147"/>
      <c r="R1948" s="147"/>
      <c r="S1948" s="147"/>
      <c r="T1948" s="147"/>
      <c r="U1948" s="149"/>
      <c r="V1948" s="52"/>
      <c r="W1948" s="52"/>
      <c r="X1948" s="52"/>
      <c r="Y1948" s="52"/>
    </row>
    <row r="1949" spans="1:27" s="26" customFormat="1" ht="15" customHeight="1" x14ac:dyDescent="0.2">
      <c r="A1949" s="55">
        <v>41664.520081018498</v>
      </c>
      <c r="B1949" s="52" t="s">
        <v>38</v>
      </c>
      <c r="C1949" s="52" t="s">
        <v>47</v>
      </c>
      <c r="D1949" s="69">
        <v>41640</v>
      </c>
      <c r="E1949" s="52" t="s">
        <v>2494</v>
      </c>
      <c r="F1949" s="52" t="s">
        <v>4248</v>
      </c>
      <c r="G1949" s="52" t="s">
        <v>26</v>
      </c>
      <c r="H1949" s="52" t="s">
        <v>4249</v>
      </c>
      <c r="I1949" s="52" t="s">
        <v>3001</v>
      </c>
      <c r="J1949" s="95">
        <v>1</v>
      </c>
      <c r="K1949" s="118">
        <v>10</v>
      </c>
      <c r="L1949" s="148"/>
      <c r="M1949" s="146" t="s">
        <v>22</v>
      </c>
      <c r="N1949" s="147"/>
      <c r="O1949" s="147"/>
      <c r="P1949" s="147"/>
      <c r="Q1949" s="147"/>
      <c r="R1949" s="147"/>
      <c r="S1949" s="147"/>
      <c r="T1949" s="147"/>
      <c r="U1949" s="149"/>
      <c r="V1949" s="52" t="s">
        <v>4250</v>
      </c>
      <c r="W1949" s="52"/>
      <c r="X1949" s="52"/>
      <c r="Y1949" s="52"/>
    </row>
    <row r="1950" spans="1:27" s="26" customFormat="1" ht="15" customHeight="1" x14ac:dyDescent="0.2">
      <c r="A1950" s="32">
        <v>41684.680543981478</v>
      </c>
      <c r="B1950" s="26" t="s">
        <v>38</v>
      </c>
      <c r="C1950" s="26" t="s">
        <v>47</v>
      </c>
      <c r="D1950" s="33">
        <v>41671</v>
      </c>
      <c r="E1950" s="26" t="s">
        <v>4585</v>
      </c>
      <c r="F1950" s="26" t="s">
        <v>4586</v>
      </c>
      <c r="G1950" s="26" t="s">
        <v>20</v>
      </c>
      <c r="H1950" s="26" t="s">
        <v>4587</v>
      </c>
      <c r="I1950" s="26" t="s">
        <v>3001</v>
      </c>
      <c r="J1950" s="46">
        <v>2</v>
      </c>
      <c r="K1950" s="46">
        <v>31</v>
      </c>
      <c r="L1950" s="136">
        <v>93</v>
      </c>
      <c r="M1950" s="137" t="s">
        <v>44</v>
      </c>
      <c r="N1950" s="138"/>
      <c r="O1950" s="138">
        <v>35</v>
      </c>
      <c r="P1950" s="138"/>
      <c r="Q1950" s="138"/>
      <c r="R1950" s="138"/>
      <c r="S1950" s="138"/>
      <c r="T1950" s="138"/>
      <c r="U1950" s="138"/>
    </row>
    <row r="1951" spans="1:27" s="26" customFormat="1" ht="15" customHeight="1" x14ac:dyDescent="0.2">
      <c r="A1951" s="32">
        <v>41685.762442129628</v>
      </c>
      <c r="B1951" s="26" t="s">
        <v>38</v>
      </c>
      <c r="C1951" s="26" t="s">
        <v>47</v>
      </c>
      <c r="D1951" s="33">
        <v>41671</v>
      </c>
      <c r="E1951" s="26" t="s">
        <v>4590</v>
      </c>
      <c r="F1951" s="26" t="s">
        <v>4591</v>
      </c>
      <c r="G1951" s="26" t="s">
        <v>26</v>
      </c>
      <c r="H1951" s="26" t="s">
        <v>4592</v>
      </c>
      <c r="I1951" s="26" t="s">
        <v>3001</v>
      </c>
      <c r="J1951" s="46">
        <v>1</v>
      </c>
      <c r="K1951" s="46">
        <v>8</v>
      </c>
      <c r="L1951" s="136"/>
      <c r="M1951" s="137" t="s">
        <v>22</v>
      </c>
      <c r="N1951" s="138"/>
      <c r="O1951" s="138"/>
      <c r="P1951" s="138"/>
      <c r="Q1951" s="138"/>
      <c r="R1951" s="138"/>
      <c r="S1951" s="138"/>
      <c r="T1951" s="138"/>
      <c r="U1951" s="138"/>
      <c r="V1951" s="26" t="s">
        <v>4593</v>
      </c>
    </row>
    <row r="1952" spans="1:27" s="26" customFormat="1" ht="15" customHeight="1" x14ac:dyDescent="0.2">
      <c r="A1952" s="32">
        <v>41685.763159722221</v>
      </c>
      <c r="B1952" s="26" t="s">
        <v>38</v>
      </c>
      <c r="C1952" s="26" t="s">
        <v>47</v>
      </c>
      <c r="D1952" s="33">
        <v>41671</v>
      </c>
      <c r="E1952" s="26" t="s">
        <v>3121</v>
      </c>
      <c r="F1952" s="26" t="s">
        <v>4594</v>
      </c>
      <c r="G1952" s="26" t="s">
        <v>26</v>
      </c>
      <c r="H1952" s="26" t="s">
        <v>4595</v>
      </c>
      <c r="I1952" s="26" t="s">
        <v>3001</v>
      </c>
      <c r="J1952" s="46">
        <v>1</v>
      </c>
      <c r="K1952" s="46">
        <v>15</v>
      </c>
      <c r="L1952" s="136">
        <v>9</v>
      </c>
      <c r="M1952" s="137" t="s">
        <v>22</v>
      </c>
      <c r="N1952" s="138"/>
      <c r="O1952" s="138"/>
      <c r="P1952" s="138"/>
      <c r="Q1952" s="138"/>
      <c r="R1952" s="138"/>
      <c r="S1952" s="138"/>
      <c r="T1952" s="138"/>
      <c r="U1952" s="138"/>
    </row>
    <row r="1953" spans="1:22" s="26" customFormat="1" ht="15" customHeight="1" x14ac:dyDescent="0.2">
      <c r="A1953" s="32">
        <v>41685.763912037037</v>
      </c>
      <c r="B1953" s="26" t="s">
        <v>38</v>
      </c>
      <c r="C1953" s="26" t="s">
        <v>47</v>
      </c>
      <c r="D1953" s="33">
        <v>41671</v>
      </c>
      <c r="E1953" s="26" t="s">
        <v>4596</v>
      </c>
      <c r="F1953" s="26" t="s">
        <v>4597</v>
      </c>
      <c r="G1953" s="26" t="s">
        <v>26</v>
      </c>
      <c r="H1953" s="26" t="s">
        <v>4210</v>
      </c>
      <c r="I1953" s="26" t="s">
        <v>3001</v>
      </c>
      <c r="J1953" s="46">
        <v>1</v>
      </c>
      <c r="K1953" s="46">
        <v>52</v>
      </c>
      <c r="L1953" s="136"/>
      <c r="M1953" s="137" t="s">
        <v>22</v>
      </c>
      <c r="N1953" s="138"/>
      <c r="O1953" s="138"/>
      <c r="P1953" s="138"/>
      <c r="Q1953" s="138"/>
      <c r="R1953" s="138"/>
      <c r="S1953" s="138"/>
      <c r="T1953" s="138"/>
      <c r="U1953" s="138"/>
    </row>
    <row r="1954" spans="1:22" s="26" customFormat="1" ht="15" customHeight="1" x14ac:dyDescent="0.2">
      <c r="A1954" s="32">
        <v>41692.745138888888</v>
      </c>
      <c r="B1954" s="26" t="s">
        <v>38</v>
      </c>
      <c r="C1954" s="26" t="s">
        <v>47</v>
      </c>
      <c r="D1954" s="33">
        <v>41671</v>
      </c>
      <c r="E1954" s="26" t="s">
        <v>4657</v>
      </c>
      <c r="F1954" s="26" t="s">
        <v>4658</v>
      </c>
      <c r="G1954" s="26" t="s">
        <v>26</v>
      </c>
      <c r="H1954" s="26" t="s">
        <v>4659</v>
      </c>
      <c r="I1954" s="26" t="s">
        <v>2812</v>
      </c>
      <c r="J1954" s="46">
        <v>1</v>
      </c>
      <c r="K1954" s="46">
        <v>33</v>
      </c>
      <c r="L1954" s="136"/>
      <c r="M1954" s="137" t="s">
        <v>44</v>
      </c>
      <c r="N1954" s="138"/>
      <c r="O1954" s="138">
        <v>75</v>
      </c>
      <c r="P1954" s="138"/>
      <c r="Q1954" s="138"/>
      <c r="R1954" s="138"/>
      <c r="S1954" s="138">
        <v>194</v>
      </c>
      <c r="T1954" s="138"/>
      <c r="U1954" s="138"/>
      <c r="V1954" s="26" t="s">
        <v>4660</v>
      </c>
    </row>
    <row r="1955" spans="1:22" s="26" customFormat="1" ht="15" customHeight="1" x14ac:dyDescent="0.2">
      <c r="A1955" s="32">
        <v>41692.747129629628</v>
      </c>
      <c r="B1955" s="26" t="s">
        <v>38</v>
      </c>
      <c r="C1955" s="26" t="s">
        <v>47</v>
      </c>
      <c r="D1955" s="33">
        <v>41671</v>
      </c>
      <c r="E1955" s="26" t="s">
        <v>4661</v>
      </c>
      <c r="F1955" s="26" t="s">
        <v>4662</v>
      </c>
      <c r="G1955" s="26" t="s">
        <v>26</v>
      </c>
      <c r="H1955" s="26" t="s">
        <v>4663</v>
      </c>
      <c r="I1955" s="26" t="s">
        <v>3001</v>
      </c>
      <c r="J1955" s="46">
        <v>2</v>
      </c>
      <c r="K1955" s="46">
        <v>12</v>
      </c>
      <c r="L1955" s="136">
        <v>105</v>
      </c>
      <c r="M1955" s="137" t="s">
        <v>22</v>
      </c>
      <c r="N1955" s="138"/>
      <c r="O1955" s="138"/>
      <c r="P1955" s="138"/>
      <c r="Q1955" s="138"/>
      <c r="R1955" s="138"/>
      <c r="S1955" s="138"/>
      <c r="T1955" s="138"/>
      <c r="U1955" s="138"/>
    </row>
    <row r="1956" spans="1:22" s="26" customFormat="1" ht="15" customHeight="1" x14ac:dyDescent="0.2">
      <c r="A1956" s="32">
        <v>41700.699976851851</v>
      </c>
      <c r="B1956" s="26" t="s">
        <v>38</v>
      </c>
      <c r="C1956" s="26" t="s">
        <v>47</v>
      </c>
      <c r="D1956" s="33">
        <v>41699</v>
      </c>
      <c r="E1956" s="26" t="s">
        <v>4729</v>
      </c>
      <c r="F1956" s="26" t="s">
        <v>4811</v>
      </c>
      <c r="G1956" s="26" t="s">
        <v>42</v>
      </c>
      <c r="H1956" s="26" t="s">
        <v>4210</v>
      </c>
      <c r="I1956" s="26" t="s">
        <v>3001</v>
      </c>
      <c r="J1956" s="46">
        <v>1</v>
      </c>
      <c r="K1956" s="46">
        <v>19</v>
      </c>
      <c r="L1956" s="136"/>
      <c r="M1956" s="137" t="s">
        <v>44</v>
      </c>
      <c r="N1956" s="138"/>
      <c r="O1956" s="138">
        <v>30</v>
      </c>
      <c r="P1956" s="138"/>
      <c r="Q1956" s="138"/>
      <c r="R1956" s="138"/>
      <c r="S1956" s="138"/>
      <c r="T1956" s="138"/>
      <c r="U1956" s="138"/>
    </row>
    <row r="1957" spans="1:22" s="26" customFormat="1" ht="15" customHeight="1" x14ac:dyDescent="0.2">
      <c r="A1957" s="32">
        <v>41706.671261574076</v>
      </c>
      <c r="B1957" s="26" t="s">
        <v>38</v>
      </c>
      <c r="C1957" s="26" t="s">
        <v>47</v>
      </c>
      <c r="D1957" s="33">
        <v>41699</v>
      </c>
      <c r="E1957" s="26" t="s">
        <v>5045</v>
      </c>
      <c r="F1957" s="26" t="s">
        <v>5046</v>
      </c>
      <c r="G1957" s="26" t="s">
        <v>26</v>
      </c>
      <c r="H1957" s="26" t="s">
        <v>5047</v>
      </c>
      <c r="I1957" s="26" t="s">
        <v>3001</v>
      </c>
      <c r="J1957" s="46">
        <v>1</v>
      </c>
      <c r="K1957" s="46">
        <v>34</v>
      </c>
      <c r="L1957" s="136"/>
      <c r="M1957" s="137" t="s">
        <v>22</v>
      </c>
      <c r="N1957" s="138"/>
      <c r="O1957" s="138"/>
      <c r="P1957" s="138"/>
      <c r="Q1957" s="138"/>
      <c r="R1957" s="138"/>
      <c r="S1957" s="138"/>
      <c r="T1957" s="138"/>
      <c r="U1957" s="138"/>
      <c r="V1957" s="26" t="s">
        <v>5048</v>
      </c>
    </row>
    <row r="1958" spans="1:22" s="26" customFormat="1" ht="15" customHeight="1" x14ac:dyDescent="0.2">
      <c r="A1958" s="32">
        <v>41712.695509259262</v>
      </c>
      <c r="B1958" s="26" t="s">
        <v>38</v>
      </c>
      <c r="C1958" s="26" t="s">
        <v>47</v>
      </c>
      <c r="D1958" s="33">
        <v>41699</v>
      </c>
      <c r="E1958" s="26" t="s">
        <v>4175</v>
      </c>
      <c r="F1958" s="26" t="s">
        <v>4176</v>
      </c>
      <c r="G1958" s="26" t="s">
        <v>20</v>
      </c>
      <c r="H1958" s="26" t="s">
        <v>4177</v>
      </c>
      <c r="I1958" s="26" t="s">
        <v>3001</v>
      </c>
      <c r="J1958" s="46">
        <v>2</v>
      </c>
      <c r="K1958" s="46">
        <v>23</v>
      </c>
      <c r="L1958" s="136">
        <v>69</v>
      </c>
      <c r="M1958" s="137" t="s">
        <v>44</v>
      </c>
      <c r="N1958" s="138"/>
      <c r="O1958" s="138">
        <v>20</v>
      </c>
      <c r="P1958" s="138"/>
      <c r="Q1958" s="138"/>
      <c r="R1958" s="138"/>
      <c r="S1958" s="138"/>
      <c r="T1958" s="138"/>
      <c r="U1958" s="138"/>
    </row>
    <row r="1959" spans="1:22" s="26" customFormat="1" ht="15" customHeight="1" x14ac:dyDescent="0.2">
      <c r="A1959" s="32">
        <v>41717.671724537038</v>
      </c>
      <c r="B1959" s="26" t="s">
        <v>38</v>
      </c>
      <c r="C1959" s="26" t="s">
        <v>47</v>
      </c>
      <c r="D1959" s="33">
        <v>41699</v>
      </c>
      <c r="E1959" s="26" t="s">
        <v>4208</v>
      </c>
      <c r="F1959" s="26" t="s">
        <v>5196</v>
      </c>
      <c r="G1959" s="26" t="s">
        <v>26</v>
      </c>
      <c r="H1959" s="26" t="s">
        <v>4210</v>
      </c>
      <c r="I1959" s="26" t="s">
        <v>3001</v>
      </c>
      <c r="J1959" s="46">
        <v>1</v>
      </c>
      <c r="K1959" s="46">
        <v>42</v>
      </c>
      <c r="L1959" s="136">
        <v>3</v>
      </c>
      <c r="M1959" s="137" t="s">
        <v>22</v>
      </c>
      <c r="N1959" s="138"/>
      <c r="O1959" s="138"/>
      <c r="P1959" s="138"/>
      <c r="Q1959" s="138"/>
      <c r="R1959" s="138"/>
      <c r="S1959" s="138"/>
      <c r="T1959" s="138"/>
      <c r="U1959" s="138"/>
    </row>
    <row r="1960" spans="1:22" s="26" customFormat="1" ht="15" customHeight="1" x14ac:dyDescent="0.2">
      <c r="A1960" s="32">
        <v>41717.679618055554</v>
      </c>
      <c r="B1960" s="26" t="s">
        <v>38</v>
      </c>
      <c r="C1960" s="26" t="s">
        <v>47</v>
      </c>
      <c r="D1960" s="33">
        <v>41699</v>
      </c>
      <c r="E1960" s="26" t="s">
        <v>5203</v>
      </c>
      <c r="F1960" s="26" t="s">
        <v>5204</v>
      </c>
      <c r="G1960" s="26" t="s">
        <v>26</v>
      </c>
      <c r="H1960" s="26" t="s">
        <v>5205</v>
      </c>
      <c r="I1960" s="26" t="s">
        <v>3001</v>
      </c>
      <c r="J1960" s="46">
        <v>3</v>
      </c>
      <c r="K1960" s="46">
        <v>45</v>
      </c>
      <c r="L1960" s="136">
        <v>249</v>
      </c>
      <c r="M1960" s="137" t="s">
        <v>22</v>
      </c>
      <c r="N1960" s="138"/>
      <c r="O1960" s="138"/>
      <c r="P1960" s="138"/>
      <c r="Q1960" s="138"/>
      <c r="R1960" s="138"/>
      <c r="S1960" s="138"/>
      <c r="T1960" s="138"/>
      <c r="U1960" s="138"/>
    </row>
    <row r="1961" spans="1:22" s="26" customFormat="1" ht="15" customHeight="1" x14ac:dyDescent="0.2">
      <c r="A1961" s="32">
        <v>41717.68309027778</v>
      </c>
      <c r="B1961" s="26" t="s">
        <v>38</v>
      </c>
      <c r="C1961" s="26" t="s">
        <v>47</v>
      </c>
      <c r="D1961" s="33">
        <v>41699</v>
      </c>
      <c r="E1961" s="26" t="s">
        <v>5206</v>
      </c>
      <c r="F1961" s="26" t="s">
        <v>5207</v>
      </c>
      <c r="G1961" s="26" t="s">
        <v>26</v>
      </c>
      <c r="H1961" s="26" t="s">
        <v>4210</v>
      </c>
      <c r="I1961" s="26" t="s">
        <v>3265</v>
      </c>
      <c r="J1961" s="46">
        <v>1</v>
      </c>
      <c r="K1961" s="46">
        <v>11</v>
      </c>
      <c r="L1961" s="136">
        <v>33</v>
      </c>
      <c r="M1961" s="137" t="s">
        <v>22</v>
      </c>
      <c r="N1961" s="138"/>
      <c r="O1961" s="138"/>
      <c r="P1961" s="138"/>
      <c r="Q1961" s="138"/>
      <c r="R1961" s="138"/>
      <c r="S1961" s="138"/>
      <c r="T1961" s="138"/>
      <c r="U1961" s="138">
        <v>250</v>
      </c>
    </row>
    <row r="1962" spans="1:22" s="26" customFormat="1" ht="15" customHeight="1" x14ac:dyDescent="0.2">
      <c r="A1962" s="32">
        <v>41719.508784722224</v>
      </c>
      <c r="B1962" s="26" t="s">
        <v>38</v>
      </c>
      <c r="C1962" s="26" t="s">
        <v>47</v>
      </c>
      <c r="D1962" s="33">
        <v>41699</v>
      </c>
      <c r="E1962" s="26" t="s">
        <v>5217</v>
      </c>
      <c r="F1962" s="26" t="s">
        <v>5218</v>
      </c>
      <c r="G1962" s="26" t="s">
        <v>20</v>
      </c>
      <c r="H1962" s="26" t="s">
        <v>5219</v>
      </c>
      <c r="I1962" s="26" t="s">
        <v>3001</v>
      </c>
      <c r="J1962" s="46">
        <v>1</v>
      </c>
      <c r="K1962" s="46">
        <v>24</v>
      </c>
      <c r="L1962" s="136">
        <v>52</v>
      </c>
      <c r="M1962" s="137" t="s">
        <v>44</v>
      </c>
      <c r="N1962" s="138"/>
      <c r="O1962" s="138">
        <v>20</v>
      </c>
      <c r="P1962" s="138"/>
      <c r="Q1962" s="138"/>
      <c r="R1962" s="138"/>
      <c r="S1962" s="138"/>
      <c r="T1962" s="138"/>
      <c r="U1962" s="138"/>
    </row>
    <row r="1963" spans="1:22" s="26" customFormat="1" ht="15" customHeight="1" x14ac:dyDescent="0.2">
      <c r="A1963" s="32">
        <v>41719.598043981481</v>
      </c>
      <c r="B1963" s="26" t="s">
        <v>38</v>
      </c>
      <c r="C1963" s="26" t="s">
        <v>47</v>
      </c>
      <c r="D1963" s="33">
        <v>41699</v>
      </c>
      <c r="E1963" s="26" t="s">
        <v>5220</v>
      </c>
      <c r="F1963" s="26" t="s">
        <v>5221</v>
      </c>
      <c r="G1963" s="26" t="s">
        <v>26</v>
      </c>
      <c r="H1963" s="26" t="s">
        <v>1649</v>
      </c>
      <c r="I1963" s="26" t="s">
        <v>3001</v>
      </c>
      <c r="J1963" s="46">
        <v>1</v>
      </c>
      <c r="K1963" s="46">
        <v>15</v>
      </c>
      <c r="L1963" s="136"/>
      <c r="M1963" s="137" t="s">
        <v>22</v>
      </c>
      <c r="N1963" s="138"/>
      <c r="O1963" s="138"/>
      <c r="P1963" s="138"/>
      <c r="Q1963" s="138"/>
      <c r="R1963" s="138"/>
      <c r="S1963" s="138"/>
      <c r="T1963" s="138"/>
      <c r="U1963" s="138"/>
      <c r="V1963" s="26" t="s">
        <v>5222</v>
      </c>
    </row>
    <row r="1964" spans="1:22" s="26" customFormat="1" ht="15" customHeight="1" x14ac:dyDescent="0.2">
      <c r="A1964" s="32">
        <v>41721.434050925927</v>
      </c>
      <c r="B1964" s="26" t="s">
        <v>38</v>
      </c>
      <c r="C1964" s="26" t="s">
        <v>47</v>
      </c>
      <c r="D1964" s="33">
        <v>41699</v>
      </c>
      <c r="E1964" s="26" t="s">
        <v>5254</v>
      </c>
      <c r="F1964" s="26" t="s">
        <v>120</v>
      </c>
      <c r="G1964" s="26" t="s">
        <v>26</v>
      </c>
      <c r="H1964" s="26" t="s">
        <v>5255</v>
      </c>
      <c r="I1964" s="26" t="s">
        <v>2926</v>
      </c>
      <c r="J1964" s="46">
        <v>1</v>
      </c>
      <c r="K1964" s="46">
        <v>19</v>
      </c>
      <c r="L1964" s="136"/>
      <c r="M1964" s="137" t="s">
        <v>44</v>
      </c>
      <c r="N1964" s="138"/>
      <c r="O1964" s="138">
        <v>5</v>
      </c>
      <c r="P1964" s="138"/>
      <c r="Q1964" s="138"/>
      <c r="R1964" s="138"/>
      <c r="S1964" s="138"/>
      <c r="T1964" s="138"/>
      <c r="U1964" s="138"/>
    </row>
    <row r="1965" spans="1:22" s="26" customFormat="1" ht="15" customHeight="1" x14ac:dyDescent="0.2">
      <c r="A1965" s="32">
        <v>41725.692997685182</v>
      </c>
      <c r="B1965" s="26" t="s">
        <v>38</v>
      </c>
      <c r="C1965" s="26" t="s">
        <v>47</v>
      </c>
      <c r="D1965" s="33">
        <v>41699</v>
      </c>
      <c r="E1965" s="26" t="s">
        <v>5341</v>
      </c>
      <c r="F1965" s="26" t="s">
        <v>5342</v>
      </c>
      <c r="G1965" s="26" t="s">
        <v>20</v>
      </c>
      <c r="H1965" s="26" t="s">
        <v>5343</v>
      </c>
      <c r="I1965" s="26" t="s">
        <v>2926</v>
      </c>
      <c r="J1965" s="46">
        <v>1</v>
      </c>
      <c r="K1965" s="46">
        <v>48</v>
      </c>
      <c r="L1965" s="136">
        <v>192</v>
      </c>
      <c r="M1965" s="137" t="s">
        <v>44</v>
      </c>
      <c r="N1965" s="138"/>
      <c r="O1965" s="138">
        <v>50</v>
      </c>
      <c r="P1965" s="138"/>
      <c r="Q1965" s="138"/>
      <c r="R1965" s="138"/>
      <c r="S1965" s="138"/>
      <c r="T1965" s="138"/>
      <c r="U1965" s="138"/>
    </row>
    <row r="1966" spans="1:22" s="26" customFormat="1" ht="15" customHeight="1" x14ac:dyDescent="0.2">
      <c r="A1966" s="32">
        <v>41727.678090277775</v>
      </c>
      <c r="B1966" s="26" t="s">
        <v>38</v>
      </c>
      <c r="C1966" s="26" t="s">
        <v>47</v>
      </c>
      <c r="D1966" s="33">
        <v>41699</v>
      </c>
      <c r="E1966" s="26" t="s">
        <v>4596</v>
      </c>
      <c r="F1966" s="26" t="s">
        <v>4248</v>
      </c>
      <c r="G1966" s="26" t="s">
        <v>26</v>
      </c>
      <c r="H1966" s="26" t="s">
        <v>5352</v>
      </c>
      <c r="I1966" s="26" t="s">
        <v>3001</v>
      </c>
      <c r="J1966" s="46">
        <v>1</v>
      </c>
      <c r="K1966" s="46">
        <v>11</v>
      </c>
      <c r="L1966" s="136"/>
      <c r="M1966" s="137" t="s">
        <v>22</v>
      </c>
      <c r="N1966" s="138"/>
      <c r="O1966" s="138"/>
      <c r="P1966" s="138"/>
      <c r="Q1966" s="138"/>
      <c r="R1966" s="138"/>
      <c r="S1966" s="138"/>
      <c r="T1966" s="138"/>
      <c r="U1966" s="138"/>
      <c r="V1966" s="26" t="s">
        <v>5353</v>
      </c>
    </row>
    <row r="1967" spans="1:22" s="26" customFormat="1" ht="15" customHeight="1" x14ac:dyDescent="0.2">
      <c r="A1967" s="32">
        <v>41733.348287037035</v>
      </c>
      <c r="B1967" s="26" t="s">
        <v>38</v>
      </c>
      <c r="C1967" s="26" t="s">
        <v>47</v>
      </c>
      <c r="D1967" s="33">
        <v>41699</v>
      </c>
      <c r="E1967" s="26" t="s">
        <v>5574</v>
      </c>
      <c r="F1967" s="26" t="s">
        <v>5575</v>
      </c>
      <c r="G1967" s="26" t="s">
        <v>156</v>
      </c>
      <c r="H1967" s="26" t="s">
        <v>5576</v>
      </c>
      <c r="I1967" s="26" t="s">
        <v>2812</v>
      </c>
      <c r="J1967" s="46">
        <v>1</v>
      </c>
      <c r="K1967" s="46">
        <v>25</v>
      </c>
      <c r="L1967" s="136"/>
      <c r="M1967" s="137" t="s">
        <v>44</v>
      </c>
      <c r="N1967" s="138"/>
      <c r="O1967" s="138">
        <v>50</v>
      </c>
      <c r="P1967" s="138"/>
      <c r="Q1967" s="138"/>
      <c r="R1967" s="138"/>
      <c r="S1967" s="138">
        <v>335</v>
      </c>
      <c r="T1967" s="138"/>
      <c r="U1967" s="138"/>
      <c r="V1967" s="26" t="s">
        <v>5577</v>
      </c>
    </row>
    <row r="1968" spans="1:22" s="26" customFormat="1" ht="15" customHeight="1" x14ac:dyDescent="0.2">
      <c r="A1968" s="32">
        <v>41736.63486111111</v>
      </c>
      <c r="B1968" s="26" t="s">
        <v>38</v>
      </c>
      <c r="C1968" s="26" t="s">
        <v>47</v>
      </c>
      <c r="D1968" s="33">
        <v>41730</v>
      </c>
      <c r="E1968" s="26" t="s">
        <v>5777</v>
      </c>
      <c r="F1968" s="26" t="s">
        <v>5778</v>
      </c>
      <c r="G1968" s="26" t="s">
        <v>20</v>
      </c>
      <c r="H1968" s="26" t="s">
        <v>5343</v>
      </c>
      <c r="I1968" s="26" t="s">
        <v>2926</v>
      </c>
      <c r="J1968" s="46">
        <v>1</v>
      </c>
      <c r="K1968" s="46">
        <v>130</v>
      </c>
      <c r="L1968" s="138">
        <v>520</v>
      </c>
      <c r="M1968" s="137" t="s">
        <v>44</v>
      </c>
      <c r="N1968" s="138"/>
      <c r="O1968" s="138">
        <v>110</v>
      </c>
      <c r="P1968" s="138"/>
      <c r="Q1968" s="138"/>
      <c r="R1968" s="138"/>
      <c r="S1968" s="138"/>
      <c r="T1968" s="138"/>
      <c r="U1968" s="138"/>
    </row>
    <row r="1969" spans="1:25" s="26" customFormat="1" ht="15" customHeight="1" x14ac:dyDescent="0.2">
      <c r="A1969" s="32">
        <v>41738.543009259258</v>
      </c>
      <c r="B1969" s="26" t="s">
        <v>38</v>
      </c>
      <c r="C1969" s="26" t="s">
        <v>47</v>
      </c>
      <c r="D1969" s="33">
        <v>41730</v>
      </c>
      <c r="E1969" s="26" t="s">
        <v>5797</v>
      </c>
      <c r="F1969" s="26" t="s">
        <v>5778</v>
      </c>
      <c r="G1969" s="26" t="s">
        <v>20</v>
      </c>
      <c r="H1969" s="26" t="s">
        <v>5343</v>
      </c>
      <c r="I1969" s="26" t="s">
        <v>2926</v>
      </c>
      <c r="J1969" s="46">
        <v>1</v>
      </c>
      <c r="K1969" s="46">
        <v>114</v>
      </c>
      <c r="L1969" s="138">
        <v>456</v>
      </c>
      <c r="M1969" s="137" t="s">
        <v>44</v>
      </c>
      <c r="N1969" s="138"/>
      <c r="O1969" s="138">
        <v>150</v>
      </c>
      <c r="P1969" s="138"/>
      <c r="Q1969" s="138"/>
      <c r="R1969" s="138"/>
      <c r="S1969" s="138"/>
      <c r="T1969" s="138"/>
      <c r="U1969" s="138"/>
    </row>
    <row r="1970" spans="1:25" s="26" customFormat="1" ht="15" customHeight="1" x14ac:dyDescent="0.2">
      <c r="A1970" s="32">
        <v>41740.69866898148</v>
      </c>
      <c r="B1970" s="26" t="s">
        <v>38</v>
      </c>
      <c r="C1970" s="26" t="s">
        <v>47</v>
      </c>
      <c r="D1970" s="33">
        <v>41730</v>
      </c>
      <c r="E1970" s="26" t="s">
        <v>4175</v>
      </c>
      <c r="F1970" s="26" t="s">
        <v>4176</v>
      </c>
      <c r="G1970" s="26" t="s">
        <v>20</v>
      </c>
      <c r="H1970" s="26" t="s">
        <v>5956</v>
      </c>
      <c r="I1970" s="26" t="s">
        <v>3001</v>
      </c>
      <c r="J1970" s="46">
        <v>2</v>
      </c>
      <c r="K1970" s="46">
        <v>15</v>
      </c>
      <c r="L1970" s="138">
        <v>45</v>
      </c>
      <c r="M1970" s="137" t="s">
        <v>44</v>
      </c>
      <c r="N1970" s="138"/>
      <c r="O1970" s="138">
        <v>15</v>
      </c>
      <c r="P1970" s="138"/>
      <c r="Q1970" s="138"/>
      <c r="R1970" s="138"/>
      <c r="S1970" s="138"/>
      <c r="T1970" s="138"/>
      <c r="U1970" s="138"/>
    </row>
    <row r="1971" spans="1:25" s="26" customFormat="1" ht="15" customHeight="1" x14ac:dyDescent="0.2">
      <c r="A1971" s="32">
        <v>41746.656134259261</v>
      </c>
      <c r="B1971" s="26" t="s">
        <v>38</v>
      </c>
      <c r="C1971" s="26" t="s">
        <v>47</v>
      </c>
      <c r="D1971" s="33">
        <v>41730</v>
      </c>
      <c r="E1971" s="26" t="s">
        <v>5989</v>
      </c>
      <c r="F1971" s="26" t="s">
        <v>5990</v>
      </c>
      <c r="G1971" s="26" t="s">
        <v>20</v>
      </c>
      <c r="H1971" s="26" t="s">
        <v>5991</v>
      </c>
      <c r="I1971" s="26" t="s">
        <v>2926</v>
      </c>
      <c r="J1971" s="46">
        <v>3</v>
      </c>
      <c r="K1971" s="46">
        <v>224</v>
      </c>
      <c r="L1971" s="138">
        <v>1120</v>
      </c>
      <c r="M1971" s="137" t="s">
        <v>44</v>
      </c>
      <c r="N1971" s="138"/>
      <c r="O1971" s="138">
        <v>390</v>
      </c>
      <c r="P1971" s="138">
        <v>29.43</v>
      </c>
      <c r="Q1971" s="138"/>
      <c r="R1971" s="138"/>
      <c r="S1971" s="138"/>
      <c r="T1971" s="138"/>
      <c r="U1971" s="138"/>
    </row>
    <row r="1972" spans="1:25" s="26" customFormat="1" ht="15" customHeight="1" x14ac:dyDescent="0.2">
      <c r="A1972" s="92">
        <v>41748.702465277776</v>
      </c>
      <c r="B1972" s="91" t="s">
        <v>38</v>
      </c>
      <c r="C1972" s="26" t="s">
        <v>47</v>
      </c>
      <c r="D1972" s="33">
        <v>41730</v>
      </c>
      <c r="E1972" s="91" t="s">
        <v>2719</v>
      </c>
      <c r="F1972" s="91" t="s">
        <v>5997</v>
      </c>
      <c r="G1972" s="91" t="s">
        <v>26</v>
      </c>
      <c r="H1972" s="91" t="s">
        <v>5998</v>
      </c>
      <c r="I1972" s="91" t="s">
        <v>2812</v>
      </c>
      <c r="J1972" s="46">
        <v>1</v>
      </c>
      <c r="K1972" s="46">
        <v>150</v>
      </c>
      <c r="L1972" s="138"/>
      <c r="M1972" s="137" t="s">
        <v>22</v>
      </c>
      <c r="N1972" s="138"/>
      <c r="O1972" s="138"/>
      <c r="P1972" s="138"/>
      <c r="Q1972" s="138"/>
      <c r="R1972" s="138"/>
      <c r="S1972" s="138"/>
      <c r="T1972" s="138"/>
      <c r="U1972" s="138"/>
      <c r="V1972" s="91" t="s">
        <v>5999</v>
      </c>
      <c r="W1972" s="91"/>
      <c r="X1972" s="91"/>
      <c r="Y1972" s="91"/>
    </row>
    <row r="1973" spans="1:25" s="26" customFormat="1" ht="15" customHeight="1" x14ac:dyDescent="0.2">
      <c r="A1973" s="92">
        <v>41748.703206018516</v>
      </c>
      <c r="B1973" s="91" t="s">
        <v>38</v>
      </c>
      <c r="C1973" s="26" t="s">
        <v>47</v>
      </c>
      <c r="D1973" s="33">
        <v>41730</v>
      </c>
      <c r="E1973" s="91" t="s">
        <v>6000</v>
      </c>
      <c r="F1973" s="91" t="s">
        <v>6001</v>
      </c>
      <c r="G1973" s="91" t="s">
        <v>26</v>
      </c>
      <c r="H1973" s="91" t="s">
        <v>1676</v>
      </c>
      <c r="I1973" s="91" t="s">
        <v>3001</v>
      </c>
      <c r="J1973" s="46">
        <v>1</v>
      </c>
      <c r="K1973" s="46">
        <v>8</v>
      </c>
      <c r="L1973" s="138">
        <v>24</v>
      </c>
      <c r="M1973" s="137" t="s">
        <v>22</v>
      </c>
      <c r="N1973" s="138"/>
      <c r="O1973" s="138"/>
      <c r="P1973" s="138"/>
      <c r="Q1973" s="138"/>
      <c r="R1973" s="138"/>
      <c r="S1973" s="138"/>
      <c r="T1973" s="138"/>
      <c r="U1973" s="138"/>
      <c r="V1973" s="91" t="s">
        <v>6002</v>
      </c>
      <c r="W1973" s="91"/>
      <c r="X1973" s="91"/>
      <c r="Y1973" s="91"/>
    </row>
    <row r="1974" spans="1:25" s="26" customFormat="1" ht="15" customHeight="1" x14ac:dyDescent="0.2">
      <c r="A1974" s="92">
        <v>41748.703888888886</v>
      </c>
      <c r="B1974" s="91" t="s">
        <v>38</v>
      </c>
      <c r="C1974" s="26" t="s">
        <v>47</v>
      </c>
      <c r="D1974" s="33">
        <v>41730</v>
      </c>
      <c r="E1974" s="91" t="s">
        <v>6003</v>
      </c>
      <c r="F1974" s="91" t="s">
        <v>6004</v>
      </c>
      <c r="G1974" s="91" t="s">
        <v>26</v>
      </c>
      <c r="H1974" s="91" t="s">
        <v>4210</v>
      </c>
      <c r="I1974" s="91" t="s">
        <v>3001</v>
      </c>
      <c r="J1974" s="46">
        <v>1</v>
      </c>
      <c r="K1974" s="46">
        <v>50</v>
      </c>
      <c r="L1974" s="138"/>
      <c r="M1974" s="137" t="s">
        <v>22</v>
      </c>
      <c r="N1974" s="138"/>
      <c r="O1974" s="138"/>
      <c r="P1974" s="138"/>
      <c r="Q1974" s="138"/>
      <c r="R1974" s="138"/>
      <c r="S1974" s="138"/>
      <c r="T1974" s="138"/>
      <c r="U1974" s="138"/>
      <c r="V1974" s="91" t="s">
        <v>6002</v>
      </c>
      <c r="W1974" s="91"/>
      <c r="X1974" s="91"/>
      <c r="Y1974" s="91"/>
    </row>
    <row r="1975" spans="1:25" s="26" customFormat="1" ht="15" customHeight="1" x14ac:dyDescent="0.2">
      <c r="A1975" s="32">
        <v>41751.518645833334</v>
      </c>
      <c r="B1975" s="26" t="s">
        <v>38</v>
      </c>
      <c r="C1975" s="26" t="s">
        <v>47</v>
      </c>
      <c r="D1975" s="33">
        <v>41730</v>
      </c>
      <c r="E1975" s="26" t="s">
        <v>6016</v>
      </c>
      <c r="F1975" s="26" t="s">
        <v>6017</v>
      </c>
      <c r="G1975" s="26" t="s">
        <v>20</v>
      </c>
      <c r="H1975" s="26" t="s">
        <v>6018</v>
      </c>
      <c r="I1975" s="26" t="s">
        <v>3001</v>
      </c>
      <c r="J1975" s="46">
        <v>1</v>
      </c>
      <c r="K1975" s="46">
        <v>125</v>
      </c>
      <c r="L1975" s="138">
        <v>500</v>
      </c>
      <c r="M1975" s="137" t="s">
        <v>44</v>
      </c>
      <c r="N1975" s="138"/>
      <c r="O1975" s="138">
        <v>50</v>
      </c>
      <c r="P1975" s="138"/>
      <c r="Q1975" s="138"/>
      <c r="R1975" s="138"/>
      <c r="S1975" s="138"/>
      <c r="T1975" s="138"/>
      <c r="U1975" s="138"/>
    </row>
    <row r="1976" spans="1:25" s="26" customFormat="1" ht="15" customHeight="1" x14ac:dyDescent="0.2">
      <c r="A1976" s="32">
        <v>41752.68986111111</v>
      </c>
      <c r="B1976" s="26" t="s">
        <v>38</v>
      </c>
      <c r="C1976" s="26" t="s">
        <v>47</v>
      </c>
      <c r="D1976" s="33">
        <v>41730</v>
      </c>
      <c r="E1976" s="26" t="s">
        <v>6046</v>
      </c>
      <c r="F1976" s="26" t="s">
        <v>6047</v>
      </c>
      <c r="G1976" s="26" t="s">
        <v>20</v>
      </c>
      <c r="H1976" s="26" t="s">
        <v>6048</v>
      </c>
      <c r="I1976" s="26" t="s">
        <v>2926</v>
      </c>
      <c r="J1976" s="46">
        <v>1</v>
      </c>
      <c r="K1976" s="46">
        <v>16</v>
      </c>
      <c r="L1976" s="138">
        <v>80</v>
      </c>
      <c r="M1976" s="137" t="s">
        <v>22</v>
      </c>
      <c r="N1976" s="138"/>
      <c r="O1976" s="138"/>
      <c r="P1976" s="138"/>
      <c r="Q1976" s="138"/>
      <c r="R1976" s="138"/>
      <c r="S1976" s="138"/>
      <c r="T1976" s="138"/>
      <c r="U1976" s="138"/>
    </row>
    <row r="1977" spans="1:25" s="26" customFormat="1" ht="15" customHeight="1" x14ac:dyDescent="0.2">
      <c r="A1977" s="93">
        <v>41755.696192129602</v>
      </c>
      <c r="B1977" s="89" t="s">
        <v>38</v>
      </c>
      <c r="C1977" s="52" t="s">
        <v>47</v>
      </c>
      <c r="D1977" s="87" t="s">
        <v>6076</v>
      </c>
      <c r="E1977" s="89" t="s">
        <v>6115</v>
      </c>
      <c r="F1977" s="89" t="s">
        <v>6116</v>
      </c>
      <c r="G1977" s="89" t="s">
        <v>26</v>
      </c>
      <c r="H1977" s="89" t="s">
        <v>6117</v>
      </c>
      <c r="I1977" s="89" t="s">
        <v>3001</v>
      </c>
      <c r="J1977" s="95">
        <v>1</v>
      </c>
      <c r="K1977" s="95">
        <v>65</v>
      </c>
      <c r="L1977" s="149">
        <v>7</v>
      </c>
      <c r="M1977" s="146" t="s">
        <v>22</v>
      </c>
      <c r="N1977" s="149"/>
      <c r="O1977" s="149"/>
      <c r="P1977" s="149"/>
      <c r="Q1977" s="149"/>
      <c r="R1977" s="149"/>
      <c r="S1977" s="149"/>
      <c r="T1977" s="149"/>
      <c r="U1977" s="149"/>
      <c r="V1977" s="89" t="s">
        <v>6118</v>
      </c>
      <c r="W1977" s="91"/>
      <c r="X1977" s="91"/>
      <c r="Y1977" s="91"/>
    </row>
    <row r="1978" spans="1:25" s="26" customFormat="1" ht="15" customHeight="1" x14ac:dyDescent="0.2">
      <c r="A1978" s="53">
        <v>41793.539861111101</v>
      </c>
      <c r="B1978" s="54" t="s">
        <v>38</v>
      </c>
      <c r="C1978" s="52" t="s">
        <v>47</v>
      </c>
      <c r="D1978" s="113" t="s">
        <v>7147</v>
      </c>
      <c r="E1978" s="54" t="s">
        <v>1117</v>
      </c>
      <c r="F1978" s="54" t="s">
        <v>7175</v>
      </c>
      <c r="G1978" s="54" t="s">
        <v>351</v>
      </c>
      <c r="H1978" s="54" t="s">
        <v>6927</v>
      </c>
      <c r="I1978" s="54" t="s">
        <v>3001</v>
      </c>
      <c r="J1978" s="118">
        <v>1</v>
      </c>
      <c r="K1978" s="118">
        <v>30</v>
      </c>
      <c r="L1978" s="145"/>
      <c r="M1978" s="146" t="s">
        <v>22</v>
      </c>
      <c r="N1978" s="147"/>
      <c r="O1978" s="147"/>
      <c r="P1978" s="147"/>
      <c r="Q1978" s="147"/>
      <c r="R1978" s="147"/>
      <c r="S1978" s="147"/>
      <c r="T1978" s="147"/>
      <c r="U1978" s="147"/>
      <c r="V1978" s="54"/>
    </row>
    <row r="1979" spans="1:25" s="26" customFormat="1" ht="15" customHeight="1" x14ac:dyDescent="0.2">
      <c r="A1979" s="53">
        <v>41793.540381944404</v>
      </c>
      <c r="B1979" s="54" t="s">
        <v>38</v>
      </c>
      <c r="C1979" s="52" t="s">
        <v>47</v>
      </c>
      <c r="D1979" s="113" t="s">
        <v>7147</v>
      </c>
      <c r="E1979" s="54" t="s">
        <v>7176</v>
      </c>
      <c r="F1979" s="54" t="s">
        <v>7177</v>
      </c>
      <c r="G1979" s="54" t="s">
        <v>351</v>
      </c>
      <c r="H1979" s="54" t="s">
        <v>4210</v>
      </c>
      <c r="I1979" s="54" t="s">
        <v>3001</v>
      </c>
      <c r="J1979" s="118">
        <v>1</v>
      </c>
      <c r="K1979" s="118">
        <v>60</v>
      </c>
      <c r="L1979" s="145"/>
      <c r="M1979" s="146" t="s">
        <v>22</v>
      </c>
      <c r="N1979" s="147"/>
      <c r="O1979" s="147"/>
      <c r="P1979" s="147"/>
      <c r="Q1979" s="147"/>
      <c r="R1979" s="147"/>
      <c r="S1979" s="147"/>
      <c r="T1979" s="147"/>
      <c r="U1979" s="147"/>
      <c r="V1979" s="54"/>
    </row>
    <row r="1980" spans="1:25" s="26" customFormat="1" ht="15" customHeight="1" x14ac:dyDescent="0.2">
      <c r="A1980" s="93">
        <v>41796.415381944404</v>
      </c>
      <c r="B1980" s="89" t="s">
        <v>16</v>
      </c>
      <c r="C1980" s="52" t="s">
        <v>913</v>
      </c>
      <c r="D1980" s="87" t="s">
        <v>6224</v>
      </c>
      <c r="E1980" s="89" t="s">
        <v>6684</v>
      </c>
      <c r="F1980" s="89" t="s">
        <v>6644</v>
      </c>
      <c r="G1980" s="89" t="s">
        <v>26</v>
      </c>
      <c r="H1980" s="89" t="s">
        <v>921</v>
      </c>
      <c r="I1980" s="89" t="s">
        <v>2986</v>
      </c>
      <c r="J1980" s="95">
        <v>1</v>
      </c>
      <c r="K1980" s="95">
        <v>6</v>
      </c>
      <c r="L1980" s="150">
        <v>60</v>
      </c>
      <c r="M1980" s="146" t="s">
        <v>22</v>
      </c>
      <c r="N1980" s="149"/>
      <c r="O1980" s="149"/>
      <c r="P1980" s="149"/>
      <c r="Q1980" s="149"/>
      <c r="R1980" s="149"/>
      <c r="S1980" s="149"/>
      <c r="T1980" s="149"/>
      <c r="U1980" s="149"/>
      <c r="V1980" s="89"/>
      <c r="W1980" s="91"/>
      <c r="X1980" s="91"/>
      <c r="Y1980" s="91"/>
    </row>
    <row r="1981" spans="1:25" s="26" customFormat="1" ht="15" customHeight="1" x14ac:dyDescent="0.2">
      <c r="A1981" s="93">
        <v>41796.417384259301</v>
      </c>
      <c r="B1981" s="89" t="s">
        <v>16</v>
      </c>
      <c r="C1981" s="52" t="s">
        <v>913</v>
      </c>
      <c r="D1981" s="87" t="s">
        <v>6224</v>
      </c>
      <c r="E1981" s="89" t="s">
        <v>7311</v>
      </c>
      <c r="F1981" s="89" t="s">
        <v>915</v>
      </c>
      <c r="G1981" s="89" t="s">
        <v>26</v>
      </c>
      <c r="H1981" s="89" t="s">
        <v>7312</v>
      </c>
      <c r="I1981" s="89" t="s">
        <v>2986</v>
      </c>
      <c r="J1981" s="95">
        <v>1</v>
      </c>
      <c r="K1981" s="95">
        <v>4</v>
      </c>
      <c r="L1981" s="150"/>
      <c r="M1981" s="146" t="s">
        <v>44</v>
      </c>
      <c r="N1981" s="149"/>
      <c r="O1981" s="149"/>
      <c r="P1981" s="149"/>
      <c r="Q1981" s="149"/>
      <c r="R1981" s="149"/>
      <c r="S1981" s="149"/>
      <c r="T1981" s="138"/>
      <c r="U1981" s="149"/>
      <c r="V1981" s="89" t="s">
        <v>7313</v>
      </c>
      <c r="W1981" s="91"/>
      <c r="X1981" s="91"/>
      <c r="Y1981" s="91"/>
    </row>
    <row r="1982" spans="1:25" s="26" customFormat="1" ht="15" customHeight="1" x14ac:dyDescent="0.2">
      <c r="A1982" s="93">
        <v>41796.419293981497</v>
      </c>
      <c r="B1982" s="89" t="s">
        <v>16</v>
      </c>
      <c r="C1982" s="52" t="s">
        <v>913</v>
      </c>
      <c r="D1982" s="87" t="s">
        <v>6224</v>
      </c>
      <c r="E1982" s="89" t="s">
        <v>7314</v>
      </c>
      <c r="F1982" s="89" t="s">
        <v>7315</v>
      </c>
      <c r="G1982" s="89" t="s">
        <v>42</v>
      </c>
      <c r="H1982" s="89" t="s">
        <v>7316</v>
      </c>
      <c r="I1982" s="89" t="s">
        <v>5599</v>
      </c>
      <c r="J1982" s="95">
        <v>4</v>
      </c>
      <c r="K1982" s="95">
        <v>12</v>
      </c>
      <c r="L1982" s="150">
        <v>24</v>
      </c>
      <c r="M1982" s="146" t="s">
        <v>22</v>
      </c>
      <c r="N1982" s="149"/>
      <c r="O1982" s="149"/>
      <c r="P1982" s="149"/>
      <c r="Q1982" s="149"/>
      <c r="R1982" s="149"/>
      <c r="S1982" s="149"/>
      <c r="T1982" s="149"/>
      <c r="U1982" s="149"/>
      <c r="V1982" s="89"/>
      <c r="W1982" s="91"/>
      <c r="X1982" s="91"/>
      <c r="Y1982" s="91"/>
    </row>
    <row r="1983" spans="1:25" s="26" customFormat="1" ht="15" customHeight="1" x14ac:dyDescent="0.2">
      <c r="A1983" s="93">
        <v>41796.428796296299</v>
      </c>
      <c r="B1983" s="89" t="s">
        <v>16</v>
      </c>
      <c r="C1983" s="52" t="s">
        <v>913</v>
      </c>
      <c r="D1983" s="87" t="s">
        <v>6224</v>
      </c>
      <c r="E1983" s="89" t="s">
        <v>7317</v>
      </c>
      <c r="F1983" s="89" t="s">
        <v>7318</v>
      </c>
      <c r="G1983" s="89" t="s">
        <v>156</v>
      </c>
      <c r="H1983" s="89" t="s">
        <v>7318</v>
      </c>
      <c r="I1983" s="89" t="s">
        <v>2812</v>
      </c>
      <c r="J1983" s="95">
        <v>1</v>
      </c>
      <c r="K1983" s="95">
        <v>205</v>
      </c>
      <c r="L1983" s="150"/>
      <c r="M1983" s="146" t="s">
        <v>44</v>
      </c>
      <c r="N1983" s="149"/>
      <c r="O1983" s="149">
        <v>128</v>
      </c>
      <c r="P1983" s="149"/>
      <c r="Q1983" s="149"/>
      <c r="R1983" s="149"/>
      <c r="S1983" s="149"/>
      <c r="T1983" s="149"/>
      <c r="U1983" s="149"/>
      <c r="V1983" s="89"/>
      <c r="W1983" s="91"/>
      <c r="X1983" s="91"/>
      <c r="Y1983" s="91"/>
    </row>
    <row r="1984" spans="1:25" s="26" customFormat="1" ht="15" customHeight="1" x14ac:dyDescent="0.2">
      <c r="A1984" s="93">
        <v>41796.431041666699</v>
      </c>
      <c r="B1984" s="89" t="s">
        <v>16</v>
      </c>
      <c r="C1984" s="52" t="s">
        <v>913</v>
      </c>
      <c r="D1984" s="87" t="s">
        <v>6224</v>
      </c>
      <c r="E1984" s="89" t="s">
        <v>4322</v>
      </c>
      <c r="F1984" s="89" t="s">
        <v>1975</v>
      </c>
      <c r="G1984" s="89" t="s">
        <v>26</v>
      </c>
      <c r="H1984" s="89" t="s">
        <v>1975</v>
      </c>
      <c r="I1984" s="89" t="s">
        <v>2986</v>
      </c>
      <c r="J1984" s="95">
        <v>1</v>
      </c>
      <c r="K1984" s="95">
        <v>12</v>
      </c>
      <c r="L1984" s="150"/>
      <c r="M1984" s="146" t="s">
        <v>22</v>
      </c>
      <c r="N1984" s="149"/>
      <c r="O1984" s="149"/>
      <c r="P1984" s="149"/>
      <c r="Q1984" s="149"/>
      <c r="R1984" s="149"/>
      <c r="S1984" s="149"/>
      <c r="T1984" s="149"/>
      <c r="U1984" s="149"/>
      <c r="V1984" s="89"/>
      <c r="W1984" s="91"/>
      <c r="X1984" s="91"/>
      <c r="Y1984" s="91"/>
    </row>
    <row r="1985" spans="1:25" s="26" customFormat="1" ht="15" customHeight="1" x14ac:dyDescent="0.2">
      <c r="A1985" s="93">
        <v>41796.432268518503</v>
      </c>
      <c r="B1985" s="89" t="s">
        <v>16</v>
      </c>
      <c r="C1985" s="52" t="s">
        <v>913</v>
      </c>
      <c r="D1985" s="87" t="s">
        <v>6224</v>
      </c>
      <c r="E1985" s="89" t="s">
        <v>4311</v>
      </c>
      <c r="F1985" s="89" t="s">
        <v>927</v>
      </c>
      <c r="G1985" s="89" t="s">
        <v>26</v>
      </c>
      <c r="H1985" s="89" t="s">
        <v>953</v>
      </c>
      <c r="I1985" s="89" t="s">
        <v>2986</v>
      </c>
      <c r="J1985" s="95">
        <v>1</v>
      </c>
      <c r="K1985" s="95">
        <v>0</v>
      </c>
      <c r="L1985" s="150"/>
      <c r="M1985" s="146" t="s">
        <v>22</v>
      </c>
      <c r="N1985" s="149"/>
      <c r="O1985" s="149"/>
      <c r="P1985" s="149"/>
      <c r="Q1985" s="149"/>
      <c r="R1985" s="149"/>
      <c r="S1985" s="149"/>
      <c r="T1985" s="149"/>
      <c r="U1985" s="149"/>
      <c r="V1985" s="89"/>
      <c r="W1985" s="91"/>
      <c r="X1985" s="91"/>
      <c r="Y1985" s="91"/>
    </row>
    <row r="1986" spans="1:25" s="26" customFormat="1" ht="15" customHeight="1" x14ac:dyDescent="0.2">
      <c r="A1986" s="93">
        <v>41796.434155092596</v>
      </c>
      <c r="B1986" s="89" t="s">
        <v>16</v>
      </c>
      <c r="C1986" s="52" t="s">
        <v>913</v>
      </c>
      <c r="D1986" s="87" t="s">
        <v>6224</v>
      </c>
      <c r="E1986" s="89" t="s">
        <v>7319</v>
      </c>
      <c r="F1986" s="89" t="s">
        <v>7320</v>
      </c>
      <c r="G1986" s="89" t="s">
        <v>351</v>
      </c>
      <c r="H1986" s="89" t="s">
        <v>953</v>
      </c>
      <c r="I1986" s="89" t="s">
        <v>2926</v>
      </c>
      <c r="J1986" s="95">
        <v>1</v>
      </c>
      <c r="K1986" s="95">
        <v>16</v>
      </c>
      <c r="L1986" s="150"/>
      <c r="M1986" s="146" t="s">
        <v>22</v>
      </c>
      <c r="N1986" s="149"/>
      <c r="O1986" s="149"/>
      <c r="P1986" s="149"/>
      <c r="Q1986" s="149"/>
      <c r="R1986" s="149"/>
      <c r="S1986" s="149"/>
      <c r="T1986" s="149"/>
      <c r="U1986" s="149"/>
      <c r="V1986" s="89"/>
      <c r="W1986" s="91"/>
      <c r="X1986" s="91"/>
      <c r="Y1986" s="91"/>
    </row>
    <row r="1987" spans="1:25" s="26" customFormat="1" ht="15" customHeight="1" x14ac:dyDescent="0.2">
      <c r="A1987" s="93">
        <v>41796.434849537</v>
      </c>
      <c r="B1987" s="89" t="s">
        <v>16</v>
      </c>
      <c r="C1987" s="52" t="s">
        <v>913</v>
      </c>
      <c r="D1987" s="87" t="s">
        <v>6224</v>
      </c>
      <c r="E1987" s="89" t="s">
        <v>6643</v>
      </c>
      <c r="F1987" s="89" t="s">
        <v>6644</v>
      </c>
      <c r="G1987" s="89" t="s">
        <v>26</v>
      </c>
      <c r="H1987" s="89" t="s">
        <v>921</v>
      </c>
      <c r="I1987" s="89" t="s">
        <v>2986</v>
      </c>
      <c r="J1987" s="95">
        <v>1</v>
      </c>
      <c r="K1987" s="95">
        <v>4</v>
      </c>
      <c r="L1987" s="150">
        <v>40</v>
      </c>
      <c r="M1987" s="146" t="s">
        <v>22</v>
      </c>
      <c r="N1987" s="149"/>
      <c r="O1987" s="149"/>
      <c r="P1987" s="149"/>
      <c r="Q1987" s="149"/>
      <c r="R1987" s="149"/>
      <c r="S1987" s="149"/>
      <c r="T1987" s="149"/>
      <c r="U1987" s="149"/>
      <c r="V1987" s="89"/>
      <c r="W1987" s="91"/>
      <c r="X1987" s="91"/>
      <c r="Y1987" s="91"/>
    </row>
    <row r="1988" spans="1:25" s="26" customFormat="1" ht="15" customHeight="1" x14ac:dyDescent="0.2">
      <c r="A1988" s="93">
        <v>41796.435775462996</v>
      </c>
      <c r="B1988" s="89" t="s">
        <v>16</v>
      </c>
      <c r="C1988" s="52" t="s">
        <v>913</v>
      </c>
      <c r="D1988" s="87" t="s">
        <v>6224</v>
      </c>
      <c r="E1988" s="89" t="s">
        <v>7321</v>
      </c>
      <c r="F1988" s="89" t="s">
        <v>7306</v>
      </c>
      <c r="G1988" s="89" t="s">
        <v>26</v>
      </c>
      <c r="H1988" s="89" t="s">
        <v>7322</v>
      </c>
      <c r="I1988" s="89" t="s">
        <v>2986</v>
      </c>
      <c r="J1988" s="95">
        <v>1</v>
      </c>
      <c r="K1988" s="95">
        <v>21</v>
      </c>
      <c r="L1988" s="150"/>
      <c r="M1988" s="146" t="s">
        <v>22</v>
      </c>
      <c r="N1988" s="149"/>
      <c r="O1988" s="149"/>
      <c r="P1988" s="149"/>
      <c r="Q1988" s="149"/>
      <c r="R1988" s="149"/>
      <c r="S1988" s="149"/>
      <c r="T1988" s="149"/>
      <c r="U1988" s="149"/>
      <c r="V1988" s="89"/>
      <c r="W1988" s="91"/>
      <c r="X1988" s="91"/>
      <c r="Y1988" s="91"/>
    </row>
    <row r="1989" spans="1:25" s="26" customFormat="1" ht="15" customHeight="1" x14ac:dyDescent="0.2">
      <c r="A1989" s="93">
        <v>41796.436990740702</v>
      </c>
      <c r="B1989" s="89" t="s">
        <v>16</v>
      </c>
      <c r="C1989" s="52" t="s">
        <v>913</v>
      </c>
      <c r="D1989" s="87" t="s">
        <v>6224</v>
      </c>
      <c r="E1989" s="89" t="s">
        <v>7323</v>
      </c>
      <c r="F1989" s="89" t="s">
        <v>915</v>
      </c>
      <c r="G1989" s="89" t="s">
        <v>26</v>
      </c>
      <c r="H1989" s="89" t="s">
        <v>6680</v>
      </c>
      <c r="I1989" s="89" t="s">
        <v>3980</v>
      </c>
      <c r="J1989" s="95">
        <v>1</v>
      </c>
      <c r="K1989" s="95">
        <v>10</v>
      </c>
      <c r="L1989" s="150">
        <v>250</v>
      </c>
      <c r="M1989" s="146" t="s">
        <v>22</v>
      </c>
      <c r="N1989" s="149"/>
      <c r="O1989" s="149"/>
      <c r="P1989" s="149"/>
      <c r="Q1989" s="149"/>
      <c r="R1989" s="149"/>
      <c r="S1989" s="149"/>
      <c r="T1989" s="149"/>
      <c r="U1989" s="149"/>
      <c r="V1989" s="89"/>
      <c r="W1989" s="91"/>
      <c r="X1989" s="91"/>
      <c r="Y1989" s="91"/>
    </row>
    <row r="1990" spans="1:25" s="26" customFormat="1" ht="15" customHeight="1" x14ac:dyDescent="0.2">
      <c r="A1990" s="93">
        <v>41796.438101851898</v>
      </c>
      <c r="B1990" s="89" t="s">
        <v>16</v>
      </c>
      <c r="C1990" s="52" t="s">
        <v>913</v>
      </c>
      <c r="D1990" s="87" t="s">
        <v>6224</v>
      </c>
      <c r="E1990" s="89" t="s">
        <v>6683</v>
      </c>
      <c r="F1990" s="89" t="s">
        <v>7324</v>
      </c>
      <c r="G1990" s="89" t="s">
        <v>26</v>
      </c>
      <c r="H1990" s="89" t="s">
        <v>7325</v>
      </c>
      <c r="I1990" s="89" t="s">
        <v>3001</v>
      </c>
      <c r="J1990" s="95">
        <v>1</v>
      </c>
      <c r="K1990" s="95">
        <v>21</v>
      </c>
      <c r="L1990" s="150">
        <v>40</v>
      </c>
      <c r="M1990" s="146" t="s">
        <v>22</v>
      </c>
      <c r="N1990" s="149"/>
      <c r="O1990" s="149"/>
      <c r="P1990" s="149"/>
      <c r="Q1990" s="149"/>
      <c r="R1990" s="149"/>
      <c r="S1990" s="149"/>
      <c r="T1990" s="149"/>
      <c r="U1990" s="149"/>
      <c r="V1990" s="89"/>
      <c r="W1990" s="91"/>
      <c r="X1990" s="91"/>
      <c r="Y1990" s="91"/>
    </row>
    <row r="1991" spans="1:25" s="26" customFormat="1" ht="15" customHeight="1" x14ac:dyDescent="0.2">
      <c r="A1991" s="93">
        <v>41796.438842592601</v>
      </c>
      <c r="B1991" s="89" t="s">
        <v>16</v>
      </c>
      <c r="C1991" s="52" t="s">
        <v>913</v>
      </c>
      <c r="D1991" s="87" t="s">
        <v>6224</v>
      </c>
      <c r="E1991" s="89" t="s">
        <v>4322</v>
      </c>
      <c r="F1991" s="89" t="s">
        <v>1975</v>
      </c>
      <c r="G1991" s="89" t="s">
        <v>26</v>
      </c>
      <c r="H1991" s="89" t="s">
        <v>1975</v>
      </c>
      <c r="I1991" s="89" t="s">
        <v>3001</v>
      </c>
      <c r="J1991" s="95">
        <v>1</v>
      </c>
      <c r="K1991" s="95">
        <v>11</v>
      </c>
      <c r="L1991" s="150"/>
      <c r="M1991" s="146" t="s">
        <v>22</v>
      </c>
      <c r="N1991" s="149"/>
      <c r="O1991" s="149"/>
      <c r="P1991" s="149"/>
      <c r="Q1991" s="149"/>
      <c r="R1991" s="149"/>
      <c r="S1991" s="149"/>
      <c r="T1991" s="149"/>
      <c r="U1991" s="149"/>
      <c r="V1991" s="89"/>
      <c r="W1991" s="91"/>
      <c r="X1991" s="91"/>
      <c r="Y1991" s="91"/>
    </row>
    <row r="1992" spans="1:25" s="26" customFormat="1" ht="15" customHeight="1" x14ac:dyDescent="0.2">
      <c r="A1992" s="93">
        <v>41796.4394791667</v>
      </c>
      <c r="B1992" s="89" t="s">
        <v>16</v>
      </c>
      <c r="C1992" s="52" t="s">
        <v>913</v>
      </c>
      <c r="D1992" s="87" t="s">
        <v>6224</v>
      </c>
      <c r="E1992" s="89" t="s">
        <v>7326</v>
      </c>
      <c r="F1992" s="89" t="s">
        <v>21</v>
      </c>
      <c r="G1992" s="89" t="s">
        <v>26</v>
      </c>
      <c r="H1992" s="89" t="s">
        <v>2480</v>
      </c>
      <c r="I1992" s="89" t="s">
        <v>3001</v>
      </c>
      <c r="J1992" s="95">
        <v>1</v>
      </c>
      <c r="K1992" s="95" t="s">
        <v>7327</v>
      </c>
      <c r="L1992" s="150"/>
      <c r="M1992" s="146" t="s">
        <v>22</v>
      </c>
      <c r="N1992" s="149"/>
      <c r="O1992" s="149"/>
      <c r="P1992" s="149"/>
      <c r="Q1992" s="149"/>
      <c r="R1992" s="149"/>
      <c r="S1992" s="149"/>
      <c r="T1992" s="149"/>
      <c r="U1992" s="149"/>
      <c r="V1992" s="89"/>
      <c r="W1992" s="91"/>
      <c r="X1992" s="91"/>
      <c r="Y1992" s="91"/>
    </row>
    <row r="1993" spans="1:25" s="26" customFormat="1" ht="15" customHeight="1" x14ac:dyDescent="0.2">
      <c r="A1993" s="93">
        <v>41796.440046296302</v>
      </c>
      <c r="B1993" s="89" t="s">
        <v>16</v>
      </c>
      <c r="C1993" s="52" t="s">
        <v>913</v>
      </c>
      <c r="D1993" s="87" t="s">
        <v>6224</v>
      </c>
      <c r="E1993" s="89" t="s">
        <v>4311</v>
      </c>
      <c r="F1993" s="89" t="s">
        <v>927</v>
      </c>
      <c r="G1993" s="89" t="s">
        <v>26</v>
      </c>
      <c r="H1993" s="89" t="s">
        <v>953</v>
      </c>
      <c r="I1993" s="89" t="s">
        <v>3001</v>
      </c>
      <c r="J1993" s="95">
        <v>1</v>
      </c>
      <c r="K1993" s="95">
        <v>25</v>
      </c>
      <c r="L1993" s="150">
        <v>25</v>
      </c>
      <c r="M1993" s="146" t="s">
        <v>22</v>
      </c>
      <c r="N1993" s="149"/>
      <c r="O1993" s="149"/>
      <c r="P1993" s="149"/>
      <c r="Q1993" s="149"/>
      <c r="R1993" s="149"/>
      <c r="S1993" s="149"/>
      <c r="T1993" s="149"/>
      <c r="U1993" s="149"/>
      <c r="V1993" s="89"/>
      <c r="W1993" s="91"/>
      <c r="X1993" s="91"/>
      <c r="Y1993" s="91"/>
    </row>
    <row r="1994" spans="1:25" s="26" customFormat="1" ht="15" customHeight="1" x14ac:dyDescent="0.2">
      <c r="A1994" s="93">
        <v>41796.440891203703</v>
      </c>
      <c r="B1994" s="89" t="s">
        <v>16</v>
      </c>
      <c r="C1994" s="52" t="s">
        <v>913</v>
      </c>
      <c r="D1994" s="87" t="s">
        <v>6224</v>
      </c>
      <c r="E1994" s="89" t="s">
        <v>7328</v>
      </c>
      <c r="F1994" s="89" t="s">
        <v>3993</v>
      </c>
      <c r="G1994" s="89" t="s">
        <v>26</v>
      </c>
      <c r="H1994" s="89" t="s">
        <v>3993</v>
      </c>
      <c r="I1994" s="89" t="s">
        <v>2986</v>
      </c>
      <c r="J1994" s="95">
        <v>1</v>
      </c>
      <c r="K1994" s="95">
        <v>0</v>
      </c>
      <c r="L1994" s="150"/>
      <c r="M1994" s="146" t="s">
        <v>22</v>
      </c>
      <c r="N1994" s="149"/>
      <c r="O1994" s="149"/>
      <c r="P1994" s="149"/>
      <c r="Q1994" s="149"/>
      <c r="R1994" s="149"/>
      <c r="S1994" s="149"/>
      <c r="T1994" s="149"/>
      <c r="U1994" s="149"/>
      <c r="V1994" s="89"/>
      <c r="W1994" s="91"/>
      <c r="X1994" s="91"/>
      <c r="Y1994" s="91"/>
    </row>
    <row r="1995" spans="1:25" s="26" customFormat="1" ht="15" customHeight="1" x14ac:dyDescent="0.2">
      <c r="A1995" s="93">
        <v>41796.441770833299</v>
      </c>
      <c r="B1995" s="89" t="s">
        <v>16</v>
      </c>
      <c r="C1995" s="52" t="s">
        <v>913</v>
      </c>
      <c r="D1995" s="87" t="s">
        <v>6224</v>
      </c>
      <c r="E1995" s="89" t="s">
        <v>7329</v>
      </c>
      <c r="F1995" s="89" t="s">
        <v>6644</v>
      </c>
      <c r="G1995" s="89" t="s">
        <v>26</v>
      </c>
      <c r="H1995" s="89" t="s">
        <v>921</v>
      </c>
      <c r="I1995" s="89" t="s">
        <v>2986</v>
      </c>
      <c r="J1995" s="95">
        <v>1</v>
      </c>
      <c r="K1995" s="95">
        <v>6</v>
      </c>
      <c r="L1995" s="150">
        <v>60</v>
      </c>
      <c r="M1995" s="146" t="s">
        <v>22</v>
      </c>
      <c r="N1995" s="149"/>
      <c r="O1995" s="149"/>
      <c r="P1995" s="149"/>
      <c r="Q1995" s="149"/>
      <c r="R1995" s="149"/>
      <c r="S1995" s="149"/>
      <c r="T1995" s="149"/>
      <c r="U1995" s="149"/>
      <c r="V1995" s="89"/>
      <c r="W1995" s="91"/>
      <c r="X1995" s="91"/>
      <c r="Y1995" s="91"/>
    </row>
    <row r="1996" spans="1:25" s="26" customFormat="1" ht="15" customHeight="1" x14ac:dyDescent="0.2">
      <c r="A1996" s="93">
        <v>41796.443101851801</v>
      </c>
      <c r="B1996" s="89" t="s">
        <v>16</v>
      </c>
      <c r="C1996" s="52" t="s">
        <v>913</v>
      </c>
      <c r="D1996" s="87" t="s">
        <v>6224</v>
      </c>
      <c r="E1996" s="89" t="s">
        <v>7332</v>
      </c>
      <c r="F1996" s="89" t="s">
        <v>7333</v>
      </c>
      <c r="G1996" s="89" t="s">
        <v>351</v>
      </c>
      <c r="H1996" s="89" t="s">
        <v>7334</v>
      </c>
      <c r="I1996" s="89" t="s">
        <v>3001</v>
      </c>
      <c r="J1996" s="95">
        <v>1</v>
      </c>
      <c r="K1996" s="95">
        <v>40</v>
      </c>
      <c r="L1996" s="150">
        <v>70</v>
      </c>
      <c r="M1996" s="146" t="s">
        <v>22</v>
      </c>
      <c r="N1996" s="149"/>
      <c r="O1996" s="149"/>
      <c r="P1996" s="149"/>
      <c r="Q1996" s="149"/>
      <c r="R1996" s="149"/>
      <c r="S1996" s="149"/>
      <c r="T1996" s="149"/>
      <c r="U1996" s="149"/>
      <c r="V1996" s="89"/>
      <c r="W1996" s="91"/>
      <c r="X1996" s="91"/>
      <c r="Y1996" s="91"/>
    </row>
    <row r="1997" spans="1:25" s="26" customFormat="1" ht="15" customHeight="1" x14ac:dyDescent="0.2">
      <c r="A1997" s="32">
        <v>41642.500925925924</v>
      </c>
      <c r="B1997" s="26" t="s">
        <v>16</v>
      </c>
      <c r="C1997" s="26" t="s">
        <v>3903</v>
      </c>
      <c r="D1997" s="68">
        <v>41609</v>
      </c>
      <c r="E1997" s="26" t="s">
        <v>3904</v>
      </c>
      <c r="F1997" s="26" t="s">
        <v>3905</v>
      </c>
      <c r="G1997" s="34" t="s">
        <v>156</v>
      </c>
      <c r="H1997" s="26" t="s">
        <v>3906</v>
      </c>
      <c r="I1997" s="26" t="s">
        <v>3907</v>
      </c>
      <c r="J1997" s="46">
        <v>15</v>
      </c>
      <c r="K1997" s="46">
        <v>439</v>
      </c>
      <c r="L1997" s="136">
        <v>12000</v>
      </c>
      <c r="M1997" s="137" t="s">
        <v>44</v>
      </c>
      <c r="N1997" s="138"/>
      <c r="O1997" s="138"/>
      <c r="P1997" s="138">
        <v>225</v>
      </c>
      <c r="Q1997" s="138"/>
      <c r="R1997" s="138"/>
      <c r="S1997" s="138"/>
      <c r="T1997" s="138"/>
      <c r="U1997" s="138">
        <v>525</v>
      </c>
    </row>
    <row r="1998" spans="1:25" s="26" customFormat="1" ht="15" customHeight="1" x14ac:dyDescent="0.2">
      <c r="A1998" s="32">
        <v>41703.410682870373</v>
      </c>
      <c r="B1998" s="26" t="s">
        <v>16</v>
      </c>
      <c r="C1998" s="26" t="s">
        <v>3903</v>
      </c>
      <c r="D1998" s="33">
        <v>41671</v>
      </c>
      <c r="E1998" s="26" t="s">
        <v>4868</v>
      </c>
      <c r="F1998" s="26" t="s">
        <v>4869</v>
      </c>
      <c r="G1998" s="26" t="s">
        <v>60</v>
      </c>
      <c r="H1998" s="26" t="s">
        <v>4870</v>
      </c>
      <c r="I1998" s="26" t="s">
        <v>4871</v>
      </c>
      <c r="J1998" s="46">
        <v>1</v>
      </c>
      <c r="K1998" s="46">
        <v>17</v>
      </c>
      <c r="L1998" s="136"/>
      <c r="M1998" s="137" t="s">
        <v>44</v>
      </c>
      <c r="N1998" s="138"/>
      <c r="O1998" s="138"/>
      <c r="P1998" s="138">
        <v>86.61</v>
      </c>
      <c r="Q1998" s="138"/>
      <c r="R1998" s="138"/>
      <c r="S1998" s="138"/>
      <c r="T1998" s="138"/>
      <c r="U1998" s="138"/>
    </row>
    <row r="1999" spans="1:25" s="26" customFormat="1" ht="15" customHeight="1" x14ac:dyDescent="0.2">
      <c r="A1999" s="32">
        <v>41703.418425925927</v>
      </c>
      <c r="B1999" s="26" t="s">
        <v>16</v>
      </c>
      <c r="C1999" s="26" t="s">
        <v>3903</v>
      </c>
      <c r="D1999" s="33">
        <v>41671</v>
      </c>
      <c r="E1999" s="26" t="s">
        <v>4878</v>
      </c>
      <c r="F1999" s="26" t="s">
        <v>4879</v>
      </c>
      <c r="G1999" s="26" t="s">
        <v>42</v>
      </c>
      <c r="H1999" s="26" t="s">
        <v>4880</v>
      </c>
      <c r="I1999" s="26" t="s">
        <v>2926</v>
      </c>
      <c r="J1999" s="46">
        <v>2</v>
      </c>
      <c r="K1999" s="46">
        <v>26</v>
      </c>
      <c r="L1999" s="136"/>
      <c r="M1999" s="137" t="s">
        <v>22</v>
      </c>
      <c r="N1999" s="138"/>
      <c r="O1999" s="138"/>
      <c r="P1999" s="138"/>
      <c r="Q1999" s="138"/>
      <c r="R1999" s="138"/>
      <c r="S1999" s="138"/>
      <c r="T1999" s="138"/>
      <c r="U1999" s="138"/>
    </row>
    <row r="2000" spans="1:25" s="26" customFormat="1" ht="15" customHeight="1" x14ac:dyDescent="0.2">
      <c r="A2000" s="55">
        <v>41764.626516203702</v>
      </c>
      <c r="B2000" s="52" t="s">
        <v>16</v>
      </c>
      <c r="C2000" s="52" t="s">
        <v>3903</v>
      </c>
      <c r="D2000" s="88" t="s">
        <v>6076</v>
      </c>
      <c r="E2000" s="52" t="s">
        <v>6386</v>
      </c>
      <c r="F2000" s="52" t="s">
        <v>6387</v>
      </c>
      <c r="G2000" s="52" t="s">
        <v>42</v>
      </c>
      <c r="H2000" s="52" t="s">
        <v>6388</v>
      </c>
      <c r="I2000" s="52" t="s">
        <v>3265</v>
      </c>
      <c r="J2000" s="95">
        <v>1</v>
      </c>
      <c r="K2000" s="95">
        <v>22</v>
      </c>
      <c r="L2000" s="149"/>
      <c r="M2000" s="146" t="s">
        <v>22</v>
      </c>
      <c r="N2000" s="149"/>
      <c r="O2000" s="149"/>
      <c r="P2000" s="149"/>
      <c r="Q2000" s="149"/>
      <c r="R2000" s="149"/>
      <c r="S2000" s="149"/>
      <c r="T2000" s="149"/>
      <c r="U2000" s="149"/>
      <c r="V2000" s="52"/>
    </row>
    <row r="2001" spans="1:25" s="26" customFormat="1" ht="15" customHeight="1" x14ac:dyDescent="0.2">
      <c r="A2001" s="93">
        <v>41796.443657407399</v>
      </c>
      <c r="B2001" s="89" t="s">
        <v>16</v>
      </c>
      <c r="C2001" s="52" t="s">
        <v>913</v>
      </c>
      <c r="D2001" s="87" t="s">
        <v>6224</v>
      </c>
      <c r="E2001" s="89" t="s">
        <v>7321</v>
      </c>
      <c r="F2001" s="89" t="s">
        <v>7306</v>
      </c>
      <c r="G2001" s="89" t="s">
        <v>26</v>
      </c>
      <c r="H2001" s="89" t="s">
        <v>7322</v>
      </c>
      <c r="I2001" s="89" t="s">
        <v>2986</v>
      </c>
      <c r="J2001" s="95">
        <v>1</v>
      </c>
      <c r="K2001" s="95">
        <v>12</v>
      </c>
      <c r="L2001" s="150"/>
      <c r="M2001" s="146" t="s">
        <v>22</v>
      </c>
      <c r="N2001" s="149"/>
      <c r="O2001" s="149"/>
      <c r="P2001" s="149"/>
      <c r="Q2001" s="149"/>
      <c r="R2001" s="149"/>
      <c r="S2001" s="149"/>
      <c r="T2001" s="149"/>
      <c r="U2001" s="149"/>
      <c r="V2001" s="89"/>
      <c r="W2001" s="91"/>
      <c r="X2001" s="91"/>
      <c r="Y2001" s="91"/>
    </row>
    <row r="2002" spans="1:25" s="26" customFormat="1" ht="15" customHeight="1" x14ac:dyDescent="0.2">
      <c r="A2002" s="37">
        <v>41460.559155092596</v>
      </c>
      <c r="B2002" s="26" t="s">
        <v>38</v>
      </c>
      <c r="C2002" s="26" t="s">
        <v>39</v>
      </c>
      <c r="D2002" s="33">
        <v>41456</v>
      </c>
      <c r="E2002" s="26" t="s">
        <v>40</v>
      </c>
      <c r="F2002" s="26" t="s">
        <v>41</v>
      </c>
      <c r="G2002" s="26" t="s">
        <v>42</v>
      </c>
      <c r="H2002" s="26" t="s">
        <v>43</v>
      </c>
      <c r="J2002" s="115">
        <v>1</v>
      </c>
      <c r="K2002" s="115">
        <v>20</v>
      </c>
      <c r="L2002" s="136"/>
      <c r="M2002" s="137" t="s">
        <v>44</v>
      </c>
      <c r="N2002" s="138">
        <v>91.49</v>
      </c>
      <c r="O2002" s="138"/>
      <c r="P2002" s="138"/>
      <c r="Q2002" s="138"/>
      <c r="R2002" s="138"/>
      <c r="S2002" s="138"/>
      <c r="T2002" s="138"/>
      <c r="U2002" s="138"/>
    </row>
    <row r="2003" spans="1:25" s="26" customFormat="1" ht="15" customHeight="1" x14ac:dyDescent="0.2">
      <c r="A2003" s="37">
        <v>41460.560868055603</v>
      </c>
      <c r="B2003" s="26" t="s">
        <v>38</v>
      </c>
      <c r="C2003" s="26" t="s">
        <v>39</v>
      </c>
      <c r="D2003" s="33">
        <v>41456</v>
      </c>
      <c r="E2003" s="26" t="s">
        <v>45</v>
      </c>
      <c r="F2003" s="26" t="s">
        <v>46</v>
      </c>
      <c r="G2003" s="26" t="s">
        <v>42</v>
      </c>
      <c r="H2003" s="26" t="s">
        <v>43</v>
      </c>
      <c r="J2003" s="115">
        <v>1</v>
      </c>
      <c r="K2003" s="115">
        <v>24</v>
      </c>
      <c r="L2003" s="136"/>
      <c r="M2003" s="137" t="s">
        <v>44</v>
      </c>
      <c r="N2003" s="138">
        <v>82.39</v>
      </c>
      <c r="O2003" s="138"/>
      <c r="P2003" s="138"/>
      <c r="Q2003" s="138"/>
      <c r="R2003" s="138"/>
      <c r="S2003" s="138"/>
      <c r="T2003" s="138"/>
      <c r="U2003" s="138"/>
    </row>
    <row r="2004" spans="1:25" s="26" customFormat="1" ht="15" customHeight="1" x14ac:dyDescent="0.2">
      <c r="A2004" s="37">
        <v>41470.443206018499</v>
      </c>
      <c r="B2004" s="26" t="s">
        <v>38</v>
      </c>
      <c r="C2004" s="26" t="s">
        <v>39</v>
      </c>
      <c r="D2004" s="33">
        <v>41456</v>
      </c>
      <c r="E2004" s="26" t="s">
        <v>204</v>
      </c>
      <c r="F2004" s="26" t="s">
        <v>205</v>
      </c>
      <c r="G2004" s="26" t="s">
        <v>42</v>
      </c>
      <c r="H2004" s="26" t="s">
        <v>206</v>
      </c>
      <c r="J2004" s="115">
        <v>1</v>
      </c>
      <c r="K2004" s="115">
        <v>17</v>
      </c>
      <c r="L2004" s="136"/>
      <c r="M2004" s="137" t="s">
        <v>44</v>
      </c>
      <c r="N2004" s="138">
        <v>145.52000000000001</v>
      </c>
      <c r="O2004" s="138"/>
      <c r="P2004" s="138">
        <v>75</v>
      </c>
      <c r="Q2004" s="138"/>
      <c r="R2004" s="138"/>
      <c r="S2004" s="138"/>
      <c r="T2004" s="138"/>
      <c r="U2004" s="138"/>
    </row>
    <row r="2005" spans="1:25" s="26" customFormat="1" ht="15" customHeight="1" x14ac:dyDescent="0.2">
      <c r="A2005" s="37">
        <v>41470.445798611101</v>
      </c>
      <c r="B2005" s="26" t="s">
        <v>38</v>
      </c>
      <c r="C2005" s="26" t="s">
        <v>39</v>
      </c>
      <c r="D2005" s="33">
        <v>41456</v>
      </c>
      <c r="E2005" s="26" t="s">
        <v>207</v>
      </c>
      <c r="F2005" s="26" t="s">
        <v>208</v>
      </c>
      <c r="G2005" s="26" t="s">
        <v>42</v>
      </c>
      <c r="H2005" s="26" t="s">
        <v>209</v>
      </c>
      <c r="J2005" s="115">
        <v>1</v>
      </c>
      <c r="K2005" s="115">
        <v>53</v>
      </c>
      <c r="L2005" s="136"/>
      <c r="M2005" s="137" t="s">
        <v>44</v>
      </c>
      <c r="N2005" s="138">
        <v>263.5</v>
      </c>
      <c r="O2005" s="138"/>
      <c r="P2005" s="138">
        <v>175</v>
      </c>
      <c r="Q2005" s="138"/>
      <c r="R2005" s="138"/>
      <c r="S2005" s="138"/>
      <c r="T2005" s="138"/>
      <c r="U2005" s="138"/>
    </row>
    <row r="2006" spans="1:25" s="26" customFormat="1" ht="15" customHeight="1" x14ac:dyDescent="0.2">
      <c r="A2006" s="37">
        <v>41477.4277546296</v>
      </c>
      <c r="B2006" s="26" t="s">
        <v>38</v>
      </c>
      <c r="C2006" s="26" t="s">
        <v>39</v>
      </c>
      <c r="D2006" s="33">
        <v>41456</v>
      </c>
      <c r="E2006" s="26" t="s">
        <v>255</v>
      </c>
      <c r="F2006" s="26" t="s">
        <v>276</v>
      </c>
      <c r="G2006" s="26" t="s">
        <v>42</v>
      </c>
      <c r="H2006" s="26" t="s">
        <v>277</v>
      </c>
      <c r="J2006" s="115">
        <v>1</v>
      </c>
      <c r="K2006" s="115">
        <v>48</v>
      </c>
      <c r="L2006" s="136"/>
      <c r="M2006" s="137" t="s">
        <v>44</v>
      </c>
      <c r="N2006" s="138">
        <v>359.52</v>
      </c>
      <c r="O2006" s="138"/>
      <c r="P2006" s="138">
        <v>185</v>
      </c>
      <c r="Q2006" s="138"/>
      <c r="R2006" s="138"/>
      <c r="S2006" s="138"/>
      <c r="T2006" s="138"/>
      <c r="U2006" s="138"/>
    </row>
    <row r="2007" spans="1:25" s="26" customFormat="1" ht="15" customHeight="1" x14ac:dyDescent="0.2">
      <c r="A2007" s="37">
        <v>41477.429317129601</v>
      </c>
      <c r="B2007" s="26" t="s">
        <v>38</v>
      </c>
      <c r="C2007" s="26" t="s">
        <v>39</v>
      </c>
      <c r="D2007" s="33">
        <v>41456</v>
      </c>
      <c r="E2007" s="26" t="s">
        <v>278</v>
      </c>
      <c r="F2007" s="26" t="s">
        <v>279</v>
      </c>
      <c r="G2007" s="26" t="s">
        <v>42</v>
      </c>
      <c r="H2007" s="26" t="s">
        <v>280</v>
      </c>
      <c r="J2007" s="115">
        <v>1</v>
      </c>
      <c r="K2007" s="115">
        <v>34</v>
      </c>
      <c r="L2007" s="136"/>
      <c r="M2007" s="137" t="s">
        <v>44</v>
      </c>
      <c r="N2007" s="138">
        <v>128.62</v>
      </c>
      <c r="O2007" s="138"/>
      <c r="P2007" s="138"/>
      <c r="Q2007" s="138"/>
      <c r="R2007" s="138"/>
      <c r="S2007" s="138"/>
      <c r="T2007" s="138"/>
      <c r="U2007" s="138"/>
    </row>
    <row r="2008" spans="1:25" s="26" customFormat="1" ht="15" customHeight="1" x14ac:dyDescent="0.2">
      <c r="A2008" s="37">
        <v>41488.548125000001</v>
      </c>
      <c r="B2008" s="26" t="s">
        <v>38</v>
      </c>
      <c r="C2008" s="26" t="s">
        <v>39</v>
      </c>
      <c r="D2008" s="33">
        <v>41456</v>
      </c>
      <c r="E2008" s="26" t="s">
        <v>645</v>
      </c>
      <c r="F2008" s="26" t="s">
        <v>646</v>
      </c>
      <c r="G2008" s="26" t="s">
        <v>42</v>
      </c>
      <c r="H2008" s="26" t="s">
        <v>647</v>
      </c>
      <c r="J2008" s="115">
        <v>1</v>
      </c>
      <c r="K2008" s="115">
        <v>48</v>
      </c>
      <c r="L2008" s="136"/>
      <c r="M2008" s="137" t="s">
        <v>44</v>
      </c>
      <c r="N2008" s="138">
        <v>359.52</v>
      </c>
      <c r="O2008" s="138"/>
      <c r="P2008" s="138"/>
      <c r="Q2008" s="138"/>
      <c r="R2008" s="138"/>
      <c r="S2008" s="138"/>
      <c r="T2008" s="138"/>
      <c r="U2008" s="138"/>
    </row>
    <row r="2009" spans="1:25" s="26" customFormat="1" ht="15" customHeight="1" x14ac:dyDescent="0.2">
      <c r="A2009" s="37">
        <v>41488.5536111111</v>
      </c>
      <c r="B2009" s="26" t="s">
        <v>38</v>
      </c>
      <c r="C2009" s="26" t="s">
        <v>39</v>
      </c>
      <c r="D2009" s="33">
        <v>41456</v>
      </c>
      <c r="E2009" s="26" t="s">
        <v>648</v>
      </c>
      <c r="F2009" s="26" t="s">
        <v>649</v>
      </c>
      <c r="G2009" s="26" t="s">
        <v>42</v>
      </c>
      <c r="H2009" s="26" t="s">
        <v>647</v>
      </c>
      <c r="J2009" s="115">
        <v>1</v>
      </c>
      <c r="K2009" s="115">
        <v>34</v>
      </c>
      <c r="L2009" s="136"/>
      <c r="M2009" s="137" t="s">
        <v>44</v>
      </c>
      <c r="N2009" s="138">
        <v>128.62</v>
      </c>
      <c r="O2009" s="138"/>
      <c r="P2009" s="138"/>
      <c r="Q2009" s="138"/>
      <c r="R2009" s="138"/>
      <c r="S2009" s="138"/>
      <c r="T2009" s="138"/>
      <c r="U2009" s="138"/>
    </row>
    <row r="2010" spans="1:25" s="26" customFormat="1" ht="15" customHeight="1" x14ac:dyDescent="0.2">
      <c r="A2010" s="37">
        <v>41490.402870370403</v>
      </c>
      <c r="B2010" s="26" t="s">
        <v>38</v>
      </c>
      <c r="C2010" s="26" t="s">
        <v>39</v>
      </c>
      <c r="D2010" s="33">
        <v>41456</v>
      </c>
      <c r="E2010" s="26" t="s">
        <v>678</v>
      </c>
      <c r="F2010" s="26" t="s">
        <v>344</v>
      </c>
      <c r="G2010" s="34" t="s">
        <v>60</v>
      </c>
      <c r="H2010" s="26" t="s">
        <v>679</v>
      </c>
      <c r="J2010" s="115">
        <v>173</v>
      </c>
      <c r="K2010" s="115">
        <v>293</v>
      </c>
      <c r="L2010" s="136"/>
      <c r="M2010" s="137" t="s">
        <v>22</v>
      </c>
      <c r="N2010" s="138"/>
      <c r="O2010" s="138"/>
      <c r="P2010" s="138"/>
      <c r="Q2010" s="138"/>
      <c r="R2010" s="138"/>
      <c r="S2010" s="138"/>
      <c r="T2010" s="138"/>
      <c r="U2010" s="138"/>
    </row>
    <row r="2011" spans="1:25" s="26" customFormat="1" ht="15" customHeight="1" x14ac:dyDescent="0.2">
      <c r="A2011" s="37">
        <v>41490.407928240696</v>
      </c>
      <c r="B2011" s="26" t="s">
        <v>38</v>
      </c>
      <c r="C2011" s="26" t="s">
        <v>39</v>
      </c>
      <c r="D2011" s="33">
        <v>41456</v>
      </c>
      <c r="E2011" s="26" t="s">
        <v>678</v>
      </c>
      <c r="F2011" s="26" t="s">
        <v>680</v>
      </c>
      <c r="G2011" s="26" t="s">
        <v>60</v>
      </c>
      <c r="H2011" s="26" t="s">
        <v>681</v>
      </c>
      <c r="J2011" s="115">
        <v>450</v>
      </c>
      <c r="K2011" s="115">
        <v>5535</v>
      </c>
      <c r="L2011" s="136"/>
      <c r="M2011" s="137"/>
      <c r="N2011" s="138"/>
      <c r="O2011" s="138"/>
      <c r="P2011" s="138"/>
      <c r="Q2011" s="138"/>
      <c r="R2011" s="138"/>
      <c r="S2011" s="138"/>
      <c r="T2011" s="138"/>
      <c r="U2011" s="138"/>
    </row>
    <row r="2012" spans="1:25" s="26" customFormat="1" ht="15" customHeight="1" x14ac:dyDescent="0.2">
      <c r="A2012" s="38">
        <v>41493.530219907407</v>
      </c>
      <c r="B2012" s="29" t="s">
        <v>38</v>
      </c>
      <c r="C2012" s="29" t="s">
        <v>39</v>
      </c>
      <c r="D2012" s="30">
        <v>41487</v>
      </c>
      <c r="E2012" s="29" t="s">
        <v>1296</v>
      </c>
      <c r="F2012" s="29" t="s">
        <v>1297</v>
      </c>
      <c r="G2012" s="29" t="s">
        <v>42</v>
      </c>
      <c r="H2012" s="29" t="s">
        <v>1298</v>
      </c>
      <c r="I2012" s="29"/>
      <c r="J2012" s="116">
        <v>1</v>
      </c>
      <c r="K2012" s="116">
        <v>18</v>
      </c>
      <c r="L2012" s="139"/>
      <c r="M2012" s="140" t="s">
        <v>44</v>
      </c>
      <c r="N2012" s="141">
        <v>136</v>
      </c>
      <c r="O2012" s="141"/>
      <c r="P2012" s="141">
        <v>60</v>
      </c>
      <c r="Q2012" s="141"/>
      <c r="R2012" s="141"/>
      <c r="S2012" s="141"/>
      <c r="T2012" s="141"/>
      <c r="U2012" s="141"/>
      <c r="V2012" s="29"/>
    </row>
    <row r="2013" spans="1:25" s="26" customFormat="1" ht="15" customHeight="1" x14ac:dyDescent="0.2">
      <c r="A2013" s="38">
        <v>41493.532210648147</v>
      </c>
      <c r="B2013" s="29" t="s">
        <v>38</v>
      </c>
      <c r="C2013" s="29" t="s">
        <v>39</v>
      </c>
      <c r="D2013" s="30">
        <v>41487</v>
      </c>
      <c r="E2013" s="29" t="s">
        <v>1299</v>
      </c>
      <c r="F2013" s="29" t="s">
        <v>1300</v>
      </c>
      <c r="G2013" s="29" t="s">
        <v>42</v>
      </c>
      <c r="H2013" s="29" t="s">
        <v>1298</v>
      </c>
      <c r="I2013" s="29"/>
      <c r="J2013" s="116">
        <v>1</v>
      </c>
      <c r="K2013" s="116">
        <v>36</v>
      </c>
      <c r="L2013" s="139"/>
      <c r="M2013" s="140" t="s">
        <v>44</v>
      </c>
      <c r="N2013" s="141">
        <v>230.5</v>
      </c>
      <c r="O2013" s="141"/>
      <c r="P2013" s="141">
        <v>95.95</v>
      </c>
      <c r="Q2013" s="141"/>
      <c r="R2013" s="141"/>
      <c r="S2013" s="141"/>
      <c r="T2013" s="141"/>
      <c r="U2013" s="141"/>
      <c r="V2013" s="29"/>
    </row>
    <row r="2014" spans="1:25" s="26" customFormat="1" ht="15" customHeight="1" x14ac:dyDescent="0.2">
      <c r="A2014" s="38">
        <v>41493.533506944441</v>
      </c>
      <c r="B2014" s="29" t="s">
        <v>38</v>
      </c>
      <c r="C2014" s="29" t="s">
        <v>39</v>
      </c>
      <c r="D2014" s="30">
        <v>41487</v>
      </c>
      <c r="E2014" s="29" t="s">
        <v>1301</v>
      </c>
      <c r="F2014" s="29" t="s">
        <v>1302</v>
      </c>
      <c r="G2014" s="29" t="s">
        <v>42</v>
      </c>
      <c r="H2014" s="29" t="s">
        <v>1298</v>
      </c>
      <c r="I2014" s="29"/>
      <c r="J2014" s="116">
        <v>1</v>
      </c>
      <c r="K2014" s="116">
        <v>33</v>
      </c>
      <c r="L2014" s="139"/>
      <c r="M2014" s="140"/>
      <c r="N2014" s="141">
        <v>231</v>
      </c>
      <c r="O2014" s="141"/>
      <c r="P2014" s="141"/>
      <c r="Q2014" s="141"/>
      <c r="R2014" s="141"/>
      <c r="S2014" s="141"/>
      <c r="T2014" s="141"/>
      <c r="U2014" s="141"/>
      <c r="V2014" s="29"/>
    </row>
    <row r="2015" spans="1:25" s="26" customFormat="1" ht="15" customHeight="1" x14ac:dyDescent="0.2">
      <c r="A2015" s="38">
        <v>41502.58625</v>
      </c>
      <c r="B2015" s="29" t="s">
        <v>38</v>
      </c>
      <c r="C2015" s="29" t="s">
        <v>39</v>
      </c>
      <c r="D2015" s="30">
        <v>41487</v>
      </c>
      <c r="E2015" s="31" t="s">
        <v>1370</v>
      </c>
      <c r="F2015" s="29" t="s">
        <v>1371</v>
      </c>
      <c r="G2015" s="29" t="s">
        <v>42</v>
      </c>
      <c r="H2015" s="29" t="s">
        <v>43</v>
      </c>
      <c r="I2015" s="29"/>
      <c r="J2015" s="116">
        <v>1</v>
      </c>
      <c r="K2015" s="116">
        <v>20</v>
      </c>
      <c r="L2015" s="139"/>
      <c r="M2015" s="140" t="s">
        <v>44</v>
      </c>
      <c r="N2015" s="141">
        <v>149.80000000000001</v>
      </c>
      <c r="O2015" s="141"/>
      <c r="P2015" s="141">
        <v>4.75</v>
      </c>
      <c r="Q2015" s="141"/>
      <c r="R2015" s="141"/>
      <c r="S2015" s="141"/>
      <c r="T2015" s="141"/>
      <c r="U2015" s="141"/>
      <c r="V2015" s="29"/>
    </row>
    <row r="2016" spans="1:25" s="26" customFormat="1" ht="15" customHeight="1" x14ac:dyDescent="0.2">
      <c r="A2016" s="38">
        <v>41502.596770833334</v>
      </c>
      <c r="B2016" s="29" t="s">
        <v>38</v>
      </c>
      <c r="C2016" s="29" t="s">
        <v>39</v>
      </c>
      <c r="D2016" s="30">
        <v>41487</v>
      </c>
      <c r="E2016" s="31" t="s">
        <v>1372</v>
      </c>
      <c r="F2016" s="29" t="s">
        <v>1373</v>
      </c>
      <c r="G2016" s="29" t="s">
        <v>42</v>
      </c>
      <c r="H2016" s="29" t="s">
        <v>43</v>
      </c>
      <c r="I2016" s="29"/>
      <c r="J2016" s="116">
        <v>1</v>
      </c>
      <c r="K2016" s="116">
        <v>37</v>
      </c>
      <c r="L2016" s="139"/>
      <c r="M2016" s="140" t="s">
        <v>44</v>
      </c>
      <c r="N2016" s="141">
        <v>259</v>
      </c>
      <c r="O2016" s="141"/>
      <c r="P2016" s="141"/>
      <c r="Q2016" s="141"/>
      <c r="R2016" s="141"/>
      <c r="S2016" s="141"/>
      <c r="T2016" s="141"/>
      <c r="U2016" s="141"/>
      <c r="V2016" s="29"/>
    </row>
    <row r="2017" spans="1:22" s="26" customFormat="1" ht="15" customHeight="1" x14ac:dyDescent="0.2">
      <c r="A2017" s="38">
        <v>41516.429016203707</v>
      </c>
      <c r="B2017" s="29" t="s">
        <v>38</v>
      </c>
      <c r="C2017" s="29" t="s">
        <v>39</v>
      </c>
      <c r="D2017" s="30">
        <v>41487</v>
      </c>
      <c r="E2017" s="31" t="s">
        <v>1434</v>
      </c>
      <c r="F2017" s="29" t="s">
        <v>1435</v>
      </c>
      <c r="G2017" s="29" t="s">
        <v>42</v>
      </c>
      <c r="H2017" s="29" t="s">
        <v>647</v>
      </c>
      <c r="I2017" s="29"/>
      <c r="J2017" s="116">
        <v>1</v>
      </c>
      <c r="K2017" s="116">
        <v>66</v>
      </c>
      <c r="L2017" s="139"/>
      <c r="M2017" s="140" t="s">
        <v>44</v>
      </c>
      <c r="N2017" s="141">
        <v>494.34</v>
      </c>
      <c r="O2017" s="141"/>
      <c r="P2017" s="141"/>
      <c r="Q2017" s="141"/>
      <c r="R2017" s="141"/>
      <c r="S2017" s="141"/>
      <c r="T2017" s="141"/>
      <c r="U2017" s="141"/>
      <c r="V2017" s="29"/>
    </row>
    <row r="2018" spans="1:22" s="26" customFormat="1" ht="15" customHeight="1" x14ac:dyDescent="0.2">
      <c r="A2018" s="38">
        <v>41516.430196759262</v>
      </c>
      <c r="B2018" s="29" t="s">
        <v>38</v>
      </c>
      <c r="C2018" s="29" t="s">
        <v>39</v>
      </c>
      <c r="D2018" s="30">
        <v>41487</v>
      </c>
      <c r="E2018" s="31" t="s">
        <v>1438</v>
      </c>
      <c r="F2018" s="29" t="s">
        <v>1439</v>
      </c>
      <c r="G2018" s="29" t="s">
        <v>42</v>
      </c>
      <c r="H2018" s="29" t="s">
        <v>647</v>
      </c>
      <c r="I2018" s="29"/>
      <c r="J2018" s="116">
        <v>1</v>
      </c>
      <c r="K2018" s="116">
        <v>15</v>
      </c>
      <c r="L2018" s="139"/>
      <c r="M2018" s="140" t="s">
        <v>44</v>
      </c>
      <c r="N2018" s="141">
        <v>132.68</v>
      </c>
      <c r="O2018" s="141"/>
      <c r="P2018" s="141"/>
      <c r="Q2018" s="141"/>
      <c r="R2018" s="141"/>
      <c r="S2018" s="141"/>
      <c r="T2018" s="141"/>
      <c r="U2018" s="141"/>
      <c r="V2018" s="29"/>
    </row>
    <row r="2019" spans="1:22" s="26" customFormat="1" ht="15" customHeight="1" x14ac:dyDescent="0.2">
      <c r="A2019" s="28">
        <v>41523.628275462965</v>
      </c>
      <c r="B2019" s="29" t="s">
        <v>38</v>
      </c>
      <c r="C2019" s="29" t="s">
        <v>39</v>
      </c>
      <c r="D2019" s="30">
        <v>41487</v>
      </c>
      <c r="E2019" s="29" t="s">
        <v>1758</v>
      </c>
      <c r="F2019" s="29" t="s">
        <v>1759</v>
      </c>
      <c r="G2019" s="29" t="s">
        <v>156</v>
      </c>
      <c r="H2019" s="39" t="s">
        <v>1760</v>
      </c>
      <c r="I2019" s="39"/>
      <c r="J2019" s="116">
        <v>1</v>
      </c>
      <c r="K2019" s="116">
        <v>1067</v>
      </c>
      <c r="L2019" s="139">
        <v>10488.52</v>
      </c>
      <c r="M2019" s="140" t="s">
        <v>44</v>
      </c>
      <c r="N2019" s="141"/>
      <c r="O2019" s="141"/>
      <c r="P2019" s="141">
        <v>3944.81</v>
      </c>
      <c r="Q2019" s="141"/>
      <c r="R2019" s="141"/>
      <c r="S2019" s="141">
        <v>161.25</v>
      </c>
      <c r="T2019" s="141"/>
      <c r="U2019" s="141"/>
      <c r="V2019" s="29" t="s">
        <v>1761</v>
      </c>
    </row>
    <row r="2020" spans="1:22" s="26" customFormat="1" ht="15" customHeight="1" x14ac:dyDescent="0.2">
      <c r="A2020" s="28">
        <v>41520.567511574074</v>
      </c>
      <c r="B2020" s="29" t="s">
        <v>38</v>
      </c>
      <c r="C2020" s="29" t="s">
        <v>39</v>
      </c>
      <c r="D2020" s="30">
        <v>41518</v>
      </c>
      <c r="E2020" s="29" t="s">
        <v>2020</v>
      </c>
      <c r="F2020" s="29" t="s">
        <v>2021</v>
      </c>
      <c r="G2020" s="29" t="s">
        <v>156</v>
      </c>
      <c r="H2020" s="29" t="s">
        <v>2022</v>
      </c>
      <c r="I2020" s="29"/>
      <c r="J2020" s="116">
        <v>1</v>
      </c>
      <c r="K2020" s="116">
        <v>396</v>
      </c>
      <c r="L2020" s="139"/>
      <c r="M2020" s="140" t="s">
        <v>44</v>
      </c>
      <c r="N2020" s="141">
        <v>4529</v>
      </c>
      <c r="O2020" s="141"/>
      <c r="P2020" s="141">
        <v>1610</v>
      </c>
      <c r="Q2020" s="141"/>
      <c r="R2020" s="141"/>
      <c r="S2020" s="141"/>
      <c r="T2020" s="141"/>
      <c r="U2020" s="141"/>
      <c r="V2020" s="29" t="s">
        <v>2023</v>
      </c>
    </row>
    <row r="2021" spans="1:22" s="26" customFormat="1" ht="15" customHeight="1" x14ac:dyDescent="0.2">
      <c r="A2021" s="32">
        <v>41527.477777777778</v>
      </c>
      <c r="B2021" s="26" t="s">
        <v>38</v>
      </c>
      <c r="C2021" s="26" t="s">
        <v>39</v>
      </c>
      <c r="D2021" s="30">
        <v>41518</v>
      </c>
      <c r="E2021" s="26" t="s">
        <v>2058</v>
      </c>
      <c r="F2021" s="26" t="s">
        <v>2059</v>
      </c>
      <c r="G2021" s="26" t="s">
        <v>20</v>
      </c>
      <c r="H2021" s="26" t="s">
        <v>647</v>
      </c>
      <c r="J2021" s="46">
        <v>1</v>
      </c>
      <c r="K2021" s="46">
        <v>19</v>
      </c>
      <c r="L2021" s="136"/>
      <c r="M2021" s="137" t="s">
        <v>44</v>
      </c>
      <c r="N2021" s="138">
        <v>75</v>
      </c>
      <c r="O2021" s="138"/>
      <c r="P2021" s="138">
        <v>196.8</v>
      </c>
      <c r="Q2021" s="138"/>
      <c r="R2021" s="138"/>
      <c r="S2021" s="138"/>
      <c r="T2021" s="138"/>
      <c r="U2021" s="138"/>
    </row>
    <row r="2022" spans="1:22" s="26" customFormat="1" ht="15" customHeight="1" x14ac:dyDescent="0.2">
      <c r="A2022" s="32">
        <v>41530.519131944442</v>
      </c>
      <c r="B2022" s="26" t="s">
        <v>38</v>
      </c>
      <c r="C2022" s="26" t="s">
        <v>39</v>
      </c>
      <c r="D2022" s="30">
        <v>41518</v>
      </c>
      <c r="E2022" s="26" t="s">
        <v>2092</v>
      </c>
      <c r="F2022" s="26" t="s">
        <v>2093</v>
      </c>
      <c r="G2022" s="26" t="s">
        <v>42</v>
      </c>
      <c r="H2022" s="26" t="s">
        <v>43</v>
      </c>
      <c r="J2022" s="46">
        <v>1</v>
      </c>
      <c r="K2022" s="46">
        <v>35</v>
      </c>
      <c r="L2022" s="136"/>
      <c r="M2022" s="137" t="s">
        <v>44</v>
      </c>
      <c r="N2022" s="138">
        <v>262.14999999999998</v>
      </c>
      <c r="O2022" s="138"/>
      <c r="P2022" s="138"/>
      <c r="Q2022" s="138"/>
      <c r="R2022" s="138"/>
      <c r="S2022" s="138"/>
      <c r="T2022" s="138"/>
      <c r="U2022" s="138"/>
    </row>
    <row r="2023" spans="1:22" s="26" customFormat="1" ht="15" customHeight="1" x14ac:dyDescent="0.2">
      <c r="A2023" s="32">
        <v>41530.520428240743</v>
      </c>
      <c r="B2023" s="26" t="s">
        <v>38</v>
      </c>
      <c r="C2023" s="26" t="s">
        <v>39</v>
      </c>
      <c r="D2023" s="30">
        <v>41518</v>
      </c>
      <c r="E2023" s="26" t="s">
        <v>2094</v>
      </c>
      <c r="F2023" s="26" t="s">
        <v>2095</v>
      </c>
      <c r="G2023" s="26" t="s">
        <v>42</v>
      </c>
      <c r="H2023" s="26" t="s">
        <v>2085</v>
      </c>
      <c r="J2023" s="46">
        <v>1</v>
      </c>
      <c r="K2023" s="46">
        <v>13</v>
      </c>
      <c r="L2023" s="136">
        <v>195</v>
      </c>
      <c r="M2023" s="137" t="s">
        <v>22</v>
      </c>
      <c r="N2023" s="138"/>
      <c r="O2023" s="138"/>
      <c r="P2023" s="138"/>
      <c r="Q2023" s="138"/>
      <c r="R2023" s="138"/>
      <c r="S2023" s="138"/>
      <c r="T2023" s="138"/>
      <c r="U2023" s="138"/>
    </row>
    <row r="2024" spans="1:22" s="26" customFormat="1" ht="15" customHeight="1" x14ac:dyDescent="0.2">
      <c r="A2024" s="32">
        <v>41530.521539351852</v>
      </c>
      <c r="B2024" s="26" t="s">
        <v>38</v>
      </c>
      <c r="C2024" s="26" t="s">
        <v>39</v>
      </c>
      <c r="D2024" s="30">
        <v>41518</v>
      </c>
      <c r="E2024" s="26" t="s">
        <v>2096</v>
      </c>
      <c r="F2024" s="26" t="s">
        <v>2097</v>
      </c>
      <c r="G2024" s="26" t="s">
        <v>42</v>
      </c>
      <c r="H2024" s="26" t="s">
        <v>2085</v>
      </c>
      <c r="J2024" s="46">
        <v>1</v>
      </c>
      <c r="K2024" s="46">
        <v>24</v>
      </c>
      <c r="L2024" s="136">
        <v>360</v>
      </c>
      <c r="M2024" s="137" t="s">
        <v>44</v>
      </c>
      <c r="N2024" s="138"/>
      <c r="O2024" s="138"/>
      <c r="P2024" s="138">
        <v>126.54</v>
      </c>
      <c r="Q2024" s="138"/>
      <c r="R2024" s="138"/>
      <c r="S2024" s="138"/>
      <c r="T2024" s="138"/>
      <c r="U2024" s="138"/>
    </row>
    <row r="2025" spans="1:22" s="26" customFormat="1" ht="15" customHeight="1" x14ac:dyDescent="0.2">
      <c r="A2025" s="32">
        <v>41533.509375000001</v>
      </c>
      <c r="B2025" s="26" t="s">
        <v>38</v>
      </c>
      <c r="C2025" s="26" t="s">
        <v>39</v>
      </c>
      <c r="D2025" s="30">
        <v>41518</v>
      </c>
      <c r="E2025" s="26" t="s">
        <v>2105</v>
      </c>
      <c r="F2025" s="26" t="s">
        <v>2106</v>
      </c>
      <c r="G2025" s="26" t="s">
        <v>42</v>
      </c>
      <c r="H2025" s="26" t="s">
        <v>2107</v>
      </c>
      <c r="J2025" s="46">
        <v>1</v>
      </c>
      <c r="K2025" s="46">
        <v>41</v>
      </c>
      <c r="L2025" s="136"/>
      <c r="M2025" s="137" t="s">
        <v>44</v>
      </c>
      <c r="N2025" s="138">
        <v>287</v>
      </c>
      <c r="O2025" s="138"/>
      <c r="P2025" s="138"/>
      <c r="Q2025" s="138"/>
      <c r="R2025" s="138"/>
      <c r="S2025" s="138"/>
      <c r="T2025" s="138"/>
      <c r="U2025" s="138"/>
    </row>
    <row r="2026" spans="1:22" s="26" customFormat="1" ht="15" customHeight="1" x14ac:dyDescent="0.2">
      <c r="A2026" s="32">
        <v>41533.512048611112</v>
      </c>
      <c r="B2026" s="26" t="s">
        <v>38</v>
      </c>
      <c r="C2026" s="26" t="s">
        <v>39</v>
      </c>
      <c r="D2026" s="30">
        <v>41518</v>
      </c>
      <c r="E2026" s="26" t="s">
        <v>2108</v>
      </c>
      <c r="F2026" s="26" t="s">
        <v>2109</v>
      </c>
      <c r="G2026" s="26" t="s">
        <v>42</v>
      </c>
      <c r="H2026" s="26" t="s">
        <v>2110</v>
      </c>
      <c r="J2026" s="46">
        <v>1</v>
      </c>
      <c r="K2026" s="46">
        <v>17</v>
      </c>
      <c r="L2026" s="136"/>
      <c r="M2026" s="137" t="s">
        <v>44</v>
      </c>
      <c r="N2026" s="138">
        <v>122.14</v>
      </c>
      <c r="O2026" s="138"/>
      <c r="P2026" s="138"/>
      <c r="Q2026" s="138"/>
      <c r="R2026" s="138"/>
      <c r="S2026" s="138"/>
      <c r="T2026" s="138"/>
      <c r="U2026" s="138"/>
    </row>
    <row r="2027" spans="1:22" s="26" customFormat="1" ht="15" customHeight="1" x14ac:dyDescent="0.2">
      <c r="A2027" s="32">
        <v>41533.520011574074</v>
      </c>
      <c r="B2027" s="26" t="s">
        <v>38</v>
      </c>
      <c r="C2027" s="26" t="s">
        <v>39</v>
      </c>
      <c r="D2027" s="30">
        <v>41518</v>
      </c>
      <c r="E2027" s="26" t="s">
        <v>2111</v>
      </c>
      <c r="F2027" s="26" t="s">
        <v>2112</v>
      </c>
      <c r="G2027" s="26" t="s">
        <v>42</v>
      </c>
      <c r="H2027" s="26" t="s">
        <v>2113</v>
      </c>
      <c r="J2027" s="46">
        <v>1</v>
      </c>
      <c r="K2027" s="46">
        <v>156</v>
      </c>
      <c r="L2027" s="136"/>
      <c r="M2027" s="137" t="s">
        <v>44</v>
      </c>
      <c r="N2027" s="138">
        <v>750</v>
      </c>
      <c r="O2027" s="138"/>
      <c r="P2027" s="138"/>
      <c r="Q2027" s="138"/>
      <c r="R2027" s="138"/>
      <c r="S2027" s="138"/>
      <c r="T2027" s="138"/>
      <c r="U2027" s="138"/>
    </row>
    <row r="2028" spans="1:22" s="26" customFormat="1" ht="15" customHeight="1" x14ac:dyDescent="0.2">
      <c r="A2028" s="32">
        <v>41544.554456018515</v>
      </c>
      <c r="B2028" s="26" t="s">
        <v>38</v>
      </c>
      <c r="C2028" s="26" t="s">
        <v>39</v>
      </c>
      <c r="D2028" s="30">
        <v>41518</v>
      </c>
      <c r="E2028" s="26" t="s">
        <v>2193</v>
      </c>
      <c r="F2028" s="26" t="s">
        <v>2194</v>
      </c>
      <c r="G2028" s="26" t="s">
        <v>42</v>
      </c>
      <c r="H2028" s="26" t="s">
        <v>43</v>
      </c>
      <c r="J2028" s="46">
        <v>1</v>
      </c>
      <c r="K2028" s="46">
        <v>71</v>
      </c>
      <c r="L2028" s="136"/>
      <c r="M2028" s="137" t="s">
        <v>44</v>
      </c>
      <c r="N2028" s="138">
        <v>351</v>
      </c>
      <c r="O2028" s="138"/>
      <c r="P2028" s="138"/>
      <c r="Q2028" s="138"/>
      <c r="R2028" s="138"/>
      <c r="S2028" s="138"/>
      <c r="T2028" s="138"/>
      <c r="U2028" s="138"/>
    </row>
    <row r="2029" spans="1:22" s="26" customFormat="1" ht="15" customHeight="1" x14ac:dyDescent="0.2">
      <c r="A2029" s="32">
        <v>41544.55678240741</v>
      </c>
      <c r="B2029" s="26" t="s">
        <v>38</v>
      </c>
      <c r="C2029" s="26" t="s">
        <v>39</v>
      </c>
      <c r="D2029" s="30">
        <v>41518</v>
      </c>
      <c r="E2029" s="26" t="s">
        <v>2195</v>
      </c>
      <c r="F2029" s="26" t="s">
        <v>2196</v>
      </c>
      <c r="G2029" s="26" t="s">
        <v>20</v>
      </c>
      <c r="H2029" s="26" t="s">
        <v>43</v>
      </c>
      <c r="J2029" s="46">
        <v>1</v>
      </c>
      <c r="K2029" s="46">
        <v>50</v>
      </c>
      <c r="L2029" s="136"/>
      <c r="M2029" s="137" t="s">
        <v>44</v>
      </c>
      <c r="N2029" s="138">
        <v>226.5</v>
      </c>
      <c r="O2029" s="138"/>
      <c r="P2029" s="138"/>
      <c r="Q2029" s="138"/>
      <c r="R2029" s="138"/>
      <c r="S2029" s="138"/>
      <c r="T2029" s="138"/>
      <c r="U2029" s="138"/>
    </row>
    <row r="2030" spans="1:22" s="26" customFormat="1" ht="15" customHeight="1" x14ac:dyDescent="0.2">
      <c r="A2030" s="32">
        <v>41544.559467592589</v>
      </c>
      <c r="B2030" s="26" t="s">
        <v>38</v>
      </c>
      <c r="C2030" s="26" t="s">
        <v>39</v>
      </c>
      <c r="D2030" s="30">
        <v>41518</v>
      </c>
      <c r="E2030" s="26" t="s">
        <v>2197</v>
      </c>
      <c r="F2030" s="26" t="s">
        <v>2198</v>
      </c>
      <c r="G2030" s="26" t="s">
        <v>20</v>
      </c>
      <c r="H2030" s="26" t="s">
        <v>43</v>
      </c>
      <c r="J2030" s="46">
        <v>1</v>
      </c>
      <c r="K2030" s="46">
        <v>20</v>
      </c>
      <c r="L2030" s="136"/>
      <c r="M2030" s="137" t="s">
        <v>44</v>
      </c>
      <c r="N2030" s="138">
        <v>101.12</v>
      </c>
      <c r="O2030" s="138"/>
      <c r="P2030" s="138"/>
      <c r="Q2030" s="138"/>
      <c r="R2030" s="138"/>
      <c r="S2030" s="138"/>
      <c r="T2030" s="138"/>
      <c r="U2030" s="138"/>
    </row>
    <row r="2031" spans="1:22" s="26" customFormat="1" ht="15" customHeight="1" x14ac:dyDescent="0.2">
      <c r="A2031" s="32">
        <v>41544.604930555557</v>
      </c>
      <c r="B2031" s="26" t="s">
        <v>38</v>
      </c>
      <c r="C2031" s="26" t="s">
        <v>39</v>
      </c>
      <c r="D2031" s="30">
        <v>41518</v>
      </c>
      <c r="E2031" s="26" t="s">
        <v>2096</v>
      </c>
      <c r="F2031" s="26" t="s">
        <v>2199</v>
      </c>
      <c r="G2031" s="26" t="s">
        <v>42</v>
      </c>
      <c r="H2031" s="26" t="s">
        <v>43</v>
      </c>
      <c r="J2031" s="46">
        <v>1</v>
      </c>
      <c r="K2031" s="46">
        <v>50</v>
      </c>
      <c r="L2031" s="136"/>
      <c r="M2031" s="137" t="s">
        <v>44</v>
      </c>
      <c r="N2031" s="138">
        <v>374.5</v>
      </c>
      <c r="O2031" s="138"/>
      <c r="P2031" s="138"/>
      <c r="Q2031" s="138"/>
      <c r="R2031" s="138"/>
      <c r="S2031" s="138"/>
      <c r="T2031" s="138"/>
      <c r="U2031" s="138"/>
    </row>
    <row r="2032" spans="1:22" s="26" customFormat="1" ht="15" customHeight="1" x14ac:dyDescent="0.2">
      <c r="A2032" s="32">
        <v>41544.605891203704</v>
      </c>
      <c r="B2032" s="26" t="s">
        <v>38</v>
      </c>
      <c r="C2032" s="26" t="s">
        <v>39</v>
      </c>
      <c r="D2032" s="30">
        <v>41518</v>
      </c>
      <c r="E2032" s="26" t="s">
        <v>2200</v>
      </c>
      <c r="F2032" s="26" t="s">
        <v>2201</v>
      </c>
      <c r="G2032" s="26" t="s">
        <v>42</v>
      </c>
      <c r="H2032" s="26" t="s">
        <v>43</v>
      </c>
      <c r="J2032" s="46">
        <v>1</v>
      </c>
      <c r="K2032" s="46">
        <v>45</v>
      </c>
      <c r="L2032" s="136"/>
      <c r="M2032" s="137" t="s">
        <v>44</v>
      </c>
      <c r="N2032" s="138">
        <v>337.05</v>
      </c>
      <c r="O2032" s="138"/>
      <c r="P2032" s="138">
        <v>450</v>
      </c>
      <c r="Q2032" s="138"/>
      <c r="R2032" s="138"/>
      <c r="S2032" s="138"/>
      <c r="T2032" s="138"/>
      <c r="U2032" s="138"/>
    </row>
    <row r="2033" spans="1:22" s="26" customFormat="1" ht="15" customHeight="1" x14ac:dyDescent="0.2">
      <c r="A2033" s="32">
        <v>41544.607291666667</v>
      </c>
      <c r="B2033" s="26" t="s">
        <v>38</v>
      </c>
      <c r="C2033" s="26" t="s">
        <v>39</v>
      </c>
      <c r="D2033" s="30">
        <v>41518</v>
      </c>
      <c r="E2033" s="26" t="s">
        <v>2202</v>
      </c>
      <c r="F2033" s="26" t="s">
        <v>2203</v>
      </c>
      <c r="G2033" s="26" t="s">
        <v>42</v>
      </c>
      <c r="H2033" s="26" t="s">
        <v>43</v>
      </c>
      <c r="J2033" s="46">
        <v>1</v>
      </c>
      <c r="K2033" s="46">
        <v>20</v>
      </c>
      <c r="L2033" s="136"/>
      <c r="M2033" s="137" t="s">
        <v>44</v>
      </c>
      <c r="N2033" s="138">
        <v>149.80000000000001</v>
      </c>
      <c r="O2033" s="138"/>
      <c r="P2033" s="138"/>
      <c r="Q2033" s="138"/>
      <c r="R2033" s="138"/>
      <c r="S2033" s="138"/>
      <c r="T2033" s="138"/>
      <c r="U2033" s="138"/>
    </row>
    <row r="2034" spans="1:22" s="26" customFormat="1" ht="15" customHeight="1" x14ac:dyDescent="0.2">
      <c r="A2034" s="32">
        <v>41544.609074074076</v>
      </c>
      <c r="B2034" s="26" t="s">
        <v>38</v>
      </c>
      <c r="C2034" s="26" t="s">
        <v>39</v>
      </c>
      <c r="D2034" s="30">
        <v>41518</v>
      </c>
      <c r="E2034" s="26" t="s">
        <v>2204</v>
      </c>
      <c r="F2034" s="26" t="s">
        <v>2205</v>
      </c>
      <c r="G2034" s="26" t="s">
        <v>42</v>
      </c>
      <c r="H2034" s="26" t="s">
        <v>43</v>
      </c>
      <c r="J2034" s="46">
        <v>1</v>
      </c>
      <c r="K2034" s="46">
        <v>12</v>
      </c>
      <c r="L2034" s="136"/>
      <c r="M2034" s="137" t="s">
        <v>44</v>
      </c>
      <c r="N2034" s="138">
        <v>102.72</v>
      </c>
      <c r="O2034" s="138"/>
      <c r="P2034" s="138">
        <v>87.18</v>
      </c>
      <c r="Q2034" s="138"/>
      <c r="R2034" s="138"/>
      <c r="S2034" s="138"/>
      <c r="T2034" s="138"/>
      <c r="U2034" s="138"/>
    </row>
    <row r="2035" spans="1:22" s="26" customFormat="1" ht="15" customHeight="1" x14ac:dyDescent="0.2">
      <c r="A2035" s="32">
        <v>41544.611296296294</v>
      </c>
      <c r="B2035" s="26" t="s">
        <v>38</v>
      </c>
      <c r="C2035" s="26" t="s">
        <v>39</v>
      </c>
      <c r="D2035" s="30">
        <v>41518</v>
      </c>
      <c r="E2035" s="26" t="s">
        <v>2206</v>
      </c>
      <c r="F2035" s="26" t="s">
        <v>2207</v>
      </c>
      <c r="G2035" s="26" t="s">
        <v>42</v>
      </c>
      <c r="H2035" s="26" t="s">
        <v>2208</v>
      </c>
      <c r="J2035" s="46">
        <v>1</v>
      </c>
      <c r="K2035" s="46">
        <v>15</v>
      </c>
      <c r="L2035" s="136"/>
      <c r="M2035" s="137" t="s">
        <v>44</v>
      </c>
      <c r="N2035" s="138">
        <v>128.4</v>
      </c>
      <c r="O2035" s="138"/>
      <c r="P2035" s="138">
        <v>90</v>
      </c>
      <c r="Q2035" s="138"/>
      <c r="R2035" s="138"/>
      <c r="S2035" s="138"/>
      <c r="T2035" s="138"/>
      <c r="U2035" s="138"/>
    </row>
    <row r="2036" spans="1:22" s="26" customFormat="1" ht="15" customHeight="1" x14ac:dyDescent="0.2">
      <c r="A2036" s="32">
        <v>41544.61246527778</v>
      </c>
      <c r="B2036" s="26" t="s">
        <v>38</v>
      </c>
      <c r="C2036" s="26" t="s">
        <v>39</v>
      </c>
      <c r="D2036" s="30">
        <v>41518</v>
      </c>
      <c r="E2036" s="26" t="s">
        <v>2209</v>
      </c>
      <c r="F2036" s="26" t="s">
        <v>2210</v>
      </c>
      <c r="G2036" s="26" t="s">
        <v>42</v>
      </c>
      <c r="H2036" s="26" t="s">
        <v>43</v>
      </c>
      <c r="J2036" s="46">
        <v>1</v>
      </c>
      <c r="K2036" s="46">
        <v>21</v>
      </c>
      <c r="L2036" s="136"/>
      <c r="M2036" s="137" t="s">
        <v>44</v>
      </c>
      <c r="N2036" s="138">
        <v>121.92</v>
      </c>
      <c r="O2036" s="138"/>
      <c r="P2036" s="138">
        <v>175</v>
      </c>
      <c r="Q2036" s="138"/>
      <c r="R2036" s="138"/>
      <c r="S2036" s="138"/>
      <c r="T2036" s="138"/>
      <c r="U2036" s="138"/>
    </row>
    <row r="2037" spans="1:22" s="26" customFormat="1" ht="15" customHeight="1" x14ac:dyDescent="0.2">
      <c r="A2037" s="32">
        <v>41544.615601851852</v>
      </c>
      <c r="B2037" s="26" t="s">
        <v>38</v>
      </c>
      <c r="C2037" s="26" t="s">
        <v>39</v>
      </c>
      <c r="D2037" s="30">
        <v>41518</v>
      </c>
      <c r="E2037" s="26" t="s">
        <v>2211</v>
      </c>
      <c r="F2037" s="26" t="s">
        <v>2212</v>
      </c>
      <c r="G2037" s="26" t="s">
        <v>42</v>
      </c>
      <c r="H2037" s="26" t="s">
        <v>43</v>
      </c>
      <c r="J2037" s="46">
        <v>1</v>
      </c>
      <c r="K2037" s="46">
        <v>10</v>
      </c>
      <c r="L2037" s="136"/>
      <c r="M2037" s="137" t="s">
        <v>44</v>
      </c>
      <c r="N2037" s="138">
        <v>150</v>
      </c>
      <c r="O2037" s="138"/>
      <c r="P2037" s="138"/>
      <c r="Q2037" s="138"/>
      <c r="R2037" s="138"/>
      <c r="S2037" s="138"/>
      <c r="T2037" s="138"/>
      <c r="U2037" s="138"/>
    </row>
    <row r="2038" spans="1:22" s="26" customFormat="1" ht="15" customHeight="1" x14ac:dyDescent="0.2">
      <c r="A2038" s="32">
        <v>41548.563090277778</v>
      </c>
      <c r="B2038" s="26" t="s">
        <v>38</v>
      </c>
      <c r="C2038" s="26" t="s">
        <v>39</v>
      </c>
      <c r="D2038" s="30">
        <v>41518</v>
      </c>
      <c r="E2038" s="26" t="s">
        <v>2316</v>
      </c>
      <c r="F2038" s="26" t="s">
        <v>2317</v>
      </c>
      <c r="G2038" s="26" t="s">
        <v>26</v>
      </c>
      <c r="H2038" s="26" t="s">
        <v>2318</v>
      </c>
      <c r="J2038" s="46">
        <v>29</v>
      </c>
      <c r="K2038" s="46">
        <v>57</v>
      </c>
      <c r="L2038" s="136"/>
      <c r="M2038" s="137" t="s">
        <v>22</v>
      </c>
      <c r="N2038" s="138"/>
      <c r="O2038" s="138"/>
      <c r="P2038" s="138"/>
      <c r="Q2038" s="138"/>
      <c r="R2038" s="138"/>
      <c r="S2038" s="138"/>
      <c r="T2038" s="138"/>
      <c r="U2038" s="138"/>
    </row>
    <row r="2039" spans="1:22" s="26" customFormat="1" ht="15" customHeight="1" x14ac:dyDescent="0.2">
      <c r="A2039" s="32">
        <v>41548.651620370372</v>
      </c>
      <c r="B2039" s="26" t="s">
        <v>38</v>
      </c>
      <c r="C2039" s="26" t="s">
        <v>39</v>
      </c>
      <c r="D2039" s="30">
        <v>41518</v>
      </c>
      <c r="E2039" s="26" t="s">
        <v>2319</v>
      </c>
      <c r="F2039" s="26" t="s">
        <v>2320</v>
      </c>
      <c r="G2039" s="26" t="s">
        <v>156</v>
      </c>
      <c r="H2039" s="26" t="s">
        <v>2321</v>
      </c>
      <c r="J2039" s="46">
        <v>1</v>
      </c>
      <c r="K2039" s="46">
        <v>247</v>
      </c>
      <c r="L2039" s="136"/>
      <c r="M2039" s="137" t="s">
        <v>44</v>
      </c>
      <c r="N2039" s="138"/>
      <c r="O2039" s="138"/>
      <c r="P2039" s="138">
        <v>786.35</v>
      </c>
      <c r="Q2039" s="138"/>
      <c r="R2039" s="138"/>
      <c r="S2039" s="138"/>
      <c r="T2039" s="138"/>
      <c r="U2039" s="138"/>
    </row>
    <row r="2040" spans="1:22" s="26" customFormat="1" ht="15" customHeight="1" x14ac:dyDescent="0.2">
      <c r="A2040" s="48">
        <v>41590.437789351898</v>
      </c>
      <c r="B2040" s="49" t="s">
        <v>38</v>
      </c>
      <c r="C2040" s="50" t="s">
        <v>39</v>
      </c>
      <c r="D2040" s="67">
        <v>41579</v>
      </c>
      <c r="E2040" s="50" t="s">
        <v>2975</v>
      </c>
      <c r="F2040" s="50" t="s">
        <v>2976</v>
      </c>
      <c r="G2040" s="49" t="s">
        <v>156</v>
      </c>
      <c r="H2040" s="34" t="s">
        <v>2977</v>
      </c>
      <c r="I2040" s="50"/>
      <c r="J2040" s="117">
        <v>1</v>
      </c>
      <c r="K2040" s="117">
        <v>150</v>
      </c>
      <c r="L2040" s="142"/>
      <c r="M2040" s="143" t="s">
        <v>44</v>
      </c>
      <c r="N2040" s="144"/>
      <c r="O2040" s="144"/>
      <c r="P2040" s="144">
        <v>1637.58</v>
      </c>
      <c r="Q2040" s="144"/>
      <c r="R2040" s="144"/>
      <c r="S2040" s="144"/>
      <c r="T2040" s="144"/>
      <c r="U2040" s="144">
        <v>3500</v>
      </c>
      <c r="V2040" s="50" t="s">
        <v>2978</v>
      </c>
    </row>
    <row r="2041" spans="1:22" s="26" customFormat="1" ht="15" customHeight="1" x14ac:dyDescent="0.2">
      <c r="A2041" s="48">
        <v>41596.570069444402</v>
      </c>
      <c r="B2041" s="49" t="s">
        <v>38</v>
      </c>
      <c r="C2041" s="50" t="s">
        <v>39</v>
      </c>
      <c r="D2041" s="67">
        <v>41579</v>
      </c>
      <c r="E2041" s="50" t="s">
        <v>3042</v>
      </c>
      <c r="F2041" s="50" t="s">
        <v>3043</v>
      </c>
      <c r="G2041" s="49" t="s">
        <v>20</v>
      </c>
      <c r="H2041" s="50" t="s">
        <v>43</v>
      </c>
      <c r="I2041" s="50" t="s">
        <v>3044</v>
      </c>
      <c r="J2041" s="117">
        <v>1</v>
      </c>
      <c r="K2041" s="117">
        <v>130</v>
      </c>
      <c r="L2041" s="142"/>
      <c r="M2041" s="143" t="s">
        <v>44</v>
      </c>
      <c r="N2041" s="144">
        <v>783.77</v>
      </c>
      <c r="O2041" s="144"/>
      <c r="P2041" s="144"/>
      <c r="Q2041" s="144"/>
      <c r="R2041" s="144"/>
      <c r="S2041" s="144"/>
      <c r="T2041" s="144"/>
      <c r="U2041" s="144"/>
      <c r="V2041" s="50"/>
    </row>
    <row r="2042" spans="1:22" s="26" customFormat="1" ht="15" customHeight="1" x14ac:dyDescent="0.2">
      <c r="A2042" s="48">
        <v>41596.5722916667</v>
      </c>
      <c r="B2042" s="49" t="s">
        <v>38</v>
      </c>
      <c r="C2042" s="50" t="s">
        <v>39</v>
      </c>
      <c r="D2042" s="67">
        <v>41579</v>
      </c>
      <c r="E2042" s="50" t="s">
        <v>3045</v>
      </c>
      <c r="F2042" s="50" t="s">
        <v>3046</v>
      </c>
      <c r="G2042" s="49" t="s">
        <v>42</v>
      </c>
      <c r="H2042" s="50" t="s">
        <v>43</v>
      </c>
      <c r="I2042" s="50" t="s">
        <v>3044</v>
      </c>
      <c r="J2042" s="117">
        <v>1</v>
      </c>
      <c r="K2042" s="117">
        <v>28</v>
      </c>
      <c r="L2042" s="142"/>
      <c r="M2042" s="143" t="s">
        <v>44</v>
      </c>
      <c r="N2042" s="144">
        <v>194.74</v>
      </c>
      <c r="O2042" s="144"/>
      <c r="P2042" s="144"/>
      <c r="Q2042" s="144"/>
      <c r="R2042" s="144"/>
      <c r="S2042" s="144"/>
      <c r="T2042" s="144"/>
      <c r="U2042" s="144"/>
      <c r="V2042" s="50"/>
    </row>
    <row r="2043" spans="1:22" s="26" customFormat="1" ht="15" customHeight="1" x14ac:dyDescent="0.2">
      <c r="A2043" s="48">
        <v>41596.573645833298</v>
      </c>
      <c r="B2043" s="49" t="s">
        <v>38</v>
      </c>
      <c r="C2043" s="50" t="s">
        <v>39</v>
      </c>
      <c r="D2043" s="67">
        <v>41579</v>
      </c>
      <c r="E2043" s="50" t="s">
        <v>3047</v>
      </c>
      <c r="F2043" s="50" t="s">
        <v>3048</v>
      </c>
      <c r="G2043" s="49" t="s">
        <v>20</v>
      </c>
      <c r="H2043" s="50" t="s">
        <v>43</v>
      </c>
      <c r="I2043" s="50" t="s">
        <v>3044</v>
      </c>
      <c r="J2043" s="117">
        <v>1</v>
      </c>
      <c r="K2043" s="117">
        <v>20</v>
      </c>
      <c r="L2043" s="142"/>
      <c r="M2043" s="143" t="s">
        <v>44</v>
      </c>
      <c r="N2043" s="144">
        <v>76.5</v>
      </c>
      <c r="O2043" s="144"/>
      <c r="P2043" s="144"/>
      <c r="Q2043" s="144"/>
      <c r="R2043" s="144"/>
      <c r="S2043" s="144"/>
      <c r="T2043" s="144"/>
      <c r="U2043" s="144"/>
      <c r="V2043" s="50"/>
    </row>
    <row r="2044" spans="1:22" s="26" customFormat="1" ht="15" customHeight="1" x14ac:dyDescent="0.2">
      <c r="A2044" s="48">
        <v>41596.575659722199</v>
      </c>
      <c r="B2044" s="49" t="s">
        <v>38</v>
      </c>
      <c r="C2044" s="50" t="s">
        <v>39</v>
      </c>
      <c r="D2044" s="67">
        <v>41579</v>
      </c>
      <c r="E2044" s="50" t="s">
        <v>2830</v>
      </c>
      <c r="F2044" s="50" t="s">
        <v>3049</v>
      </c>
      <c r="G2044" s="49" t="s">
        <v>20</v>
      </c>
      <c r="H2044" s="50" t="s">
        <v>43</v>
      </c>
      <c r="I2044" s="50" t="s">
        <v>3044</v>
      </c>
      <c r="J2044" s="117">
        <v>1</v>
      </c>
      <c r="K2044" s="117">
        <v>131</v>
      </c>
      <c r="L2044" s="142"/>
      <c r="M2044" s="143" t="s">
        <v>44</v>
      </c>
      <c r="N2044" s="144">
        <v>737</v>
      </c>
      <c r="O2044" s="144"/>
      <c r="P2044" s="144"/>
      <c r="Q2044" s="144"/>
      <c r="R2044" s="144"/>
      <c r="S2044" s="144"/>
      <c r="T2044" s="144"/>
      <c r="U2044" s="144"/>
      <c r="V2044" s="50"/>
    </row>
    <row r="2045" spans="1:22" s="26" customFormat="1" ht="15" customHeight="1" x14ac:dyDescent="0.2">
      <c r="A2045" s="48">
        <v>41596.590983796297</v>
      </c>
      <c r="B2045" s="49" t="s">
        <v>38</v>
      </c>
      <c r="C2045" s="50" t="s">
        <v>39</v>
      </c>
      <c r="D2045" s="67">
        <v>41579</v>
      </c>
      <c r="E2045" s="50" t="s">
        <v>3050</v>
      </c>
      <c r="F2045" s="50" t="s">
        <v>3051</v>
      </c>
      <c r="G2045" s="49" t="s">
        <v>20</v>
      </c>
      <c r="H2045" s="50" t="s">
        <v>43</v>
      </c>
      <c r="I2045" s="50" t="s">
        <v>3044</v>
      </c>
      <c r="J2045" s="117">
        <v>1</v>
      </c>
      <c r="K2045" s="117">
        <v>40</v>
      </c>
      <c r="L2045" s="142"/>
      <c r="M2045" s="143" t="s">
        <v>44</v>
      </c>
      <c r="N2045" s="144">
        <v>162</v>
      </c>
      <c r="O2045" s="144"/>
      <c r="P2045" s="144"/>
      <c r="Q2045" s="144"/>
      <c r="R2045" s="144"/>
      <c r="S2045" s="144"/>
      <c r="T2045" s="144"/>
      <c r="U2045" s="144"/>
      <c r="V2045" s="50"/>
    </row>
    <row r="2046" spans="1:22" s="26" customFormat="1" ht="15" customHeight="1" x14ac:dyDescent="0.2">
      <c r="A2046" s="48">
        <v>41597.572997685202</v>
      </c>
      <c r="B2046" s="49" t="s">
        <v>38</v>
      </c>
      <c r="C2046" s="50" t="s">
        <v>39</v>
      </c>
      <c r="D2046" s="67">
        <v>41579</v>
      </c>
      <c r="E2046" s="50" t="s">
        <v>3056</v>
      </c>
      <c r="F2046" s="50" t="s">
        <v>3057</v>
      </c>
      <c r="G2046" s="49" t="s">
        <v>42</v>
      </c>
      <c r="H2046" s="50" t="s">
        <v>43</v>
      </c>
      <c r="I2046" s="50" t="s">
        <v>3058</v>
      </c>
      <c r="J2046" s="117">
        <v>1</v>
      </c>
      <c r="K2046" s="117">
        <v>95</v>
      </c>
      <c r="L2046" s="142"/>
      <c r="M2046" s="143" t="s">
        <v>44</v>
      </c>
      <c r="N2046" s="144">
        <v>433.5</v>
      </c>
      <c r="O2046" s="144"/>
      <c r="P2046" s="144"/>
      <c r="Q2046" s="144"/>
      <c r="R2046" s="144"/>
      <c r="S2046" s="144"/>
      <c r="T2046" s="144"/>
      <c r="U2046" s="144"/>
      <c r="V2046" s="50"/>
    </row>
    <row r="2047" spans="1:22" s="26" customFormat="1" ht="15" customHeight="1" x14ac:dyDescent="0.2">
      <c r="A2047" s="48">
        <v>41597.609560185199</v>
      </c>
      <c r="B2047" s="49" t="s">
        <v>38</v>
      </c>
      <c r="C2047" s="50" t="s">
        <v>39</v>
      </c>
      <c r="D2047" s="67">
        <v>41579</v>
      </c>
      <c r="E2047" s="50" t="s">
        <v>3061</v>
      </c>
      <c r="F2047" s="50" t="s">
        <v>3062</v>
      </c>
      <c r="G2047" s="49" t="s">
        <v>42</v>
      </c>
      <c r="H2047" s="50" t="s">
        <v>43</v>
      </c>
      <c r="I2047" s="50" t="s">
        <v>3063</v>
      </c>
      <c r="J2047" s="117">
        <v>1</v>
      </c>
      <c r="K2047" s="117">
        <v>31</v>
      </c>
      <c r="L2047" s="142"/>
      <c r="M2047" s="143" t="s">
        <v>44</v>
      </c>
      <c r="N2047" s="144">
        <v>232.19</v>
      </c>
      <c r="O2047" s="144"/>
      <c r="P2047" s="144">
        <v>120</v>
      </c>
      <c r="Q2047" s="144"/>
      <c r="R2047" s="144"/>
      <c r="S2047" s="144"/>
      <c r="T2047" s="144"/>
      <c r="U2047" s="144"/>
      <c r="V2047" s="50"/>
    </row>
    <row r="2048" spans="1:22" s="26" customFormat="1" ht="15" customHeight="1" x14ac:dyDescent="0.2">
      <c r="A2048" s="48">
        <v>41597.616562499999</v>
      </c>
      <c r="B2048" s="49" t="s">
        <v>38</v>
      </c>
      <c r="C2048" s="50" t="s">
        <v>39</v>
      </c>
      <c r="D2048" s="67">
        <v>41579</v>
      </c>
      <c r="E2048" s="50" t="s">
        <v>3064</v>
      </c>
      <c r="F2048" s="50" t="s">
        <v>3065</v>
      </c>
      <c r="G2048" s="49" t="s">
        <v>20</v>
      </c>
      <c r="H2048" s="50" t="s">
        <v>43</v>
      </c>
      <c r="I2048" s="50" t="s">
        <v>3063</v>
      </c>
      <c r="J2048" s="117">
        <v>1</v>
      </c>
      <c r="K2048" s="117">
        <v>199</v>
      </c>
      <c r="L2048" s="142"/>
      <c r="M2048" s="143" t="s">
        <v>44</v>
      </c>
      <c r="N2048" s="144">
        <v>944</v>
      </c>
      <c r="O2048" s="144"/>
      <c r="P2048" s="144">
        <v>800</v>
      </c>
      <c r="Q2048" s="144"/>
      <c r="R2048" s="144"/>
      <c r="S2048" s="144"/>
      <c r="T2048" s="144"/>
      <c r="U2048" s="144"/>
      <c r="V2048" s="50"/>
    </row>
    <row r="2049" spans="1:22" s="26" customFormat="1" ht="15" customHeight="1" x14ac:dyDescent="0.2">
      <c r="A2049" s="48">
        <v>41597.6179513889</v>
      </c>
      <c r="B2049" s="49" t="s">
        <v>38</v>
      </c>
      <c r="C2049" s="50" t="s">
        <v>39</v>
      </c>
      <c r="D2049" s="67">
        <v>41579</v>
      </c>
      <c r="E2049" s="50" t="s">
        <v>2830</v>
      </c>
      <c r="F2049" s="50" t="s">
        <v>3066</v>
      </c>
      <c r="G2049" s="49" t="s">
        <v>20</v>
      </c>
      <c r="H2049" s="50" t="s">
        <v>43</v>
      </c>
      <c r="I2049" s="50" t="s">
        <v>3063</v>
      </c>
      <c r="J2049" s="117">
        <v>1</v>
      </c>
      <c r="K2049" s="117">
        <v>93</v>
      </c>
      <c r="L2049" s="142"/>
      <c r="M2049" s="143" t="s">
        <v>44</v>
      </c>
      <c r="N2049" s="144">
        <v>409.5</v>
      </c>
      <c r="O2049" s="144"/>
      <c r="P2049" s="144">
        <v>70</v>
      </c>
      <c r="Q2049" s="144"/>
      <c r="R2049" s="144"/>
      <c r="S2049" s="144"/>
      <c r="T2049" s="144"/>
      <c r="U2049" s="144"/>
      <c r="V2049" s="50"/>
    </row>
    <row r="2050" spans="1:22" s="26" customFormat="1" ht="15" customHeight="1" x14ac:dyDescent="0.2">
      <c r="A2050" s="48">
        <v>41610.475335648101</v>
      </c>
      <c r="B2050" s="49" t="s">
        <v>38</v>
      </c>
      <c r="C2050" s="34" t="s">
        <v>39</v>
      </c>
      <c r="D2050" s="67">
        <v>41579</v>
      </c>
      <c r="E2050" s="50" t="s">
        <v>3161</v>
      </c>
      <c r="F2050" s="34" t="s">
        <v>3162</v>
      </c>
      <c r="G2050" s="49" t="s">
        <v>60</v>
      </c>
      <c r="H2050" s="50" t="s">
        <v>3163</v>
      </c>
      <c r="I2050" s="34" t="s">
        <v>3063</v>
      </c>
      <c r="J2050" s="117">
        <v>435</v>
      </c>
      <c r="K2050" s="117">
        <v>4206</v>
      </c>
      <c r="L2050" s="142"/>
      <c r="M2050" s="143" t="s">
        <v>44</v>
      </c>
      <c r="N2050" s="144"/>
      <c r="O2050" s="144"/>
      <c r="P2050" s="144"/>
      <c r="Q2050" s="144"/>
      <c r="R2050" s="144"/>
      <c r="S2050" s="144"/>
      <c r="T2050" s="144"/>
      <c r="U2050" s="144"/>
      <c r="V2050" s="50"/>
    </row>
    <row r="2051" spans="1:22" s="26" customFormat="1" ht="15" customHeight="1" x14ac:dyDescent="0.2">
      <c r="A2051" s="48">
        <v>41611.397025462997</v>
      </c>
      <c r="B2051" s="49" t="s">
        <v>38</v>
      </c>
      <c r="C2051" s="50" t="s">
        <v>39</v>
      </c>
      <c r="D2051" s="67">
        <v>41579</v>
      </c>
      <c r="E2051" s="50" t="s">
        <v>3172</v>
      </c>
      <c r="F2051" s="50" t="s">
        <v>3173</v>
      </c>
      <c r="G2051" s="49" t="s">
        <v>42</v>
      </c>
      <c r="H2051" s="50" t="s">
        <v>43</v>
      </c>
      <c r="I2051" s="50" t="s">
        <v>3174</v>
      </c>
      <c r="J2051" s="117">
        <v>1</v>
      </c>
      <c r="K2051" s="117">
        <v>25</v>
      </c>
      <c r="L2051" s="142"/>
      <c r="M2051" s="143" t="s">
        <v>44</v>
      </c>
      <c r="N2051" s="144">
        <v>181.9</v>
      </c>
      <c r="O2051" s="144"/>
      <c r="P2051" s="144"/>
      <c r="Q2051" s="144"/>
      <c r="R2051" s="144"/>
      <c r="S2051" s="144"/>
      <c r="T2051" s="144"/>
      <c r="U2051" s="144"/>
      <c r="V2051" s="50"/>
    </row>
    <row r="2052" spans="1:22" s="26" customFormat="1" ht="15" customHeight="1" x14ac:dyDescent="0.2">
      <c r="A2052" s="48">
        <v>41611.3989351852</v>
      </c>
      <c r="B2052" s="49" t="s">
        <v>38</v>
      </c>
      <c r="C2052" s="50" t="s">
        <v>39</v>
      </c>
      <c r="D2052" s="67">
        <v>41579</v>
      </c>
      <c r="E2052" s="50" t="s">
        <v>3175</v>
      </c>
      <c r="F2052" s="50" t="s">
        <v>3176</v>
      </c>
      <c r="G2052" s="49" t="s">
        <v>42</v>
      </c>
      <c r="H2052" s="50" t="s">
        <v>43</v>
      </c>
      <c r="I2052" s="50" t="s">
        <v>3174</v>
      </c>
      <c r="J2052" s="117">
        <v>1</v>
      </c>
      <c r="K2052" s="117">
        <v>33</v>
      </c>
      <c r="L2052" s="142"/>
      <c r="M2052" s="143" t="s">
        <v>44</v>
      </c>
      <c r="N2052" s="144">
        <v>204.5</v>
      </c>
      <c r="O2052" s="144"/>
      <c r="P2052" s="144">
        <v>146.52000000000001</v>
      </c>
      <c r="Q2052" s="144"/>
      <c r="R2052" s="144"/>
      <c r="S2052" s="144"/>
      <c r="T2052" s="144"/>
      <c r="U2052" s="144"/>
      <c r="V2052" s="50"/>
    </row>
    <row r="2053" spans="1:22" s="26" customFormat="1" ht="15" customHeight="1" x14ac:dyDescent="0.2">
      <c r="A2053" s="48">
        <v>41611.408576388902</v>
      </c>
      <c r="B2053" s="49" t="s">
        <v>38</v>
      </c>
      <c r="C2053" s="50" t="s">
        <v>39</v>
      </c>
      <c r="D2053" s="67">
        <v>41579</v>
      </c>
      <c r="E2053" s="50" t="s">
        <v>3177</v>
      </c>
      <c r="F2053" s="50" t="s">
        <v>3178</v>
      </c>
      <c r="G2053" s="49" t="s">
        <v>20</v>
      </c>
      <c r="H2053" s="50" t="s">
        <v>43</v>
      </c>
      <c r="I2053" s="50" t="s">
        <v>3174</v>
      </c>
      <c r="J2053" s="117">
        <v>1</v>
      </c>
      <c r="K2053" s="117">
        <v>99</v>
      </c>
      <c r="L2053" s="142"/>
      <c r="M2053" s="143" t="s">
        <v>44</v>
      </c>
      <c r="N2053" s="144">
        <v>493.18</v>
      </c>
      <c r="O2053" s="144"/>
      <c r="P2053" s="144">
        <v>323.79000000000002</v>
      </c>
      <c r="Q2053" s="144"/>
      <c r="R2053" s="144"/>
      <c r="S2053" s="144"/>
      <c r="T2053" s="144"/>
      <c r="U2053" s="144"/>
      <c r="V2053" s="50"/>
    </row>
    <row r="2054" spans="1:22" s="26" customFormat="1" ht="15" customHeight="1" x14ac:dyDescent="0.2">
      <c r="A2054" s="48">
        <v>41611.410219907397</v>
      </c>
      <c r="B2054" s="49" t="s">
        <v>38</v>
      </c>
      <c r="C2054" s="50" t="s">
        <v>39</v>
      </c>
      <c r="D2054" s="67">
        <v>41579</v>
      </c>
      <c r="E2054" s="50" t="s">
        <v>3179</v>
      </c>
      <c r="F2054" s="50" t="s">
        <v>3180</v>
      </c>
      <c r="G2054" s="49" t="s">
        <v>20</v>
      </c>
      <c r="H2054" s="50" t="s">
        <v>3181</v>
      </c>
      <c r="I2054" s="50" t="s">
        <v>3174</v>
      </c>
      <c r="J2054" s="117">
        <v>1</v>
      </c>
      <c r="K2054" s="117">
        <v>41</v>
      </c>
      <c r="L2054" s="142"/>
      <c r="M2054" s="143" t="s">
        <v>44</v>
      </c>
      <c r="N2054" s="144">
        <v>203.2</v>
      </c>
      <c r="O2054" s="144"/>
      <c r="P2054" s="144"/>
      <c r="Q2054" s="144"/>
      <c r="R2054" s="144"/>
      <c r="S2054" s="144"/>
      <c r="T2054" s="144"/>
      <c r="U2054" s="144"/>
      <c r="V2054" s="50"/>
    </row>
    <row r="2055" spans="1:22" s="26" customFormat="1" ht="15" customHeight="1" x14ac:dyDescent="0.2">
      <c r="A2055" s="48">
        <v>41611.411689814799</v>
      </c>
      <c r="B2055" s="49" t="s">
        <v>38</v>
      </c>
      <c r="C2055" s="50" t="s">
        <v>39</v>
      </c>
      <c r="D2055" s="67">
        <v>41579</v>
      </c>
      <c r="E2055" s="50" t="s">
        <v>3182</v>
      </c>
      <c r="F2055" s="50" t="s">
        <v>3183</v>
      </c>
      <c r="G2055" s="49" t="s">
        <v>42</v>
      </c>
      <c r="H2055" s="50" t="s">
        <v>43</v>
      </c>
      <c r="I2055" s="50" t="s">
        <v>3174</v>
      </c>
      <c r="J2055" s="117">
        <v>1</v>
      </c>
      <c r="K2055" s="117">
        <v>26</v>
      </c>
      <c r="L2055" s="142"/>
      <c r="M2055" s="143" t="s">
        <v>22</v>
      </c>
      <c r="N2055" s="144"/>
      <c r="O2055" s="144"/>
      <c r="P2055" s="144"/>
      <c r="Q2055" s="144"/>
      <c r="R2055" s="144"/>
      <c r="S2055" s="144"/>
      <c r="T2055" s="144"/>
      <c r="U2055" s="144"/>
      <c r="V2055" s="50"/>
    </row>
    <row r="2056" spans="1:22" s="26" customFormat="1" ht="15" customHeight="1" x14ac:dyDescent="0.2">
      <c r="A2056" s="48">
        <v>41611.4153703704</v>
      </c>
      <c r="B2056" s="49" t="s">
        <v>38</v>
      </c>
      <c r="C2056" s="50" t="s">
        <v>39</v>
      </c>
      <c r="D2056" s="67">
        <v>41579</v>
      </c>
      <c r="E2056" s="50" t="s">
        <v>3184</v>
      </c>
      <c r="F2056" s="50" t="s">
        <v>2317</v>
      </c>
      <c r="G2056" s="49" t="s">
        <v>26</v>
      </c>
      <c r="H2056" s="50" t="s">
        <v>3185</v>
      </c>
      <c r="I2056" s="50" t="s">
        <v>3174</v>
      </c>
      <c r="J2056" s="117">
        <v>33</v>
      </c>
      <c r="K2056" s="117">
        <v>36</v>
      </c>
      <c r="L2056" s="142"/>
      <c r="M2056" s="143" t="s">
        <v>22</v>
      </c>
      <c r="N2056" s="144"/>
      <c r="O2056" s="144"/>
      <c r="P2056" s="144"/>
      <c r="Q2056" s="144"/>
      <c r="R2056" s="144"/>
      <c r="S2056" s="144"/>
      <c r="T2056" s="144"/>
      <c r="U2056" s="144"/>
      <c r="V2056" s="50"/>
    </row>
    <row r="2057" spans="1:22" s="26" customFormat="1" ht="15" customHeight="1" x14ac:dyDescent="0.2">
      <c r="A2057" s="32">
        <v>41611.417812500003</v>
      </c>
      <c r="B2057" s="26" t="s">
        <v>38</v>
      </c>
      <c r="C2057" s="26" t="s">
        <v>39</v>
      </c>
      <c r="D2057" s="68">
        <v>41609</v>
      </c>
      <c r="E2057" s="26" t="s">
        <v>3705</v>
      </c>
      <c r="F2057" s="26" t="s">
        <v>3706</v>
      </c>
      <c r="G2057" s="26" t="s">
        <v>20</v>
      </c>
      <c r="H2057" s="26" t="s">
        <v>43</v>
      </c>
      <c r="I2057" s="26" t="s">
        <v>3174</v>
      </c>
      <c r="J2057" s="46">
        <v>1</v>
      </c>
      <c r="K2057" s="46">
        <v>30</v>
      </c>
      <c r="L2057" s="136"/>
      <c r="M2057" s="137" t="s">
        <v>44</v>
      </c>
      <c r="N2057" s="138">
        <v>126</v>
      </c>
      <c r="O2057" s="138"/>
      <c r="P2057" s="138"/>
      <c r="Q2057" s="138"/>
      <c r="R2057" s="138"/>
      <c r="S2057" s="138"/>
      <c r="T2057" s="138"/>
      <c r="U2057" s="138"/>
    </row>
    <row r="2058" spans="1:22" s="26" customFormat="1" ht="15" customHeight="1" x14ac:dyDescent="0.2">
      <c r="A2058" s="32">
        <v>41620.440659722219</v>
      </c>
      <c r="B2058" s="26" t="s">
        <v>38</v>
      </c>
      <c r="C2058" s="26" t="s">
        <v>39</v>
      </c>
      <c r="D2058" s="68">
        <v>41609</v>
      </c>
      <c r="E2058" s="26" t="s">
        <v>3739</v>
      </c>
      <c r="F2058" s="26" t="s">
        <v>3740</v>
      </c>
      <c r="G2058" s="26" t="s">
        <v>156</v>
      </c>
      <c r="H2058" s="26" t="s">
        <v>3741</v>
      </c>
      <c r="I2058" s="26" t="s">
        <v>3742</v>
      </c>
      <c r="J2058" s="46">
        <v>2</v>
      </c>
      <c r="K2058" s="46">
        <v>215</v>
      </c>
      <c r="L2058" s="136"/>
      <c r="M2058" s="137" t="s">
        <v>44</v>
      </c>
      <c r="N2058" s="138">
        <v>2218.62</v>
      </c>
      <c r="O2058" s="138"/>
      <c r="P2058" s="138">
        <v>1210.2</v>
      </c>
      <c r="Q2058" s="138"/>
      <c r="R2058" s="138"/>
      <c r="S2058" s="138"/>
      <c r="T2058" s="138"/>
      <c r="U2058" s="138"/>
      <c r="V2058" s="26" t="s">
        <v>3743</v>
      </c>
    </row>
    <row r="2059" spans="1:22" s="26" customFormat="1" ht="15" customHeight="1" x14ac:dyDescent="0.2">
      <c r="A2059" s="32">
        <v>41628.572569444441</v>
      </c>
      <c r="B2059" s="26" t="s">
        <v>38</v>
      </c>
      <c r="C2059" s="26" t="s">
        <v>39</v>
      </c>
      <c r="D2059" s="68">
        <v>41609</v>
      </c>
      <c r="E2059" s="26" t="s">
        <v>3801</v>
      </c>
      <c r="F2059" s="26" t="s">
        <v>3802</v>
      </c>
      <c r="G2059" s="26" t="s">
        <v>156</v>
      </c>
      <c r="H2059" s="26" t="s">
        <v>3803</v>
      </c>
      <c r="I2059" s="26" t="s">
        <v>3804</v>
      </c>
      <c r="J2059" s="46">
        <v>4</v>
      </c>
      <c r="K2059" s="46">
        <v>104</v>
      </c>
      <c r="L2059" s="136"/>
      <c r="M2059" s="137" t="s">
        <v>44</v>
      </c>
      <c r="N2059" s="138">
        <v>1403.84</v>
      </c>
      <c r="O2059" s="138"/>
      <c r="P2059" s="138">
        <v>47.04</v>
      </c>
      <c r="Q2059" s="138"/>
      <c r="R2059" s="138"/>
      <c r="S2059" s="138"/>
      <c r="T2059" s="138"/>
      <c r="U2059" s="138"/>
      <c r="V2059" s="26" t="s">
        <v>3805</v>
      </c>
    </row>
    <row r="2060" spans="1:22" s="26" customFormat="1" ht="15" customHeight="1" x14ac:dyDescent="0.2">
      <c r="A2060" s="32">
        <v>41631.459629629629</v>
      </c>
      <c r="B2060" s="26" t="s">
        <v>38</v>
      </c>
      <c r="C2060" s="26" t="s">
        <v>39</v>
      </c>
      <c r="D2060" s="68">
        <v>41609</v>
      </c>
      <c r="E2060" s="26" t="s">
        <v>3808</v>
      </c>
      <c r="F2060" s="26" t="s">
        <v>3809</v>
      </c>
      <c r="G2060" s="26" t="s">
        <v>42</v>
      </c>
      <c r="H2060" s="26" t="s">
        <v>43</v>
      </c>
      <c r="I2060" s="26" t="s">
        <v>3810</v>
      </c>
      <c r="J2060" s="46">
        <v>1</v>
      </c>
      <c r="K2060" s="46">
        <v>35</v>
      </c>
      <c r="L2060" s="136"/>
      <c r="M2060" s="137" t="s">
        <v>44</v>
      </c>
      <c r="N2060" s="138">
        <v>262.14999999999998</v>
      </c>
      <c r="O2060" s="138"/>
      <c r="P2060" s="138">
        <v>97</v>
      </c>
      <c r="Q2060" s="138"/>
      <c r="R2060" s="138"/>
      <c r="S2060" s="138"/>
      <c r="T2060" s="138"/>
      <c r="U2060" s="138"/>
    </row>
    <row r="2061" spans="1:22" s="26" customFormat="1" ht="15" customHeight="1" x14ac:dyDescent="0.2">
      <c r="A2061" s="32">
        <v>41631.595752314817</v>
      </c>
      <c r="B2061" s="26" t="s">
        <v>38</v>
      </c>
      <c r="C2061" s="26" t="s">
        <v>39</v>
      </c>
      <c r="D2061" s="68">
        <v>41609</v>
      </c>
      <c r="E2061" s="26" t="s">
        <v>3811</v>
      </c>
      <c r="F2061" s="26" t="s">
        <v>3812</v>
      </c>
      <c r="G2061" s="26" t="s">
        <v>20</v>
      </c>
      <c r="H2061" s="26" t="s">
        <v>43</v>
      </c>
      <c r="I2061" s="26" t="s">
        <v>3063</v>
      </c>
      <c r="J2061" s="46">
        <v>1</v>
      </c>
      <c r="K2061" s="46">
        <v>76</v>
      </c>
      <c r="L2061" s="136"/>
      <c r="M2061" s="137" t="s">
        <v>44</v>
      </c>
      <c r="N2061" s="138">
        <v>333</v>
      </c>
      <c r="O2061" s="138"/>
      <c r="P2061" s="138"/>
      <c r="Q2061" s="138"/>
      <c r="R2061" s="138"/>
      <c r="S2061" s="138"/>
      <c r="T2061" s="138"/>
      <c r="U2061" s="138"/>
    </row>
    <row r="2062" spans="1:22" s="26" customFormat="1" ht="15" customHeight="1" x14ac:dyDescent="0.2">
      <c r="A2062" s="32">
        <v>41631.600243055553</v>
      </c>
      <c r="B2062" s="26" t="s">
        <v>38</v>
      </c>
      <c r="C2062" s="26" t="s">
        <v>39</v>
      </c>
      <c r="D2062" s="68">
        <v>41609</v>
      </c>
      <c r="E2062" s="26" t="s">
        <v>3813</v>
      </c>
      <c r="F2062" s="26" t="s">
        <v>3814</v>
      </c>
      <c r="G2062" s="26" t="s">
        <v>42</v>
      </c>
      <c r="H2062" s="26" t="s">
        <v>43</v>
      </c>
      <c r="I2062" s="26" t="s">
        <v>3063</v>
      </c>
      <c r="J2062" s="46">
        <v>1</v>
      </c>
      <c r="K2062" s="46">
        <v>27</v>
      </c>
      <c r="L2062" s="136"/>
      <c r="M2062" s="137" t="s">
        <v>44</v>
      </c>
      <c r="N2062" s="138">
        <v>187.25</v>
      </c>
      <c r="O2062" s="138"/>
      <c r="P2062" s="138"/>
      <c r="Q2062" s="138"/>
      <c r="R2062" s="138"/>
      <c r="S2062" s="138"/>
      <c r="T2062" s="138"/>
      <c r="U2062" s="138"/>
    </row>
    <row r="2063" spans="1:22" s="26" customFormat="1" ht="15" customHeight="1" x14ac:dyDescent="0.2">
      <c r="A2063" s="32">
        <v>41631.605324074073</v>
      </c>
      <c r="B2063" s="26" t="s">
        <v>38</v>
      </c>
      <c r="C2063" s="26" t="s">
        <v>39</v>
      </c>
      <c r="D2063" s="68">
        <v>41609</v>
      </c>
      <c r="E2063" s="26" t="s">
        <v>3815</v>
      </c>
      <c r="F2063" s="26" t="s">
        <v>3816</v>
      </c>
      <c r="G2063" s="26" t="s">
        <v>42</v>
      </c>
      <c r="H2063" s="26" t="s">
        <v>3817</v>
      </c>
      <c r="I2063" s="26" t="s">
        <v>3063</v>
      </c>
      <c r="J2063" s="46">
        <v>1</v>
      </c>
      <c r="K2063" s="46">
        <v>25</v>
      </c>
      <c r="L2063" s="136"/>
      <c r="M2063" s="137" t="s">
        <v>44</v>
      </c>
      <c r="N2063" s="138">
        <v>172.27</v>
      </c>
      <c r="O2063" s="138"/>
      <c r="P2063" s="138"/>
      <c r="Q2063" s="138"/>
      <c r="R2063" s="138"/>
      <c r="S2063" s="138"/>
      <c r="T2063" s="138"/>
      <c r="U2063" s="138"/>
    </row>
    <row r="2064" spans="1:22" s="26" customFormat="1" ht="15" customHeight="1" x14ac:dyDescent="0.2">
      <c r="A2064" s="32">
        <v>41631.61383101852</v>
      </c>
      <c r="B2064" s="26" t="s">
        <v>38</v>
      </c>
      <c r="C2064" s="26" t="s">
        <v>39</v>
      </c>
      <c r="D2064" s="68">
        <v>41609</v>
      </c>
      <c r="E2064" s="26" t="s">
        <v>3818</v>
      </c>
      <c r="F2064" s="26" t="s">
        <v>3819</v>
      </c>
      <c r="G2064" s="26" t="s">
        <v>42</v>
      </c>
      <c r="H2064" s="26" t="s">
        <v>43</v>
      </c>
      <c r="I2064" s="26" t="s">
        <v>3063</v>
      </c>
      <c r="J2064" s="46">
        <v>1</v>
      </c>
      <c r="K2064" s="46">
        <v>25</v>
      </c>
      <c r="L2064" s="136"/>
      <c r="M2064" s="137" t="s">
        <v>44</v>
      </c>
      <c r="N2064" s="138">
        <v>175</v>
      </c>
      <c r="O2064" s="138"/>
      <c r="P2064" s="138"/>
      <c r="Q2064" s="138"/>
      <c r="R2064" s="138"/>
      <c r="S2064" s="138"/>
      <c r="T2064" s="138"/>
      <c r="U2064" s="138"/>
    </row>
    <row r="2065" spans="1:21" s="26" customFormat="1" ht="15" customHeight="1" x14ac:dyDescent="0.2">
      <c r="A2065" s="32">
        <v>41631.616030092591</v>
      </c>
      <c r="B2065" s="26" t="s">
        <v>38</v>
      </c>
      <c r="C2065" s="26" t="s">
        <v>39</v>
      </c>
      <c r="D2065" s="68">
        <v>41609</v>
      </c>
      <c r="E2065" s="26" t="s">
        <v>3820</v>
      </c>
      <c r="F2065" s="26" t="s">
        <v>3821</v>
      </c>
      <c r="G2065" s="26" t="s">
        <v>42</v>
      </c>
      <c r="H2065" s="26" t="s">
        <v>43</v>
      </c>
      <c r="I2065" s="26" t="s">
        <v>3063</v>
      </c>
      <c r="J2065" s="46">
        <v>1</v>
      </c>
      <c r="K2065" s="46">
        <v>27</v>
      </c>
      <c r="L2065" s="136"/>
      <c r="M2065" s="137" t="s">
        <v>44</v>
      </c>
      <c r="N2065" s="138">
        <v>189</v>
      </c>
      <c r="O2065" s="138"/>
      <c r="P2065" s="138"/>
      <c r="Q2065" s="138"/>
      <c r="R2065" s="138"/>
      <c r="S2065" s="138"/>
      <c r="T2065" s="138"/>
      <c r="U2065" s="138"/>
    </row>
    <row r="2066" spans="1:21" s="26" customFormat="1" ht="15" customHeight="1" x14ac:dyDescent="0.2">
      <c r="A2066" s="32">
        <v>41635.386319444442</v>
      </c>
      <c r="B2066" s="26" t="s">
        <v>38</v>
      </c>
      <c r="C2066" s="26" t="s">
        <v>39</v>
      </c>
      <c r="D2066" s="68">
        <v>41609</v>
      </c>
      <c r="E2066" s="26" t="s">
        <v>3822</v>
      </c>
      <c r="F2066" s="26" t="s">
        <v>3823</v>
      </c>
      <c r="G2066" s="26" t="s">
        <v>20</v>
      </c>
      <c r="H2066" s="26" t="s">
        <v>43</v>
      </c>
      <c r="I2066" s="26" t="s">
        <v>3063</v>
      </c>
      <c r="J2066" s="46">
        <v>1</v>
      </c>
      <c r="K2066" s="46">
        <v>30</v>
      </c>
      <c r="L2066" s="136"/>
      <c r="M2066" s="137" t="s">
        <v>44</v>
      </c>
      <c r="N2066" s="138">
        <v>126</v>
      </c>
      <c r="O2066" s="138"/>
      <c r="P2066" s="138"/>
      <c r="Q2066" s="138"/>
      <c r="R2066" s="138"/>
      <c r="S2066" s="138"/>
      <c r="T2066" s="138"/>
      <c r="U2066" s="138"/>
    </row>
    <row r="2067" spans="1:21" s="26" customFormat="1" ht="15" customHeight="1" x14ac:dyDescent="0.2">
      <c r="A2067" s="32">
        <v>41635.387233796297</v>
      </c>
      <c r="B2067" s="26" t="s">
        <v>38</v>
      </c>
      <c r="C2067" s="26" t="s">
        <v>39</v>
      </c>
      <c r="D2067" s="68">
        <v>41609</v>
      </c>
      <c r="E2067" s="26" t="s">
        <v>3820</v>
      </c>
      <c r="F2067" s="26" t="s">
        <v>3824</v>
      </c>
      <c r="G2067" s="26" t="s">
        <v>20</v>
      </c>
      <c r="H2067" s="26" t="s">
        <v>43</v>
      </c>
      <c r="I2067" s="26" t="s">
        <v>3063</v>
      </c>
      <c r="J2067" s="46">
        <v>1</v>
      </c>
      <c r="K2067" s="46">
        <v>140</v>
      </c>
      <c r="L2067" s="136"/>
      <c r="M2067" s="137" t="s">
        <v>44</v>
      </c>
      <c r="N2067" s="138">
        <v>755.5</v>
      </c>
      <c r="O2067" s="138"/>
      <c r="P2067" s="138"/>
      <c r="Q2067" s="138"/>
      <c r="R2067" s="138"/>
      <c r="S2067" s="138"/>
      <c r="T2067" s="138"/>
      <c r="U2067" s="138"/>
    </row>
    <row r="2068" spans="1:21" s="26" customFormat="1" ht="15" customHeight="1" x14ac:dyDescent="0.2">
      <c r="A2068" s="32">
        <v>41635.388182870367</v>
      </c>
      <c r="B2068" s="26" t="s">
        <v>38</v>
      </c>
      <c r="C2068" s="26" t="s">
        <v>39</v>
      </c>
      <c r="D2068" s="68">
        <v>41609</v>
      </c>
      <c r="E2068" s="26" t="s">
        <v>3820</v>
      </c>
      <c r="F2068" s="26" t="s">
        <v>3825</v>
      </c>
      <c r="G2068" s="26" t="s">
        <v>42</v>
      </c>
      <c r="H2068" s="26" t="s">
        <v>43</v>
      </c>
      <c r="I2068" s="26" t="s">
        <v>3063</v>
      </c>
      <c r="J2068" s="46">
        <v>1</v>
      </c>
      <c r="K2068" s="46">
        <v>35</v>
      </c>
      <c r="L2068" s="136"/>
      <c r="M2068" s="137" t="s">
        <v>44</v>
      </c>
      <c r="N2068" s="138">
        <v>262.14999999999998</v>
      </c>
      <c r="O2068" s="138"/>
      <c r="P2068" s="138"/>
      <c r="Q2068" s="138"/>
      <c r="R2068" s="138"/>
      <c r="S2068" s="138"/>
      <c r="T2068" s="138"/>
      <c r="U2068" s="138"/>
    </row>
    <row r="2069" spans="1:21" s="26" customFormat="1" ht="15" customHeight="1" x14ac:dyDescent="0.2">
      <c r="A2069" s="32">
        <v>41635.389097222222</v>
      </c>
      <c r="B2069" s="26" t="s">
        <v>38</v>
      </c>
      <c r="C2069" s="26" t="s">
        <v>39</v>
      </c>
      <c r="D2069" s="68">
        <v>41609</v>
      </c>
      <c r="E2069" s="26" t="s">
        <v>2197</v>
      </c>
      <c r="F2069" s="26" t="s">
        <v>3826</v>
      </c>
      <c r="G2069" s="26" t="s">
        <v>42</v>
      </c>
      <c r="H2069" s="26" t="s">
        <v>43</v>
      </c>
      <c r="I2069" s="26" t="s">
        <v>3063</v>
      </c>
      <c r="J2069" s="46">
        <v>1</v>
      </c>
      <c r="K2069" s="46">
        <v>27</v>
      </c>
      <c r="L2069" s="136"/>
      <c r="M2069" s="137" t="s">
        <v>44</v>
      </c>
      <c r="N2069" s="138">
        <v>202.23</v>
      </c>
      <c r="O2069" s="138"/>
      <c r="P2069" s="138"/>
      <c r="Q2069" s="138"/>
      <c r="R2069" s="138"/>
      <c r="S2069" s="138"/>
      <c r="T2069" s="138"/>
      <c r="U2069" s="138"/>
    </row>
    <row r="2070" spans="1:21" s="26" customFormat="1" ht="15" customHeight="1" x14ac:dyDescent="0.2">
      <c r="A2070" s="32">
        <v>41635.390208333331</v>
      </c>
      <c r="B2070" s="26" t="s">
        <v>38</v>
      </c>
      <c r="C2070" s="26" t="s">
        <v>39</v>
      </c>
      <c r="D2070" s="68">
        <v>41609</v>
      </c>
      <c r="E2070" s="26" t="s">
        <v>3827</v>
      </c>
      <c r="F2070" s="26" t="s">
        <v>3828</v>
      </c>
      <c r="G2070" s="26" t="s">
        <v>42</v>
      </c>
      <c r="H2070" s="26" t="s">
        <v>43</v>
      </c>
      <c r="I2070" s="26" t="s">
        <v>3063</v>
      </c>
      <c r="J2070" s="46">
        <v>1</v>
      </c>
      <c r="K2070" s="46">
        <v>29</v>
      </c>
      <c r="L2070" s="136"/>
      <c r="M2070" s="137" t="s">
        <v>44</v>
      </c>
      <c r="N2070" s="138">
        <v>485</v>
      </c>
      <c r="O2070" s="138"/>
      <c r="P2070" s="138"/>
      <c r="Q2070" s="138"/>
      <c r="R2070" s="138"/>
      <c r="S2070" s="138"/>
      <c r="T2070" s="138"/>
      <c r="U2070" s="138"/>
    </row>
    <row r="2071" spans="1:21" s="26" customFormat="1" ht="15" customHeight="1" x14ac:dyDescent="0.2">
      <c r="A2071" s="32">
        <v>41635.401504629626</v>
      </c>
      <c r="B2071" s="26" t="s">
        <v>38</v>
      </c>
      <c r="C2071" s="26" t="s">
        <v>39</v>
      </c>
      <c r="D2071" s="68">
        <v>41609</v>
      </c>
      <c r="E2071" s="26" t="s">
        <v>3829</v>
      </c>
      <c r="F2071" s="26" t="s">
        <v>3830</v>
      </c>
      <c r="G2071" s="26" t="s">
        <v>42</v>
      </c>
      <c r="H2071" s="26" t="s">
        <v>43</v>
      </c>
      <c r="I2071" s="26" t="s">
        <v>3063</v>
      </c>
      <c r="J2071" s="46">
        <v>1</v>
      </c>
      <c r="K2071" s="46"/>
      <c r="L2071" s="136"/>
      <c r="M2071" s="137" t="s">
        <v>44</v>
      </c>
      <c r="N2071" s="138">
        <v>157.29</v>
      </c>
      <c r="O2071" s="138"/>
      <c r="P2071" s="138"/>
      <c r="Q2071" s="138"/>
      <c r="R2071" s="138"/>
      <c r="S2071" s="138"/>
      <c r="T2071" s="138"/>
      <c r="U2071" s="138"/>
    </row>
    <row r="2072" spans="1:21" s="26" customFormat="1" ht="15" customHeight="1" x14ac:dyDescent="0.2">
      <c r="A2072" s="32">
        <v>41635.40253472222</v>
      </c>
      <c r="B2072" s="26" t="s">
        <v>38</v>
      </c>
      <c r="C2072" s="26" t="s">
        <v>39</v>
      </c>
      <c r="D2072" s="68">
        <v>41609</v>
      </c>
      <c r="E2072" s="26" t="s">
        <v>3831</v>
      </c>
      <c r="F2072" s="26" t="s">
        <v>3832</v>
      </c>
      <c r="G2072" s="26" t="s">
        <v>42</v>
      </c>
      <c r="H2072" s="26" t="s">
        <v>43</v>
      </c>
      <c r="I2072" s="26" t="s">
        <v>3063</v>
      </c>
      <c r="J2072" s="46">
        <v>1</v>
      </c>
      <c r="K2072" s="46">
        <v>27</v>
      </c>
      <c r="L2072" s="136"/>
      <c r="M2072" s="137" t="s">
        <v>44</v>
      </c>
      <c r="N2072" s="138">
        <v>187.25</v>
      </c>
      <c r="O2072" s="138"/>
      <c r="P2072" s="138"/>
      <c r="Q2072" s="138"/>
      <c r="R2072" s="138"/>
      <c r="S2072" s="138"/>
      <c r="T2072" s="138"/>
      <c r="U2072" s="138"/>
    </row>
    <row r="2073" spans="1:21" s="26" customFormat="1" ht="15" customHeight="1" x14ac:dyDescent="0.2">
      <c r="A2073" s="32">
        <v>41635.403668981482</v>
      </c>
      <c r="B2073" s="26" t="s">
        <v>38</v>
      </c>
      <c r="C2073" s="26" t="s">
        <v>39</v>
      </c>
      <c r="D2073" s="68">
        <v>41609</v>
      </c>
      <c r="E2073" s="26" t="s">
        <v>3833</v>
      </c>
      <c r="F2073" s="26" t="s">
        <v>3834</v>
      </c>
      <c r="G2073" s="26" t="s">
        <v>20</v>
      </c>
      <c r="H2073" s="26" t="s">
        <v>43</v>
      </c>
      <c r="I2073" s="26" t="s">
        <v>3063</v>
      </c>
      <c r="J2073" s="46">
        <v>1</v>
      </c>
      <c r="K2073" s="46">
        <v>75</v>
      </c>
      <c r="L2073" s="136"/>
      <c r="M2073" s="137" t="s">
        <v>44</v>
      </c>
      <c r="N2073" s="138">
        <v>333</v>
      </c>
      <c r="O2073" s="138"/>
      <c r="P2073" s="138"/>
      <c r="Q2073" s="138"/>
      <c r="R2073" s="138"/>
      <c r="S2073" s="138"/>
      <c r="T2073" s="138"/>
      <c r="U2073" s="138"/>
    </row>
    <row r="2074" spans="1:21" s="26" customFormat="1" ht="15" customHeight="1" x14ac:dyDescent="0.2">
      <c r="A2074" s="32">
        <v>41635.405266203707</v>
      </c>
      <c r="B2074" s="26" t="s">
        <v>38</v>
      </c>
      <c r="C2074" s="26" t="s">
        <v>39</v>
      </c>
      <c r="D2074" s="68">
        <v>41609</v>
      </c>
      <c r="E2074" s="26" t="s">
        <v>3835</v>
      </c>
      <c r="F2074" s="26" t="s">
        <v>3825</v>
      </c>
      <c r="G2074" s="26" t="s">
        <v>42</v>
      </c>
      <c r="H2074" s="26" t="s">
        <v>43</v>
      </c>
      <c r="I2074" s="26" t="s">
        <v>3063</v>
      </c>
      <c r="J2074" s="46">
        <v>1</v>
      </c>
      <c r="K2074" s="46">
        <v>37</v>
      </c>
      <c r="L2074" s="136"/>
      <c r="M2074" s="137" t="s">
        <v>44</v>
      </c>
      <c r="N2074" s="138">
        <v>277.13</v>
      </c>
      <c r="O2074" s="138"/>
      <c r="P2074" s="138"/>
      <c r="Q2074" s="138"/>
      <c r="R2074" s="138"/>
      <c r="S2074" s="138"/>
      <c r="T2074" s="138"/>
      <c r="U2074" s="138"/>
    </row>
    <row r="2075" spans="1:21" s="26" customFormat="1" ht="15" customHeight="1" x14ac:dyDescent="0.2">
      <c r="A2075" s="32">
        <v>41635.405995370369</v>
      </c>
      <c r="B2075" s="26" t="s">
        <v>38</v>
      </c>
      <c r="C2075" s="26" t="s">
        <v>39</v>
      </c>
      <c r="D2075" s="68">
        <v>41609</v>
      </c>
      <c r="E2075" s="26" t="s">
        <v>3836</v>
      </c>
      <c r="F2075" s="26" t="s">
        <v>3837</v>
      </c>
      <c r="G2075" s="26" t="s">
        <v>42</v>
      </c>
      <c r="H2075" s="26" t="s">
        <v>43</v>
      </c>
      <c r="I2075" s="26" t="s">
        <v>3063</v>
      </c>
      <c r="J2075" s="46">
        <v>1</v>
      </c>
      <c r="K2075" s="46">
        <v>25</v>
      </c>
      <c r="L2075" s="136"/>
      <c r="M2075" s="137" t="s">
        <v>44</v>
      </c>
      <c r="N2075" s="138">
        <v>262.14999999999998</v>
      </c>
      <c r="O2075" s="138"/>
      <c r="P2075" s="138"/>
      <c r="Q2075" s="138"/>
      <c r="R2075" s="138"/>
      <c r="S2075" s="138"/>
      <c r="T2075" s="138"/>
      <c r="U2075" s="138"/>
    </row>
    <row r="2076" spans="1:21" s="26" customFormat="1" ht="15" customHeight="1" x14ac:dyDescent="0.2">
      <c r="A2076" s="32">
        <v>41635.408229166664</v>
      </c>
      <c r="B2076" s="26" t="s">
        <v>38</v>
      </c>
      <c r="C2076" s="26" t="s">
        <v>39</v>
      </c>
      <c r="D2076" s="68">
        <v>41609</v>
      </c>
      <c r="E2076" s="26" t="s">
        <v>3833</v>
      </c>
      <c r="F2076" s="26" t="s">
        <v>3838</v>
      </c>
      <c r="G2076" s="26" t="s">
        <v>42</v>
      </c>
      <c r="H2076" s="26" t="s">
        <v>43</v>
      </c>
      <c r="I2076" s="26" t="s">
        <v>3063</v>
      </c>
      <c r="J2076" s="46">
        <v>1</v>
      </c>
      <c r="K2076" s="46">
        <v>33</v>
      </c>
      <c r="L2076" s="136"/>
      <c r="M2076" s="137" t="s">
        <v>44</v>
      </c>
      <c r="N2076" s="138">
        <v>247.17</v>
      </c>
      <c r="O2076" s="138"/>
      <c r="P2076" s="138">
        <v>134.08000000000001</v>
      </c>
      <c r="Q2076" s="138"/>
      <c r="R2076" s="138"/>
      <c r="S2076" s="138"/>
      <c r="T2076" s="138"/>
      <c r="U2076" s="138"/>
    </row>
    <row r="2077" spans="1:21" s="26" customFormat="1" ht="15" customHeight="1" x14ac:dyDescent="0.2">
      <c r="A2077" s="32">
        <v>41635.409375000003</v>
      </c>
      <c r="B2077" s="26" t="s">
        <v>38</v>
      </c>
      <c r="C2077" s="26" t="s">
        <v>39</v>
      </c>
      <c r="D2077" s="68">
        <v>41609</v>
      </c>
      <c r="E2077" s="26" t="s">
        <v>3839</v>
      </c>
      <c r="F2077" s="26" t="s">
        <v>1297</v>
      </c>
      <c r="G2077" s="26" t="s">
        <v>42</v>
      </c>
      <c r="H2077" s="26" t="s">
        <v>43</v>
      </c>
      <c r="I2077" s="26" t="s">
        <v>3063</v>
      </c>
      <c r="J2077" s="46">
        <v>1</v>
      </c>
      <c r="K2077" s="46">
        <v>22</v>
      </c>
      <c r="L2077" s="136"/>
      <c r="M2077" s="137" t="s">
        <v>44</v>
      </c>
      <c r="N2077" s="138">
        <v>148.80000000000001</v>
      </c>
      <c r="O2077" s="138"/>
      <c r="P2077" s="138"/>
      <c r="Q2077" s="138"/>
      <c r="R2077" s="138"/>
      <c r="S2077" s="138"/>
      <c r="T2077" s="138"/>
      <c r="U2077" s="138"/>
    </row>
    <row r="2078" spans="1:21" s="26" customFormat="1" ht="15" customHeight="1" x14ac:dyDescent="0.2">
      <c r="A2078" s="32">
        <v>41635.410567129627</v>
      </c>
      <c r="B2078" s="26" t="s">
        <v>38</v>
      </c>
      <c r="C2078" s="26" t="s">
        <v>39</v>
      </c>
      <c r="D2078" s="68">
        <v>41609</v>
      </c>
      <c r="E2078" s="26" t="s">
        <v>3840</v>
      </c>
      <c r="F2078" s="26" t="s">
        <v>3841</v>
      </c>
      <c r="G2078" s="26" t="s">
        <v>42</v>
      </c>
      <c r="H2078" s="26" t="s">
        <v>43</v>
      </c>
      <c r="I2078" s="26" t="s">
        <v>3063</v>
      </c>
      <c r="J2078" s="46">
        <v>1</v>
      </c>
      <c r="K2078" s="46">
        <v>43</v>
      </c>
      <c r="L2078" s="136"/>
      <c r="M2078" s="137" t="s">
        <v>44</v>
      </c>
      <c r="N2078" s="138">
        <v>225.77</v>
      </c>
      <c r="O2078" s="138"/>
      <c r="P2078" s="138">
        <v>20</v>
      </c>
      <c r="Q2078" s="138"/>
      <c r="R2078" s="138"/>
      <c r="S2078" s="138"/>
      <c r="T2078" s="138"/>
      <c r="U2078" s="138"/>
    </row>
    <row r="2079" spans="1:21" s="26" customFormat="1" ht="15" customHeight="1" x14ac:dyDescent="0.2">
      <c r="A2079" s="32">
        <v>41635.467986111114</v>
      </c>
      <c r="B2079" s="26" t="s">
        <v>38</v>
      </c>
      <c r="C2079" s="26" t="s">
        <v>39</v>
      </c>
      <c r="D2079" s="68">
        <v>41609</v>
      </c>
      <c r="E2079" s="26" t="s">
        <v>3842</v>
      </c>
      <c r="F2079" s="26" t="s">
        <v>3843</v>
      </c>
      <c r="G2079" s="26" t="s">
        <v>20</v>
      </c>
      <c r="H2079" s="26" t="s">
        <v>43</v>
      </c>
      <c r="I2079" s="26" t="s">
        <v>3063</v>
      </c>
      <c r="J2079" s="46">
        <v>1</v>
      </c>
      <c r="K2079" s="46">
        <v>30</v>
      </c>
      <c r="L2079" s="136"/>
      <c r="M2079" s="137" t="s">
        <v>44</v>
      </c>
      <c r="N2079" s="138">
        <v>209.72</v>
      </c>
      <c r="O2079" s="138"/>
      <c r="P2079" s="138"/>
      <c r="Q2079" s="138"/>
      <c r="R2079" s="138"/>
      <c r="S2079" s="138"/>
      <c r="T2079" s="138"/>
      <c r="U2079" s="138"/>
    </row>
    <row r="2080" spans="1:21" s="26" customFormat="1" ht="15" customHeight="1" x14ac:dyDescent="0.2">
      <c r="A2080" s="32">
        <v>41635.471504629626</v>
      </c>
      <c r="B2080" s="26" t="s">
        <v>38</v>
      </c>
      <c r="C2080" s="26" t="s">
        <v>39</v>
      </c>
      <c r="D2080" s="68">
        <v>41609</v>
      </c>
      <c r="E2080" s="26" t="s">
        <v>3844</v>
      </c>
      <c r="F2080" s="26" t="s">
        <v>3845</v>
      </c>
      <c r="G2080" s="26" t="s">
        <v>42</v>
      </c>
      <c r="H2080" s="26" t="s">
        <v>43</v>
      </c>
      <c r="I2080" s="26" t="s">
        <v>3063</v>
      </c>
      <c r="J2080" s="46">
        <v>1</v>
      </c>
      <c r="K2080" s="46">
        <v>22</v>
      </c>
      <c r="L2080" s="136"/>
      <c r="M2080" s="137" t="s">
        <v>44</v>
      </c>
      <c r="N2080" s="138">
        <v>164.78</v>
      </c>
      <c r="O2080" s="138"/>
      <c r="P2080" s="138">
        <v>665.34</v>
      </c>
      <c r="Q2080" s="138"/>
      <c r="R2080" s="138"/>
      <c r="S2080" s="138"/>
      <c r="T2080" s="138"/>
      <c r="U2080" s="138"/>
    </row>
    <row r="2081" spans="1:25" s="26" customFormat="1" ht="15" customHeight="1" x14ac:dyDescent="0.2">
      <c r="A2081" s="32">
        <v>41635.482361111113</v>
      </c>
      <c r="B2081" s="26" t="s">
        <v>38</v>
      </c>
      <c r="C2081" s="26" t="s">
        <v>39</v>
      </c>
      <c r="D2081" s="68">
        <v>41609</v>
      </c>
      <c r="E2081" s="26" t="s">
        <v>3815</v>
      </c>
      <c r="F2081" s="26" t="s">
        <v>3846</v>
      </c>
      <c r="G2081" s="26" t="s">
        <v>42</v>
      </c>
      <c r="H2081" s="26" t="s">
        <v>43</v>
      </c>
      <c r="I2081" s="26" t="s">
        <v>3063</v>
      </c>
      <c r="J2081" s="46">
        <v>1</v>
      </c>
      <c r="K2081" s="46">
        <v>55</v>
      </c>
      <c r="L2081" s="136"/>
      <c r="M2081" s="137" t="s">
        <v>44</v>
      </c>
      <c r="N2081" s="138">
        <v>411.95</v>
      </c>
      <c r="O2081" s="138"/>
      <c r="P2081" s="138">
        <v>225</v>
      </c>
      <c r="Q2081" s="138"/>
      <c r="R2081" s="138"/>
      <c r="S2081" s="138"/>
      <c r="T2081" s="138"/>
      <c r="U2081" s="138"/>
    </row>
    <row r="2082" spans="1:25" s="26" customFormat="1" ht="15" customHeight="1" x14ac:dyDescent="0.2">
      <c r="A2082" s="32">
        <v>41635.511250000003</v>
      </c>
      <c r="B2082" s="26" t="s">
        <v>38</v>
      </c>
      <c r="C2082" s="26" t="s">
        <v>39</v>
      </c>
      <c r="D2082" s="68">
        <v>41609</v>
      </c>
      <c r="E2082" s="26" t="s">
        <v>2830</v>
      </c>
      <c r="F2082" s="26" t="s">
        <v>3847</v>
      </c>
      <c r="G2082" s="26" t="s">
        <v>20</v>
      </c>
      <c r="H2082" s="26" t="s">
        <v>43</v>
      </c>
      <c r="I2082" s="26" t="s">
        <v>3063</v>
      </c>
      <c r="J2082" s="46">
        <v>1</v>
      </c>
      <c r="K2082" s="46">
        <v>39</v>
      </c>
      <c r="L2082" s="136"/>
      <c r="M2082" s="137" t="s">
        <v>44</v>
      </c>
      <c r="N2082" s="138">
        <v>221.93</v>
      </c>
      <c r="O2082" s="138"/>
      <c r="P2082" s="138">
        <v>125</v>
      </c>
      <c r="Q2082" s="138"/>
      <c r="R2082" s="138"/>
      <c r="S2082" s="138"/>
      <c r="T2082" s="138"/>
      <c r="U2082" s="138"/>
    </row>
    <row r="2083" spans="1:25" s="26" customFormat="1" ht="15" customHeight="1" x14ac:dyDescent="0.2">
      <c r="A2083" s="32">
        <v>41635.514097222222</v>
      </c>
      <c r="B2083" s="26" t="s">
        <v>38</v>
      </c>
      <c r="C2083" s="26" t="s">
        <v>39</v>
      </c>
      <c r="D2083" s="68">
        <v>41609</v>
      </c>
      <c r="E2083" s="26" t="s">
        <v>3848</v>
      </c>
      <c r="F2083" s="26" t="s">
        <v>3849</v>
      </c>
      <c r="G2083" s="26" t="s">
        <v>42</v>
      </c>
      <c r="H2083" s="26" t="s">
        <v>43</v>
      </c>
      <c r="I2083" s="26" t="s">
        <v>3063</v>
      </c>
      <c r="J2083" s="46">
        <v>1</v>
      </c>
      <c r="K2083" s="46">
        <v>71</v>
      </c>
      <c r="L2083" s="136"/>
      <c r="M2083" s="137" t="s">
        <v>44</v>
      </c>
      <c r="N2083" s="138">
        <v>375.5</v>
      </c>
      <c r="O2083" s="138"/>
      <c r="P2083" s="138"/>
      <c r="Q2083" s="138"/>
      <c r="R2083" s="138"/>
      <c r="S2083" s="138"/>
      <c r="T2083" s="138"/>
      <c r="U2083" s="138"/>
    </row>
    <row r="2084" spans="1:25" s="26" customFormat="1" ht="15" customHeight="1" x14ac:dyDescent="0.2">
      <c r="A2084" s="32">
        <v>41635.516805555555</v>
      </c>
      <c r="B2084" s="26" t="s">
        <v>38</v>
      </c>
      <c r="C2084" s="26" t="s">
        <v>39</v>
      </c>
      <c r="D2084" s="68">
        <v>41609</v>
      </c>
      <c r="E2084" s="26" t="s">
        <v>3808</v>
      </c>
      <c r="F2084" s="26" t="s">
        <v>3849</v>
      </c>
      <c r="G2084" s="26" t="s">
        <v>42</v>
      </c>
      <c r="H2084" s="26" t="s">
        <v>43</v>
      </c>
      <c r="I2084" s="26" t="s">
        <v>3063</v>
      </c>
      <c r="J2084" s="46">
        <v>1</v>
      </c>
      <c r="K2084" s="46">
        <v>48</v>
      </c>
      <c r="L2084" s="136"/>
      <c r="M2084" s="137" t="s">
        <v>44</v>
      </c>
      <c r="N2084" s="138">
        <v>231.92</v>
      </c>
      <c r="O2084" s="138"/>
      <c r="P2084" s="138"/>
      <c r="Q2084" s="138"/>
      <c r="R2084" s="138"/>
      <c r="S2084" s="138"/>
      <c r="T2084" s="138"/>
      <c r="U2084" s="138"/>
    </row>
    <row r="2085" spans="1:25" s="26" customFormat="1" ht="15" customHeight="1" x14ac:dyDescent="0.2">
      <c r="A2085" s="32">
        <v>41642.633530092593</v>
      </c>
      <c r="B2085" s="26" t="s">
        <v>38</v>
      </c>
      <c r="C2085" s="26" t="s">
        <v>39</v>
      </c>
      <c r="D2085" s="68">
        <v>41609</v>
      </c>
      <c r="E2085" s="26" t="s">
        <v>3184</v>
      </c>
      <c r="F2085" s="26" t="s">
        <v>3908</v>
      </c>
      <c r="G2085" s="26" t="s">
        <v>60</v>
      </c>
      <c r="H2085" s="26" t="s">
        <v>3909</v>
      </c>
      <c r="I2085" s="26" t="s">
        <v>3910</v>
      </c>
      <c r="J2085" s="46">
        <v>450</v>
      </c>
      <c r="K2085" s="46">
        <v>4743</v>
      </c>
      <c r="L2085" s="136"/>
      <c r="M2085" s="137" t="s">
        <v>44</v>
      </c>
      <c r="N2085" s="138"/>
      <c r="O2085" s="138"/>
      <c r="P2085" s="138">
        <v>16318.26</v>
      </c>
      <c r="Q2085" s="138"/>
      <c r="R2085" s="138"/>
      <c r="S2085" s="138"/>
      <c r="T2085" s="138"/>
      <c r="U2085" s="138"/>
    </row>
    <row r="2086" spans="1:25" s="26" customFormat="1" ht="15" customHeight="1" x14ac:dyDescent="0.2">
      <c r="A2086" s="32">
        <v>41642.636319444442</v>
      </c>
      <c r="B2086" s="26" t="s">
        <v>38</v>
      </c>
      <c r="C2086" s="26" t="s">
        <v>39</v>
      </c>
      <c r="D2086" s="68">
        <v>41609</v>
      </c>
      <c r="E2086" s="26" t="s">
        <v>3184</v>
      </c>
      <c r="F2086" s="26" t="s">
        <v>2317</v>
      </c>
      <c r="G2086" s="26" t="s">
        <v>26</v>
      </c>
      <c r="H2086" s="26" t="s">
        <v>3911</v>
      </c>
      <c r="I2086" s="26" t="s">
        <v>3912</v>
      </c>
      <c r="J2086" s="46">
        <v>53</v>
      </c>
      <c r="K2086" s="46">
        <v>104</v>
      </c>
      <c r="L2086" s="136"/>
      <c r="M2086" s="137"/>
      <c r="N2086" s="138"/>
      <c r="O2086" s="138"/>
      <c r="P2086" s="138"/>
      <c r="Q2086" s="138"/>
      <c r="R2086" s="138"/>
      <c r="S2086" s="138"/>
      <c r="T2086" s="138"/>
      <c r="U2086" s="138"/>
    </row>
    <row r="2087" spans="1:25" s="26" customFormat="1" ht="15" customHeight="1" x14ac:dyDescent="0.2">
      <c r="A2087" s="55">
        <v>41673.4476041667</v>
      </c>
      <c r="B2087" s="52" t="s">
        <v>38</v>
      </c>
      <c r="C2087" s="52" t="s">
        <v>39</v>
      </c>
      <c r="D2087" s="69">
        <v>41640</v>
      </c>
      <c r="E2087" s="52" t="s">
        <v>4373</v>
      </c>
      <c r="F2087" s="52" t="s">
        <v>4374</v>
      </c>
      <c r="G2087" s="52" t="s">
        <v>42</v>
      </c>
      <c r="H2087" s="52" t="s">
        <v>4375</v>
      </c>
      <c r="I2087" s="52" t="s">
        <v>3001</v>
      </c>
      <c r="J2087" s="95">
        <v>1</v>
      </c>
      <c r="K2087" s="118">
        <v>12</v>
      </c>
      <c r="L2087" s="148">
        <v>60</v>
      </c>
      <c r="M2087" s="146" t="s">
        <v>44</v>
      </c>
      <c r="N2087" s="147">
        <v>60</v>
      </c>
      <c r="O2087" s="147"/>
      <c r="P2087" s="147"/>
      <c r="Q2087" s="147"/>
      <c r="R2087" s="147"/>
      <c r="S2087" s="147"/>
      <c r="T2087" s="147"/>
      <c r="U2087" s="149"/>
      <c r="V2087" s="52"/>
      <c r="W2087" s="52"/>
      <c r="X2087" s="52"/>
      <c r="Y2087" s="52"/>
    </row>
    <row r="2088" spans="1:25" s="26" customFormat="1" ht="15" customHeight="1" x14ac:dyDescent="0.2">
      <c r="A2088" s="55">
        <v>41673.448912036998</v>
      </c>
      <c r="B2088" s="52" t="s">
        <v>38</v>
      </c>
      <c r="C2088" s="52" t="s">
        <v>39</v>
      </c>
      <c r="D2088" s="69">
        <v>41640</v>
      </c>
      <c r="E2088" s="52"/>
      <c r="F2088" s="52" t="s">
        <v>4376</v>
      </c>
      <c r="G2088" s="52" t="s">
        <v>20</v>
      </c>
      <c r="H2088" s="52" t="s">
        <v>4375</v>
      </c>
      <c r="I2088" s="52" t="s">
        <v>3001</v>
      </c>
      <c r="J2088" s="95">
        <v>1</v>
      </c>
      <c r="K2088" s="118">
        <v>26</v>
      </c>
      <c r="L2088" s="148"/>
      <c r="M2088" s="146" t="s">
        <v>44</v>
      </c>
      <c r="N2088" s="147">
        <v>180</v>
      </c>
      <c r="O2088" s="147"/>
      <c r="P2088" s="147">
        <v>65.849999999999994</v>
      </c>
      <c r="Q2088" s="147"/>
      <c r="R2088" s="147"/>
      <c r="S2088" s="147"/>
      <c r="T2088" s="147"/>
      <c r="U2088" s="149"/>
      <c r="V2088" s="52"/>
      <c r="W2088" s="52"/>
      <c r="X2088" s="52"/>
      <c r="Y2088" s="52"/>
    </row>
    <row r="2089" spans="1:25" s="26" customFormat="1" ht="15" customHeight="1" x14ac:dyDescent="0.2">
      <c r="A2089" s="55">
        <v>41673.451226851801</v>
      </c>
      <c r="B2089" s="52" t="s">
        <v>38</v>
      </c>
      <c r="C2089" s="52" t="s">
        <v>39</v>
      </c>
      <c r="D2089" s="69">
        <v>41640</v>
      </c>
      <c r="E2089" s="52" t="s">
        <v>1557</v>
      </c>
      <c r="F2089" s="52" t="s">
        <v>4377</v>
      </c>
      <c r="G2089" s="52" t="s">
        <v>42</v>
      </c>
      <c r="H2089" s="52" t="s">
        <v>4375</v>
      </c>
      <c r="I2089" s="52" t="s">
        <v>2986</v>
      </c>
      <c r="J2089" s="95">
        <v>1</v>
      </c>
      <c r="K2089" s="118">
        <v>20</v>
      </c>
      <c r="L2089" s="148"/>
      <c r="M2089" s="146" t="s">
        <v>44</v>
      </c>
      <c r="N2089" s="147">
        <v>160.5</v>
      </c>
      <c r="O2089" s="147"/>
      <c r="P2089" s="147"/>
      <c r="Q2089" s="147"/>
      <c r="R2089" s="147"/>
      <c r="S2089" s="147"/>
      <c r="T2089" s="147"/>
      <c r="U2089" s="149"/>
      <c r="V2089" s="52"/>
      <c r="W2089" s="52"/>
      <c r="X2089" s="52"/>
      <c r="Y2089" s="52"/>
    </row>
    <row r="2090" spans="1:25" s="26" customFormat="1" ht="15" customHeight="1" x14ac:dyDescent="0.2">
      <c r="A2090" s="55">
        <v>41673.461597222202</v>
      </c>
      <c r="B2090" s="52" t="s">
        <v>38</v>
      </c>
      <c r="C2090" s="52" t="s">
        <v>39</v>
      </c>
      <c r="D2090" s="69">
        <v>41640</v>
      </c>
      <c r="E2090" s="52"/>
      <c r="F2090" s="52" t="s">
        <v>2317</v>
      </c>
      <c r="G2090" s="52" t="s">
        <v>26</v>
      </c>
      <c r="H2090" s="52" t="s">
        <v>4378</v>
      </c>
      <c r="I2090" s="52"/>
      <c r="J2090" s="95">
        <v>31</v>
      </c>
      <c r="K2090" s="118">
        <v>73</v>
      </c>
      <c r="L2090" s="148"/>
      <c r="M2090" s="146" t="s">
        <v>22</v>
      </c>
      <c r="N2090" s="147"/>
      <c r="O2090" s="147"/>
      <c r="P2090" s="147"/>
      <c r="Q2090" s="147"/>
      <c r="R2090" s="147"/>
      <c r="S2090" s="147"/>
      <c r="T2090" s="147"/>
      <c r="U2090" s="149"/>
      <c r="V2090" s="52"/>
      <c r="W2090" s="52"/>
      <c r="X2090" s="52"/>
      <c r="Y2090" s="52"/>
    </row>
    <row r="2091" spans="1:25" s="26" customFormat="1" ht="15" customHeight="1" x14ac:dyDescent="0.2">
      <c r="A2091" s="55">
        <v>41674.579861111102</v>
      </c>
      <c r="B2091" s="52" t="s">
        <v>38</v>
      </c>
      <c r="C2091" s="52" t="s">
        <v>39</v>
      </c>
      <c r="D2091" s="69">
        <v>41640</v>
      </c>
      <c r="E2091" s="52" t="s">
        <v>3184</v>
      </c>
      <c r="F2091" s="56" t="s">
        <v>4535</v>
      </c>
      <c r="G2091" s="52" t="s">
        <v>60</v>
      </c>
      <c r="H2091" s="52" t="s">
        <v>4391</v>
      </c>
      <c r="I2091" s="52" t="s">
        <v>4392</v>
      </c>
      <c r="J2091" s="95">
        <v>465</v>
      </c>
      <c r="K2091" s="118">
        <v>1397</v>
      </c>
      <c r="L2091" s="148"/>
      <c r="M2091" s="146" t="s">
        <v>44</v>
      </c>
      <c r="N2091" s="147"/>
      <c r="O2091" s="147"/>
      <c r="P2091" s="147"/>
      <c r="Q2091" s="147"/>
      <c r="R2091" s="147"/>
      <c r="S2091" s="147"/>
      <c r="T2091" s="147"/>
      <c r="U2091" s="149"/>
      <c r="V2091" s="52"/>
      <c r="W2091" s="52"/>
      <c r="X2091" s="52"/>
      <c r="Y2091" s="52"/>
    </row>
    <row r="2092" spans="1:25" s="26" customFormat="1" ht="15" customHeight="1" x14ac:dyDescent="0.2">
      <c r="A2092" s="32">
        <v>41688.592083333337</v>
      </c>
      <c r="B2092" s="26" t="s">
        <v>38</v>
      </c>
      <c r="C2092" s="26" t="s">
        <v>39</v>
      </c>
      <c r="D2092" s="33">
        <v>41671</v>
      </c>
      <c r="E2092" s="26" t="s">
        <v>4622</v>
      </c>
      <c r="F2092" s="26" t="s">
        <v>4623</v>
      </c>
      <c r="G2092" s="26" t="s">
        <v>42</v>
      </c>
      <c r="H2092" s="26" t="s">
        <v>4624</v>
      </c>
      <c r="I2092" s="26" t="s">
        <v>2812</v>
      </c>
      <c r="J2092" s="46">
        <v>2</v>
      </c>
      <c r="K2092" s="46">
        <v>21</v>
      </c>
      <c r="L2092" s="136">
        <v>420</v>
      </c>
      <c r="M2092" s="137" t="s">
        <v>22</v>
      </c>
      <c r="N2092" s="138"/>
      <c r="O2092" s="138"/>
      <c r="P2092" s="138"/>
      <c r="Q2092" s="138"/>
      <c r="R2092" s="138"/>
      <c r="S2092" s="138"/>
      <c r="T2092" s="138"/>
      <c r="U2092" s="138"/>
    </row>
    <row r="2093" spans="1:25" s="26" customFormat="1" ht="15" customHeight="1" x14ac:dyDescent="0.2">
      <c r="A2093" s="32">
        <v>41694.555833333332</v>
      </c>
      <c r="B2093" s="26" t="s">
        <v>38</v>
      </c>
      <c r="C2093" s="26" t="s">
        <v>39</v>
      </c>
      <c r="D2093" s="33">
        <v>41671</v>
      </c>
      <c r="E2093" s="26" t="s">
        <v>4675</v>
      </c>
      <c r="F2093" s="26" t="s">
        <v>4676</v>
      </c>
      <c r="G2093" s="26" t="s">
        <v>26</v>
      </c>
      <c r="H2093" s="26" t="s">
        <v>4624</v>
      </c>
      <c r="I2093" s="26" t="s">
        <v>2812</v>
      </c>
      <c r="J2093" s="46">
        <v>1</v>
      </c>
      <c r="K2093" s="46">
        <v>19</v>
      </c>
      <c r="L2093" s="136">
        <v>285</v>
      </c>
      <c r="M2093" s="137" t="s">
        <v>22</v>
      </c>
      <c r="N2093" s="138"/>
      <c r="O2093" s="138"/>
      <c r="P2093" s="138"/>
      <c r="Q2093" s="138"/>
      <c r="R2093" s="138"/>
      <c r="S2093" s="138"/>
      <c r="T2093" s="138"/>
      <c r="U2093" s="138"/>
    </row>
    <row r="2094" spans="1:25" s="26" customFormat="1" ht="15" customHeight="1" x14ac:dyDescent="0.2">
      <c r="A2094" s="32">
        <v>41695.413043981483</v>
      </c>
      <c r="B2094" s="26" t="s">
        <v>38</v>
      </c>
      <c r="C2094" s="26" t="s">
        <v>39</v>
      </c>
      <c r="D2094" s="33">
        <v>41671</v>
      </c>
      <c r="E2094" s="26" t="s">
        <v>3844</v>
      </c>
      <c r="F2094" s="26" t="s">
        <v>4680</v>
      </c>
      <c r="G2094" s="26" t="s">
        <v>20</v>
      </c>
      <c r="H2094" s="26" t="s">
        <v>647</v>
      </c>
      <c r="I2094" s="26" t="s">
        <v>2986</v>
      </c>
      <c r="J2094" s="46">
        <v>1</v>
      </c>
      <c r="K2094" s="46">
        <v>53</v>
      </c>
      <c r="L2094" s="136"/>
      <c r="M2094" s="137" t="s">
        <v>44</v>
      </c>
      <c r="N2094" s="138">
        <v>306</v>
      </c>
      <c r="O2094" s="138"/>
      <c r="P2094" s="138"/>
      <c r="Q2094" s="138"/>
      <c r="R2094" s="138"/>
      <c r="S2094" s="138"/>
      <c r="T2094" s="138"/>
      <c r="U2094" s="138"/>
    </row>
    <row r="2095" spans="1:25" s="26" customFormat="1" ht="15" customHeight="1" x14ac:dyDescent="0.2">
      <c r="A2095" s="32">
        <v>41695.418368055558</v>
      </c>
      <c r="B2095" s="26" t="s">
        <v>38</v>
      </c>
      <c r="C2095" s="26" t="s">
        <v>39</v>
      </c>
      <c r="D2095" s="33">
        <v>41671</v>
      </c>
      <c r="E2095" s="26" t="s">
        <v>2830</v>
      </c>
      <c r="F2095" s="26" t="s">
        <v>4681</v>
      </c>
      <c r="G2095" s="26" t="s">
        <v>20</v>
      </c>
      <c r="H2095" s="26" t="s">
        <v>647</v>
      </c>
      <c r="I2095" s="26" t="s">
        <v>2986</v>
      </c>
      <c r="J2095" s="46">
        <v>1</v>
      </c>
      <c r="K2095" s="46">
        <v>35</v>
      </c>
      <c r="L2095" s="136"/>
      <c r="M2095" s="137" t="s">
        <v>44</v>
      </c>
      <c r="N2095" s="138">
        <v>175.5</v>
      </c>
      <c r="O2095" s="138"/>
      <c r="P2095" s="138"/>
      <c r="Q2095" s="138"/>
      <c r="R2095" s="138"/>
      <c r="S2095" s="138"/>
      <c r="T2095" s="138"/>
      <c r="U2095" s="138"/>
    </row>
    <row r="2096" spans="1:25" s="26" customFormat="1" ht="15" customHeight="1" x14ac:dyDescent="0.2">
      <c r="A2096" s="32">
        <v>41695.435046296298</v>
      </c>
      <c r="B2096" s="26" t="s">
        <v>38</v>
      </c>
      <c r="C2096" s="26" t="s">
        <v>39</v>
      </c>
      <c r="D2096" s="33">
        <v>41671</v>
      </c>
      <c r="E2096" s="26" t="s">
        <v>3836</v>
      </c>
      <c r="F2096" s="26" t="s">
        <v>4682</v>
      </c>
      <c r="G2096" s="26" t="s">
        <v>20</v>
      </c>
      <c r="H2096" s="26" t="s">
        <v>647</v>
      </c>
      <c r="I2096" s="26" t="s">
        <v>2986</v>
      </c>
      <c r="J2096" s="46">
        <v>1</v>
      </c>
      <c r="K2096" s="46">
        <v>67</v>
      </c>
      <c r="L2096" s="136"/>
      <c r="M2096" s="137" t="s">
        <v>44</v>
      </c>
      <c r="N2096" s="138">
        <v>388.5</v>
      </c>
      <c r="O2096" s="138"/>
      <c r="P2096" s="138"/>
      <c r="Q2096" s="138"/>
      <c r="R2096" s="138"/>
      <c r="S2096" s="138"/>
      <c r="T2096" s="138"/>
      <c r="U2096" s="138"/>
    </row>
    <row r="2097" spans="1:21" s="26" customFormat="1" ht="15" customHeight="1" x14ac:dyDescent="0.2">
      <c r="A2097" s="32">
        <v>41695.439525462964</v>
      </c>
      <c r="B2097" s="26" t="s">
        <v>38</v>
      </c>
      <c r="C2097" s="26" t="s">
        <v>39</v>
      </c>
      <c r="D2097" s="33">
        <v>41671</v>
      </c>
      <c r="E2097" s="26" t="s">
        <v>4683</v>
      </c>
      <c r="F2097" s="26" t="s">
        <v>4684</v>
      </c>
      <c r="G2097" s="26" t="s">
        <v>20</v>
      </c>
      <c r="H2097" s="26" t="s">
        <v>647</v>
      </c>
      <c r="I2097" s="26" t="s">
        <v>2986</v>
      </c>
      <c r="J2097" s="46">
        <v>1</v>
      </c>
      <c r="K2097" s="46">
        <v>44</v>
      </c>
      <c r="L2097" s="136"/>
      <c r="M2097" s="137" t="s">
        <v>44</v>
      </c>
      <c r="N2097" s="138">
        <v>201.6</v>
      </c>
      <c r="O2097" s="138"/>
      <c r="P2097" s="138">
        <v>138.38999999999999</v>
      </c>
      <c r="Q2097" s="138"/>
      <c r="R2097" s="138"/>
      <c r="S2097" s="138"/>
      <c r="T2097" s="138"/>
      <c r="U2097" s="138"/>
    </row>
    <row r="2098" spans="1:21" s="26" customFormat="1" ht="15" customHeight="1" x14ac:dyDescent="0.2">
      <c r="A2098" s="32">
        <v>41695.444282407407</v>
      </c>
      <c r="B2098" s="26" t="s">
        <v>38</v>
      </c>
      <c r="C2098" s="26" t="s">
        <v>39</v>
      </c>
      <c r="D2098" s="33">
        <v>41671</v>
      </c>
      <c r="E2098" s="26" t="s">
        <v>3848</v>
      </c>
      <c r="F2098" s="26" t="s">
        <v>4685</v>
      </c>
      <c r="G2098" s="26" t="s">
        <v>20</v>
      </c>
      <c r="H2098" s="26" t="s">
        <v>647</v>
      </c>
      <c r="I2098" s="26" t="s">
        <v>2986</v>
      </c>
      <c r="J2098" s="46">
        <v>1</v>
      </c>
      <c r="K2098" s="46">
        <v>23</v>
      </c>
      <c r="L2098" s="136"/>
      <c r="M2098" s="137" t="s">
        <v>44</v>
      </c>
      <c r="N2098" s="138">
        <v>102.72</v>
      </c>
      <c r="O2098" s="138"/>
      <c r="P2098" s="138"/>
      <c r="Q2098" s="138"/>
      <c r="R2098" s="138"/>
      <c r="S2098" s="138"/>
      <c r="T2098" s="138"/>
      <c r="U2098" s="138"/>
    </row>
    <row r="2099" spans="1:21" s="26" customFormat="1" ht="15" customHeight="1" x14ac:dyDescent="0.2">
      <c r="A2099" s="32">
        <v>41695.459444444445</v>
      </c>
      <c r="B2099" s="26" t="s">
        <v>38</v>
      </c>
      <c r="C2099" s="26" t="s">
        <v>39</v>
      </c>
      <c r="D2099" s="33">
        <v>41671</v>
      </c>
      <c r="E2099" s="26" t="s">
        <v>4689</v>
      </c>
      <c r="F2099" s="26" t="s">
        <v>4690</v>
      </c>
      <c r="G2099" s="26" t="s">
        <v>20</v>
      </c>
      <c r="H2099" s="26" t="s">
        <v>647</v>
      </c>
      <c r="I2099" s="26" t="s">
        <v>2986</v>
      </c>
      <c r="J2099" s="46">
        <v>1</v>
      </c>
      <c r="K2099" s="46">
        <v>42</v>
      </c>
      <c r="L2099" s="136"/>
      <c r="M2099" s="137" t="s">
        <v>44</v>
      </c>
      <c r="N2099" s="138">
        <v>285</v>
      </c>
      <c r="O2099" s="138"/>
      <c r="P2099" s="138">
        <v>450.66</v>
      </c>
      <c r="Q2099" s="138"/>
      <c r="R2099" s="138"/>
      <c r="S2099" s="138"/>
      <c r="T2099" s="138"/>
      <c r="U2099" s="138"/>
    </row>
    <row r="2100" spans="1:21" s="26" customFormat="1" ht="15" customHeight="1" x14ac:dyDescent="0.2">
      <c r="A2100" s="32">
        <v>41695.460740740738</v>
      </c>
      <c r="B2100" s="26" t="s">
        <v>38</v>
      </c>
      <c r="C2100" s="26" t="s">
        <v>39</v>
      </c>
      <c r="D2100" s="33">
        <v>41671</v>
      </c>
      <c r="E2100" s="26" t="s">
        <v>3848</v>
      </c>
      <c r="F2100" s="26" t="s">
        <v>4691</v>
      </c>
      <c r="G2100" s="26" t="s">
        <v>20</v>
      </c>
      <c r="H2100" s="26" t="s">
        <v>647</v>
      </c>
      <c r="I2100" s="26" t="s">
        <v>2986</v>
      </c>
      <c r="J2100" s="46">
        <v>1</v>
      </c>
      <c r="K2100" s="46">
        <v>27</v>
      </c>
      <c r="L2100" s="136"/>
      <c r="M2100" s="137" t="s">
        <v>44</v>
      </c>
      <c r="N2100" s="138">
        <v>153</v>
      </c>
      <c r="O2100" s="138"/>
      <c r="P2100" s="138">
        <v>300</v>
      </c>
      <c r="Q2100" s="138"/>
      <c r="R2100" s="138"/>
      <c r="S2100" s="138"/>
      <c r="T2100" s="138"/>
      <c r="U2100" s="138"/>
    </row>
    <row r="2101" spans="1:21" s="26" customFormat="1" ht="15" customHeight="1" x14ac:dyDescent="0.2">
      <c r="A2101" s="32">
        <v>41695.461793981478</v>
      </c>
      <c r="B2101" s="26" t="s">
        <v>38</v>
      </c>
      <c r="C2101" s="26" t="s">
        <v>39</v>
      </c>
      <c r="D2101" s="33">
        <v>41671</v>
      </c>
      <c r="E2101" s="26" t="s">
        <v>4692</v>
      </c>
      <c r="F2101" s="26" t="s">
        <v>4693</v>
      </c>
      <c r="G2101" s="26" t="s">
        <v>20</v>
      </c>
      <c r="H2101" s="26" t="s">
        <v>647</v>
      </c>
      <c r="I2101" s="26" t="s">
        <v>2986</v>
      </c>
      <c r="J2101" s="46">
        <v>1</v>
      </c>
      <c r="K2101" s="46">
        <v>29</v>
      </c>
      <c r="L2101" s="136"/>
      <c r="M2101" s="137" t="s">
        <v>44</v>
      </c>
      <c r="N2101" s="138">
        <v>156</v>
      </c>
      <c r="O2101" s="138"/>
      <c r="P2101" s="138"/>
      <c r="Q2101" s="138"/>
      <c r="R2101" s="138"/>
      <c r="S2101" s="138"/>
      <c r="T2101" s="138"/>
      <c r="U2101" s="138"/>
    </row>
    <row r="2102" spans="1:21" s="26" customFormat="1" ht="15" customHeight="1" x14ac:dyDescent="0.2">
      <c r="A2102" s="32">
        <v>41702.657546296294</v>
      </c>
      <c r="B2102" s="26" t="s">
        <v>38</v>
      </c>
      <c r="C2102" s="26" t="s">
        <v>39</v>
      </c>
      <c r="D2102" s="33">
        <v>41671</v>
      </c>
      <c r="E2102" s="26" t="s">
        <v>4862</v>
      </c>
      <c r="F2102" s="26" t="s">
        <v>4863</v>
      </c>
      <c r="G2102" s="26" t="s">
        <v>60</v>
      </c>
      <c r="H2102" s="26" t="s">
        <v>60</v>
      </c>
      <c r="I2102" s="26" t="s">
        <v>4864</v>
      </c>
      <c r="J2102" s="46">
        <v>420</v>
      </c>
      <c r="K2102" s="46">
        <v>2624</v>
      </c>
      <c r="L2102" s="136"/>
      <c r="M2102" s="137" t="s">
        <v>44</v>
      </c>
      <c r="N2102" s="138"/>
      <c r="O2102" s="138"/>
      <c r="P2102" s="138"/>
      <c r="Q2102" s="138"/>
      <c r="R2102" s="138"/>
      <c r="S2102" s="138"/>
      <c r="T2102" s="138"/>
      <c r="U2102" s="138"/>
    </row>
    <row r="2103" spans="1:21" s="26" customFormat="1" ht="15" customHeight="1" x14ac:dyDescent="0.2">
      <c r="A2103" s="32">
        <v>41704.606481481482</v>
      </c>
      <c r="B2103" s="26" t="s">
        <v>38</v>
      </c>
      <c r="C2103" s="26" t="s">
        <v>39</v>
      </c>
      <c r="D2103" s="33">
        <v>41671</v>
      </c>
      <c r="E2103" s="26" t="s">
        <v>1434</v>
      </c>
      <c r="F2103" s="26" t="s">
        <v>4996</v>
      </c>
      <c r="G2103" s="26" t="s">
        <v>20</v>
      </c>
      <c r="H2103" s="26" t="s">
        <v>43</v>
      </c>
      <c r="I2103" s="26" t="s">
        <v>2986</v>
      </c>
      <c r="J2103" s="46">
        <v>1</v>
      </c>
      <c r="K2103" s="46">
        <v>52</v>
      </c>
      <c r="L2103" s="136"/>
      <c r="M2103" s="137" t="s">
        <v>44</v>
      </c>
      <c r="N2103" s="138">
        <v>245.25</v>
      </c>
      <c r="O2103" s="138"/>
      <c r="P2103" s="138">
        <v>142</v>
      </c>
      <c r="Q2103" s="138"/>
      <c r="R2103" s="138"/>
      <c r="S2103" s="138"/>
      <c r="T2103" s="138"/>
      <c r="U2103" s="138"/>
    </row>
    <row r="2104" spans="1:21" s="26" customFormat="1" ht="15" customHeight="1" x14ac:dyDescent="0.2">
      <c r="A2104" s="32">
        <v>41704.607881944445</v>
      </c>
      <c r="B2104" s="26" t="s">
        <v>38</v>
      </c>
      <c r="C2104" s="26" t="s">
        <v>39</v>
      </c>
      <c r="D2104" s="33">
        <v>41671</v>
      </c>
      <c r="E2104" s="26" t="s">
        <v>4997</v>
      </c>
      <c r="F2104" s="26" t="s">
        <v>4998</v>
      </c>
      <c r="G2104" s="26" t="s">
        <v>20</v>
      </c>
      <c r="H2104" s="26" t="s">
        <v>43</v>
      </c>
      <c r="I2104" s="26" t="s">
        <v>2986</v>
      </c>
      <c r="J2104" s="46">
        <v>1</v>
      </c>
      <c r="K2104" s="46">
        <v>42</v>
      </c>
      <c r="L2104" s="136"/>
      <c r="M2104" s="137" t="s">
        <v>44</v>
      </c>
      <c r="N2104" s="138">
        <v>252.96</v>
      </c>
      <c r="O2104" s="138"/>
      <c r="P2104" s="138"/>
      <c r="Q2104" s="138"/>
      <c r="R2104" s="138"/>
      <c r="S2104" s="138"/>
      <c r="T2104" s="138"/>
      <c r="U2104" s="138"/>
    </row>
    <row r="2105" spans="1:21" s="26" customFormat="1" ht="15" customHeight="1" x14ac:dyDescent="0.2">
      <c r="A2105" s="32">
        <v>41704.609131944446</v>
      </c>
      <c r="B2105" s="26" t="s">
        <v>38</v>
      </c>
      <c r="C2105" s="26" t="s">
        <v>39</v>
      </c>
      <c r="D2105" s="33">
        <v>41671</v>
      </c>
      <c r="E2105" s="26" t="s">
        <v>3108</v>
      </c>
      <c r="F2105" s="26" t="s">
        <v>4999</v>
      </c>
      <c r="G2105" s="26" t="s">
        <v>20</v>
      </c>
      <c r="H2105" s="26" t="s">
        <v>43</v>
      </c>
      <c r="I2105" s="26" t="s">
        <v>2986</v>
      </c>
      <c r="J2105" s="46">
        <v>1</v>
      </c>
      <c r="K2105" s="46">
        <v>109</v>
      </c>
      <c r="L2105" s="136"/>
      <c r="M2105" s="137" t="s">
        <v>44</v>
      </c>
      <c r="N2105" s="138">
        <v>586.79999999999995</v>
      </c>
      <c r="O2105" s="138"/>
      <c r="P2105" s="138">
        <v>860.38</v>
      </c>
      <c r="Q2105" s="138"/>
      <c r="R2105" s="138"/>
      <c r="S2105" s="138"/>
      <c r="T2105" s="138"/>
      <c r="U2105" s="138"/>
    </row>
    <row r="2106" spans="1:21" s="26" customFormat="1" ht="15" customHeight="1" x14ac:dyDescent="0.2">
      <c r="A2106" s="32">
        <v>41704.610069444447</v>
      </c>
      <c r="B2106" s="26" t="s">
        <v>38</v>
      </c>
      <c r="C2106" s="26" t="s">
        <v>39</v>
      </c>
      <c r="D2106" s="33">
        <v>41671</v>
      </c>
      <c r="E2106" s="26" t="s">
        <v>3836</v>
      </c>
      <c r="F2106" s="26" t="s">
        <v>5000</v>
      </c>
      <c r="G2106" s="26" t="s">
        <v>20</v>
      </c>
      <c r="H2106" s="26" t="s">
        <v>43</v>
      </c>
      <c r="I2106" s="26" t="s">
        <v>2986</v>
      </c>
      <c r="J2106" s="46">
        <v>1</v>
      </c>
      <c r="K2106" s="46">
        <v>91</v>
      </c>
      <c r="L2106" s="136"/>
      <c r="M2106" s="137"/>
      <c r="N2106" s="138">
        <v>579</v>
      </c>
      <c r="O2106" s="138"/>
      <c r="P2106" s="138">
        <v>197.19</v>
      </c>
      <c r="Q2106" s="138"/>
      <c r="R2106" s="138"/>
      <c r="S2106" s="138"/>
      <c r="T2106" s="138"/>
      <c r="U2106" s="138"/>
    </row>
    <row r="2107" spans="1:21" s="26" customFormat="1" ht="15" customHeight="1" x14ac:dyDescent="0.2">
      <c r="A2107" s="32">
        <v>41704.612870370373</v>
      </c>
      <c r="B2107" s="26" t="s">
        <v>38</v>
      </c>
      <c r="C2107" s="26" t="s">
        <v>39</v>
      </c>
      <c r="D2107" s="33">
        <v>41671</v>
      </c>
      <c r="E2107" s="26" t="s">
        <v>3815</v>
      </c>
      <c r="F2107" s="26" t="s">
        <v>5001</v>
      </c>
      <c r="G2107" s="26" t="s">
        <v>42</v>
      </c>
      <c r="H2107" s="26" t="s">
        <v>43</v>
      </c>
      <c r="I2107" s="26" t="s">
        <v>2986</v>
      </c>
      <c r="J2107" s="46">
        <v>1</v>
      </c>
      <c r="K2107" s="46">
        <v>18</v>
      </c>
      <c r="L2107" s="136"/>
      <c r="M2107" s="137" t="s">
        <v>44</v>
      </c>
      <c r="N2107" s="138">
        <v>144.46</v>
      </c>
      <c r="O2107" s="138"/>
      <c r="P2107" s="138">
        <v>126</v>
      </c>
      <c r="Q2107" s="138"/>
      <c r="R2107" s="138"/>
      <c r="S2107" s="138"/>
      <c r="T2107" s="138"/>
      <c r="U2107" s="138"/>
    </row>
    <row r="2108" spans="1:21" s="26" customFormat="1" ht="15" customHeight="1" x14ac:dyDescent="0.2">
      <c r="A2108" s="32">
        <v>41704.613854166666</v>
      </c>
      <c r="B2108" s="26" t="s">
        <v>38</v>
      </c>
      <c r="C2108" s="26" t="s">
        <v>39</v>
      </c>
      <c r="D2108" s="33">
        <v>41699</v>
      </c>
      <c r="E2108" s="26" t="s">
        <v>5002</v>
      </c>
      <c r="F2108" s="26" t="s">
        <v>5003</v>
      </c>
      <c r="G2108" s="26" t="s">
        <v>20</v>
      </c>
      <c r="H2108" s="26" t="s">
        <v>43</v>
      </c>
      <c r="I2108" s="26" t="s">
        <v>2986</v>
      </c>
      <c r="J2108" s="46">
        <v>1</v>
      </c>
      <c r="K2108" s="46">
        <v>41</v>
      </c>
      <c r="L2108" s="136"/>
      <c r="M2108" s="137" t="s">
        <v>44</v>
      </c>
      <c r="N2108" s="138">
        <v>187.16</v>
      </c>
      <c r="O2108" s="138"/>
      <c r="P2108" s="138">
        <v>45</v>
      </c>
      <c r="Q2108" s="138"/>
      <c r="R2108" s="138"/>
      <c r="S2108" s="138"/>
      <c r="T2108" s="138"/>
      <c r="U2108" s="138"/>
    </row>
    <row r="2109" spans="1:21" s="26" customFormat="1" ht="15" customHeight="1" x14ac:dyDescent="0.2">
      <c r="A2109" s="32">
        <v>41704.615046296298</v>
      </c>
      <c r="B2109" s="26" t="s">
        <v>38</v>
      </c>
      <c r="C2109" s="26" t="s">
        <v>39</v>
      </c>
      <c r="D2109" s="33">
        <v>41699</v>
      </c>
      <c r="E2109" s="26" t="s">
        <v>5004</v>
      </c>
      <c r="F2109" s="26" t="s">
        <v>5005</v>
      </c>
      <c r="G2109" s="26" t="s">
        <v>42</v>
      </c>
      <c r="H2109" s="26" t="s">
        <v>43</v>
      </c>
      <c r="I2109" s="26" t="s">
        <v>2986</v>
      </c>
      <c r="J2109" s="46">
        <v>1</v>
      </c>
      <c r="K2109" s="46">
        <v>50</v>
      </c>
      <c r="L2109" s="136"/>
      <c r="M2109" s="137" t="s">
        <v>44</v>
      </c>
      <c r="N2109" s="138">
        <v>187.25</v>
      </c>
      <c r="O2109" s="138"/>
      <c r="P2109" s="138">
        <v>139.29</v>
      </c>
      <c r="Q2109" s="138"/>
      <c r="R2109" s="138"/>
      <c r="S2109" s="138"/>
      <c r="T2109" s="138"/>
      <c r="U2109" s="138"/>
    </row>
    <row r="2110" spans="1:21" s="26" customFormat="1" ht="15" customHeight="1" x14ac:dyDescent="0.2">
      <c r="A2110" s="32">
        <v>41704.615972222222</v>
      </c>
      <c r="B2110" s="26" t="s">
        <v>38</v>
      </c>
      <c r="C2110" s="26" t="s">
        <v>39</v>
      </c>
      <c r="D2110" s="33">
        <v>41699</v>
      </c>
      <c r="E2110" s="26" t="s">
        <v>5006</v>
      </c>
      <c r="F2110" s="26" t="s">
        <v>5007</v>
      </c>
      <c r="G2110" s="26" t="s">
        <v>20</v>
      </c>
      <c r="H2110" s="26" t="s">
        <v>43</v>
      </c>
      <c r="I2110" s="26" t="s">
        <v>2986</v>
      </c>
      <c r="J2110" s="46">
        <v>1</v>
      </c>
      <c r="K2110" s="46">
        <v>72</v>
      </c>
      <c r="L2110" s="136"/>
      <c r="M2110" s="137" t="s">
        <v>44</v>
      </c>
      <c r="N2110" s="138">
        <v>347.5</v>
      </c>
      <c r="O2110" s="138"/>
      <c r="P2110" s="138"/>
      <c r="Q2110" s="138"/>
      <c r="R2110" s="138"/>
      <c r="S2110" s="138"/>
      <c r="T2110" s="138"/>
      <c r="U2110" s="138"/>
    </row>
    <row r="2111" spans="1:21" s="26" customFormat="1" ht="15" customHeight="1" x14ac:dyDescent="0.2">
      <c r="A2111" s="32">
        <v>41704.619247685187</v>
      </c>
      <c r="B2111" s="26" t="s">
        <v>38</v>
      </c>
      <c r="C2111" s="26" t="s">
        <v>39</v>
      </c>
      <c r="D2111" s="33">
        <v>41699</v>
      </c>
      <c r="E2111" s="26" t="s">
        <v>4862</v>
      </c>
      <c r="F2111" s="26" t="s">
        <v>5008</v>
      </c>
      <c r="G2111" s="26" t="s">
        <v>60</v>
      </c>
      <c r="H2111" s="26" t="s">
        <v>5009</v>
      </c>
      <c r="I2111" s="26" t="s">
        <v>5010</v>
      </c>
      <c r="J2111" s="46">
        <v>85</v>
      </c>
      <c r="K2111" s="46">
        <v>212</v>
      </c>
      <c r="L2111" s="136"/>
      <c r="M2111" s="137" t="s">
        <v>44</v>
      </c>
      <c r="N2111" s="138"/>
      <c r="O2111" s="138"/>
      <c r="P2111" s="138"/>
      <c r="Q2111" s="138"/>
      <c r="R2111" s="138"/>
      <c r="S2111" s="138"/>
      <c r="T2111" s="138"/>
      <c r="U2111" s="138"/>
    </row>
    <row r="2112" spans="1:21" s="26" customFormat="1" ht="15" customHeight="1" x14ac:dyDescent="0.2">
      <c r="A2112" s="32">
        <v>41717.568043981482</v>
      </c>
      <c r="B2112" s="26" t="s">
        <v>38</v>
      </c>
      <c r="C2112" s="26" t="s">
        <v>39</v>
      </c>
      <c r="D2112" s="33">
        <v>41699</v>
      </c>
      <c r="E2112" s="26" t="s">
        <v>5197</v>
      </c>
      <c r="F2112" s="26" t="s">
        <v>5198</v>
      </c>
      <c r="G2112" s="26" t="s">
        <v>42</v>
      </c>
      <c r="H2112" s="26" t="s">
        <v>647</v>
      </c>
      <c r="I2112" s="26" t="s">
        <v>2986</v>
      </c>
      <c r="J2112" s="46">
        <v>1</v>
      </c>
      <c r="K2112" s="46">
        <v>17</v>
      </c>
      <c r="L2112" s="136"/>
      <c r="M2112" s="137" t="s">
        <v>44</v>
      </c>
      <c r="N2112" s="138">
        <v>153</v>
      </c>
      <c r="O2112" s="138"/>
      <c r="P2112" s="138"/>
      <c r="Q2112" s="138"/>
      <c r="R2112" s="138"/>
      <c r="S2112" s="138"/>
      <c r="T2112" s="138"/>
      <c r="U2112" s="138"/>
    </row>
    <row r="2113" spans="1:21" s="26" customFormat="1" ht="15" customHeight="1" x14ac:dyDescent="0.2">
      <c r="A2113" s="32">
        <v>41717.569976851853</v>
      </c>
      <c r="B2113" s="26" t="s">
        <v>38</v>
      </c>
      <c r="C2113" s="26" t="s">
        <v>39</v>
      </c>
      <c r="D2113" s="33">
        <v>41699</v>
      </c>
      <c r="E2113" s="26" t="s">
        <v>3848</v>
      </c>
      <c r="F2113" s="26" t="s">
        <v>5199</v>
      </c>
      <c r="G2113" s="26" t="s">
        <v>20</v>
      </c>
      <c r="H2113" s="26" t="s">
        <v>647</v>
      </c>
      <c r="I2113" s="26" t="s">
        <v>2986</v>
      </c>
      <c r="J2113" s="46">
        <v>1</v>
      </c>
      <c r="K2113" s="46">
        <v>141</v>
      </c>
      <c r="L2113" s="136"/>
      <c r="M2113" s="137" t="s">
        <v>44</v>
      </c>
      <c r="N2113" s="138">
        <v>625.5</v>
      </c>
      <c r="O2113" s="138"/>
      <c r="P2113" s="138"/>
      <c r="Q2113" s="138"/>
      <c r="R2113" s="138"/>
      <c r="S2113" s="138"/>
      <c r="T2113" s="138"/>
      <c r="U2113" s="138"/>
    </row>
    <row r="2114" spans="1:21" s="26" customFormat="1" ht="15" customHeight="1" x14ac:dyDescent="0.2">
      <c r="A2114" s="32">
        <v>41717.571377314816</v>
      </c>
      <c r="B2114" s="26" t="s">
        <v>38</v>
      </c>
      <c r="C2114" s="26" t="s">
        <v>39</v>
      </c>
      <c r="D2114" s="33">
        <v>41699</v>
      </c>
      <c r="E2114" s="26" t="s">
        <v>5200</v>
      </c>
      <c r="F2114" s="26" t="s">
        <v>5201</v>
      </c>
      <c r="G2114" s="26" t="s">
        <v>20</v>
      </c>
      <c r="H2114" s="26" t="s">
        <v>647</v>
      </c>
      <c r="I2114" s="26" t="s">
        <v>2986</v>
      </c>
      <c r="J2114" s="46">
        <v>1</v>
      </c>
      <c r="K2114" s="46">
        <v>44</v>
      </c>
      <c r="L2114" s="136"/>
      <c r="M2114" s="137" t="s">
        <v>44</v>
      </c>
      <c r="N2114" s="138">
        <v>211.5</v>
      </c>
      <c r="O2114" s="138"/>
      <c r="P2114" s="138"/>
      <c r="Q2114" s="138"/>
      <c r="R2114" s="138"/>
      <c r="S2114" s="138"/>
      <c r="T2114" s="138"/>
      <c r="U2114" s="138"/>
    </row>
    <row r="2115" spans="1:21" s="26" customFormat="1" ht="15" customHeight="1" x14ac:dyDescent="0.2">
      <c r="A2115" s="32">
        <v>41717.672835648147</v>
      </c>
      <c r="B2115" s="26" t="s">
        <v>38</v>
      </c>
      <c r="C2115" s="26" t="s">
        <v>39</v>
      </c>
      <c r="D2115" s="33">
        <v>41699</v>
      </c>
      <c r="E2115" s="26" t="s">
        <v>5200</v>
      </c>
      <c r="F2115" s="26" t="s">
        <v>5201</v>
      </c>
      <c r="G2115" s="26" t="s">
        <v>20</v>
      </c>
      <c r="H2115" s="26" t="s">
        <v>647</v>
      </c>
      <c r="I2115" s="26" t="s">
        <v>2986</v>
      </c>
      <c r="J2115" s="46">
        <v>1</v>
      </c>
      <c r="K2115" s="46">
        <v>44</v>
      </c>
      <c r="L2115" s="136"/>
      <c r="M2115" s="137" t="s">
        <v>44</v>
      </c>
      <c r="N2115" s="138">
        <v>211.5</v>
      </c>
      <c r="O2115" s="138"/>
      <c r="P2115" s="138"/>
      <c r="Q2115" s="138"/>
      <c r="R2115" s="138"/>
      <c r="S2115" s="138"/>
      <c r="T2115" s="138"/>
      <c r="U2115" s="138"/>
    </row>
    <row r="2116" spans="1:21" s="26" customFormat="1" ht="15" customHeight="1" x14ac:dyDescent="0.2">
      <c r="A2116" s="32">
        <v>41719.640659722223</v>
      </c>
      <c r="B2116" s="26" t="s">
        <v>38</v>
      </c>
      <c r="C2116" s="26" t="s">
        <v>39</v>
      </c>
      <c r="D2116" s="33">
        <v>41699</v>
      </c>
      <c r="E2116" s="26" t="s">
        <v>3822</v>
      </c>
      <c r="F2116" s="26" t="s">
        <v>5216</v>
      </c>
      <c r="G2116" s="26" t="s">
        <v>42</v>
      </c>
      <c r="H2116" s="26" t="s">
        <v>43</v>
      </c>
      <c r="I2116" s="26" t="s">
        <v>2986</v>
      </c>
      <c r="J2116" s="46">
        <v>1</v>
      </c>
      <c r="K2116" s="46">
        <v>19</v>
      </c>
      <c r="L2116" s="136"/>
      <c r="M2116" s="137" t="s">
        <v>44</v>
      </c>
      <c r="N2116" s="138">
        <v>107.88</v>
      </c>
      <c r="O2116" s="138"/>
      <c r="P2116" s="138"/>
      <c r="Q2116" s="138"/>
      <c r="R2116" s="138"/>
      <c r="S2116" s="138"/>
      <c r="T2116" s="138"/>
      <c r="U2116" s="138"/>
    </row>
    <row r="2117" spans="1:21" s="26" customFormat="1" ht="15" customHeight="1" x14ac:dyDescent="0.2">
      <c r="A2117" s="32">
        <v>41719.606736111113</v>
      </c>
      <c r="B2117" s="26" t="s">
        <v>38</v>
      </c>
      <c r="C2117" s="26" t="s">
        <v>39</v>
      </c>
      <c r="D2117" s="33">
        <v>41699</v>
      </c>
      <c r="E2117" s="26" t="s">
        <v>5200</v>
      </c>
      <c r="F2117" s="26" t="s">
        <v>5229</v>
      </c>
      <c r="G2117" s="26" t="s">
        <v>20</v>
      </c>
      <c r="H2117" s="26" t="s">
        <v>43</v>
      </c>
      <c r="I2117" s="26" t="s">
        <v>2986</v>
      </c>
      <c r="J2117" s="46">
        <v>1</v>
      </c>
      <c r="K2117" s="46">
        <v>98</v>
      </c>
      <c r="L2117" s="136"/>
      <c r="M2117" s="137" t="s">
        <v>44</v>
      </c>
      <c r="N2117" s="138">
        <v>144</v>
      </c>
      <c r="O2117" s="138"/>
      <c r="P2117" s="138">
        <v>564</v>
      </c>
      <c r="Q2117" s="138"/>
      <c r="R2117" s="138"/>
      <c r="S2117" s="138"/>
      <c r="T2117" s="138"/>
      <c r="U2117" s="138"/>
    </row>
    <row r="2118" spans="1:21" s="26" customFormat="1" ht="15" customHeight="1" x14ac:dyDescent="0.2">
      <c r="A2118" s="32">
        <v>41719.60765046296</v>
      </c>
      <c r="B2118" s="26" t="s">
        <v>38</v>
      </c>
      <c r="C2118" s="26" t="s">
        <v>39</v>
      </c>
      <c r="D2118" s="33">
        <v>41699</v>
      </c>
      <c r="E2118" s="26" t="s">
        <v>5230</v>
      </c>
      <c r="F2118" s="26" t="s">
        <v>5231</v>
      </c>
      <c r="G2118" s="26" t="s">
        <v>20</v>
      </c>
      <c r="H2118" s="26" t="s">
        <v>43</v>
      </c>
      <c r="I2118" s="26" t="s">
        <v>2986</v>
      </c>
      <c r="J2118" s="46">
        <v>1</v>
      </c>
      <c r="K2118" s="46">
        <v>132</v>
      </c>
      <c r="L2118" s="136"/>
      <c r="M2118" s="137" t="s">
        <v>44</v>
      </c>
      <c r="N2118" s="138">
        <v>132</v>
      </c>
      <c r="O2118" s="138"/>
      <c r="P2118" s="138"/>
      <c r="Q2118" s="138"/>
      <c r="R2118" s="138"/>
      <c r="S2118" s="138"/>
      <c r="T2118" s="138"/>
      <c r="U2118" s="138"/>
    </row>
    <row r="2119" spans="1:21" s="26" customFormat="1" ht="15" customHeight="1" x14ac:dyDescent="0.2">
      <c r="A2119" s="32">
        <v>41719.608518518522</v>
      </c>
      <c r="B2119" s="26" t="s">
        <v>38</v>
      </c>
      <c r="C2119" s="26" t="s">
        <v>39</v>
      </c>
      <c r="D2119" s="33">
        <v>41699</v>
      </c>
      <c r="E2119" s="26" t="s">
        <v>3848</v>
      </c>
      <c r="F2119" s="26" t="s">
        <v>5232</v>
      </c>
      <c r="G2119" s="26" t="s">
        <v>20</v>
      </c>
      <c r="H2119" s="26" t="s">
        <v>43</v>
      </c>
      <c r="I2119" s="26" t="s">
        <v>2986</v>
      </c>
      <c r="J2119" s="46">
        <v>1</v>
      </c>
      <c r="K2119" s="46">
        <v>24</v>
      </c>
      <c r="L2119" s="136"/>
      <c r="M2119" s="137"/>
      <c r="N2119" s="138">
        <v>144</v>
      </c>
      <c r="O2119" s="138"/>
      <c r="P2119" s="138"/>
      <c r="Q2119" s="138"/>
      <c r="R2119" s="138"/>
      <c r="S2119" s="138"/>
      <c r="T2119" s="138"/>
      <c r="U2119" s="138"/>
    </row>
    <row r="2120" spans="1:21" s="26" customFormat="1" ht="15" customHeight="1" x14ac:dyDescent="0.2">
      <c r="A2120" s="32">
        <v>41719.609236111108</v>
      </c>
      <c r="B2120" s="26" t="s">
        <v>38</v>
      </c>
      <c r="C2120" s="26" t="s">
        <v>39</v>
      </c>
      <c r="D2120" s="33">
        <v>41699</v>
      </c>
      <c r="E2120" s="26" t="s">
        <v>3848</v>
      </c>
      <c r="F2120" s="26" t="s">
        <v>5233</v>
      </c>
      <c r="G2120" s="26" t="s">
        <v>20</v>
      </c>
      <c r="H2120" s="26" t="s">
        <v>43</v>
      </c>
      <c r="I2120" s="26" t="s">
        <v>2986</v>
      </c>
      <c r="J2120" s="46">
        <v>1</v>
      </c>
      <c r="K2120" s="46">
        <v>24</v>
      </c>
      <c r="L2120" s="136"/>
      <c r="M2120" s="137" t="s">
        <v>44</v>
      </c>
      <c r="N2120" s="138">
        <v>144</v>
      </c>
      <c r="O2120" s="138"/>
      <c r="P2120" s="138"/>
      <c r="Q2120" s="138"/>
      <c r="R2120" s="138"/>
      <c r="S2120" s="138"/>
      <c r="T2120" s="138"/>
      <c r="U2120" s="138"/>
    </row>
    <row r="2121" spans="1:21" s="26" customFormat="1" ht="15" customHeight="1" x14ac:dyDescent="0.2">
      <c r="A2121" s="32">
        <v>41719.610625000001</v>
      </c>
      <c r="B2121" s="26" t="s">
        <v>38</v>
      </c>
      <c r="C2121" s="26" t="s">
        <v>39</v>
      </c>
      <c r="D2121" s="33">
        <v>41699</v>
      </c>
      <c r="E2121" s="26" t="s">
        <v>5239</v>
      </c>
      <c r="F2121" s="26" t="s">
        <v>5240</v>
      </c>
      <c r="G2121" s="26" t="s">
        <v>20</v>
      </c>
      <c r="H2121" s="26" t="s">
        <v>43</v>
      </c>
      <c r="I2121" s="26" t="s">
        <v>5241</v>
      </c>
      <c r="J2121" s="46">
        <v>1</v>
      </c>
      <c r="K2121" s="46">
        <v>111</v>
      </c>
      <c r="L2121" s="136"/>
      <c r="M2121" s="137" t="s">
        <v>44</v>
      </c>
      <c r="N2121" s="138">
        <v>748.59</v>
      </c>
      <c r="O2121" s="138"/>
      <c r="P2121" s="138"/>
      <c r="Q2121" s="138"/>
      <c r="R2121" s="138"/>
      <c r="S2121" s="138"/>
      <c r="T2121" s="138"/>
      <c r="U2121" s="138"/>
    </row>
    <row r="2122" spans="1:21" s="26" customFormat="1" ht="15" customHeight="1" x14ac:dyDescent="0.2">
      <c r="A2122" s="32">
        <v>41719.611724537041</v>
      </c>
      <c r="B2122" s="26" t="s">
        <v>38</v>
      </c>
      <c r="C2122" s="26" t="s">
        <v>39</v>
      </c>
      <c r="D2122" s="33">
        <v>41699</v>
      </c>
      <c r="E2122" s="26" t="s">
        <v>3815</v>
      </c>
      <c r="F2122" s="26" t="s">
        <v>5242</v>
      </c>
      <c r="G2122" s="26" t="s">
        <v>20</v>
      </c>
      <c r="H2122" s="26" t="s">
        <v>43</v>
      </c>
      <c r="I2122" s="26" t="s">
        <v>2986</v>
      </c>
      <c r="J2122" s="46">
        <v>1</v>
      </c>
      <c r="K2122" s="46">
        <v>102</v>
      </c>
      <c r="L2122" s="136"/>
      <c r="M2122" s="137" t="s">
        <v>44</v>
      </c>
      <c r="N2122" s="138">
        <v>600</v>
      </c>
      <c r="O2122" s="138"/>
      <c r="P2122" s="138"/>
      <c r="Q2122" s="138"/>
      <c r="R2122" s="138"/>
      <c r="S2122" s="138"/>
      <c r="T2122" s="138"/>
      <c r="U2122" s="138"/>
    </row>
    <row r="2123" spans="1:21" s="26" customFormat="1" ht="15" customHeight="1" x14ac:dyDescent="0.2">
      <c r="A2123" s="32">
        <v>41719.614537037036</v>
      </c>
      <c r="B2123" s="26" t="s">
        <v>38</v>
      </c>
      <c r="C2123" s="26" t="s">
        <v>39</v>
      </c>
      <c r="D2123" s="33">
        <v>41699</v>
      </c>
      <c r="E2123" s="26" t="s">
        <v>3108</v>
      </c>
      <c r="F2123" s="26" t="s">
        <v>5246</v>
      </c>
      <c r="G2123" s="26" t="s">
        <v>20</v>
      </c>
      <c r="H2123" s="26" t="s">
        <v>43</v>
      </c>
      <c r="I2123" s="26" t="s">
        <v>2986</v>
      </c>
      <c r="J2123" s="46">
        <v>1</v>
      </c>
      <c r="K2123" s="46">
        <v>27</v>
      </c>
      <c r="L2123" s="136"/>
      <c r="M2123" s="137" t="s">
        <v>44</v>
      </c>
      <c r="N2123" s="138">
        <v>152.16999999999999</v>
      </c>
      <c r="O2123" s="138"/>
      <c r="P2123" s="138">
        <v>185</v>
      </c>
      <c r="Q2123" s="138"/>
      <c r="R2123" s="138"/>
      <c r="S2123" s="138"/>
      <c r="T2123" s="138"/>
      <c r="U2123" s="138"/>
    </row>
    <row r="2124" spans="1:21" s="26" customFormat="1" ht="15" customHeight="1" x14ac:dyDescent="0.2">
      <c r="A2124" s="32">
        <v>41719.623900462961</v>
      </c>
      <c r="B2124" s="26" t="s">
        <v>38</v>
      </c>
      <c r="C2124" s="26" t="s">
        <v>39</v>
      </c>
      <c r="D2124" s="33">
        <v>41699</v>
      </c>
      <c r="E2124" s="26" t="s">
        <v>4997</v>
      </c>
      <c r="F2124" s="26" t="s">
        <v>5249</v>
      </c>
      <c r="G2124" s="26" t="s">
        <v>20</v>
      </c>
      <c r="H2124" s="26" t="s">
        <v>43</v>
      </c>
      <c r="I2124" s="26" t="s">
        <v>2986</v>
      </c>
      <c r="J2124" s="46">
        <v>1</v>
      </c>
      <c r="K2124" s="46">
        <v>157</v>
      </c>
      <c r="L2124" s="136"/>
      <c r="M2124" s="137" t="s">
        <v>44</v>
      </c>
      <c r="N2124" s="138">
        <v>1029.24</v>
      </c>
      <c r="O2124" s="138"/>
      <c r="P2124" s="138">
        <v>1000</v>
      </c>
      <c r="Q2124" s="138"/>
      <c r="R2124" s="138"/>
      <c r="S2124" s="138"/>
      <c r="T2124" s="138"/>
      <c r="U2124" s="138"/>
    </row>
    <row r="2125" spans="1:21" s="26" customFormat="1" ht="15" customHeight="1" x14ac:dyDescent="0.2">
      <c r="A2125" s="32">
        <v>41719.626759259256</v>
      </c>
      <c r="B2125" s="26" t="s">
        <v>38</v>
      </c>
      <c r="C2125" s="26" t="s">
        <v>39</v>
      </c>
      <c r="D2125" s="33">
        <v>41699</v>
      </c>
      <c r="E2125" s="26" t="s">
        <v>5250</v>
      </c>
      <c r="F2125" s="26" t="s">
        <v>5251</v>
      </c>
      <c r="G2125" s="26" t="s">
        <v>42</v>
      </c>
      <c r="H2125" s="26" t="s">
        <v>43</v>
      </c>
      <c r="I2125" s="26" t="s">
        <v>2986</v>
      </c>
      <c r="J2125" s="46">
        <v>1</v>
      </c>
      <c r="K2125" s="46">
        <v>91</v>
      </c>
      <c r="L2125" s="136"/>
      <c r="M2125" s="137" t="s">
        <v>44</v>
      </c>
      <c r="N2125" s="138">
        <v>576</v>
      </c>
      <c r="O2125" s="138"/>
      <c r="P2125" s="138">
        <v>565</v>
      </c>
      <c r="Q2125" s="138"/>
      <c r="R2125" s="138"/>
      <c r="S2125" s="138"/>
      <c r="T2125" s="138"/>
      <c r="U2125" s="138"/>
    </row>
    <row r="2126" spans="1:21" s="26" customFormat="1" ht="15" customHeight="1" x14ac:dyDescent="0.2">
      <c r="A2126" s="32">
        <v>41725.432002314818</v>
      </c>
      <c r="B2126" s="26" t="s">
        <v>38</v>
      </c>
      <c r="C2126" s="26" t="s">
        <v>39</v>
      </c>
      <c r="D2126" s="33">
        <v>41699</v>
      </c>
      <c r="E2126" s="26" t="s">
        <v>5282</v>
      </c>
      <c r="F2126" s="26" t="s">
        <v>5283</v>
      </c>
      <c r="G2126" s="26" t="s">
        <v>20</v>
      </c>
      <c r="H2126" s="26" t="s">
        <v>43</v>
      </c>
      <c r="I2126" s="26" t="s">
        <v>2986</v>
      </c>
      <c r="J2126" s="46">
        <v>1</v>
      </c>
      <c r="K2126" s="46">
        <v>80</v>
      </c>
      <c r="L2126" s="136"/>
      <c r="M2126" s="137" t="s">
        <v>44</v>
      </c>
      <c r="N2126" s="138">
        <v>351</v>
      </c>
      <c r="O2126" s="138"/>
      <c r="P2126" s="138"/>
      <c r="Q2126" s="138"/>
      <c r="R2126" s="138"/>
      <c r="S2126" s="138"/>
      <c r="T2126" s="138"/>
      <c r="U2126" s="138"/>
    </row>
    <row r="2127" spans="1:21" s="26" customFormat="1" ht="15" customHeight="1" x14ac:dyDescent="0.2">
      <c r="A2127" s="32">
        <v>41725.433298611111</v>
      </c>
      <c r="B2127" s="26" t="s">
        <v>38</v>
      </c>
      <c r="C2127" s="26" t="s">
        <v>39</v>
      </c>
      <c r="D2127" s="33">
        <v>41699</v>
      </c>
      <c r="E2127" s="26" t="s">
        <v>5284</v>
      </c>
      <c r="F2127" s="26" t="s">
        <v>5285</v>
      </c>
      <c r="G2127" s="26" t="s">
        <v>42</v>
      </c>
      <c r="H2127" s="26" t="s">
        <v>43</v>
      </c>
      <c r="I2127" s="26" t="s">
        <v>5286</v>
      </c>
      <c r="J2127" s="46">
        <v>1</v>
      </c>
      <c r="K2127" s="46">
        <v>36</v>
      </c>
      <c r="L2127" s="136"/>
      <c r="M2127" s="137" t="s">
        <v>44</v>
      </c>
      <c r="N2127" s="138">
        <v>254.66</v>
      </c>
      <c r="O2127" s="138"/>
      <c r="P2127" s="138">
        <v>95</v>
      </c>
      <c r="Q2127" s="138"/>
      <c r="R2127" s="138"/>
      <c r="S2127" s="138"/>
      <c r="T2127" s="138"/>
      <c r="U2127" s="138"/>
    </row>
    <row r="2128" spans="1:21" s="26" customFormat="1" ht="15" customHeight="1" x14ac:dyDescent="0.2">
      <c r="A2128" s="32">
        <v>41725.434548611112</v>
      </c>
      <c r="B2128" s="26" t="s">
        <v>38</v>
      </c>
      <c r="C2128" s="26" t="s">
        <v>39</v>
      </c>
      <c r="D2128" s="33">
        <v>41699</v>
      </c>
      <c r="E2128" s="26" t="s">
        <v>5287</v>
      </c>
      <c r="F2128" s="26" t="s">
        <v>5288</v>
      </c>
      <c r="G2128" s="26" t="s">
        <v>20</v>
      </c>
      <c r="H2128" s="26" t="s">
        <v>43</v>
      </c>
      <c r="I2128" s="26" t="s">
        <v>2986</v>
      </c>
      <c r="J2128" s="46">
        <v>1</v>
      </c>
      <c r="K2128" s="46">
        <v>81</v>
      </c>
      <c r="L2128" s="136"/>
      <c r="M2128" s="137" t="s">
        <v>44</v>
      </c>
      <c r="N2128" s="138">
        <v>355.5</v>
      </c>
      <c r="O2128" s="138"/>
      <c r="P2128" s="138">
        <v>110</v>
      </c>
      <c r="Q2128" s="138"/>
      <c r="R2128" s="138"/>
      <c r="S2128" s="138"/>
      <c r="T2128" s="138"/>
      <c r="U2128" s="138"/>
    </row>
    <row r="2129" spans="1:22" s="26" customFormat="1" ht="15" customHeight="1" x14ac:dyDescent="0.2">
      <c r="A2129" s="32">
        <v>41725.435428240744</v>
      </c>
      <c r="B2129" s="26" t="s">
        <v>38</v>
      </c>
      <c r="C2129" s="26" t="s">
        <v>39</v>
      </c>
      <c r="D2129" s="33">
        <v>41699</v>
      </c>
      <c r="E2129" s="26" t="s">
        <v>5289</v>
      </c>
      <c r="F2129" s="26" t="s">
        <v>5290</v>
      </c>
      <c r="G2129" s="26" t="s">
        <v>20</v>
      </c>
      <c r="H2129" s="26" t="s">
        <v>43</v>
      </c>
      <c r="I2129" s="26" t="s">
        <v>2986</v>
      </c>
      <c r="J2129" s="46">
        <v>1</v>
      </c>
      <c r="K2129" s="46">
        <v>102</v>
      </c>
      <c r="L2129" s="136"/>
      <c r="M2129" s="137" t="s">
        <v>44</v>
      </c>
      <c r="N2129" s="138">
        <v>483.23</v>
      </c>
      <c r="O2129" s="138"/>
      <c r="P2129" s="138">
        <v>400</v>
      </c>
      <c r="Q2129" s="138"/>
      <c r="R2129" s="138"/>
      <c r="S2129" s="138"/>
      <c r="T2129" s="138"/>
      <c r="U2129" s="138"/>
    </row>
    <row r="2130" spans="1:22" s="26" customFormat="1" ht="15" customHeight="1" x14ac:dyDescent="0.2">
      <c r="A2130" s="32">
        <v>41725.438668981478</v>
      </c>
      <c r="B2130" s="26" t="s">
        <v>38</v>
      </c>
      <c r="C2130" s="26" t="s">
        <v>39</v>
      </c>
      <c r="D2130" s="33">
        <v>41699</v>
      </c>
      <c r="E2130" s="26" t="s">
        <v>3815</v>
      </c>
      <c r="F2130" s="26" t="s">
        <v>5291</v>
      </c>
      <c r="G2130" s="26" t="s">
        <v>20</v>
      </c>
      <c r="H2130" s="26" t="s">
        <v>43</v>
      </c>
      <c r="I2130" s="26" t="s">
        <v>2986</v>
      </c>
      <c r="J2130" s="46">
        <v>1</v>
      </c>
      <c r="K2130" s="46">
        <v>39</v>
      </c>
      <c r="L2130" s="136"/>
      <c r="M2130" s="137" t="s">
        <v>44</v>
      </c>
      <c r="N2130" s="138">
        <v>222</v>
      </c>
      <c r="O2130" s="138"/>
      <c r="P2130" s="138">
        <v>59.42</v>
      </c>
      <c r="Q2130" s="138"/>
      <c r="R2130" s="138"/>
      <c r="S2130" s="138"/>
      <c r="T2130" s="138"/>
      <c r="U2130" s="138"/>
    </row>
    <row r="2131" spans="1:22" s="26" customFormat="1" ht="15" customHeight="1" x14ac:dyDescent="0.2">
      <c r="A2131" s="32">
        <v>41725.44122685185</v>
      </c>
      <c r="B2131" s="26" t="s">
        <v>38</v>
      </c>
      <c r="C2131" s="26" t="s">
        <v>39</v>
      </c>
      <c r="D2131" s="33">
        <v>41699</v>
      </c>
      <c r="E2131" s="26" t="s">
        <v>3827</v>
      </c>
      <c r="F2131" s="26" t="s">
        <v>5292</v>
      </c>
      <c r="G2131" s="26" t="s">
        <v>20</v>
      </c>
      <c r="H2131" s="26" t="s">
        <v>43</v>
      </c>
      <c r="I2131" s="26" t="s">
        <v>2986</v>
      </c>
      <c r="J2131" s="46">
        <v>1</v>
      </c>
      <c r="K2131" s="46">
        <v>135</v>
      </c>
      <c r="L2131" s="136"/>
      <c r="M2131" s="137" t="s">
        <v>44</v>
      </c>
      <c r="N2131" s="138">
        <v>798</v>
      </c>
      <c r="O2131" s="138"/>
      <c r="P2131" s="138"/>
      <c r="Q2131" s="138"/>
      <c r="R2131" s="138"/>
      <c r="S2131" s="138"/>
      <c r="T2131" s="138"/>
      <c r="U2131" s="138"/>
    </row>
    <row r="2132" spans="1:22" s="26" customFormat="1" ht="15" customHeight="1" x14ac:dyDescent="0.2">
      <c r="A2132" s="32">
        <v>41725.44189814815</v>
      </c>
      <c r="B2132" s="26" t="s">
        <v>38</v>
      </c>
      <c r="C2132" s="26" t="s">
        <v>39</v>
      </c>
      <c r="D2132" s="33">
        <v>41699</v>
      </c>
      <c r="E2132" s="26" t="s">
        <v>5293</v>
      </c>
      <c r="F2132" s="26" t="s">
        <v>5294</v>
      </c>
      <c r="G2132" s="26" t="s">
        <v>20</v>
      </c>
      <c r="H2132" s="26" t="s">
        <v>43</v>
      </c>
      <c r="I2132" s="26" t="s">
        <v>2986</v>
      </c>
      <c r="J2132" s="46">
        <v>1</v>
      </c>
      <c r="K2132" s="46">
        <v>26</v>
      </c>
      <c r="L2132" s="136"/>
      <c r="M2132" s="137" t="s">
        <v>44</v>
      </c>
      <c r="N2132" s="138">
        <v>250.38</v>
      </c>
      <c r="O2132" s="138"/>
      <c r="P2132" s="138"/>
      <c r="Q2132" s="138"/>
      <c r="R2132" s="138"/>
      <c r="S2132" s="138"/>
      <c r="T2132" s="138"/>
      <c r="U2132" s="138"/>
    </row>
    <row r="2133" spans="1:22" s="26" customFormat="1" ht="15" customHeight="1" x14ac:dyDescent="0.2">
      <c r="A2133" s="32">
        <v>41725.442800925928</v>
      </c>
      <c r="B2133" s="26" t="s">
        <v>38</v>
      </c>
      <c r="C2133" s="26" t="s">
        <v>39</v>
      </c>
      <c r="D2133" s="33">
        <v>41699</v>
      </c>
      <c r="E2133" s="26" t="s">
        <v>5295</v>
      </c>
      <c r="F2133" s="26" t="s">
        <v>5296</v>
      </c>
      <c r="G2133" s="26" t="s">
        <v>20</v>
      </c>
      <c r="H2133" s="26" t="s">
        <v>43</v>
      </c>
      <c r="I2133" s="26" t="s">
        <v>2986</v>
      </c>
      <c r="J2133" s="46">
        <v>1</v>
      </c>
      <c r="K2133" s="46">
        <v>24</v>
      </c>
      <c r="L2133" s="136"/>
      <c r="M2133" s="137" t="s">
        <v>44</v>
      </c>
      <c r="N2133" s="138">
        <v>152.16999999999999</v>
      </c>
      <c r="O2133" s="138"/>
      <c r="P2133" s="138"/>
      <c r="Q2133" s="138"/>
      <c r="R2133" s="138"/>
      <c r="S2133" s="138"/>
      <c r="T2133" s="138"/>
      <c r="U2133" s="138"/>
    </row>
    <row r="2134" spans="1:22" s="26" customFormat="1" ht="15" customHeight="1" x14ac:dyDescent="0.2">
      <c r="A2134" s="32">
        <v>41732.539722222224</v>
      </c>
      <c r="B2134" s="26" t="s">
        <v>38</v>
      </c>
      <c r="C2134" s="26" t="s">
        <v>39</v>
      </c>
      <c r="D2134" s="33">
        <v>41699</v>
      </c>
      <c r="E2134" s="26" t="s">
        <v>5534</v>
      </c>
      <c r="F2134" s="26" t="s">
        <v>5535</v>
      </c>
      <c r="G2134" s="26" t="s">
        <v>60</v>
      </c>
      <c r="H2134" s="26" t="s">
        <v>5536</v>
      </c>
      <c r="I2134" s="26" t="s">
        <v>5537</v>
      </c>
      <c r="J2134" s="46">
        <v>465</v>
      </c>
      <c r="K2134" s="46">
        <v>6267</v>
      </c>
      <c r="L2134" s="136"/>
      <c r="M2134" s="137" t="s">
        <v>44</v>
      </c>
      <c r="N2134" s="138"/>
      <c r="O2134" s="138"/>
      <c r="P2134" s="138"/>
      <c r="Q2134" s="138"/>
      <c r="R2134" s="138"/>
      <c r="S2134" s="138"/>
      <c r="T2134" s="138"/>
      <c r="U2134" s="138"/>
    </row>
    <row r="2135" spans="1:22" s="26" customFormat="1" ht="15" customHeight="1" x14ac:dyDescent="0.2">
      <c r="A2135" s="32">
        <v>41733.456655092596</v>
      </c>
      <c r="B2135" s="26" t="s">
        <v>38</v>
      </c>
      <c r="C2135" s="26" t="s">
        <v>39</v>
      </c>
      <c r="D2135" s="33">
        <v>41699</v>
      </c>
      <c r="E2135" s="26" t="s">
        <v>5578</v>
      </c>
      <c r="F2135" s="26" t="s">
        <v>5579</v>
      </c>
      <c r="G2135" s="26" t="s">
        <v>20</v>
      </c>
      <c r="H2135" s="26" t="s">
        <v>43</v>
      </c>
      <c r="I2135" s="26" t="s">
        <v>2986</v>
      </c>
      <c r="J2135" s="46">
        <v>1</v>
      </c>
      <c r="K2135" s="46">
        <v>97</v>
      </c>
      <c r="L2135" s="136"/>
      <c r="M2135" s="137" t="s">
        <v>44</v>
      </c>
      <c r="N2135" s="138">
        <v>570</v>
      </c>
      <c r="O2135" s="138"/>
      <c r="P2135" s="138">
        <v>200</v>
      </c>
      <c r="Q2135" s="138"/>
      <c r="R2135" s="138"/>
      <c r="S2135" s="138"/>
      <c r="T2135" s="138"/>
      <c r="U2135" s="138"/>
    </row>
    <row r="2136" spans="1:22" s="26" customFormat="1" ht="15" customHeight="1" x14ac:dyDescent="0.2">
      <c r="A2136" s="32">
        <v>41733.457557870373</v>
      </c>
      <c r="B2136" s="26" t="s">
        <v>38</v>
      </c>
      <c r="C2136" s="26" t="s">
        <v>39</v>
      </c>
      <c r="D2136" s="33">
        <v>41699</v>
      </c>
      <c r="E2136" s="26" t="s">
        <v>5580</v>
      </c>
      <c r="F2136" s="26" t="s">
        <v>5581</v>
      </c>
      <c r="G2136" s="26" t="s">
        <v>20</v>
      </c>
      <c r="H2136" s="26" t="s">
        <v>43</v>
      </c>
      <c r="I2136" s="26" t="s">
        <v>2986</v>
      </c>
      <c r="J2136" s="46">
        <v>1</v>
      </c>
      <c r="K2136" s="46">
        <v>205</v>
      </c>
      <c r="L2136" s="136"/>
      <c r="M2136" s="137" t="s">
        <v>44</v>
      </c>
      <c r="N2136" s="138">
        <v>973.5</v>
      </c>
      <c r="O2136" s="138"/>
      <c r="P2136" s="138"/>
      <c r="Q2136" s="138"/>
      <c r="R2136" s="138"/>
      <c r="S2136" s="138"/>
      <c r="T2136" s="138"/>
      <c r="U2136" s="138"/>
    </row>
    <row r="2137" spans="1:22" s="26" customFormat="1" ht="15" customHeight="1" x14ac:dyDescent="0.2">
      <c r="A2137" s="32">
        <v>41733.4924537037</v>
      </c>
      <c r="B2137" s="26" t="s">
        <v>38</v>
      </c>
      <c r="C2137" s="26" t="s">
        <v>39</v>
      </c>
      <c r="D2137" s="33">
        <v>41699</v>
      </c>
      <c r="E2137" s="26" t="s">
        <v>5582</v>
      </c>
      <c r="F2137" s="26" t="s">
        <v>5583</v>
      </c>
      <c r="G2137" s="26" t="s">
        <v>20</v>
      </c>
      <c r="H2137" s="26" t="s">
        <v>43</v>
      </c>
      <c r="I2137" s="26" t="s">
        <v>2986</v>
      </c>
      <c r="J2137" s="46">
        <v>1</v>
      </c>
      <c r="K2137" s="46">
        <v>69</v>
      </c>
      <c r="L2137" s="136"/>
      <c r="M2137" s="137" t="s">
        <v>44</v>
      </c>
      <c r="N2137" s="138">
        <v>402</v>
      </c>
      <c r="O2137" s="138"/>
      <c r="P2137" s="138">
        <v>481.51</v>
      </c>
      <c r="Q2137" s="138"/>
      <c r="R2137" s="138"/>
      <c r="S2137" s="138"/>
      <c r="T2137" s="138"/>
      <c r="U2137" s="138"/>
    </row>
    <row r="2138" spans="1:22" s="26" customFormat="1" ht="15" customHeight="1" x14ac:dyDescent="0.2">
      <c r="A2138" s="32">
        <v>41733.502430555556</v>
      </c>
      <c r="B2138" s="26" t="s">
        <v>38</v>
      </c>
      <c r="C2138" s="26" t="s">
        <v>39</v>
      </c>
      <c r="D2138" s="33">
        <v>41699</v>
      </c>
      <c r="E2138" s="26" t="s">
        <v>5517</v>
      </c>
      <c r="F2138" s="26" t="s">
        <v>5585</v>
      </c>
      <c r="G2138" s="26" t="s">
        <v>20</v>
      </c>
      <c r="H2138" s="26" t="s">
        <v>43</v>
      </c>
      <c r="I2138" s="26" t="s">
        <v>2986</v>
      </c>
      <c r="J2138" s="46">
        <v>1</v>
      </c>
      <c r="K2138" s="46">
        <v>60</v>
      </c>
      <c r="L2138" s="136"/>
      <c r="M2138" s="137" t="s">
        <v>44</v>
      </c>
      <c r="N2138" s="138">
        <v>308.7</v>
      </c>
      <c r="O2138" s="138"/>
      <c r="P2138" s="138">
        <v>138.77000000000001</v>
      </c>
      <c r="Q2138" s="138"/>
      <c r="R2138" s="138"/>
      <c r="S2138" s="138"/>
      <c r="T2138" s="138"/>
      <c r="U2138" s="138"/>
    </row>
    <row r="2139" spans="1:22" s="26" customFormat="1" ht="15" customHeight="1" x14ac:dyDescent="0.2">
      <c r="A2139" s="32">
        <v>41733.518773148149</v>
      </c>
      <c r="B2139" s="26" t="s">
        <v>38</v>
      </c>
      <c r="C2139" s="26" t="s">
        <v>39</v>
      </c>
      <c r="D2139" s="33">
        <v>41699</v>
      </c>
      <c r="E2139" s="26" t="s">
        <v>5618</v>
      </c>
      <c r="F2139" s="26" t="s">
        <v>5619</v>
      </c>
      <c r="G2139" s="26" t="s">
        <v>42</v>
      </c>
      <c r="H2139" s="26" t="s">
        <v>43</v>
      </c>
      <c r="I2139" s="26" t="s">
        <v>2986</v>
      </c>
      <c r="J2139" s="46">
        <v>1</v>
      </c>
      <c r="K2139" s="46">
        <v>41</v>
      </c>
      <c r="L2139" s="136"/>
      <c r="M2139" s="137" t="s">
        <v>44</v>
      </c>
      <c r="N2139" s="138">
        <v>877.4</v>
      </c>
      <c r="O2139" s="138"/>
      <c r="P2139" s="138"/>
      <c r="Q2139" s="138"/>
      <c r="R2139" s="138"/>
      <c r="S2139" s="138"/>
      <c r="T2139" s="138"/>
      <c r="U2139" s="138"/>
    </row>
    <row r="2140" spans="1:22" s="26" customFormat="1" ht="15" customHeight="1" x14ac:dyDescent="0.2">
      <c r="A2140" s="32">
        <v>41733.519837962966</v>
      </c>
      <c r="B2140" s="26" t="s">
        <v>38</v>
      </c>
      <c r="C2140" s="26" t="s">
        <v>39</v>
      </c>
      <c r="D2140" s="33">
        <v>41699</v>
      </c>
      <c r="E2140" s="26" t="s">
        <v>5620</v>
      </c>
      <c r="F2140" s="26" t="s">
        <v>5621</v>
      </c>
      <c r="G2140" s="26" t="s">
        <v>42</v>
      </c>
      <c r="H2140" s="26" t="s">
        <v>43</v>
      </c>
      <c r="I2140" s="26" t="s">
        <v>2986</v>
      </c>
      <c r="J2140" s="46">
        <v>1</v>
      </c>
      <c r="K2140" s="46">
        <v>20</v>
      </c>
      <c r="L2140" s="136"/>
      <c r="M2140" s="137" t="s">
        <v>44</v>
      </c>
      <c r="N2140" s="138">
        <v>192.6</v>
      </c>
      <c r="O2140" s="138"/>
      <c r="P2140" s="138"/>
      <c r="Q2140" s="138"/>
      <c r="R2140" s="138"/>
      <c r="S2140" s="138"/>
      <c r="T2140" s="138"/>
      <c r="U2140" s="138"/>
    </row>
    <row r="2141" spans="1:22" s="26" customFormat="1" ht="15" customHeight="1" x14ac:dyDescent="0.2">
      <c r="A2141" s="32">
        <v>41733.523958333331</v>
      </c>
      <c r="B2141" s="26" t="s">
        <v>38</v>
      </c>
      <c r="C2141" s="26" t="s">
        <v>39</v>
      </c>
      <c r="D2141" s="33">
        <v>41699</v>
      </c>
      <c r="E2141" s="26" t="s">
        <v>5287</v>
      </c>
      <c r="F2141" s="26" t="s">
        <v>5632</v>
      </c>
      <c r="G2141" s="26" t="s">
        <v>42</v>
      </c>
      <c r="H2141" s="26" t="s">
        <v>43</v>
      </c>
      <c r="I2141" s="26" t="s">
        <v>2986</v>
      </c>
      <c r="J2141" s="46">
        <v>1</v>
      </c>
      <c r="K2141" s="46">
        <v>37</v>
      </c>
      <c r="L2141" s="136"/>
      <c r="M2141" s="137" t="s">
        <v>44</v>
      </c>
      <c r="N2141" s="138">
        <v>262.14999999999998</v>
      </c>
      <c r="O2141" s="138"/>
      <c r="P2141" s="138"/>
      <c r="Q2141" s="138"/>
      <c r="R2141" s="138"/>
      <c r="S2141" s="138"/>
      <c r="T2141" s="138"/>
      <c r="U2141" s="138"/>
    </row>
    <row r="2142" spans="1:22" s="26" customFormat="1" ht="15" customHeight="1" x14ac:dyDescent="0.2">
      <c r="A2142" s="32">
        <v>41736.529687499999</v>
      </c>
      <c r="B2142" s="26" t="s">
        <v>38</v>
      </c>
      <c r="C2142" s="26" t="s">
        <v>39</v>
      </c>
      <c r="D2142" s="33">
        <v>41699</v>
      </c>
      <c r="E2142" s="26" t="s">
        <v>4862</v>
      </c>
      <c r="F2142" s="26" t="s">
        <v>5763</v>
      </c>
      <c r="G2142" s="26" t="s">
        <v>26</v>
      </c>
      <c r="H2142" s="26" t="s">
        <v>5764</v>
      </c>
      <c r="I2142" s="26" t="s">
        <v>5765</v>
      </c>
      <c r="J2142" s="46">
        <v>55</v>
      </c>
      <c r="K2142" s="46">
        <v>88</v>
      </c>
      <c r="L2142" s="136"/>
      <c r="M2142" s="137" t="s">
        <v>44</v>
      </c>
      <c r="N2142" s="138"/>
      <c r="O2142" s="138"/>
      <c r="P2142" s="138"/>
      <c r="Q2142" s="138"/>
      <c r="R2142" s="138"/>
      <c r="S2142" s="138"/>
      <c r="T2142" s="138"/>
      <c r="U2142" s="138"/>
      <c r="V2142" s="26" t="s">
        <v>5766</v>
      </c>
    </row>
    <row r="2143" spans="1:22" s="26" customFormat="1" ht="15" customHeight="1" x14ac:dyDescent="0.2">
      <c r="A2143" s="32">
        <v>41736.557268518518</v>
      </c>
      <c r="B2143" s="26" t="s">
        <v>38</v>
      </c>
      <c r="C2143" s="26" t="s">
        <v>39</v>
      </c>
      <c r="D2143" s="33">
        <v>41730</v>
      </c>
      <c r="E2143" s="26" t="s">
        <v>3835</v>
      </c>
      <c r="F2143" s="26" t="s">
        <v>5769</v>
      </c>
      <c r="G2143" s="26" t="s">
        <v>42</v>
      </c>
      <c r="H2143" s="26" t="s">
        <v>43</v>
      </c>
      <c r="I2143" s="26" t="s">
        <v>2986</v>
      </c>
      <c r="J2143" s="46">
        <v>1</v>
      </c>
      <c r="K2143" s="46">
        <v>17</v>
      </c>
      <c r="L2143" s="138"/>
      <c r="M2143" s="137" t="s">
        <v>44</v>
      </c>
      <c r="N2143" s="138">
        <v>111</v>
      </c>
      <c r="O2143" s="138"/>
      <c r="P2143" s="138"/>
      <c r="Q2143" s="138"/>
      <c r="R2143" s="138"/>
      <c r="S2143" s="138"/>
      <c r="T2143" s="138"/>
      <c r="U2143" s="138"/>
    </row>
    <row r="2144" spans="1:22" s="26" customFormat="1" ht="15" customHeight="1" x14ac:dyDescent="0.2">
      <c r="A2144" s="32">
        <v>41736.612893518519</v>
      </c>
      <c r="B2144" s="26" t="s">
        <v>38</v>
      </c>
      <c r="C2144" s="26" t="s">
        <v>39</v>
      </c>
      <c r="D2144" s="33">
        <v>41730</v>
      </c>
      <c r="E2144" s="26" t="s">
        <v>2830</v>
      </c>
      <c r="F2144" s="26" t="s">
        <v>5774</v>
      </c>
      <c r="G2144" s="26" t="s">
        <v>20</v>
      </c>
      <c r="H2144" s="26" t="s">
        <v>43</v>
      </c>
      <c r="I2144" s="26" t="s">
        <v>2986</v>
      </c>
      <c r="J2144" s="46">
        <v>1</v>
      </c>
      <c r="K2144" s="46">
        <v>123</v>
      </c>
      <c r="L2144" s="138"/>
      <c r="M2144" s="137" t="s">
        <v>44</v>
      </c>
      <c r="N2144" s="138">
        <v>759</v>
      </c>
      <c r="O2144" s="138"/>
      <c r="P2144" s="138"/>
      <c r="Q2144" s="138"/>
      <c r="R2144" s="138"/>
      <c r="S2144" s="138"/>
      <c r="T2144" s="138"/>
      <c r="U2144" s="138"/>
    </row>
    <row r="2145" spans="1:25" s="26" customFormat="1" ht="15" customHeight="1" x14ac:dyDescent="0.2">
      <c r="A2145" s="32">
        <v>41736.623749999999</v>
      </c>
      <c r="B2145" s="26" t="s">
        <v>38</v>
      </c>
      <c r="C2145" s="26" t="s">
        <v>39</v>
      </c>
      <c r="D2145" s="33">
        <v>41730</v>
      </c>
      <c r="E2145" s="26" t="s">
        <v>5775</v>
      </c>
      <c r="F2145" s="26" t="s">
        <v>5776</v>
      </c>
      <c r="G2145" s="26" t="s">
        <v>20</v>
      </c>
      <c r="H2145" s="26" t="s">
        <v>43</v>
      </c>
      <c r="I2145" s="26" t="s">
        <v>2986</v>
      </c>
      <c r="J2145" s="46">
        <v>1</v>
      </c>
      <c r="K2145" s="46">
        <v>60</v>
      </c>
      <c r="L2145" s="138"/>
      <c r="M2145" s="137" t="s">
        <v>44</v>
      </c>
      <c r="N2145" s="138">
        <v>372</v>
      </c>
      <c r="O2145" s="138"/>
      <c r="P2145" s="138"/>
      <c r="Q2145" s="138"/>
      <c r="R2145" s="138"/>
      <c r="S2145" s="138"/>
      <c r="T2145" s="138"/>
      <c r="U2145" s="138"/>
    </row>
    <row r="2146" spans="1:25" s="26" customFormat="1" ht="15" customHeight="1" x14ac:dyDescent="0.2">
      <c r="A2146" s="32">
        <v>41738.603622685187</v>
      </c>
      <c r="B2146" s="26" t="s">
        <v>38</v>
      </c>
      <c r="C2146" s="26" t="s">
        <v>39</v>
      </c>
      <c r="D2146" s="33">
        <v>41730</v>
      </c>
      <c r="E2146" s="26" t="s">
        <v>5810</v>
      </c>
      <c r="F2146" s="26" t="s">
        <v>5811</v>
      </c>
      <c r="G2146" s="26" t="s">
        <v>42</v>
      </c>
      <c r="H2146" s="26" t="s">
        <v>43</v>
      </c>
      <c r="I2146" s="26" t="s">
        <v>2986</v>
      </c>
      <c r="J2146" s="46">
        <v>1</v>
      </c>
      <c r="K2146" s="46">
        <v>13</v>
      </c>
      <c r="L2146" s="138"/>
      <c r="M2146" s="137" t="s">
        <v>44</v>
      </c>
      <c r="N2146" s="138">
        <v>139.1</v>
      </c>
      <c r="O2146" s="138"/>
      <c r="P2146" s="138"/>
      <c r="Q2146" s="138"/>
      <c r="R2146" s="138"/>
      <c r="S2146" s="138"/>
      <c r="T2146" s="138"/>
      <c r="U2146" s="138"/>
    </row>
    <row r="2147" spans="1:25" s="26" customFormat="1" ht="15" customHeight="1" x14ac:dyDescent="0.2">
      <c r="A2147" s="92">
        <v>41738.605300925927</v>
      </c>
      <c r="B2147" s="91" t="s">
        <v>38</v>
      </c>
      <c r="C2147" s="26" t="s">
        <v>39</v>
      </c>
      <c r="D2147" s="33">
        <v>41730</v>
      </c>
      <c r="E2147" s="91" t="s">
        <v>5814</v>
      </c>
      <c r="F2147" s="91" t="s">
        <v>5815</v>
      </c>
      <c r="G2147" s="91" t="s">
        <v>26</v>
      </c>
      <c r="H2147" s="91" t="s">
        <v>43</v>
      </c>
      <c r="I2147" s="91" t="s">
        <v>2986</v>
      </c>
      <c r="J2147" s="46">
        <v>1</v>
      </c>
      <c r="K2147" s="46">
        <v>30</v>
      </c>
      <c r="L2147" s="138"/>
      <c r="M2147" s="137" t="s">
        <v>44</v>
      </c>
      <c r="N2147" s="138">
        <v>186.18</v>
      </c>
      <c r="O2147" s="138"/>
      <c r="P2147" s="138"/>
      <c r="Q2147" s="138"/>
      <c r="R2147" s="138"/>
      <c r="S2147" s="138"/>
      <c r="T2147" s="138"/>
      <c r="U2147" s="138"/>
      <c r="V2147" s="91"/>
      <c r="W2147" s="91"/>
      <c r="X2147" s="91"/>
      <c r="Y2147" s="91"/>
    </row>
    <row r="2148" spans="1:25" s="26" customFormat="1" ht="15" customHeight="1" x14ac:dyDescent="0.2">
      <c r="A2148" s="32">
        <v>41738.606689814813</v>
      </c>
      <c r="B2148" s="26" t="s">
        <v>38</v>
      </c>
      <c r="C2148" s="26" t="s">
        <v>39</v>
      </c>
      <c r="D2148" s="33">
        <v>41730</v>
      </c>
      <c r="E2148" s="26" t="s">
        <v>5816</v>
      </c>
      <c r="F2148" s="26" t="s">
        <v>5817</v>
      </c>
      <c r="G2148" s="26" t="s">
        <v>42</v>
      </c>
      <c r="I2148" s="26" t="s">
        <v>2986</v>
      </c>
      <c r="J2148" s="46">
        <v>1</v>
      </c>
      <c r="K2148" s="46">
        <v>27</v>
      </c>
      <c r="L2148" s="138"/>
      <c r="M2148" s="137" t="s">
        <v>44</v>
      </c>
      <c r="N2148" s="138">
        <v>240.75</v>
      </c>
      <c r="O2148" s="138"/>
      <c r="P2148" s="138"/>
      <c r="Q2148" s="138"/>
      <c r="R2148" s="138"/>
      <c r="S2148" s="138"/>
      <c r="T2148" s="138"/>
      <c r="U2148" s="138"/>
    </row>
    <row r="2149" spans="1:25" s="26" customFormat="1" ht="15" customHeight="1" x14ac:dyDescent="0.2">
      <c r="A2149" s="32">
        <v>41738.607928240737</v>
      </c>
      <c r="B2149" s="26" t="s">
        <v>38</v>
      </c>
      <c r="C2149" s="26" t="s">
        <v>39</v>
      </c>
      <c r="D2149" s="33">
        <v>41730</v>
      </c>
      <c r="E2149" s="26" t="s">
        <v>5818</v>
      </c>
      <c r="F2149" s="26" t="s">
        <v>5819</v>
      </c>
      <c r="G2149" s="26" t="s">
        <v>42</v>
      </c>
      <c r="H2149" s="26" t="s">
        <v>43</v>
      </c>
      <c r="I2149" s="26" t="s">
        <v>2986</v>
      </c>
      <c r="J2149" s="46">
        <v>1</v>
      </c>
      <c r="K2149" s="46">
        <v>24</v>
      </c>
      <c r="L2149" s="138"/>
      <c r="M2149" s="137" t="s">
        <v>44</v>
      </c>
      <c r="N2149" s="138">
        <v>231.12</v>
      </c>
      <c r="O2149" s="138"/>
      <c r="P2149" s="138"/>
      <c r="Q2149" s="138"/>
      <c r="R2149" s="138"/>
      <c r="S2149" s="138"/>
      <c r="T2149" s="138"/>
      <c r="U2149" s="138"/>
    </row>
    <row r="2150" spans="1:25" s="26" customFormat="1" ht="15" customHeight="1" x14ac:dyDescent="0.2">
      <c r="A2150" s="32">
        <v>41738.625</v>
      </c>
      <c r="B2150" s="26" t="s">
        <v>38</v>
      </c>
      <c r="C2150" s="26" t="s">
        <v>39</v>
      </c>
      <c r="D2150" s="33">
        <v>41730</v>
      </c>
      <c r="E2150" s="26" t="s">
        <v>3822</v>
      </c>
      <c r="F2150" s="26" t="s">
        <v>5830</v>
      </c>
      <c r="G2150" s="26" t="s">
        <v>42</v>
      </c>
      <c r="H2150" s="26" t="s">
        <v>43</v>
      </c>
      <c r="I2150" s="26" t="s">
        <v>2986</v>
      </c>
      <c r="J2150" s="46">
        <v>1</v>
      </c>
      <c r="K2150" s="46">
        <v>30</v>
      </c>
      <c r="L2150" s="138"/>
      <c r="M2150" s="137" t="s">
        <v>44</v>
      </c>
      <c r="N2150" s="138">
        <v>288.89999999999998</v>
      </c>
      <c r="O2150" s="138"/>
      <c r="P2150" s="138"/>
      <c r="Q2150" s="138"/>
      <c r="R2150" s="138"/>
      <c r="S2150" s="138"/>
      <c r="T2150" s="138"/>
      <c r="U2150" s="138"/>
    </row>
    <row r="2151" spans="1:25" s="26" customFormat="1" ht="15" customHeight="1" x14ac:dyDescent="0.2">
      <c r="A2151" s="32">
        <v>41738.664166666669</v>
      </c>
      <c r="B2151" s="26" t="s">
        <v>38</v>
      </c>
      <c r="C2151" s="26" t="s">
        <v>39</v>
      </c>
      <c r="D2151" s="33">
        <v>41730</v>
      </c>
      <c r="E2151" s="26" t="s">
        <v>5295</v>
      </c>
      <c r="F2151" s="26" t="s">
        <v>5841</v>
      </c>
      <c r="G2151" s="26" t="s">
        <v>20</v>
      </c>
      <c r="H2151" s="26" t="s">
        <v>43</v>
      </c>
      <c r="I2151" s="26" t="s">
        <v>3001</v>
      </c>
      <c r="J2151" s="46">
        <v>1</v>
      </c>
      <c r="K2151" s="46">
        <v>201</v>
      </c>
      <c r="L2151" s="138"/>
      <c r="M2151" s="137" t="s">
        <v>44</v>
      </c>
      <c r="N2151" s="138">
        <v>895.5</v>
      </c>
      <c r="O2151" s="138"/>
      <c r="P2151" s="138">
        <v>600</v>
      </c>
      <c r="Q2151" s="138"/>
      <c r="R2151" s="138"/>
      <c r="S2151" s="138"/>
      <c r="T2151" s="138"/>
      <c r="U2151" s="138"/>
    </row>
    <row r="2152" spans="1:25" s="26" customFormat="1" ht="15" customHeight="1" x14ac:dyDescent="0.2">
      <c r="A2152" s="32">
        <v>41738.665034722224</v>
      </c>
      <c r="B2152" s="26" t="s">
        <v>38</v>
      </c>
      <c r="C2152" s="26" t="s">
        <v>39</v>
      </c>
      <c r="D2152" s="33">
        <v>41730</v>
      </c>
      <c r="E2152" s="26" t="s">
        <v>2830</v>
      </c>
      <c r="F2152" s="26" t="s">
        <v>5842</v>
      </c>
      <c r="G2152" s="26" t="s">
        <v>42</v>
      </c>
      <c r="H2152" s="26" t="s">
        <v>43</v>
      </c>
      <c r="I2152" s="26" t="s">
        <v>2986</v>
      </c>
      <c r="J2152" s="46">
        <v>1</v>
      </c>
      <c r="K2152" s="46">
        <v>24</v>
      </c>
      <c r="L2152" s="138"/>
      <c r="M2152" s="137" t="s">
        <v>44</v>
      </c>
      <c r="N2152" s="138">
        <v>154.08000000000001</v>
      </c>
      <c r="O2152" s="138"/>
      <c r="P2152" s="138"/>
      <c r="Q2152" s="138"/>
      <c r="R2152" s="138"/>
      <c r="S2152" s="138"/>
      <c r="T2152" s="138"/>
      <c r="U2152" s="138"/>
    </row>
    <row r="2153" spans="1:25" s="26" customFormat="1" ht="15" customHeight="1" x14ac:dyDescent="0.2">
      <c r="A2153" s="92">
        <v>41743.449004629627</v>
      </c>
      <c r="B2153" s="91" t="s">
        <v>38</v>
      </c>
      <c r="C2153" s="26" t="s">
        <v>39</v>
      </c>
      <c r="D2153" s="33">
        <v>41730</v>
      </c>
      <c r="E2153" s="91" t="s">
        <v>5957</v>
      </c>
      <c r="F2153" s="91" t="s">
        <v>5958</v>
      </c>
      <c r="G2153" s="91" t="s">
        <v>156</v>
      </c>
      <c r="H2153" s="91" t="s">
        <v>5959</v>
      </c>
      <c r="I2153" s="91" t="s">
        <v>2925</v>
      </c>
      <c r="J2153" s="46">
        <v>1</v>
      </c>
      <c r="K2153" s="46">
        <v>301</v>
      </c>
      <c r="L2153" s="138"/>
      <c r="M2153" s="137" t="s">
        <v>44</v>
      </c>
      <c r="N2153" s="138"/>
      <c r="O2153" s="138"/>
      <c r="P2153" s="138">
        <v>803.12</v>
      </c>
      <c r="Q2153" s="138"/>
      <c r="R2153" s="138"/>
      <c r="S2153" s="138"/>
      <c r="T2153" s="138"/>
      <c r="U2153" s="138"/>
      <c r="V2153" s="91"/>
      <c r="W2153" s="91"/>
      <c r="X2153" s="91"/>
      <c r="Y2153" s="91"/>
    </row>
    <row r="2154" spans="1:25" s="26" customFormat="1" ht="15" customHeight="1" x14ac:dyDescent="0.2">
      <c r="A2154" s="92">
        <v>41743.450810185182</v>
      </c>
      <c r="B2154" s="91" t="s">
        <v>38</v>
      </c>
      <c r="C2154" s="26" t="s">
        <v>39</v>
      </c>
      <c r="D2154" s="33">
        <v>41730</v>
      </c>
      <c r="E2154" s="91" t="s">
        <v>5960</v>
      </c>
      <c r="F2154" s="91" t="s">
        <v>4060</v>
      </c>
      <c r="G2154" s="91" t="s">
        <v>26</v>
      </c>
      <c r="H2154" s="91" t="s">
        <v>5961</v>
      </c>
      <c r="I2154" s="91" t="s">
        <v>2812</v>
      </c>
      <c r="J2154" s="46">
        <v>1</v>
      </c>
      <c r="K2154" s="46">
        <v>18</v>
      </c>
      <c r="L2154" s="138">
        <v>360</v>
      </c>
      <c r="M2154" s="137" t="s">
        <v>22</v>
      </c>
      <c r="N2154" s="138"/>
      <c r="O2154" s="138"/>
      <c r="P2154" s="138"/>
      <c r="Q2154" s="138"/>
      <c r="R2154" s="138"/>
      <c r="S2154" s="138"/>
      <c r="T2154" s="138"/>
      <c r="U2154" s="138"/>
      <c r="V2154" s="91"/>
      <c r="W2154" s="91"/>
      <c r="X2154" s="91"/>
      <c r="Y2154" s="91"/>
    </row>
    <row r="2155" spans="1:25" s="26" customFormat="1" ht="15" customHeight="1" x14ac:dyDescent="0.2">
      <c r="A2155" s="32">
        <v>41750.490856481483</v>
      </c>
      <c r="B2155" s="26" t="s">
        <v>38</v>
      </c>
      <c r="C2155" s="26" t="s">
        <v>39</v>
      </c>
      <c r="D2155" s="33">
        <v>41730</v>
      </c>
      <c r="E2155" s="26" t="s">
        <v>6005</v>
      </c>
      <c r="F2155" s="26" t="s">
        <v>6006</v>
      </c>
      <c r="G2155" s="26" t="s">
        <v>20</v>
      </c>
      <c r="H2155" s="26" t="s">
        <v>6007</v>
      </c>
      <c r="I2155" s="26" t="s">
        <v>2986</v>
      </c>
      <c r="J2155" s="46">
        <v>1</v>
      </c>
      <c r="K2155" s="46">
        <v>36</v>
      </c>
      <c r="L2155" s="138"/>
      <c r="M2155" s="137" t="s">
        <v>44</v>
      </c>
      <c r="N2155" s="138">
        <v>249</v>
      </c>
      <c r="O2155" s="138"/>
      <c r="P2155" s="138"/>
      <c r="Q2155" s="138"/>
      <c r="R2155" s="138"/>
      <c r="S2155" s="138"/>
      <c r="T2155" s="138"/>
      <c r="U2155" s="138"/>
    </row>
    <row r="2156" spans="1:25" s="26" customFormat="1" ht="15" customHeight="1" x14ac:dyDescent="0.2">
      <c r="A2156" s="92">
        <v>41751.594571759262</v>
      </c>
      <c r="B2156" s="91" t="s">
        <v>38</v>
      </c>
      <c r="C2156" s="26" t="s">
        <v>39</v>
      </c>
      <c r="D2156" s="33">
        <v>41730</v>
      </c>
      <c r="E2156" s="91" t="s">
        <v>6019</v>
      </c>
      <c r="F2156" s="91" t="s">
        <v>6020</v>
      </c>
      <c r="G2156" s="91" t="s">
        <v>156</v>
      </c>
      <c r="H2156" s="91" t="s">
        <v>6021</v>
      </c>
      <c r="I2156" s="91" t="s">
        <v>6022</v>
      </c>
      <c r="J2156" s="46">
        <v>1</v>
      </c>
      <c r="K2156" s="46">
        <v>88</v>
      </c>
      <c r="L2156" s="138">
        <v>310</v>
      </c>
      <c r="M2156" s="137" t="s">
        <v>44</v>
      </c>
      <c r="N2156" s="138">
        <v>583</v>
      </c>
      <c r="O2156" s="138"/>
      <c r="P2156" s="138"/>
      <c r="Q2156" s="138"/>
      <c r="R2156" s="138"/>
      <c r="S2156" s="138"/>
      <c r="T2156" s="138"/>
      <c r="U2156" s="138"/>
      <c r="V2156" s="91"/>
      <c r="W2156" s="91"/>
      <c r="X2156" s="91"/>
      <c r="Y2156" s="91"/>
    </row>
    <row r="2157" spans="1:25" s="26" customFormat="1" ht="15" customHeight="1" x14ac:dyDescent="0.2">
      <c r="A2157" s="32">
        <v>41751.595937500002</v>
      </c>
      <c r="B2157" s="26" t="s">
        <v>38</v>
      </c>
      <c r="C2157" s="26" t="s">
        <v>39</v>
      </c>
      <c r="D2157" s="33">
        <v>41730</v>
      </c>
      <c r="E2157" s="26" t="s">
        <v>5250</v>
      </c>
      <c r="F2157" s="26" t="s">
        <v>6023</v>
      </c>
      <c r="G2157" s="26" t="s">
        <v>42</v>
      </c>
      <c r="H2157" s="26" t="s">
        <v>43</v>
      </c>
      <c r="I2157" s="26" t="s">
        <v>2986</v>
      </c>
      <c r="J2157" s="46">
        <v>1</v>
      </c>
      <c r="K2157" s="46">
        <v>36</v>
      </c>
      <c r="L2157" s="138"/>
      <c r="M2157" s="137" t="s">
        <v>44</v>
      </c>
      <c r="N2157" s="138">
        <v>266.43</v>
      </c>
      <c r="O2157" s="138"/>
      <c r="P2157" s="138"/>
      <c r="Q2157" s="138"/>
      <c r="R2157" s="138"/>
      <c r="S2157" s="138"/>
      <c r="T2157" s="138"/>
      <c r="U2157" s="138"/>
    </row>
    <row r="2158" spans="1:25" s="26" customFormat="1" ht="15" customHeight="1" x14ac:dyDescent="0.2">
      <c r="A2158" s="32">
        <v>41751.606562499997</v>
      </c>
      <c r="B2158" s="26" t="s">
        <v>38</v>
      </c>
      <c r="C2158" s="26" t="s">
        <v>39</v>
      </c>
      <c r="D2158" s="33">
        <v>41730</v>
      </c>
      <c r="E2158" s="26" t="s">
        <v>6024</v>
      </c>
      <c r="F2158" s="26" t="s">
        <v>6025</v>
      </c>
      <c r="G2158" s="26" t="s">
        <v>20</v>
      </c>
      <c r="H2158" s="26" t="s">
        <v>43</v>
      </c>
      <c r="I2158" s="26" t="s">
        <v>2986</v>
      </c>
      <c r="J2158" s="46">
        <v>1</v>
      </c>
      <c r="K2158" s="46">
        <v>89</v>
      </c>
      <c r="L2158" s="138"/>
      <c r="M2158" s="137" t="s">
        <v>44</v>
      </c>
      <c r="N2158" s="138">
        <v>534</v>
      </c>
      <c r="O2158" s="138"/>
      <c r="P2158" s="138">
        <v>600</v>
      </c>
      <c r="Q2158" s="138"/>
      <c r="R2158" s="138"/>
      <c r="S2158" s="138"/>
      <c r="T2158" s="138"/>
      <c r="U2158" s="138"/>
    </row>
    <row r="2159" spans="1:25" s="26" customFormat="1" ht="15" customHeight="1" x14ac:dyDescent="0.2">
      <c r="A2159" s="32">
        <v>41751.602847222224</v>
      </c>
      <c r="B2159" s="26" t="s">
        <v>38</v>
      </c>
      <c r="C2159" s="26" t="s">
        <v>39</v>
      </c>
      <c r="D2159" s="33">
        <v>41730</v>
      </c>
      <c r="E2159" s="26" t="s">
        <v>6026</v>
      </c>
      <c r="F2159" s="26" t="s">
        <v>6027</v>
      </c>
      <c r="G2159" s="26" t="s">
        <v>20</v>
      </c>
      <c r="H2159" s="26" t="s">
        <v>43</v>
      </c>
      <c r="I2159" s="26" t="s">
        <v>2986</v>
      </c>
      <c r="J2159" s="46">
        <v>1</v>
      </c>
      <c r="K2159" s="46">
        <v>89</v>
      </c>
      <c r="L2159" s="138"/>
      <c r="M2159" s="137" t="s">
        <v>44</v>
      </c>
      <c r="N2159" s="138">
        <v>466.2</v>
      </c>
      <c r="O2159" s="138"/>
      <c r="P2159" s="138"/>
      <c r="Q2159" s="138"/>
      <c r="R2159" s="138"/>
      <c r="S2159" s="138"/>
      <c r="T2159" s="138"/>
      <c r="U2159" s="138"/>
    </row>
    <row r="2160" spans="1:25" s="26" customFormat="1" ht="15" customHeight="1" x14ac:dyDescent="0.2">
      <c r="A2160" s="32">
        <v>41751.609791666669</v>
      </c>
      <c r="B2160" s="26" t="s">
        <v>38</v>
      </c>
      <c r="C2160" s="26" t="s">
        <v>39</v>
      </c>
      <c r="D2160" s="33">
        <v>41730</v>
      </c>
      <c r="E2160" s="26" t="s">
        <v>5239</v>
      </c>
      <c r="F2160" s="26" t="s">
        <v>6028</v>
      </c>
      <c r="G2160" s="26" t="s">
        <v>42</v>
      </c>
      <c r="H2160" s="26" t="s">
        <v>43</v>
      </c>
      <c r="I2160" s="26" t="s">
        <v>2986</v>
      </c>
      <c r="J2160" s="46">
        <v>1</v>
      </c>
      <c r="K2160" s="46">
        <v>29</v>
      </c>
      <c r="L2160" s="138"/>
      <c r="M2160" s="137" t="s">
        <v>44</v>
      </c>
      <c r="N2160" s="138">
        <v>279.27</v>
      </c>
      <c r="O2160" s="138"/>
      <c r="P2160" s="138">
        <v>125</v>
      </c>
      <c r="Q2160" s="138"/>
      <c r="R2160" s="138"/>
      <c r="S2160" s="138"/>
      <c r="T2160" s="138"/>
      <c r="U2160" s="138"/>
    </row>
    <row r="2161" spans="1:25" s="26" customFormat="1" ht="15" customHeight="1" x14ac:dyDescent="0.2">
      <c r="A2161" s="32">
        <v>41751.652141203704</v>
      </c>
      <c r="B2161" s="26" t="s">
        <v>38</v>
      </c>
      <c r="C2161" s="26" t="s">
        <v>39</v>
      </c>
      <c r="D2161" s="33">
        <v>41730</v>
      </c>
      <c r="E2161" s="26" t="s">
        <v>6029</v>
      </c>
      <c r="F2161" s="26" t="s">
        <v>6030</v>
      </c>
      <c r="G2161" s="26" t="s">
        <v>42</v>
      </c>
      <c r="H2161" s="26" t="s">
        <v>43</v>
      </c>
      <c r="I2161" s="26" t="s">
        <v>2986</v>
      </c>
      <c r="J2161" s="46">
        <v>1</v>
      </c>
      <c r="K2161" s="46">
        <v>39</v>
      </c>
      <c r="L2161" s="138"/>
      <c r="M2161" s="137" t="s">
        <v>44</v>
      </c>
      <c r="N2161" s="138">
        <v>234</v>
      </c>
      <c r="O2161" s="138"/>
      <c r="P2161" s="138"/>
      <c r="Q2161" s="138"/>
      <c r="R2161" s="138"/>
      <c r="S2161" s="138"/>
      <c r="T2161" s="138"/>
      <c r="U2161" s="138"/>
    </row>
    <row r="2162" spans="1:25" s="26" customFormat="1" ht="15" customHeight="1" x14ac:dyDescent="0.2">
      <c r="A2162" s="32">
        <v>41751.667997685188</v>
      </c>
      <c r="B2162" s="26" t="s">
        <v>38</v>
      </c>
      <c r="C2162" s="26" t="s">
        <v>39</v>
      </c>
      <c r="D2162" s="33">
        <v>41730</v>
      </c>
      <c r="E2162" s="26" t="s">
        <v>6041</v>
      </c>
      <c r="F2162" s="26" t="s">
        <v>6042</v>
      </c>
      <c r="G2162" s="26" t="s">
        <v>20</v>
      </c>
      <c r="H2162" s="26" t="s">
        <v>43</v>
      </c>
      <c r="I2162" s="26" t="s">
        <v>3001</v>
      </c>
      <c r="J2162" s="46">
        <v>1</v>
      </c>
      <c r="K2162" s="46">
        <v>57</v>
      </c>
      <c r="L2162" s="138"/>
      <c r="M2162" s="137" t="s">
        <v>44</v>
      </c>
      <c r="N2162" s="138">
        <v>336</v>
      </c>
      <c r="O2162" s="138"/>
      <c r="P2162" s="138"/>
      <c r="Q2162" s="138"/>
      <c r="R2162" s="138"/>
      <c r="S2162" s="138"/>
      <c r="T2162" s="138"/>
      <c r="U2162" s="138"/>
    </row>
    <row r="2163" spans="1:25" s="26" customFormat="1" ht="15" customHeight="1" x14ac:dyDescent="0.2">
      <c r="A2163" s="32">
        <v>41751.669456018521</v>
      </c>
      <c r="B2163" s="26" t="s">
        <v>38</v>
      </c>
      <c r="C2163" s="26" t="s">
        <v>39</v>
      </c>
      <c r="D2163" s="33">
        <v>41730</v>
      </c>
      <c r="E2163" s="26" t="s">
        <v>2096</v>
      </c>
      <c r="F2163" s="26" t="s">
        <v>6043</v>
      </c>
      <c r="G2163" s="26" t="s">
        <v>20</v>
      </c>
      <c r="H2163" s="26" t="s">
        <v>43</v>
      </c>
      <c r="I2163" s="26" t="s">
        <v>3001</v>
      </c>
      <c r="J2163" s="46">
        <v>1</v>
      </c>
      <c r="K2163" s="46">
        <v>92</v>
      </c>
      <c r="L2163" s="138"/>
      <c r="M2163" s="137" t="s">
        <v>44</v>
      </c>
      <c r="N2163" s="138">
        <v>498</v>
      </c>
      <c r="O2163" s="138"/>
      <c r="P2163" s="138"/>
      <c r="Q2163" s="138"/>
      <c r="R2163" s="138"/>
      <c r="S2163" s="138"/>
      <c r="T2163" s="138"/>
      <c r="U2163" s="138"/>
    </row>
    <row r="2164" spans="1:25" s="26" customFormat="1" ht="15" customHeight="1" x14ac:dyDescent="0.2">
      <c r="A2164" s="32">
        <v>41751.670416666668</v>
      </c>
      <c r="B2164" s="26" t="s">
        <v>38</v>
      </c>
      <c r="C2164" s="26" t="s">
        <v>39</v>
      </c>
      <c r="D2164" s="33">
        <v>41730</v>
      </c>
      <c r="E2164" s="26" t="s">
        <v>6044</v>
      </c>
      <c r="F2164" s="26" t="s">
        <v>6045</v>
      </c>
      <c r="G2164" s="26" t="s">
        <v>20</v>
      </c>
      <c r="H2164" s="26" t="s">
        <v>43</v>
      </c>
      <c r="I2164" s="26" t="s">
        <v>3001</v>
      </c>
      <c r="J2164" s="46">
        <v>1</v>
      </c>
      <c r="K2164" s="46">
        <v>42</v>
      </c>
      <c r="L2164" s="138"/>
      <c r="M2164" s="137" t="s">
        <v>44</v>
      </c>
      <c r="N2164" s="138">
        <v>240</v>
      </c>
      <c r="O2164" s="138"/>
      <c r="P2164" s="138">
        <v>325</v>
      </c>
      <c r="Q2164" s="138"/>
      <c r="R2164" s="138"/>
      <c r="S2164" s="138"/>
      <c r="T2164" s="138"/>
      <c r="U2164" s="138"/>
    </row>
    <row r="2165" spans="1:25" s="26" customFormat="1" ht="15" customHeight="1" x14ac:dyDescent="0.2">
      <c r="A2165" s="55">
        <v>41761.407025462999</v>
      </c>
      <c r="B2165" s="52" t="s">
        <v>38</v>
      </c>
      <c r="C2165" s="52" t="s">
        <v>39</v>
      </c>
      <c r="D2165" s="88" t="s">
        <v>6076</v>
      </c>
      <c r="E2165" s="52" t="s">
        <v>6253</v>
      </c>
      <c r="F2165" s="52" t="s">
        <v>6254</v>
      </c>
      <c r="G2165" s="52" t="s">
        <v>42</v>
      </c>
      <c r="H2165" s="52" t="s">
        <v>43</v>
      </c>
      <c r="I2165" s="52" t="s">
        <v>6255</v>
      </c>
      <c r="J2165" s="95">
        <v>1</v>
      </c>
      <c r="K2165" s="95">
        <v>25</v>
      </c>
      <c r="L2165" s="149"/>
      <c r="M2165" s="146" t="s">
        <v>44</v>
      </c>
      <c r="N2165" s="149">
        <v>240.75</v>
      </c>
      <c r="O2165" s="149"/>
      <c r="P2165" s="149"/>
      <c r="Q2165" s="149"/>
      <c r="R2165" s="149"/>
      <c r="S2165" s="149"/>
      <c r="T2165" s="149"/>
      <c r="U2165" s="149"/>
      <c r="V2165" s="52"/>
    </row>
    <row r="2166" spans="1:25" s="26" customFormat="1" ht="15" customHeight="1" x14ac:dyDescent="0.2">
      <c r="A2166" s="55">
        <v>41761.410069444399</v>
      </c>
      <c r="B2166" s="52" t="s">
        <v>38</v>
      </c>
      <c r="C2166" s="52" t="s">
        <v>39</v>
      </c>
      <c r="D2166" s="88" t="s">
        <v>6076</v>
      </c>
      <c r="E2166" s="52" t="s">
        <v>6256</v>
      </c>
      <c r="F2166" s="52" t="s">
        <v>6257</v>
      </c>
      <c r="G2166" s="52" t="s">
        <v>42</v>
      </c>
      <c r="H2166" s="52" t="s">
        <v>43</v>
      </c>
      <c r="I2166" s="52" t="s">
        <v>6258</v>
      </c>
      <c r="J2166" s="95">
        <v>1</v>
      </c>
      <c r="K2166" s="95">
        <v>25</v>
      </c>
      <c r="L2166" s="149"/>
      <c r="M2166" s="146" t="s">
        <v>44</v>
      </c>
      <c r="N2166" s="149">
        <v>240.75</v>
      </c>
      <c r="O2166" s="149"/>
      <c r="P2166" s="149"/>
      <c r="Q2166" s="149"/>
      <c r="R2166" s="149"/>
      <c r="S2166" s="149"/>
      <c r="T2166" s="149"/>
      <c r="U2166" s="149"/>
      <c r="V2166" s="52"/>
    </row>
    <row r="2167" spans="1:25" s="26" customFormat="1" ht="15" customHeight="1" x14ac:dyDescent="0.2">
      <c r="A2167" s="55">
        <v>41761.413032407399</v>
      </c>
      <c r="B2167" s="52" t="s">
        <v>38</v>
      </c>
      <c r="C2167" s="52" t="s">
        <v>39</v>
      </c>
      <c r="D2167" s="88" t="s">
        <v>6076</v>
      </c>
      <c r="E2167" s="52" t="s">
        <v>3827</v>
      </c>
      <c r="F2167" s="52" t="s">
        <v>6259</v>
      </c>
      <c r="G2167" s="52" t="s">
        <v>42</v>
      </c>
      <c r="H2167" s="52" t="s">
        <v>43</v>
      </c>
      <c r="I2167" s="52" t="s">
        <v>2986</v>
      </c>
      <c r="J2167" s="95">
        <v>1</v>
      </c>
      <c r="K2167" s="95">
        <v>29</v>
      </c>
      <c r="L2167" s="149"/>
      <c r="M2167" s="146" t="s">
        <v>44</v>
      </c>
      <c r="N2167" s="149">
        <v>279.27</v>
      </c>
      <c r="O2167" s="149"/>
      <c r="P2167" s="149"/>
      <c r="Q2167" s="149"/>
      <c r="R2167" s="149"/>
      <c r="S2167" s="149"/>
      <c r="T2167" s="149"/>
      <c r="U2167" s="149"/>
      <c r="V2167" s="52"/>
    </row>
    <row r="2168" spans="1:25" s="26" customFormat="1" ht="15" customHeight="1" x14ac:dyDescent="0.2">
      <c r="A2168" s="55">
        <v>41761.4315740741</v>
      </c>
      <c r="B2168" s="52" t="s">
        <v>38</v>
      </c>
      <c r="C2168" s="52" t="s">
        <v>39</v>
      </c>
      <c r="D2168" s="88" t="s">
        <v>6076</v>
      </c>
      <c r="E2168" s="52" t="s">
        <v>6260</v>
      </c>
      <c r="F2168" s="52" t="s">
        <v>3908</v>
      </c>
      <c r="G2168" s="52" t="s">
        <v>60</v>
      </c>
      <c r="H2168" s="52" t="s">
        <v>6261</v>
      </c>
      <c r="I2168" s="52" t="s">
        <v>6262</v>
      </c>
      <c r="J2168" s="95">
        <v>450</v>
      </c>
      <c r="K2168" s="95">
        <v>8078</v>
      </c>
      <c r="L2168" s="149"/>
      <c r="M2168" s="146" t="s">
        <v>44</v>
      </c>
      <c r="N2168" s="149"/>
      <c r="O2168" s="149"/>
      <c r="P2168" s="149"/>
      <c r="Q2168" s="149"/>
      <c r="R2168" s="149"/>
      <c r="S2168" s="149"/>
      <c r="T2168" s="149">
        <v>63</v>
      </c>
      <c r="U2168" s="149"/>
      <c r="V2168" s="52"/>
    </row>
    <row r="2169" spans="1:25" s="26" customFormat="1" ht="15" customHeight="1" x14ac:dyDescent="0.2">
      <c r="A2169" s="93">
        <v>41761.432534722197</v>
      </c>
      <c r="B2169" s="89" t="s">
        <v>38</v>
      </c>
      <c r="C2169" s="52" t="s">
        <v>39</v>
      </c>
      <c r="D2169" s="87" t="s">
        <v>6076</v>
      </c>
      <c r="E2169" s="89" t="s">
        <v>6263</v>
      </c>
      <c r="F2169" s="89" t="s">
        <v>6264</v>
      </c>
      <c r="G2169" s="89" t="s">
        <v>156</v>
      </c>
      <c r="H2169" s="89" t="s">
        <v>6265</v>
      </c>
      <c r="I2169" s="89" t="s">
        <v>2986</v>
      </c>
      <c r="J2169" s="95">
        <v>1</v>
      </c>
      <c r="K2169" s="95">
        <v>53</v>
      </c>
      <c r="L2169" s="149">
        <v>310</v>
      </c>
      <c r="M2169" s="146" t="s">
        <v>22</v>
      </c>
      <c r="N2169" s="149"/>
      <c r="O2169" s="149"/>
      <c r="P2169" s="149"/>
      <c r="Q2169" s="149"/>
      <c r="R2169" s="149"/>
      <c r="S2169" s="149"/>
      <c r="T2169" s="149"/>
      <c r="U2169" s="149"/>
      <c r="V2169" s="89"/>
      <c r="W2169" s="91"/>
      <c r="X2169" s="91"/>
      <c r="Y2169" s="91"/>
    </row>
    <row r="2170" spans="1:25" s="26" customFormat="1" ht="15" customHeight="1" x14ac:dyDescent="0.2">
      <c r="A2170" s="93">
        <v>41761.435104166703</v>
      </c>
      <c r="B2170" s="89" t="s">
        <v>38</v>
      </c>
      <c r="C2170" s="52" t="s">
        <v>39</v>
      </c>
      <c r="D2170" s="87" t="s">
        <v>6076</v>
      </c>
      <c r="E2170" s="89" t="s">
        <v>6263</v>
      </c>
      <c r="F2170" s="89" t="s">
        <v>6264</v>
      </c>
      <c r="G2170" s="89" t="s">
        <v>156</v>
      </c>
      <c r="H2170" s="89" t="s">
        <v>6265</v>
      </c>
      <c r="I2170" s="89" t="s">
        <v>2986</v>
      </c>
      <c r="J2170" s="95">
        <v>1</v>
      </c>
      <c r="K2170" s="95">
        <v>114</v>
      </c>
      <c r="L2170" s="149">
        <v>870</v>
      </c>
      <c r="M2170" s="146" t="s">
        <v>44</v>
      </c>
      <c r="N2170" s="149"/>
      <c r="O2170" s="149"/>
      <c r="P2170" s="149"/>
      <c r="Q2170" s="149"/>
      <c r="R2170" s="149"/>
      <c r="S2170" s="149"/>
      <c r="T2170" s="149"/>
      <c r="U2170" s="149"/>
      <c r="V2170" s="89" t="s">
        <v>6266</v>
      </c>
      <c r="W2170" s="91"/>
      <c r="X2170" s="91"/>
      <c r="Y2170" s="91"/>
    </row>
    <row r="2171" spans="1:25" s="26" customFormat="1" ht="15" customHeight="1" x14ac:dyDescent="0.2">
      <c r="A2171" s="55">
        <v>41761.4621990741</v>
      </c>
      <c r="B2171" s="52" t="s">
        <v>38</v>
      </c>
      <c r="C2171" s="52" t="s">
        <v>39</v>
      </c>
      <c r="D2171" s="88" t="s">
        <v>6076</v>
      </c>
      <c r="E2171" s="52" t="s">
        <v>6267</v>
      </c>
      <c r="F2171" s="52" t="s">
        <v>6268</v>
      </c>
      <c r="G2171" s="52" t="s">
        <v>42</v>
      </c>
      <c r="H2171" s="52" t="s">
        <v>43</v>
      </c>
      <c r="I2171" s="52" t="s">
        <v>5537</v>
      </c>
      <c r="J2171" s="95">
        <v>1</v>
      </c>
      <c r="K2171" s="95">
        <v>49</v>
      </c>
      <c r="L2171" s="149"/>
      <c r="M2171" s="146" t="s">
        <v>44</v>
      </c>
      <c r="N2171" s="149">
        <v>367.01</v>
      </c>
      <c r="O2171" s="149"/>
      <c r="P2171" s="149"/>
      <c r="Q2171" s="149"/>
      <c r="R2171" s="149"/>
      <c r="S2171" s="149"/>
      <c r="T2171" s="149"/>
      <c r="U2171" s="149"/>
      <c r="V2171" s="52"/>
    </row>
    <row r="2172" spans="1:25" s="26" customFormat="1" ht="15" customHeight="1" x14ac:dyDescent="0.2">
      <c r="A2172" s="55">
        <v>41761.463263888902</v>
      </c>
      <c r="B2172" s="52" t="s">
        <v>38</v>
      </c>
      <c r="C2172" s="52" t="s">
        <v>39</v>
      </c>
      <c r="D2172" s="88" t="s">
        <v>6076</v>
      </c>
      <c r="E2172" s="52" t="s">
        <v>6269</v>
      </c>
      <c r="F2172" s="52" t="s">
        <v>6270</v>
      </c>
      <c r="G2172" s="52" t="s">
        <v>42</v>
      </c>
      <c r="H2172" s="52" t="s">
        <v>43</v>
      </c>
      <c r="I2172" s="52" t="s">
        <v>2986</v>
      </c>
      <c r="J2172" s="95">
        <v>1</v>
      </c>
      <c r="K2172" s="95">
        <v>55</v>
      </c>
      <c r="L2172" s="149"/>
      <c r="M2172" s="146" t="s">
        <v>44</v>
      </c>
      <c r="N2172" s="149">
        <v>336</v>
      </c>
      <c r="O2172" s="149"/>
      <c r="P2172" s="149"/>
      <c r="Q2172" s="149"/>
      <c r="R2172" s="149"/>
      <c r="S2172" s="149"/>
      <c r="T2172" s="149"/>
      <c r="U2172" s="149"/>
      <c r="V2172" s="52"/>
    </row>
    <row r="2173" spans="1:25" s="26" customFormat="1" ht="15" customHeight="1" x14ac:dyDescent="0.2">
      <c r="A2173" s="55">
        <v>41761.464097222197</v>
      </c>
      <c r="B2173" s="52" t="s">
        <v>38</v>
      </c>
      <c r="C2173" s="52" t="s">
        <v>39</v>
      </c>
      <c r="D2173" s="88" t="s">
        <v>6076</v>
      </c>
      <c r="E2173" s="52" t="s">
        <v>6269</v>
      </c>
      <c r="F2173" s="52" t="s">
        <v>6271</v>
      </c>
      <c r="G2173" s="52" t="s">
        <v>20</v>
      </c>
      <c r="H2173" s="52" t="s">
        <v>43</v>
      </c>
      <c r="I2173" s="52" t="s">
        <v>2986</v>
      </c>
      <c r="J2173" s="95">
        <v>1</v>
      </c>
      <c r="K2173" s="95">
        <v>82</v>
      </c>
      <c r="L2173" s="149"/>
      <c r="M2173" s="146" t="s">
        <v>44</v>
      </c>
      <c r="N2173" s="149">
        <v>498</v>
      </c>
      <c r="O2173" s="149"/>
      <c r="P2173" s="149"/>
      <c r="Q2173" s="149"/>
      <c r="R2173" s="149"/>
      <c r="S2173" s="149"/>
      <c r="T2173" s="149"/>
      <c r="U2173" s="149"/>
      <c r="V2173" s="52"/>
    </row>
    <row r="2174" spans="1:25" s="26" customFormat="1" ht="15" customHeight="1" x14ac:dyDescent="0.2">
      <c r="A2174" s="55">
        <v>41761.4659143518</v>
      </c>
      <c r="B2174" s="52" t="s">
        <v>38</v>
      </c>
      <c r="C2174" s="52" t="s">
        <v>39</v>
      </c>
      <c r="D2174" s="88" t="s">
        <v>6076</v>
      </c>
      <c r="E2174" s="52" t="s">
        <v>6272</v>
      </c>
      <c r="F2174" s="52" t="s">
        <v>6273</v>
      </c>
      <c r="G2174" s="52" t="s">
        <v>20</v>
      </c>
      <c r="H2174" s="52" t="s">
        <v>43</v>
      </c>
      <c r="I2174" s="52" t="s">
        <v>6274</v>
      </c>
      <c r="J2174" s="95">
        <v>1</v>
      </c>
      <c r="K2174" s="95">
        <v>39</v>
      </c>
      <c r="L2174" s="149"/>
      <c r="M2174" s="146" t="s">
        <v>44</v>
      </c>
      <c r="N2174" s="149">
        <v>252</v>
      </c>
      <c r="O2174" s="149"/>
      <c r="P2174" s="149"/>
      <c r="Q2174" s="149"/>
      <c r="R2174" s="149"/>
      <c r="S2174" s="149"/>
      <c r="T2174" s="149"/>
      <c r="U2174" s="149"/>
      <c r="V2174" s="52"/>
    </row>
    <row r="2175" spans="1:25" s="26" customFormat="1" ht="15" customHeight="1" x14ac:dyDescent="0.2">
      <c r="A2175" s="55">
        <v>41761.467858796299</v>
      </c>
      <c r="B2175" s="52" t="s">
        <v>38</v>
      </c>
      <c r="C2175" s="52" t="s">
        <v>39</v>
      </c>
      <c r="D2175" s="88" t="s">
        <v>6076</v>
      </c>
      <c r="E2175" s="52" t="s">
        <v>5200</v>
      </c>
      <c r="F2175" s="52" t="s">
        <v>6275</v>
      </c>
      <c r="G2175" s="52" t="s">
        <v>20</v>
      </c>
      <c r="H2175" s="52" t="s">
        <v>43</v>
      </c>
      <c r="I2175" s="52" t="s">
        <v>6276</v>
      </c>
      <c r="J2175" s="95">
        <v>1</v>
      </c>
      <c r="K2175" s="95">
        <v>42</v>
      </c>
      <c r="L2175" s="149"/>
      <c r="M2175" s="146" t="s">
        <v>44</v>
      </c>
      <c r="N2175" s="149">
        <v>240</v>
      </c>
      <c r="O2175" s="149"/>
      <c r="P2175" s="149"/>
      <c r="Q2175" s="149"/>
      <c r="R2175" s="149"/>
      <c r="S2175" s="149"/>
      <c r="T2175" s="149"/>
      <c r="U2175" s="149"/>
      <c r="V2175" s="52"/>
    </row>
    <row r="2176" spans="1:25" s="26" customFormat="1" ht="15" customHeight="1" x14ac:dyDescent="0.2">
      <c r="A2176" s="55">
        <v>41761.468912037002</v>
      </c>
      <c r="B2176" s="52" t="s">
        <v>38</v>
      </c>
      <c r="C2176" s="52" t="s">
        <v>39</v>
      </c>
      <c r="D2176" s="88" t="s">
        <v>6076</v>
      </c>
      <c r="E2176" s="52" t="s">
        <v>6277</v>
      </c>
      <c r="F2176" s="52" t="s">
        <v>6278</v>
      </c>
      <c r="G2176" s="52" t="s">
        <v>42</v>
      </c>
      <c r="H2176" s="52" t="s">
        <v>43</v>
      </c>
      <c r="I2176" s="52" t="s">
        <v>6279</v>
      </c>
      <c r="J2176" s="95">
        <v>1</v>
      </c>
      <c r="K2176" s="95">
        <v>39</v>
      </c>
      <c r="L2176" s="149"/>
      <c r="M2176" s="146" t="s">
        <v>44</v>
      </c>
      <c r="N2176" s="149">
        <v>277.13</v>
      </c>
      <c r="O2176" s="149"/>
      <c r="P2176" s="149"/>
      <c r="Q2176" s="149"/>
      <c r="R2176" s="149"/>
      <c r="S2176" s="149"/>
      <c r="T2176" s="149"/>
      <c r="U2176" s="149"/>
      <c r="V2176" s="52"/>
    </row>
    <row r="2177" spans="1:22" s="26" customFormat="1" ht="15" customHeight="1" x14ac:dyDescent="0.2">
      <c r="A2177" s="55">
        <v>41761.471006944397</v>
      </c>
      <c r="B2177" s="52" t="s">
        <v>38</v>
      </c>
      <c r="C2177" s="52" t="s">
        <v>39</v>
      </c>
      <c r="D2177" s="88" t="s">
        <v>6076</v>
      </c>
      <c r="E2177" s="52" t="s">
        <v>6280</v>
      </c>
      <c r="F2177" s="52" t="s">
        <v>6281</v>
      </c>
      <c r="G2177" s="52" t="s">
        <v>20</v>
      </c>
      <c r="H2177" s="52" t="s">
        <v>43</v>
      </c>
      <c r="I2177" s="52" t="s">
        <v>6282</v>
      </c>
      <c r="J2177" s="95">
        <v>1</v>
      </c>
      <c r="K2177" s="95">
        <v>132</v>
      </c>
      <c r="L2177" s="149"/>
      <c r="M2177" s="146" t="s">
        <v>44</v>
      </c>
      <c r="N2177" s="149">
        <v>607</v>
      </c>
      <c r="O2177" s="149"/>
      <c r="P2177" s="149"/>
      <c r="Q2177" s="149"/>
      <c r="R2177" s="149"/>
      <c r="S2177" s="149"/>
      <c r="T2177" s="149"/>
      <c r="U2177" s="149"/>
      <c r="V2177" s="52"/>
    </row>
    <row r="2178" spans="1:22" s="26" customFormat="1" ht="15" customHeight="1" x14ac:dyDescent="0.2">
      <c r="A2178" s="55">
        <v>41761.478379629603</v>
      </c>
      <c r="B2178" s="52" t="s">
        <v>38</v>
      </c>
      <c r="C2178" s="52" t="s">
        <v>39</v>
      </c>
      <c r="D2178" s="88" t="s">
        <v>6076</v>
      </c>
      <c r="E2178" s="52" t="s">
        <v>6283</v>
      </c>
      <c r="F2178" s="52" t="s">
        <v>6284</v>
      </c>
      <c r="G2178" s="52" t="s">
        <v>42</v>
      </c>
      <c r="H2178" s="52" t="s">
        <v>43</v>
      </c>
      <c r="I2178" s="52" t="s">
        <v>6285</v>
      </c>
      <c r="J2178" s="95">
        <v>1</v>
      </c>
      <c r="K2178" s="95"/>
      <c r="L2178" s="149"/>
      <c r="M2178" s="146" t="s">
        <v>44</v>
      </c>
      <c r="N2178" s="149">
        <v>67.41</v>
      </c>
      <c r="O2178" s="149"/>
      <c r="P2178" s="149"/>
      <c r="Q2178" s="149"/>
      <c r="R2178" s="149"/>
      <c r="S2178" s="149"/>
      <c r="T2178" s="149"/>
      <c r="U2178" s="149"/>
      <c r="V2178" s="52"/>
    </row>
    <row r="2179" spans="1:22" s="26" customFormat="1" ht="15" customHeight="1" x14ac:dyDescent="0.2">
      <c r="A2179" s="55">
        <v>41761.482835648101</v>
      </c>
      <c r="B2179" s="52" t="s">
        <v>38</v>
      </c>
      <c r="C2179" s="52" t="s">
        <v>39</v>
      </c>
      <c r="D2179" s="88" t="s">
        <v>6076</v>
      </c>
      <c r="E2179" s="52" t="s">
        <v>6286</v>
      </c>
      <c r="F2179" s="52" t="s">
        <v>6287</v>
      </c>
      <c r="G2179" s="52" t="s">
        <v>20</v>
      </c>
      <c r="H2179" s="52" t="s">
        <v>43</v>
      </c>
      <c r="I2179" s="52" t="s">
        <v>6288</v>
      </c>
      <c r="J2179" s="95">
        <v>1</v>
      </c>
      <c r="K2179" s="95">
        <v>150</v>
      </c>
      <c r="L2179" s="149"/>
      <c r="M2179" s="146" t="s">
        <v>44</v>
      </c>
      <c r="N2179" s="149">
        <v>957</v>
      </c>
      <c r="O2179" s="149"/>
      <c r="P2179" s="149"/>
      <c r="Q2179" s="149"/>
      <c r="R2179" s="149"/>
      <c r="S2179" s="149"/>
      <c r="T2179" s="149"/>
      <c r="U2179" s="149"/>
      <c r="V2179" s="52"/>
    </row>
    <row r="2180" spans="1:22" s="26" customFormat="1" ht="15" customHeight="1" x14ac:dyDescent="0.2">
      <c r="A2180" s="55">
        <v>41761.484027777798</v>
      </c>
      <c r="B2180" s="52" t="s">
        <v>38</v>
      </c>
      <c r="C2180" s="52" t="s">
        <v>39</v>
      </c>
      <c r="D2180" s="88" t="s">
        <v>6076</v>
      </c>
      <c r="E2180" s="52" t="s">
        <v>6289</v>
      </c>
      <c r="F2180" s="52" t="s">
        <v>6290</v>
      </c>
      <c r="G2180" s="52" t="s">
        <v>20</v>
      </c>
      <c r="H2180" s="52" t="s">
        <v>43</v>
      </c>
      <c r="I2180" s="52" t="s">
        <v>6291</v>
      </c>
      <c r="J2180" s="95">
        <v>1</v>
      </c>
      <c r="K2180" s="95">
        <v>99</v>
      </c>
      <c r="L2180" s="149"/>
      <c r="M2180" s="146" t="s">
        <v>44</v>
      </c>
      <c r="N2180" s="149">
        <v>436.5</v>
      </c>
      <c r="O2180" s="149"/>
      <c r="P2180" s="149"/>
      <c r="Q2180" s="149"/>
      <c r="R2180" s="149"/>
      <c r="S2180" s="149"/>
      <c r="T2180" s="149"/>
      <c r="U2180" s="149"/>
      <c r="V2180" s="52"/>
    </row>
    <row r="2181" spans="1:22" s="26" customFormat="1" ht="15" customHeight="1" x14ac:dyDescent="0.2">
      <c r="A2181" s="55">
        <v>41761.491527777798</v>
      </c>
      <c r="B2181" s="52" t="s">
        <v>38</v>
      </c>
      <c r="C2181" s="52" t="s">
        <v>39</v>
      </c>
      <c r="D2181" s="88" t="s">
        <v>6076</v>
      </c>
      <c r="E2181" s="52" t="s">
        <v>6292</v>
      </c>
      <c r="F2181" s="52" t="s">
        <v>6293</v>
      </c>
      <c r="G2181" s="52" t="s">
        <v>20</v>
      </c>
      <c r="H2181" s="52" t="s">
        <v>43</v>
      </c>
      <c r="I2181" s="52" t="s">
        <v>6294</v>
      </c>
      <c r="J2181" s="95">
        <v>1</v>
      </c>
      <c r="K2181" s="95">
        <v>51</v>
      </c>
      <c r="L2181" s="149"/>
      <c r="M2181" s="146" t="s">
        <v>44</v>
      </c>
      <c r="N2181" s="149">
        <v>462.24</v>
      </c>
      <c r="O2181" s="149"/>
      <c r="P2181" s="149"/>
      <c r="Q2181" s="149"/>
      <c r="R2181" s="149"/>
      <c r="S2181" s="149"/>
      <c r="T2181" s="149"/>
      <c r="U2181" s="149"/>
      <c r="V2181" s="52"/>
    </row>
    <row r="2182" spans="1:22" s="26" customFormat="1" ht="15" customHeight="1" x14ac:dyDescent="0.2">
      <c r="A2182" s="55">
        <v>41761.516608796301</v>
      </c>
      <c r="B2182" s="52" t="s">
        <v>38</v>
      </c>
      <c r="C2182" s="52" t="s">
        <v>39</v>
      </c>
      <c r="D2182" s="88" t="s">
        <v>6076</v>
      </c>
      <c r="E2182" s="52" t="s">
        <v>3831</v>
      </c>
      <c r="F2182" s="52" t="s">
        <v>6295</v>
      </c>
      <c r="G2182" s="52" t="s">
        <v>20</v>
      </c>
      <c r="H2182" s="52" t="s">
        <v>43</v>
      </c>
      <c r="I2182" s="52" t="s">
        <v>6288</v>
      </c>
      <c r="J2182" s="95">
        <v>1</v>
      </c>
      <c r="K2182" s="95">
        <v>99</v>
      </c>
      <c r="L2182" s="149"/>
      <c r="M2182" s="146" t="s">
        <v>44</v>
      </c>
      <c r="N2182" s="149">
        <v>678.84</v>
      </c>
      <c r="O2182" s="149"/>
      <c r="P2182" s="149"/>
      <c r="Q2182" s="149"/>
      <c r="R2182" s="149"/>
      <c r="S2182" s="149"/>
      <c r="T2182" s="149"/>
      <c r="U2182" s="149"/>
      <c r="V2182" s="52"/>
    </row>
    <row r="2183" spans="1:22" s="26" customFormat="1" ht="15" customHeight="1" x14ac:dyDescent="0.2">
      <c r="A2183" s="55">
        <v>41764.656574074099</v>
      </c>
      <c r="B2183" s="52" t="s">
        <v>38</v>
      </c>
      <c r="C2183" s="52" t="s">
        <v>39</v>
      </c>
      <c r="D2183" s="88" t="s">
        <v>6076</v>
      </c>
      <c r="E2183" s="52" t="s">
        <v>6389</v>
      </c>
      <c r="F2183" s="52" t="s">
        <v>6390</v>
      </c>
      <c r="G2183" s="52" t="s">
        <v>20</v>
      </c>
      <c r="H2183" s="52" t="s">
        <v>43</v>
      </c>
      <c r="I2183" s="52" t="s">
        <v>6294</v>
      </c>
      <c r="J2183" s="95">
        <v>1</v>
      </c>
      <c r="K2183" s="95">
        <v>59</v>
      </c>
      <c r="L2183" s="149"/>
      <c r="M2183" s="146" t="s">
        <v>44</v>
      </c>
      <c r="N2183" s="149">
        <v>354</v>
      </c>
      <c r="O2183" s="149"/>
      <c r="P2183" s="149"/>
      <c r="Q2183" s="149"/>
      <c r="R2183" s="149"/>
      <c r="S2183" s="149"/>
      <c r="T2183" s="149"/>
      <c r="U2183" s="149"/>
      <c r="V2183" s="52"/>
    </row>
    <row r="2184" spans="1:22" s="26" customFormat="1" ht="15" customHeight="1" x14ac:dyDescent="0.2">
      <c r="A2184" s="55">
        <v>41764.658067129603</v>
      </c>
      <c r="B2184" s="52" t="s">
        <v>38</v>
      </c>
      <c r="C2184" s="52" t="s">
        <v>39</v>
      </c>
      <c r="D2184" s="88" t="s">
        <v>6076</v>
      </c>
      <c r="E2184" s="52" t="s">
        <v>5295</v>
      </c>
      <c r="F2184" s="52" t="s">
        <v>6391</v>
      </c>
      <c r="G2184" s="52" t="s">
        <v>20</v>
      </c>
      <c r="H2184" s="52" t="s">
        <v>43</v>
      </c>
      <c r="I2184" s="52" t="s">
        <v>6288</v>
      </c>
      <c r="J2184" s="95">
        <v>1</v>
      </c>
      <c r="K2184" s="95">
        <v>67</v>
      </c>
      <c r="L2184" s="149"/>
      <c r="M2184" s="146" t="s">
        <v>44</v>
      </c>
      <c r="N2184" s="149">
        <v>417.3</v>
      </c>
      <c r="O2184" s="149"/>
      <c r="P2184" s="149"/>
      <c r="Q2184" s="149"/>
      <c r="R2184" s="149"/>
      <c r="S2184" s="149"/>
      <c r="T2184" s="149"/>
      <c r="U2184" s="149"/>
      <c r="V2184" s="52"/>
    </row>
    <row r="2185" spans="1:22" s="26" customFormat="1" ht="15" customHeight="1" x14ac:dyDescent="0.2">
      <c r="A2185" s="55">
        <v>41764.659050925897</v>
      </c>
      <c r="B2185" s="52" t="s">
        <v>38</v>
      </c>
      <c r="C2185" s="52" t="s">
        <v>39</v>
      </c>
      <c r="D2185" s="88" t="s">
        <v>6076</v>
      </c>
      <c r="E2185" s="52" t="s">
        <v>2830</v>
      </c>
      <c r="F2185" s="52" t="s">
        <v>6392</v>
      </c>
      <c r="G2185" s="52" t="s">
        <v>42</v>
      </c>
      <c r="H2185" s="52" t="s">
        <v>43</v>
      </c>
      <c r="I2185" s="52" t="s">
        <v>6294</v>
      </c>
      <c r="J2185" s="95">
        <v>1</v>
      </c>
      <c r="K2185" s="95">
        <v>42</v>
      </c>
      <c r="L2185" s="149"/>
      <c r="M2185" s="146" t="s">
        <v>44</v>
      </c>
      <c r="N2185" s="149">
        <v>375.57</v>
      </c>
      <c r="O2185" s="149"/>
      <c r="P2185" s="149"/>
      <c r="Q2185" s="149"/>
      <c r="R2185" s="149"/>
      <c r="S2185" s="149"/>
      <c r="T2185" s="149"/>
      <c r="U2185" s="149"/>
      <c r="V2185" s="52"/>
    </row>
    <row r="2186" spans="1:22" s="26" customFormat="1" ht="15" customHeight="1" x14ac:dyDescent="0.2">
      <c r="A2186" s="55">
        <v>41764.660324074102</v>
      </c>
      <c r="B2186" s="52" t="s">
        <v>38</v>
      </c>
      <c r="C2186" s="52" t="s">
        <v>39</v>
      </c>
      <c r="D2186" s="88" t="s">
        <v>6076</v>
      </c>
      <c r="E2186" s="52" t="s">
        <v>6393</v>
      </c>
      <c r="F2186" s="52" t="s">
        <v>6394</v>
      </c>
      <c r="G2186" s="52" t="s">
        <v>42</v>
      </c>
      <c r="H2186" s="52" t="s">
        <v>43</v>
      </c>
      <c r="I2186" s="52" t="s">
        <v>6294</v>
      </c>
      <c r="J2186" s="95">
        <v>1</v>
      </c>
      <c r="K2186" s="95">
        <v>30</v>
      </c>
      <c r="L2186" s="149"/>
      <c r="M2186" s="146" t="s">
        <v>44</v>
      </c>
      <c r="N2186" s="149">
        <v>224.7</v>
      </c>
      <c r="O2186" s="149"/>
      <c r="P2186" s="149"/>
      <c r="Q2186" s="149"/>
      <c r="R2186" s="149"/>
      <c r="S2186" s="149"/>
      <c r="T2186" s="149"/>
      <c r="U2186" s="149"/>
      <c r="V2186" s="52"/>
    </row>
    <row r="2187" spans="1:22" s="26" customFormat="1" ht="15" customHeight="1" x14ac:dyDescent="0.2">
      <c r="A2187" s="55">
        <v>41764.662569444401</v>
      </c>
      <c r="B2187" s="52" t="s">
        <v>38</v>
      </c>
      <c r="C2187" s="52" t="s">
        <v>39</v>
      </c>
      <c r="D2187" s="88" t="s">
        <v>6076</v>
      </c>
      <c r="E2187" s="52" t="s">
        <v>5582</v>
      </c>
      <c r="F2187" s="52" t="s">
        <v>6284</v>
      </c>
      <c r="G2187" s="52" t="s">
        <v>42</v>
      </c>
      <c r="H2187" s="52" t="s">
        <v>2208</v>
      </c>
      <c r="I2187" s="52" t="s">
        <v>6294</v>
      </c>
      <c r="J2187" s="95">
        <v>1</v>
      </c>
      <c r="K2187" s="95">
        <v>11</v>
      </c>
      <c r="L2187" s="149"/>
      <c r="M2187" s="146" t="s">
        <v>44</v>
      </c>
      <c r="N2187" s="149">
        <v>70.62</v>
      </c>
      <c r="O2187" s="149"/>
      <c r="P2187" s="149"/>
      <c r="Q2187" s="149"/>
      <c r="R2187" s="149"/>
      <c r="S2187" s="149"/>
      <c r="T2187" s="149"/>
      <c r="U2187" s="149"/>
      <c r="V2187" s="52"/>
    </row>
    <row r="2188" spans="1:22" s="26" customFormat="1" ht="15" customHeight="1" x14ac:dyDescent="0.2">
      <c r="A2188" s="55">
        <v>41764.669062499997</v>
      </c>
      <c r="B2188" s="52" t="s">
        <v>38</v>
      </c>
      <c r="C2188" s="52" t="s">
        <v>39</v>
      </c>
      <c r="D2188" s="88" t="s">
        <v>6076</v>
      </c>
      <c r="E2188" s="52" t="s">
        <v>3836</v>
      </c>
      <c r="F2188" s="52" t="s">
        <v>6397</v>
      </c>
      <c r="G2188" s="52" t="s">
        <v>20</v>
      </c>
      <c r="H2188" s="52" t="s">
        <v>43</v>
      </c>
      <c r="I2188" s="52" t="s">
        <v>6294</v>
      </c>
      <c r="J2188" s="95">
        <v>1</v>
      </c>
      <c r="K2188" s="95">
        <v>64</v>
      </c>
      <c r="L2188" s="149"/>
      <c r="M2188" s="146" t="s">
        <v>44</v>
      </c>
      <c r="N2188" s="149">
        <v>416.04</v>
      </c>
      <c r="O2188" s="149"/>
      <c r="P2188" s="149"/>
      <c r="Q2188" s="149"/>
      <c r="R2188" s="149"/>
      <c r="S2188" s="149"/>
      <c r="T2188" s="149"/>
      <c r="U2188" s="149"/>
      <c r="V2188" s="52"/>
    </row>
    <row r="2189" spans="1:22" s="26" customFormat="1" ht="15" customHeight="1" x14ac:dyDescent="0.2">
      <c r="A2189" s="55">
        <v>41764.669976851801</v>
      </c>
      <c r="B2189" s="52" t="s">
        <v>38</v>
      </c>
      <c r="C2189" s="52" t="s">
        <v>39</v>
      </c>
      <c r="D2189" s="88" t="s">
        <v>6076</v>
      </c>
      <c r="E2189" s="52" t="s">
        <v>2830</v>
      </c>
      <c r="F2189" s="52" t="s">
        <v>6398</v>
      </c>
      <c r="G2189" s="52" t="s">
        <v>20</v>
      </c>
      <c r="H2189" s="52" t="s">
        <v>43</v>
      </c>
      <c r="I2189" s="52" t="s">
        <v>6294</v>
      </c>
      <c r="J2189" s="95">
        <v>1</v>
      </c>
      <c r="K2189" s="95">
        <v>124</v>
      </c>
      <c r="L2189" s="149"/>
      <c r="M2189" s="146" t="s">
        <v>44</v>
      </c>
      <c r="N2189" s="149">
        <v>801</v>
      </c>
      <c r="O2189" s="149"/>
      <c r="P2189" s="149"/>
      <c r="Q2189" s="149"/>
      <c r="R2189" s="149"/>
      <c r="S2189" s="149"/>
      <c r="T2189" s="149"/>
      <c r="U2189" s="149"/>
      <c r="V2189" s="52"/>
    </row>
    <row r="2190" spans="1:22" s="26" customFormat="1" ht="15" customHeight="1" x14ac:dyDescent="0.2">
      <c r="A2190" s="55">
        <v>41764.670844907399</v>
      </c>
      <c r="B2190" s="52" t="s">
        <v>38</v>
      </c>
      <c r="C2190" s="52" t="s">
        <v>39</v>
      </c>
      <c r="D2190" s="88" t="s">
        <v>6076</v>
      </c>
      <c r="E2190" s="52" t="s">
        <v>5582</v>
      </c>
      <c r="F2190" s="52" t="s">
        <v>6399</v>
      </c>
      <c r="G2190" s="52" t="s">
        <v>42</v>
      </c>
      <c r="H2190" s="52" t="s">
        <v>43</v>
      </c>
      <c r="I2190" s="52" t="s">
        <v>6294</v>
      </c>
      <c r="J2190" s="95">
        <v>1</v>
      </c>
      <c r="K2190" s="95">
        <v>40</v>
      </c>
      <c r="L2190" s="149"/>
      <c r="M2190" s="146" t="s">
        <v>44</v>
      </c>
      <c r="N2190" s="149">
        <v>385.2</v>
      </c>
      <c r="O2190" s="149"/>
      <c r="P2190" s="149"/>
      <c r="Q2190" s="149"/>
      <c r="R2190" s="149"/>
      <c r="S2190" s="149"/>
      <c r="T2190" s="149"/>
      <c r="U2190" s="149"/>
      <c r="V2190" s="52"/>
    </row>
    <row r="2191" spans="1:22" s="26" customFormat="1" ht="15" customHeight="1" x14ac:dyDescent="0.2">
      <c r="A2191" s="55">
        <v>41764.675706018497</v>
      </c>
      <c r="B2191" s="52" t="s">
        <v>38</v>
      </c>
      <c r="C2191" s="52" t="s">
        <v>39</v>
      </c>
      <c r="D2191" s="88" t="s">
        <v>6076</v>
      </c>
      <c r="E2191" s="52" t="s">
        <v>5200</v>
      </c>
      <c r="F2191" s="52" t="s">
        <v>6025</v>
      </c>
      <c r="G2191" s="52" t="s">
        <v>20</v>
      </c>
      <c r="H2191" s="52" t="s">
        <v>43</v>
      </c>
      <c r="I2191" s="52" t="s">
        <v>6294</v>
      </c>
      <c r="J2191" s="95">
        <v>1</v>
      </c>
      <c r="K2191" s="95">
        <v>89</v>
      </c>
      <c r="L2191" s="149"/>
      <c r="M2191" s="146" t="s">
        <v>44</v>
      </c>
      <c r="N2191" s="149">
        <v>534</v>
      </c>
      <c r="O2191" s="149"/>
      <c r="P2191" s="149"/>
      <c r="Q2191" s="149"/>
      <c r="R2191" s="149"/>
      <c r="S2191" s="149"/>
      <c r="T2191" s="149"/>
      <c r="U2191" s="149"/>
      <c r="V2191" s="52"/>
    </row>
    <row r="2192" spans="1:22" s="26" customFormat="1" ht="15" customHeight="1" x14ac:dyDescent="0.2">
      <c r="A2192" s="55">
        <v>41765.4373611111</v>
      </c>
      <c r="B2192" s="52" t="s">
        <v>38</v>
      </c>
      <c r="C2192" s="52" t="s">
        <v>39</v>
      </c>
      <c r="D2192" s="88" t="s">
        <v>6076</v>
      </c>
      <c r="E2192" s="52" t="s">
        <v>3836</v>
      </c>
      <c r="F2192" s="52" t="s">
        <v>6025</v>
      </c>
      <c r="G2192" s="52" t="s">
        <v>20</v>
      </c>
      <c r="H2192" s="52" t="s">
        <v>43</v>
      </c>
      <c r="I2192" s="52" t="s">
        <v>6294</v>
      </c>
      <c r="J2192" s="95">
        <v>1</v>
      </c>
      <c r="K2192" s="95">
        <v>87</v>
      </c>
      <c r="L2192" s="149"/>
      <c r="M2192" s="146" t="s">
        <v>44</v>
      </c>
      <c r="N2192" s="149">
        <v>534</v>
      </c>
      <c r="O2192" s="149"/>
      <c r="P2192" s="149"/>
      <c r="Q2192" s="149"/>
      <c r="R2192" s="149"/>
      <c r="S2192" s="149"/>
      <c r="T2192" s="149"/>
      <c r="U2192" s="149"/>
      <c r="V2192" s="52"/>
    </row>
    <row r="2193" spans="1:25" s="26" customFormat="1" ht="15" customHeight="1" x14ac:dyDescent="0.2">
      <c r="A2193" s="55">
        <v>41765.438773148198</v>
      </c>
      <c r="B2193" s="52" t="s">
        <v>38</v>
      </c>
      <c r="C2193" s="52" t="s">
        <v>39</v>
      </c>
      <c r="D2193" s="88" t="s">
        <v>6076</v>
      </c>
      <c r="E2193" s="52" t="s">
        <v>3836</v>
      </c>
      <c r="F2193" s="52" t="s">
        <v>6413</v>
      </c>
      <c r="G2193" s="52" t="s">
        <v>20</v>
      </c>
      <c r="H2193" s="52" t="s">
        <v>43</v>
      </c>
      <c r="I2193" s="52" t="s">
        <v>6294</v>
      </c>
      <c r="J2193" s="95">
        <v>1</v>
      </c>
      <c r="K2193" s="95">
        <v>89</v>
      </c>
      <c r="L2193" s="149"/>
      <c r="M2193" s="146" t="s">
        <v>44</v>
      </c>
      <c r="N2193" s="149">
        <v>466.2</v>
      </c>
      <c r="O2193" s="149"/>
      <c r="P2193" s="149"/>
      <c r="Q2193" s="149"/>
      <c r="R2193" s="149"/>
      <c r="S2193" s="149"/>
      <c r="T2193" s="149"/>
      <c r="U2193" s="149"/>
      <c r="V2193" s="52"/>
    </row>
    <row r="2194" spans="1:25" s="26" customFormat="1" ht="15" customHeight="1" x14ac:dyDescent="0.2">
      <c r="A2194" s="55">
        <v>41765.439907407403</v>
      </c>
      <c r="B2194" s="52" t="s">
        <v>38</v>
      </c>
      <c r="C2194" s="52" t="s">
        <v>39</v>
      </c>
      <c r="D2194" s="88" t="s">
        <v>6076</v>
      </c>
      <c r="E2194" s="52" t="s">
        <v>6414</v>
      </c>
      <c r="F2194" s="52" t="s">
        <v>6415</v>
      </c>
      <c r="G2194" s="52" t="s">
        <v>20</v>
      </c>
      <c r="H2194" s="52" t="s">
        <v>43</v>
      </c>
      <c r="I2194" s="52" t="s">
        <v>6294</v>
      </c>
      <c r="J2194" s="95">
        <v>1</v>
      </c>
      <c r="K2194" s="95">
        <v>78</v>
      </c>
      <c r="L2194" s="149"/>
      <c r="M2194" s="146" t="s">
        <v>44</v>
      </c>
      <c r="N2194" s="149">
        <v>456</v>
      </c>
      <c r="O2194" s="149"/>
      <c r="P2194" s="149"/>
      <c r="Q2194" s="149"/>
      <c r="R2194" s="149"/>
      <c r="S2194" s="149"/>
      <c r="T2194" s="149"/>
      <c r="U2194" s="149"/>
      <c r="V2194" s="52"/>
    </row>
    <row r="2195" spans="1:25" s="26" customFormat="1" ht="15" customHeight="1" x14ac:dyDescent="0.2">
      <c r="A2195" s="55">
        <v>41765.441504629598</v>
      </c>
      <c r="B2195" s="52" t="s">
        <v>38</v>
      </c>
      <c r="C2195" s="52" t="s">
        <v>39</v>
      </c>
      <c r="D2195" s="88" t="s">
        <v>6076</v>
      </c>
      <c r="E2195" s="52" t="s">
        <v>3820</v>
      </c>
      <c r="F2195" s="52" t="s">
        <v>6416</v>
      </c>
      <c r="G2195" s="52" t="s">
        <v>20</v>
      </c>
      <c r="H2195" s="52" t="s">
        <v>43</v>
      </c>
      <c r="I2195" s="52" t="s">
        <v>6294</v>
      </c>
      <c r="J2195" s="95">
        <v>1</v>
      </c>
      <c r="K2195" s="95">
        <v>85</v>
      </c>
      <c r="L2195" s="149"/>
      <c r="M2195" s="146" t="s">
        <v>44</v>
      </c>
      <c r="N2195" s="149">
        <v>373.5</v>
      </c>
      <c r="O2195" s="149"/>
      <c r="P2195" s="149"/>
      <c r="Q2195" s="149"/>
      <c r="R2195" s="149"/>
      <c r="S2195" s="149"/>
      <c r="T2195" s="149"/>
      <c r="U2195" s="149"/>
      <c r="V2195" s="52"/>
    </row>
    <row r="2196" spans="1:25" s="26" customFormat="1" ht="15" customHeight="1" x14ac:dyDescent="0.2">
      <c r="A2196" s="55">
        <v>41765.4445949074</v>
      </c>
      <c r="B2196" s="52" t="s">
        <v>38</v>
      </c>
      <c r="C2196" s="52" t="s">
        <v>39</v>
      </c>
      <c r="D2196" s="88" t="s">
        <v>6076</v>
      </c>
      <c r="E2196" s="52" t="s">
        <v>3836</v>
      </c>
      <c r="F2196" s="52" t="s">
        <v>6417</v>
      </c>
      <c r="G2196" s="52" t="s">
        <v>20</v>
      </c>
      <c r="H2196" s="52" t="s">
        <v>43</v>
      </c>
      <c r="I2196" s="52" t="s">
        <v>6294</v>
      </c>
      <c r="J2196" s="95">
        <v>1</v>
      </c>
      <c r="K2196" s="95">
        <v>151</v>
      </c>
      <c r="L2196" s="149"/>
      <c r="M2196" s="146" t="s">
        <v>44</v>
      </c>
      <c r="N2196" s="149">
        <v>817.38</v>
      </c>
      <c r="O2196" s="149"/>
      <c r="P2196" s="149">
        <v>100</v>
      </c>
      <c r="Q2196" s="149"/>
      <c r="R2196" s="149"/>
      <c r="S2196" s="149"/>
      <c r="T2196" s="149"/>
      <c r="U2196" s="149"/>
      <c r="V2196" s="52"/>
    </row>
    <row r="2197" spans="1:25" s="26" customFormat="1" ht="15" customHeight="1" x14ac:dyDescent="0.2">
      <c r="A2197" s="55">
        <v>41765.446875000001</v>
      </c>
      <c r="B2197" s="52" t="s">
        <v>38</v>
      </c>
      <c r="C2197" s="52" t="s">
        <v>39</v>
      </c>
      <c r="D2197" s="88" t="s">
        <v>6076</v>
      </c>
      <c r="E2197" s="52" t="s">
        <v>6418</v>
      </c>
      <c r="F2197" s="52" t="s">
        <v>6419</v>
      </c>
      <c r="G2197" s="52" t="s">
        <v>20</v>
      </c>
      <c r="H2197" s="52" t="s">
        <v>43</v>
      </c>
      <c r="I2197" s="52" t="s">
        <v>6294</v>
      </c>
      <c r="J2197" s="95">
        <v>1</v>
      </c>
      <c r="K2197" s="95">
        <v>40</v>
      </c>
      <c r="L2197" s="149"/>
      <c r="M2197" s="146" t="s">
        <v>44</v>
      </c>
      <c r="N2197" s="149">
        <v>299.60000000000002</v>
      </c>
      <c r="O2197" s="149"/>
      <c r="P2197" s="149">
        <v>278</v>
      </c>
      <c r="Q2197" s="149"/>
      <c r="R2197" s="149"/>
      <c r="S2197" s="149"/>
      <c r="T2197" s="149"/>
      <c r="U2197" s="149"/>
      <c r="V2197" s="52"/>
    </row>
    <row r="2198" spans="1:25" s="26" customFormat="1" ht="15" customHeight="1" x14ac:dyDescent="0.2">
      <c r="A2198" s="55">
        <v>41765.449490740699</v>
      </c>
      <c r="B2198" s="52" t="s">
        <v>38</v>
      </c>
      <c r="C2198" s="52" t="s">
        <v>39</v>
      </c>
      <c r="D2198" s="88" t="s">
        <v>6076</v>
      </c>
      <c r="E2198" s="52" t="s">
        <v>6420</v>
      </c>
      <c r="F2198" s="52" t="s">
        <v>6421</v>
      </c>
      <c r="G2198" s="52" t="s">
        <v>20</v>
      </c>
      <c r="H2198" s="52" t="s">
        <v>43</v>
      </c>
      <c r="I2198" s="52" t="s">
        <v>6294</v>
      </c>
      <c r="J2198" s="95">
        <v>1</v>
      </c>
      <c r="K2198" s="95">
        <v>78</v>
      </c>
      <c r="L2198" s="149"/>
      <c r="M2198" s="146" t="s">
        <v>44</v>
      </c>
      <c r="N2198" s="149">
        <v>544.86</v>
      </c>
      <c r="O2198" s="149"/>
      <c r="P2198" s="149"/>
      <c r="Q2198" s="149"/>
      <c r="R2198" s="149"/>
      <c r="S2198" s="149"/>
      <c r="T2198" s="149"/>
      <c r="U2198" s="149"/>
      <c r="V2198" s="52"/>
    </row>
    <row r="2199" spans="1:25" s="26" customFormat="1" ht="15" customHeight="1" x14ac:dyDescent="0.2">
      <c r="A2199" s="55">
        <v>41765.457615740699</v>
      </c>
      <c r="B2199" s="52" t="s">
        <v>38</v>
      </c>
      <c r="C2199" s="52" t="s">
        <v>39</v>
      </c>
      <c r="D2199" s="88" t="s">
        <v>6076</v>
      </c>
      <c r="E2199" s="52" t="s">
        <v>5004</v>
      </c>
      <c r="F2199" s="52" t="s">
        <v>6422</v>
      </c>
      <c r="G2199" s="52" t="s">
        <v>42</v>
      </c>
      <c r="H2199" s="52" t="s">
        <v>43</v>
      </c>
      <c r="I2199" s="52" t="s">
        <v>6294</v>
      </c>
      <c r="J2199" s="95">
        <v>1</v>
      </c>
      <c r="K2199" s="95">
        <v>77</v>
      </c>
      <c r="L2199" s="149"/>
      <c r="M2199" s="146" t="s">
        <v>44</v>
      </c>
      <c r="N2199" s="149">
        <v>576.73</v>
      </c>
      <c r="O2199" s="149"/>
      <c r="P2199" s="149"/>
      <c r="Q2199" s="149"/>
      <c r="R2199" s="149"/>
      <c r="S2199" s="149"/>
      <c r="T2199" s="149"/>
      <c r="U2199" s="149"/>
      <c r="V2199" s="52"/>
    </row>
    <row r="2200" spans="1:25" s="26" customFormat="1" ht="15" customHeight="1" x14ac:dyDescent="0.2">
      <c r="A2200" s="55">
        <v>41768.613240740699</v>
      </c>
      <c r="B2200" s="52" t="s">
        <v>38</v>
      </c>
      <c r="C2200" s="52" t="s">
        <v>39</v>
      </c>
      <c r="D2200" s="88" t="s">
        <v>6076</v>
      </c>
      <c r="E2200" s="52" t="s">
        <v>6585</v>
      </c>
      <c r="F2200" s="52" t="s">
        <v>6586</v>
      </c>
      <c r="G2200" s="52" t="s">
        <v>20</v>
      </c>
      <c r="H2200" s="52" t="s">
        <v>43</v>
      </c>
      <c r="I2200" s="52" t="s">
        <v>6294</v>
      </c>
      <c r="J2200" s="95">
        <v>1</v>
      </c>
      <c r="K2200" s="95">
        <v>151</v>
      </c>
      <c r="L2200" s="149"/>
      <c r="M2200" s="146" t="s">
        <v>44</v>
      </c>
      <c r="N2200" s="149">
        <v>817.38</v>
      </c>
      <c r="O2200" s="149"/>
      <c r="P2200" s="149"/>
      <c r="Q2200" s="149"/>
      <c r="R2200" s="149"/>
      <c r="S2200" s="149"/>
      <c r="T2200" s="149"/>
      <c r="U2200" s="149"/>
      <c r="V2200" s="52"/>
    </row>
    <row r="2201" spans="1:25" s="26" customFormat="1" ht="15" customHeight="1" x14ac:dyDescent="0.2">
      <c r="A2201" s="55">
        <v>41768.614247685196</v>
      </c>
      <c r="B2201" s="52" t="s">
        <v>38</v>
      </c>
      <c r="C2201" s="52" t="s">
        <v>39</v>
      </c>
      <c r="D2201" s="88" t="s">
        <v>6076</v>
      </c>
      <c r="E2201" s="52" t="s">
        <v>6587</v>
      </c>
      <c r="F2201" s="52" t="s">
        <v>6588</v>
      </c>
      <c r="G2201" s="52" t="s">
        <v>42</v>
      </c>
      <c r="H2201" s="52" t="s">
        <v>43</v>
      </c>
      <c r="I2201" s="52" t="s">
        <v>6294</v>
      </c>
      <c r="J2201" s="95">
        <v>1</v>
      </c>
      <c r="K2201" s="95">
        <v>49</v>
      </c>
      <c r="L2201" s="149"/>
      <c r="M2201" s="146" t="s">
        <v>44</v>
      </c>
      <c r="N2201" s="149">
        <v>367.01</v>
      </c>
      <c r="O2201" s="149"/>
      <c r="P2201" s="149"/>
      <c r="Q2201" s="149"/>
      <c r="R2201" s="149"/>
      <c r="S2201" s="149"/>
      <c r="T2201" s="149"/>
      <c r="U2201" s="149"/>
      <c r="V2201" s="52"/>
    </row>
    <row r="2202" spans="1:25" s="26" customFormat="1" ht="15" customHeight="1" x14ac:dyDescent="0.2">
      <c r="A2202" s="55">
        <v>41768.6151157407</v>
      </c>
      <c r="B2202" s="52" t="s">
        <v>38</v>
      </c>
      <c r="C2202" s="52" t="s">
        <v>39</v>
      </c>
      <c r="D2202" s="88" t="s">
        <v>6076</v>
      </c>
      <c r="E2202" s="52" t="s">
        <v>6414</v>
      </c>
      <c r="F2202" s="52" t="s">
        <v>6421</v>
      </c>
      <c r="G2202" s="52" t="s">
        <v>20</v>
      </c>
      <c r="H2202" s="52" t="s">
        <v>43</v>
      </c>
      <c r="I2202" s="52" t="s">
        <v>6294</v>
      </c>
      <c r="J2202" s="95">
        <v>1</v>
      </c>
      <c r="K2202" s="95">
        <v>70</v>
      </c>
      <c r="L2202" s="149"/>
      <c r="M2202" s="146" t="s">
        <v>44</v>
      </c>
      <c r="N2202" s="149">
        <v>544.86</v>
      </c>
      <c r="O2202" s="149"/>
      <c r="P2202" s="149"/>
      <c r="Q2202" s="149"/>
      <c r="R2202" s="149"/>
      <c r="S2202" s="149"/>
      <c r="T2202" s="149"/>
      <c r="U2202" s="149"/>
      <c r="V2202" s="52"/>
    </row>
    <row r="2203" spans="1:25" s="26" customFormat="1" ht="15" customHeight="1" x14ac:dyDescent="0.2">
      <c r="A2203" s="93">
        <v>41796.444479166697</v>
      </c>
      <c r="B2203" s="89" t="s">
        <v>16</v>
      </c>
      <c r="C2203" s="52" t="s">
        <v>913</v>
      </c>
      <c r="D2203" s="87" t="s">
        <v>6224</v>
      </c>
      <c r="E2203" s="89" t="s">
        <v>4299</v>
      </c>
      <c r="F2203" s="89" t="s">
        <v>2758</v>
      </c>
      <c r="G2203" s="89" t="s">
        <v>26</v>
      </c>
      <c r="H2203" s="89" t="s">
        <v>953</v>
      </c>
      <c r="I2203" s="89" t="s">
        <v>3001</v>
      </c>
      <c r="J2203" s="95">
        <v>1</v>
      </c>
      <c r="K2203" s="95">
        <v>7</v>
      </c>
      <c r="L2203" s="150">
        <v>7</v>
      </c>
      <c r="M2203" s="146" t="s">
        <v>22</v>
      </c>
      <c r="N2203" s="149"/>
      <c r="O2203" s="149"/>
      <c r="P2203" s="149"/>
      <c r="Q2203" s="149"/>
      <c r="R2203" s="149"/>
      <c r="S2203" s="149"/>
      <c r="T2203" s="149"/>
      <c r="U2203" s="149"/>
      <c r="V2203" s="89"/>
      <c r="W2203" s="91"/>
      <c r="X2203" s="91"/>
      <c r="Y2203" s="91"/>
    </row>
    <row r="2204" spans="1:25" s="26" customFormat="1" ht="15" customHeight="1" x14ac:dyDescent="0.2">
      <c r="A2204" s="93">
        <v>41796.4453587963</v>
      </c>
      <c r="B2204" s="89" t="s">
        <v>16</v>
      </c>
      <c r="C2204" s="52" t="s">
        <v>913</v>
      </c>
      <c r="D2204" s="87" t="s">
        <v>6224</v>
      </c>
      <c r="E2204" s="89" t="s">
        <v>7335</v>
      </c>
      <c r="F2204" s="89" t="s">
        <v>299</v>
      </c>
      <c r="G2204" s="89" t="s">
        <v>26</v>
      </c>
      <c r="H2204" s="89" t="s">
        <v>7336</v>
      </c>
      <c r="I2204" s="89" t="s">
        <v>3001</v>
      </c>
      <c r="J2204" s="95">
        <v>1</v>
      </c>
      <c r="K2204" s="95">
        <v>6</v>
      </c>
      <c r="L2204" s="150">
        <v>6</v>
      </c>
      <c r="M2204" s="146" t="s">
        <v>22</v>
      </c>
      <c r="N2204" s="149"/>
      <c r="O2204" s="149"/>
      <c r="P2204" s="149"/>
      <c r="Q2204" s="149"/>
      <c r="R2204" s="149"/>
      <c r="S2204" s="149"/>
      <c r="T2204" s="149"/>
      <c r="U2204" s="149"/>
      <c r="V2204" s="89"/>
      <c r="W2204" s="91"/>
      <c r="X2204" s="91"/>
      <c r="Y2204" s="91"/>
    </row>
    <row r="2205" spans="1:25" s="26" customFormat="1" ht="15" customHeight="1" x14ac:dyDescent="0.2">
      <c r="A2205" s="93">
        <v>41796.449097222197</v>
      </c>
      <c r="B2205" s="89" t="s">
        <v>16</v>
      </c>
      <c r="C2205" s="52" t="s">
        <v>913</v>
      </c>
      <c r="D2205" s="87" t="s">
        <v>6224</v>
      </c>
      <c r="E2205" s="89" t="s">
        <v>7337</v>
      </c>
      <c r="F2205" s="89" t="s">
        <v>915</v>
      </c>
      <c r="G2205" s="89" t="s">
        <v>26</v>
      </c>
      <c r="H2205" s="89" t="s">
        <v>6680</v>
      </c>
      <c r="I2205" s="89" t="s">
        <v>3980</v>
      </c>
      <c r="J2205" s="95">
        <v>1</v>
      </c>
      <c r="K2205" s="95">
        <v>10</v>
      </c>
      <c r="L2205" s="150">
        <v>225</v>
      </c>
      <c r="M2205" s="146" t="s">
        <v>22</v>
      </c>
      <c r="N2205" s="149"/>
      <c r="O2205" s="149"/>
      <c r="P2205" s="149"/>
      <c r="Q2205" s="149"/>
      <c r="R2205" s="149"/>
      <c r="S2205" s="149"/>
      <c r="T2205" s="149"/>
      <c r="U2205" s="149"/>
      <c r="V2205" s="89"/>
      <c r="W2205" s="91"/>
      <c r="X2205" s="91"/>
      <c r="Y2205" s="91"/>
    </row>
    <row r="2206" spans="1:25" s="26" customFormat="1" ht="15" customHeight="1" x14ac:dyDescent="0.2">
      <c r="A2206" s="93">
        <v>41796.452395833301</v>
      </c>
      <c r="B2206" s="89" t="s">
        <v>16</v>
      </c>
      <c r="C2206" s="52" t="s">
        <v>913</v>
      </c>
      <c r="D2206" s="87" t="s">
        <v>6224</v>
      </c>
      <c r="E2206" s="89" t="s">
        <v>7330</v>
      </c>
      <c r="F2206" s="89" t="s">
        <v>2885</v>
      </c>
      <c r="G2206" s="89" t="s">
        <v>60</v>
      </c>
      <c r="H2206" s="89" t="s">
        <v>6664</v>
      </c>
      <c r="I2206" s="89" t="s">
        <v>5589</v>
      </c>
      <c r="J2206" s="95">
        <v>1</v>
      </c>
      <c r="K2206" s="95">
        <v>101</v>
      </c>
      <c r="L2206" s="150"/>
      <c r="M2206" s="146" t="s">
        <v>22</v>
      </c>
      <c r="N2206" s="149"/>
      <c r="O2206" s="149"/>
      <c r="P2206" s="149"/>
      <c r="Q2206" s="149"/>
      <c r="R2206" s="149"/>
      <c r="S2206" s="149"/>
      <c r="T2206" s="149"/>
      <c r="U2206" s="149"/>
      <c r="V2206" s="89"/>
      <c r="W2206" s="91"/>
      <c r="X2206" s="91"/>
      <c r="Y2206" s="91"/>
    </row>
    <row r="2207" spans="1:25" s="26" customFormat="1" ht="15" customHeight="1" x14ac:dyDescent="0.2">
      <c r="A2207" s="93">
        <v>41797.380821759303</v>
      </c>
      <c r="B2207" s="89" t="s">
        <v>38</v>
      </c>
      <c r="C2207" s="52" t="s">
        <v>590</v>
      </c>
      <c r="D2207" s="87" t="s">
        <v>6224</v>
      </c>
      <c r="E2207" s="89" t="s">
        <v>7338</v>
      </c>
      <c r="F2207" s="89" t="s">
        <v>7339</v>
      </c>
      <c r="G2207" s="89" t="s">
        <v>351</v>
      </c>
      <c r="H2207" s="89" t="s">
        <v>7340</v>
      </c>
      <c r="I2207" s="89" t="s">
        <v>3038</v>
      </c>
      <c r="J2207" s="95">
        <v>1</v>
      </c>
      <c r="K2207" s="95">
        <v>500</v>
      </c>
      <c r="L2207" s="150"/>
      <c r="M2207" s="146" t="s">
        <v>22</v>
      </c>
      <c r="N2207" s="149"/>
      <c r="O2207" s="149"/>
      <c r="P2207" s="149"/>
      <c r="Q2207" s="149"/>
      <c r="R2207" s="149"/>
      <c r="S2207" s="149"/>
      <c r="T2207" s="149"/>
      <c r="U2207" s="149"/>
      <c r="V2207" s="89"/>
      <c r="W2207" s="91"/>
      <c r="X2207" s="91"/>
      <c r="Y2207" s="91"/>
    </row>
    <row r="2208" spans="1:25" s="26" customFormat="1" ht="15" customHeight="1" x14ac:dyDescent="0.2">
      <c r="A2208" s="93">
        <v>41797.381817129601</v>
      </c>
      <c r="B2208" s="89" t="s">
        <v>38</v>
      </c>
      <c r="C2208" s="52" t="s">
        <v>590</v>
      </c>
      <c r="D2208" s="87" t="s">
        <v>6224</v>
      </c>
      <c r="E2208" s="89" t="s">
        <v>4726</v>
      </c>
      <c r="F2208" s="89" t="s">
        <v>7341</v>
      </c>
      <c r="G2208" s="89" t="s">
        <v>351</v>
      </c>
      <c r="H2208" s="89" t="s">
        <v>7342</v>
      </c>
      <c r="I2208" s="89" t="s">
        <v>3038</v>
      </c>
      <c r="J2208" s="95">
        <v>1</v>
      </c>
      <c r="K2208" s="95">
        <v>50</v>
      </c>
      <c r="L2208" s="150"/>
      <c r="M2208" s="146" t="s">
        <v>22</v>
      </c>
      <c r="N2208" s="149"/>
      <c r="O2208" s="149"/>
      <c r="P2208" s="149"/>
      <c r="Q2208" s="149"/>
      <c r="R2208" s="149"/>
      <c r="S2208" s="149"/>
      <c r="T2208" s="149"/>
      <c r="U2208" s="149"/>
      <c r="V2208" s="89"/>
      <c r="W2208" s="91"/>
      <c r="X2208" s="91"/>
      <c r="Y2208" s="91"/>
    </row>
    <row r="2209" spans="1:25" s="26" customFormat="1" ht="15" customHeight="1" x14ac:dyDescent="0.2">
      <c r="A2209" s="93">
        <v>41797.420034722199</v>
      </c>
      <c r="B2209" s="89" t="s">
        <v>152</v>
      </c>
      <c r="C2209" s="52" t="s">
        <v>304</v>
      </c>
      <c r="D2209" s="87" t="s">
        <v>6224</v>
      </c>
      <c r="E2209" s="89" t="s">
        <v>7343</v>
      </c>
      <c r="F2209" s="89" t="s">
        <v>7344</v>
      </c>
      <c r="G2209" s="89" t="s">
        <v>42</v>
      </c>
      <c r="H2209" s="89" t="s">
        <v>7345</v>
      </c>
      <c r="I2209" s="89" t="s">
        <v>2986</v>
      </c>
      <c r="J2209" s="95">
        <v>1</v>
      </c>
      <c r="K2209" s="95">
        <v>12</v>
      </c>
      <c r="L2209" s="150">
        <v>30</v>
      </c>
      <c r="M2209" s="146" t="s">
        <v>22</v>
      </c>
      <c r="N2209" s="149"/>
      <c r="O2209" s="149"/>
      <c r="P2209" s="149"/>
      <c r="Q2209" s="149"/>
      <c r="R2209" s="149"/>
      <c r="S2209" s="149"/>
      <c r="T2209" s="149"/>
      <c r="U2209" s="149"/>
      <c r="V2209" s="89"/>
      <c r="W2209" s="91"/>
      <c r="X2209" s="91"/>
      <c r="Y2209" s="91"/>
    </row>
    <row r="2210" spans="1:25" s="26" customFormat="1" ht="15" customHeight="1" x14ac:dyDescent="0.2">
      <c r="A2210" s="93">
        <v>41797.421006944402</v>
      </c>
      <c r="B2210" s="89" t="s">
        <v>152</v>
      </c>
      <c r="C2210" s="52" t="s">
        <v>304</v>
      </c>
      <c r="D2210" s="87" t="s">
        <v>6224</v>
      </c>
      <c r="E2210" s="89" t="s">
        <v>7346</v>
      </c>
      <c r="F2210" s="89" t="s">
        <v>7347</v>
      </c>
      <c r="G2210" s="89" t="s">
        <v>20</v>
      </c>
      <c r="H2210" s="89" t="s">
        <v>7348</v>
      </c>
      <c r="I2210" s="89" t="s">
        <v>2986</v>
      </c>
      <c r="J2210" s="95">
        <v>1</v>
      </c>
      <c r="K2210" s="95">
        <v>17</v>
      </c>
      <c r="L2210" s="150">
        <v>24</v>
      </c>
      <c r="M2210" s="146" t="s">
        <v>44</v>
      </c>
      <c r="N2210" s="149"/>
      <c r="O2210" s="149">
        <v>10</v>
      </c>
      <c r="P2210" s="149"/>
      <c r="Q2210" s="149"/>
      <c r="R2210" s="149"/>
      <c r="S2210" s="149"/>
      <c r="T2210" s="149"/>
      <c r="U2210" s="149"/>
      <c r="V2210" s="89"/>
      <c r="W2210" s="91"/>
      <c r="X2210" s="91"/>
      <c r="Y2210" s="91"/>
    </row>
    <row r="2211" spans="1:25" s="26" customFormat="1" ht="15" customHeight="1" x14ac:dyDescent="0.2">
      <c r="A2211" s="93">
        <v>41797.421840277799</v>
      </c>
      <c r="B2211" s="89" t="s">
        <v>152</v>
      </c>
      <c r="C2211" s="52" t="s">
        <v>304</v>
      </c>
      <c r="D2211" s="87" t="s">
        <v>6224</v>
      </c>
      <c r="E2211" s="89" t="s">
        <v>7349</v>
      </c>
      <c r="F2211" s="89" t="s">
        <v>7350</v>
      </c>
      <c r="G2211" s="89" t="s">
        <v>20</v>
      </c>
      <c r="H2211" s="89" t="s">
        <v>7351</v>
      </c>
      <c r="I2211" s="89" t="s">
        <v>5195</v>
      </c>
      <c r="J2211" s="95">
        <v>1</v>
      </c>
      <c r="K2211" s="95">
        <v>13</v>
      </c>
      <c r="L2211" s="150">
        <v>30</v>
      </c>
      <c r="M2211" s="146" t="s">
        <v>22</v>
      </c>
      <c r="N2211" s="149"/>
      <c r="O2211" s="149"/>
      <c r="P2211" s="149"/>
      <c r="Q2211" s="149"/>
      <c r="R2211" s="149"/>
      <c r="S2211" s="149"/>
      <c r="T2211" s="149"/>
      <c r="U2211" s="149"/>
      <c r="V2211" s="89"/>
      <c r="W2211" s="91"/>
      <c r="X2211" s="91"/>
      <c r="Y2211" s="91"/>
    </row>
    <row r="2212" spans="1:25" s="26" customFormat="1" ht="15" customHeight="1" x14ac:dyDescent="0.2">
      <c r="A2212" s="93">
        <v>41797.422719907401</v>
      </c>
      <c r="B2212" s="89" t="s">
        <v>152</v>
      </c>
      <c r="C2212" s="52" t="s">
        <v>304</v>
      </c>
      <c r="D2212" s="87" t="s">
        <v>6224</v>
      </c>
      <c r="E2212" s="89" t="s">
        <v>7352</v>
      </c>
      <c r="F2212" s="89" t="s">
        <v>7353</v>
      </c>
      <c r="G2212" s="89" t="s">
        <v>26</v>
      </c>
      <c r="H2212" s="89" t="s">
        <v>7354</v>
      </c>
      <c r="I2212" s="89" t="s">
        <v>2812</v>
      </c>
      <c r="J2212" s="95">
        <v>1</v>
      </c>
      <c r="K2212" s="95">
        <v>0</v>
      </c>
      <c r="L2212" s="150"/>
      <c r="M2212" s="146" t="s">
        <v>22</v>
      </c>
      <c r="N2212" s="149"/>
      <c r="O2212" s="149"/>
      <c r="P2212" s="149"/>
      <c r="Q2212" s="149"/>
      <c r="R2212" s="149"/>
      <c r="S2212" s="149"/>
      <c r="T2212" s="149"/>
      <c r="U2212" s="149"/>
      <c r="V2212" s="89"/>
      <c r="W2212" s="91"/>
      <c r="X2212" s="91"/>
      <c r="Y2212" s="91"/>
    </row>
    <row r="2213" spans="1:25" s="26" customFormat="1" ht="15" customHeight="1" x14ac:dyDescent="0.2">
      <c r="A2213" s="93">
        <v>41797.424236111103</v>
      </c>
      <c r="B2213" s="89" t="s">
        <v>152</v>
      </c>
      <c r="C2213" s="52" t="s">
        <v>304</v>
      </c>
      <c r="D2213" s="87" t="s">
        <v>6224</v>
      </c>
      <c r="E2213" s="89" t="s">
        <v>7355</v>
      </c>
      <c r="F2213" s="89" t="s">
        <v>7356</v>
      </c>
      <c r="G2213" s="89" t="s">
        <v>26</v>
      </c>
      <c r="H2213" s="89" t="s">
        <v>7357</v>
      </c>
      <c r="I2213" s="89" t="s">
        <v>2986</v>
      </c>
      <c r="J2213" s="95">
        <v>1</v>
      </c>
      <c r="K2213" s="95">
        <v>40</v>
      </c>
      <c r="L2213" s="150"/>
      <c r="M2213" s="146" t="s">
        <v>44</v>
      </c>
      <c r="N2213" s="149"/>
      <c r="O2213" s="149">
        <v>25</v>
      </c>
      <c r="P2213" s="149"/>
      <c r="Q2213" s="149"/>
      <c r="R2213" s="149"/>
      <c r="S2213" s="149"/>
      <c r="T2213" s="149"/>
      <c r="U2213" s="149"/>
      <c r="V2213" s="89" t="s">
        <v>7358</v>
      </c>
      <c r="W2213" s="91"/>
      <c r="X2213" s="91"/>
      <c r="Y2213" s="91"/>
    </row>
    <row r="2214" spans="1:25" s="26" customFormat="1" ht="15" customHeight="1" x14ac:dyDescent="0.2">
      <c r="A2214" s="93">
        <v>41797.425011574102</v>
      </c>
      <c r="B2214" s="89" t="s">
        <v>152</v>
      </c>
      <c r="C2214" s="52" t="s">
        <v>304</v>
      </c>
      <c r="D2214" s="87" t="s">
        <v>6224</v>
      </c>
      <c r="E2214" s="89" t="s">
        <v>7359</v>
      </c>
      <c r="F2214" s="89" t="s">
        <v>373</v>
      </c>
      <c r="G2214" s="89" t="s">
        <v>26</v>
      </c>
      <c r="H2214" s="89" t="s">
        <v>7360</v>
      </c>
      <c r="I2214" s="89" t="s">
        <v>2986</v>
      </c>
      <c r="J2214" s="95">
        <v>8</v>
      </c>
      <c r="K2214" s="95">
        <v>34</v>
      </c>
      <c r="L2214" s="150"/>
      <c r="M2214" s="146" t="s">
        <v>22</v>
      </c>
      <c r="N2214" s="149"/>
      <c r="O2214" s="149"/>
      <c r="P2214" s="149"/>
      <c r="Q2214" s="149"/>
      <c r="R2214" s="149"/>
      <c r="S2214" s="149"/>
      <c r="T2214" s="149"/>
      <c r="U2214" s="149"/>
      <c r="V2214" s="89"/>
      <c r="W2214" s="91"/>
      <c r="X2214" s="91"/>
      <c r="Y2214" s="91"/>
    </row>
    <row r="2215" spans="1:25" s="26" customFormat="1" ht="15" customHeight="1" x14ac:dyDescent="0.2">
      <c r="A2215" s="93">
        <v>41797.4945717593</v>
      </c>
      <c r="B2215" s="89" t="s">
        <v>152</v>
      </c>
      <c r="C2215" s="52" t="s">
        <v>304</v>
      </c>
      <c r="D2215" s="87" t="s">
        <v>6224</v>
      </c>
      <c r="E2215" s="89" t="s">
        <v>7361</v>
      </c>
      <c r="F2215" s="89" t="s">
        <v>7362</v>
      </c>
      <c r="G2215" s="89" t="s">
        <v>26</v>
      </c>
      <c r="H2215" s="89" t="s">
        <v>7363</v>
      </c>
      <c r="I2215" s="89" t="s">
        <v>3265</v>
      </c>
      <c r="J2215" s="95">
        <v>6</v>
      </c>
      <c r="K2215" s="95">
        <v>885</v>
      </c>
      <c r="L2215" s="150"/>
      <c r="M2215" s="146" t="s">
        <v>44</v>
      </c>
      <c r="N2215" s="149"/>
      <c r="O2215" s="149">
        <v>1962</v>
      </c>
      <c r="P2215" s="149">
        <v>748.6</v>
      </c>
      <c r="Q2215" s="149"/>
      <c r="R2215" s="149"/>
      <c r="S2215" s="149">
        <v>977.5</v>
      </c>
      <c r="T2215" s="149"/>
      <c r="U2215" s="149"/>
      <c r="V2215" s="89"/>
      <c r="W2215" s="91"/>
      <c r="X2215" s="91"/>
      <c r="Y2215" s="91"/>
    </row>
    <row r="2216" spans="1:25" s="26" customFormat="1" ht="15" customHeight="1" x14ac:dyDescent="0.2">
      <c r="A2216" s="93">
        <v>41797.672395833302</v>
      </c>
      <c r="B2216" s="89" t="s">
        <v>152</v>
      </c>
      <c r="C2216" s="52" t="s">
        <v>1100</v>
      </c>
      <c r="D2216" s="87" t="s">
        <v>6224</v>
      </c>
      <c r="E2216" s="89" t="s">
        <v>7364</v>
      </c>
      <c r="F2216" s="89" t="s">
        <v>1870</v>
      </c>
      <c r="G2216" s="89" t="s">
        <v>26</v>
      </c>
      <c r="H2216" s="89" t="s">
        <v>7365</v>
      </c>
      <c r="I2216" s="89" t="s">
        <v>2986</v>
      </c>
      <c r="J2216" s="95">
        <v>1</v>
      </c>
      <c r="K2216" s="95">
        <v>30</v>
      </c>
      <c r="L2216" s="150">
        <v>280</v>
      </c>
      <c r="M2216" s="146" t="s">
        <v>44</v>
      </c>
      <c r="N2216" s="149"/>
      <c r="O2216" s="149">
        <v>50</v>
      </c>
      <c r="P2216" s="149"/>
      <c r="Q2216" s="149"/>
      <c r="R2216" s="149"/>
      <c r="S2216" s="149"/>
      <c r="T2216" s="149"/>
      <c r="U2216" s="149"/>
      <c r="V2216" s="89"/>
      <c r="W2216" s="91"/>
      <c r="X2216" s="91"/>
      <c r="Y2216" s="91"/>
    </row>
    <row r="2217" spans="1:25" s="26" customFormat="1" ht="15" customHeight="1" x14ac:dyDescent="0.2">
      <c r="A2217" s="93">
        <v>41797.673379629603</v>
      </c>
      <c r="B2217" s="89" t="s">
        <v>152</v>
      </c>
      <c r="C2217" s="52" t="s">
        <v>1100</v>
      </c>
      <c r="D2217" s="87" t="s">
        <v>6224</v>
      </c>
      <c r="E2217" s="89" t="s">
        <v>2827</v>
      </c>
      <c r="F2217" s="89" t="s">
        <v>1870</v>
      </c>
      <c r="G2217" s="89" t="s">
        <v>26</v>
      </c>
      <c r="H2217" s="89" t="s">
        <v>7366</v>
      </c>
      <c r="I2217" s="89" t="s">
        <v>2986</v>
      </c>
      <c r="J2217" s="95">
        <v>1</v>
      </c>
      <c r="K2217" s="95">
        <v>28</v>
      </c>
      <c r="L2217" s="150">
        <v>140</v>
      </c>
      <c r="M2217" s="146" t="s">
        <v>44</v>
      </c>
      <c r="N2217" s="149"/>
      <c r="O2217" s="149">
        <v>50</v>
      </c>
      <c r="P2217" s="149"/>
      <c r="Q2217" s="149"/>
      <c r="R2217" s="149"/>
      <c r="S2217" s="149"/>
      <c r="T2217" s="149"/>
      <c r="U2217" s="149"/>
      <c r="V2217" s="89"/>
      <c r="W2217" s="91"/>
      <c r="X2217" s="91"/>
      <c r="Y2217" s="91"/>
    </row>
    <row r="2218" spans="1:25" s="26" customFormat="1" ht="15" customHeight="1" x14ac:dyDescent="0.2">
      <c r="A2218" s="93">
        <v>41797.675902777803</v>
      </c>
      <c r="B2218" s="89" t="s">
        <v>152</v>
      </c>
      <c r="C2218" s="52" t="s">
        <v>1100</v>
      </c>
      <c r="D2218" s="87" t="s">
        <v>6224</v>
      </c>
      <c r="E2218" s="89" t="s">
        <v>7367</v>
      </c>
      <c r="F2218" s="89" t="s">
        <v>5678</v>
      </c>
      <c r="G2218" s="89" t="s">
        <v>26</v>
      </c>
      <c r="H2218" s="89" t="s">
        <v>2883</v>
      </c>
      <c r="I2218" s="89" t="s">
        <v>2986</v>
      </c>
      <c r="J2218" s="95">
        <v>1</v>
      </c>
      <c r="K2218" s="95">
        <v>42</v>
      </c>
      <c r="L2218" s="150">
        <v>210</v>
      </c>
      <c r="M2218" s="146" t="s">
        <v>44</v>
      </c>
      <c r="N2218" s="149"/>
      <c r="O2218" s="149">
        <v>65</v>
      </c>
      <c r="P2218" s="149"/>
      <c r="Q2218" s="149"/>
      <c r="R2218" s="149"/>
      <c r="S2218" s="149"/>
      <c r="T2218" s="149"/>
      <c r="U2218" s="149"/>
      <c r="V2218" s="89"/>
      <c r="W2218" s="91"/>
      <c r="X2218" s="91"/>
      <c r="Y2218" s="91"/>
    </row>
    <row r="2219" spans="1:25" s="26" customFormat="1" ht="15" customHeight="1" x14ac:dyDescent="0.2">
      <c r="A2219" s="93">
        <v>41797.678217592598</v>
      </c>
      <c r="B2219" s="89" t="s">
        <v>152</v>
      </c>
      <c r="C2219" s="52" t="s">
        <v>1175</v>
      </c>
      <c r="D2219" s="87" t="s">
        <v>6224</v>
      </c>
      <c r="E2219" s="89" t="s">
        <v>7368</v>
      </c>
      <c r="F2219" s="89" t="s">
        <v>7369</v>
      </c>
      <c r="G2219" s="89" t="s">
        <v>42</v>
      </c>
      <c r="H2219" s="89" t="s">
        <v>5662</v>
      </c>
      <c r="I2219" s="89" t="s">
        <v>2986</v>
      </c>
      <c r="J2219" s="95">
        <v>1</v>
      </c>
      <c r="K2219" s="95">
        <v>37</v>
      </c>
      <c r="L2219" s="150"/>
      <c r="M2219" s="146" t="s">
        <v>44</v>
      </c>
      <c r="N2219" s="149">
        <v>111</v>
      </c>
      <c r="O2219" s="149"/>
      <c r="P2219" s="149"/>
      <c r="Q2219" s="149"/>
      <c r="R2219" s="149"/>
      <c r="S2219" s="149"/>
      <c r="T2219" s="149"/>
      <c r="U2219" s="149"/>
      <c r="V2219" s="89"/>
      <c r="W2219" s="91"/>
      <c r="X2219" s="91"/>
      <c r="Y2219" s="91"/>
    </row>
    <row r="2220" spans="1:25" s="26" customFormat="1" ht="15" customHeight="1" x14ac:dyDescent="0.2">
      <c r="A2220" s="93">
        <v>41797.679618055598</v>
      </c>
      <c r="B2220" s="89" t="s">
        <v>152</v>
      </c>
      <c r="C2220" s="52" t="s">
        <v>1175</v>
      </c>
      <c r="D2220" s="87" t="s">
        <v>6224</v>
      </c>
      <c r="E2220" s="89" t="s">
        <v>7370</v>
      </c>
      <c r="F2220" s="89" t="s">
        <v>7371</v>
      </c>
      <c r="G2220" s="89" t="s">
        <v>20</v>
      </c>
      <c r="H2220" s="89" t="s">
        <v>5662</v>
      </c>
      <c r="I2220" s="89" t="s">
        <v>2986</v>
      </c>
      <c r="J2220" s="95">
        <v>1</v>
      </c>
      <c r="K2220" s="95">
        <v>110</v>
      </c>
      <c r="L2220" s="150"/>
      <c r="M2220" s="146" t="s">
        <v>44</v>
      </c>
      <c r="N2220" s="149">
        <v>300</v>
      </c>
      <c r="O2220" s="149"/>
      <c r="P2220" s="149"/>
      <c r="Q2220" s="149"/>
      <c r="R2220" s="149"/>
      <c r="S2220" s="149"/>
      <c r="T2220" s="149"/>
      <c r="U2220" s="149"/>
      <c r="V2220" s="89"/>
      <c r="W2220" s="91"/>
      <c r="X2220" s="91"/>
      <c r="Y2220" s="91"/>
    </row>
    <row r="2221" spans="1:25" s="26" customFormat="1" ht="15" customHeight="1" x14ac:dyDescent="0.2">
      <c r="A2221" s="93">
        <v>41797.681319444397</v>
      </c>
      <c r="B2221" s="89" t="s">
        <v>152</v>
      </c>
      <c r="C2221" s="52" t="s">
        <v>1175</v>
      </c>
      <c r="D2221" s="87" t="s">
        <v>6224</v>
      </c>
      <c r="E2221" s="89" t="s">
        <v>7372</v>
      </c>
      <c r="F2221" s="89" t="s">
        <v>7373</v>
      </c>
      <c r="G2221" s="89" t="s">
        <v>42</v>
      </c>
      <c r="H2221" s="89" t="s">
        <v>7374</v>
      </c>
      <c r="I2221" s="89" t="s">
        <v>7375</v>
      </c>
      <c r="J2221" s="95">
        <v>1</v>
      </c>
      <c r="K2221" s="95">
        <v>20</v>
      </c>
      <c r="L2221" s="150"/>
      <c r="M2221" s="146" t="s">
        <v>44</v>
      </c>
      <c r="N2221" s="149">
        <v>70</v>
      </c>
      <c r="O2221" s="149"/>
      <c r="P2221" s="149"/>
      <c r="Q2221" s="149"/>
      <c r="R2221" s="149"/>
      <c r="S2221" s="149"/>
      <c r="T2221" s="149"/>
      <c r="U2221" s="149"/>
      <c r="V2221" s="89"/>
      <c r="W2221" s="91"/>
      <c r="X2221" s="91"/>
      <c r="Y2221" s="91"/>
    </row>
    <row r="2222" spans="1:25" s="26" customFormat="1" ht="15" customHeight="1" x14ac:dyDescent="0.2">
      <c r="A2222" s="93">
        <v>41797.682847222197</v>
      </c>
      <c r="B2222" s="89" t="s">
        <v>152</v>
      </c>
      <c r="C2222" s="52" t="s">
        <v>1175</v>
      </c>
      <c r="D2222" s="87" t="s">
        <v>6224</v>
      </c>
      <c r="E2222" s="89" t="s">
        <v>7376</v>
      </c>
      <c r="F2222" s="89" t="s">
        <v>7377</v>
      </c>
      <c r="G2222" s="89" t="s">
        <v>42</v>
      </c>
      <c r="H2222" s="89" t="s">
        <v>7378</v>
      </c>
      <c r="I2222" s="89" t="s">
        <v>2986</v>
      </c>
      <c r="J2222" s="95">
        <v>1</v>
      </c>
      <c r="K2222" s="95">
        <v>30</v>
      </c>
      <c r="L2222" s="150"/>
      <c r="M2222" s="146" t="s">
        <v>22</v>
      </c>
      <c r="N2222" s="149"/>
      <c r="O2222" s="149"/>
      <c r="P2222" s="149"/>
      <c r="Q2222" s="149"/>
      <c r="R2222" s="149"/>
      <c r="S2222" s="149"/>
      <c r="T2222" s="149"/>
      <c r="U2222" s="149"/>
      <c r="V2222" s="89"/>
      <c r="W2222" s="91"/>
      <c r="X2222" s="91"/>
      <c r="Y2222" s="91"/>
    </row>
    <row r="2223" spans="1:25" s="26" customFormat="1" ht="15" customHeight="1" x14ac:dyDescent="0.2">
      <c r="A2223" s="93">
        <v>41797.684317129599</v>
      </c>
      <c r="B2223" s="89" t="s">
        <v>152</v>
      </c>
      <c r="C2223" s="52" t="s">
        <v>1175</v>
      </c>
      <c r="D2223" s="87" t="s">
        <v>6224</v>
      </c>
      <c r="E2223" s="89" t="s">
        <v>7379</v>
      </c>
      <c r="F2223" s="89" t="s">
        <v>7380</v>
      </c>
      <c r="G2223" s="89" t="s">
        <v>156</v>
      </c>
      <c r="H2223" s="89" t="s">
        <v>7381</v>
      </c>
      <c r="I2223" s="89" t="s">
        <v>2986</v>
      </c>
      <c r="J2223" s="95">
        <v>1</v>
      </c>
      <c r="K2223" s="95">
        <v>1100</v>
      </c>
      <c r="L2223" s="150"/>
      <c r="M2223" s="146" t="s">
        <v>44</v>
      </c>
      <c r="N2223" s="149">
        <v>6358</v>
      </c>
      <c r="O2223" s="149"/>
      <c r="P2223" s="149"/>
      <c r="Q2223" s="149"/>
      <c r="R2223" s="149"/>
      <c r="S2223" s="149"/>
      <c r="T2223" s="149"/>
      <c r="U2223" s="149"/>
      <c r="V2223" s="89"/>
      <c r="W2223" s="91"/>
      <c r="X2223" s="91"/>
      <c r="Y2223" s="91"/>
    </row>
    <row r="2224" spans="1:25" s="26" customFormat="1" ht="15" customHeight="1" x14ac:dyDescent="0.2">
      <c r="A2224" s="93">
        <v>41798.382199074098</v>
      </c>
      <c r="B2224" s="89" t="s">
        <v>152</v>
      </c>
      <c r="C2224" s="52" t="s">
        <v>465</v>
      </c>
      <c r="D2224" s="87" t="s">
        <v>6224</v>
      </c>
      <c r="E2224" s="89" t="s">
        <v>7382</v>
      </c>
      <c r="F2224" s="89" t="s">
        <v>7383</v>
      </c>
      <c r="G2224" s="89" t="s">
        <v>20</v>
      </c>
      <c r="H2224" s="89" t="s">
        <v>7384</v>
      </c>
      <c r="I2224" s="89" t="s">
        <v>7385</v>
      </c>
      <c r="J2224" s="95">
        <v>7</v>
      </c>
      <c r="K2224" s="95">
        <v>502</v>
      </c>
      <c r="L2224" s="150"/>
      <c r="M2224" s="146" t="s">
        <v>22</v>
      </c>
      <c r="N2224" s="149"/>
      <c r="O2224" s="149"/>
      <c r="P2224" s="149"/>
      <c r="Q2224" s="149"/>
      <c r="R2224" s="149"/>
      <c r="S2224" s="149"/>
      <c r="T2224" s="149"/>
      <c r="U2224" s="149"/>
      <c r="V2224" s="89"/>
      <c r="W2224" s="91"/>
      <c r="X2224" s="91"/>
      <c r="Y2224" s="91"/>
    </row>
    <row r="2225" spans="1:25" s="26" customFormat="1" ht="15" customHeight="1" x14ac:dyDescent="0.2">
      <c r="A2225" s="93">
        <v>41798.532766203702</v>
      </c>
      <c r="B2225" s="89" t="s">
        <v>38</v>
      </c>
      <c r="C2225" s="52" t="s">
        <v>995</v>
      </c>
      <c r="D2225" s="87" t="s">
        <v>6224</v>
      </c>
      <c r="E2225" s="89" t="s">
        <v>7386</v>
      </c>
      <c r="F2225" s="89" t="s">
        <v>7387</v>
      </c>
      <c r="G2225" s="89" t="s">
        <v>26</v>
      </c>
      <c r="H2225" s="89"/>
      <c r="I2225" s="89" t="s">
        <v>4082</v>
      </c>
      <c r="J2225" s="95">
        <v>1</v>
      </c>
      <c r="K2225" s="95">
        <v>5</v>
      </c>
      <c r="L2225" s="150">
        <v>30</v>
      </c>
      <c r="M2225" s="146" t="s">
        <v>44</v>
      </c>
      <c r="N2225" s="149"/>
      <c r="O2225" s="149">
        <v>10</v>
      </c>
      <c r="P2225" s="149"/>
      <c r="Q2225" s="149"/>
      <c r="R2225" s="149"/>
      <c r="S2225" s="149"/>
      <c r="T2225" s="149"/>
      <c r="U2225" s="149"/>
      <c r="V2225" s="89"/>
      <c r="W2225" s="91"/>
      <c r="X2225" s="91"/>
      <c r="Y2225" s="91"/>
    </row>
    <row r="2226" spans="1:25" s="26" customFormat="1" ht="15" customHeight="1" x14ac:dyDescent="0.2">
      <c r="A2226" s="93">
        <v>41798.534155092602</v>
      </c>
      <c r="B2226" s="89" t="s">
        <v>38</v>
      </c>
      <c r="C2226" s="52" t="s">
        <v>995</v>
      </c>
      <c r="D2226" s="87" t="s">
        <v>6224</v>
      </c>
      <c r="E2226" s="89" t="s">
        <v>7388</v>
      </c>
      <c r="F2226" s="89" t="s">
        <v>4910</v>
      </c>
      <c r="G2226" s="89" t="s">
        <v>26</v>
      </c>
      <c r="H2226" s="89" t="s">
        <v>7389</v>
      </c>
      <c r="I2226" s="89" t="s">
        <v>2812</v>
      </c>
      <c r="J2226" s="95">
        <v>1</v>
      </c>
      <c r="K2226" s="95">
        <v>1</v>
      </c>
      <c r="L2226" s="150">
        <v>15</v>
      </c>
      <c r="M2226" s="146" t="s">
        <v>44</v>
      </c>
      <c r="N2226" s="149"/>
      <c r="O2226" s="149">
        <v>5</v>
      </c>
      <c r="P2226" s="149">
        <v>4</v>
      </c>
      <c r="Q2226" s="149"/>
      <c r="R2226" s="149"/>
      <c r="S2226" s="149"/>
      <c r="T2226" s="149"/>
      <c r="U2226" s="149"/>
      <c r="V2226" s="89"/>
      <c r="W2226" s="91"/>
      <c r="X2226" s="91"/>
      <c r="Y2226" s="91"/>
    </row>
    <row r="2227" spans="1:25" s="26" customFormat="1" ht="15" customHeight="1" x14ac:dyDescent="0.2">
      <c r="A2227" s="93">
        <v>41798.536203703698</v>
      </c>
      <c r="B2227" s="89" t="s">
        <v>38</v>
      </c>
      <c r="C2227" s="52" t="s">
        <v>995</v>
      </c>
      <c r="D2227" s="87" t="s">
        <v>6224</v>
      </c>
      <c r="E2227" s="89" t="s">
        <v>1003</v>
      </c>
      <c r="F2227" s="89" t="s">
        <v>1004</v>
      </c>
      <c r="G2227" s="89" t="s">
        <v>26</v>
      </c>
      <c r="H2227" s="89" t="s">
        <v>6771</v>
      </c>
      <c r="I2227" s="89" t="s">
        <v>2812</v>
      </c>
      <c r="J2227" s="95">
        <v>1</v>
      </c>
      <c r="K2227" s="95">
        <v>6</v>
      </c>
      <c r="L2227" s="150">
        <v>30</v>
      </c>
      <c r="M2227" s="146" t="s">
        <v>44</v>
      </c>
      <c r="N2227" s="149"/>
      <c r="O2227" s="149">
        <v>20</v>
      </c>
      <c r="P2227" s="149">
        <v>24</v>
      </c>
      <c r="Q2227" s="149"/>
      <c r="R2227" s="149"/>
      <c r="S2227" s="149"/>
      <c r="T2227" s="149"/>
      <c r="U2227" s="149"/>
      <c r="V2227" s="89"/>
      <c r="W2227" s="91"/>
      <c r="X2227" s="91"/>
      <c r="Y2227" s="91"/>
    </row>
    <row r="2228" spans="1:25" s="26" customFormat="1" ht="15" customHeight="1" x14ac:dyDescent="0.2">
      <c r="A2228" s="93">
        <v>41798.5382523148</v>
      </c>
      <c r="B2228" s="89" t="s">
        <v>38</v>
      </c>
      <c r="C2228" s="52" t="s">
        <v>995</v>
      </c>
      <c r="D2228" s="87" t="s">
        <v>6224</v>
      </c>
      <c r="E2228" s="89" t="s">
        <v>1018</v>
      </c>
      <c r="F2228" s="89" t="s">
        <v>1019</v>
      </c>
      <c r="G2228" s="89" t="s">
        <v>26</v>
      </c>
      <c r="H2228" s="89" t="s">
        <v>7390</v>
      </c>
      <c r="I2228" s="89" t="s">
        <v>2986</v>
      </c>
      <c r="J2228" s="95">
        <v>1</v>
      </c>
      <c r="K2228" s="95">
        <v>9</v>
      </c>
      <c r="L2228" s="150">
        <v>162</v>
      </c>
      <c r="M2228" s="146" t="s">
        <v>44</v>
      </c>
      <c r="N2228" s="149"/>
      <c r="O2228" s="149">
        <v>20</v>
      </c>
      <c r="P2228" s="149">
        <v>32</v>
      </c>
      <c r="Q2228" s="149"/>
      <c r="R2228" s="149"/>
      <c r="S2228" s="149"/>
      <c r="T2228" s="149"/>
      <c r="U2228" s="149"/>
      <c r="V2228" s="89"/>
      <c r="W2228" s="91"/>
      <c r="X2228" s="91"/>
      <c r="Y2228" s="91"/>
    </row>
    <row r="2229" spans="1:25" s="26" customFormat="1" ht="15" customHeight="1" x14ac:dyDescent="0.2">
      <c r="A2229" s="93">
        <v>41798.544085648202</v>
      </c>
      <c r="B2229" s="89" t="s">
        <v>38</v>
      </c>
      <c r="C2229" s="52" t="s">
        <v>995</v>
      </c>
      <c r="D2229" s="87" t="s">
        <v>6224</v>
      </c>
      <c r="E2229" s="89" t="s">
        <v>7391</v>
      </c>
      <c r="F2229" s="89" t="s">
        <v>197</v>
      </c>
      <c r="G2229" s="89" t="s">
        <v>26</v>
      </c>
      <c r="H2229" s="89" t="s">
        <v>2873</v>
      </c>
      <c r="I2229" s="89" t="s">
        <v>2986</v>
      </c>
      <c r="J2229" s="95">
        <v>1</v>
      </c>
      <c r="K2229" s="95">
        <v>16</v>
      </c>
      <c r="L2229" s="150">
        <v>240</v>
      </c>
      <c r="M2229" s="146" t="s">
        <v>44</v>
      </c>
      <c r="N2229" s="149"/>
      <c r="O2229" s="149">
        <v>35</v>
      </c>
      <c r="P2229" s="149"/>
      <c r="Q2229" s="149"/>
      <c r="R2229" s="149"/>
      <c r="S2229" s="149"/>
      <c r="T2229" s="149"/>
      <c r="U2229" s="149"/>
      <c r="V2229" s="89"/>
      <c r="W2229" s="91"/>
      <c r="X2229" s="91"/>
      <c r="Y2229" s="91"/>
    </row>
    <row r="2230" spans="1:25" s="26" customFormat="1" ht="15" customHeight="1" x14ac:dyDescent="0.2">
      <c r="A2230" s="93">
        <v>41798.545740740701</v>
      </c>
      <c r="B2230" s="89" t="s">
        <v>38</v>
      </c>
      <c r="C2230" s="52" t="s">
        <v>995</v>
      </c>
      <c r="D2230" s="87" t="s">
        <v>6224</v>
      </c>
      <c r="E2230" s="89" t="s">
        <v>7392</v>
      </c>
      <c r="F2230" s="89" t="s">
        <v>1147</v>
      </c>
      <c r="G2230" s="89" t="s">
        <v>26</v>
      </c>
      <c r="H2230" s="89" t="s">
        <v>1148</v>
      </c>
      <c r="I2230" s="89" t="s">
        <v>2986</v>
      </c>
      <c r="J2230" s="95">
        <v>1</v>
      </c>
      <c r="K2230" s="95">
        <v>5</v>
      </c>
      <c r="L2230" s="150">
        <v>75</v>
      </c>
      <c r="M2230" s="146" t="s">
        <v>44</v>
      </c>
      <c r="N2230" s="149"/>
      <c r="O2230" s="149">
        <v>15</v>
      </c>
      <c r="P2230" s="149"/>
      <c r="Q2230" s="149"/>
      <c r="R2230" s="149"/>
      <c r="S2230" s="149"/>
      <c r="T2230" s="149"/>
      <c r="U2230" s="149"/>
      <c r="V2230" s="89"/>
      <c r="W2230" s="91"/>
      <c r="X2230" s="91"/>
      <c r="Y2230" s="91"/>
    </row>
    <row r="2231" spans="1:25" s="26" customFormat="1" ht="15" customHeight="1" x14ac:dyDescent="0.2">
      <c r="A2231" s="93">
        <v>41798.5500231482</v>
      </c>
      <c r="B2231" s="89" t="s">
        <v>38</v>
      </c>
      <c r="C2231" s="52" t="s">
        <v>995</v>
      </c>
      <c r="D2231" s="87" t="s">
        <v>6224</v>
      </c>
      <c r="E2231" s="89" t="s">
        <v>7393</v>
      </c>
      <c r="F2231" s="89" t="s">
        <v>4886</v>
      </c>
      <c r="G2231" s="89" t="s">
        <v>26</v>
      </c>
      <c r="H2231" s="89" t="s">
        <v>7394</v>
      </c>
      <c r="I2231" s="89" t="s">
        <v>2986</v>
      </c>
      <c r="J2231" s="95">
        <v>14</v>
      </c>
      <c r="K2231" s="95">
        <v>20</v>
      </c>
      <c r="L2231" s="150"/>
      <c r="M2231" s="146" t="s">
        <v>44</v>
      </c>
      <c r="N2231" s="149"/>
      <c r="O2231" s="149">
        <v>10</v>
      </c>
      <c r="P2231" s="149">
        <v>12</v>
      </c>
      <c r="Q2231" s="149"/>
      <c r="R2231" s="149"/>
      <c r="S2231" s="149"/>
      <c r="T2231" s="149"/>
      <c r="U2231" s="149"/>
      <c r="V2231" s="89"/>
      <c r="W2231" s="91"/>
      <c r="X2231" s="91"/>
      <c r="Y2231" s="91"/>
    </row>
    <row r="2232" spans="1:25" s="26" customFormat="1" ht="15" customHeight="1" x14ac:dyDescent="0.2">
      <c r="A2232" s="93">
        <v>41798.559791666703</v>
      </c>
      <c r="B2232" s="89" t="s">
        <v>38</v>
      </c>
      <c r="C2232" s="52" t="s">
        <v>995</v>
      </c>
      <c r="D2232" s="87" t="s">
        <v>6224</v>
      </c>
      <c r="E2232" s="89" t="s">
        <v>7395</v>
      </c>
      <c r="F2232" s="89" t="s">
        <v>7396</v>
      </c>
      <c r="G2232" s="89" t="s">
        <v>26</v>
      </c>
      <c r="H2232" s="89"/>
      <c r="I2232" s="89" t="s">
        <v>4082</v>
      </c>
      <c r="J2232" s="95">
        <v>1</v>
      </c>
      <c r="K2232" s="95">
        <v>5</v>
      </c>
      <c r="L2232" s="150">
        <v>75</v>
      </c>
      <c r="M2232" s="146" t="s">
        <v>44</v>
      </c>
      <c r="N2232" s="149"/>
      <c r="O2232" s="149">
        <v>10</v>
      </c>
      <c r="P2232" s="149">
        <v>4</v>
      </c>
      <c r="Q2232" s="149"/>
      <c r="R2232" s="149"/>
      <c r="S2232" s="149"/>
      <c r="T2232" s="149"/>
      <c r="U2232" s="149"/>
      <c r="V2232" s="89"/>
      <c r="W2232" s="91"/>
      <c r="X2232" s="91"/>
      <c r="Y2232" s="91"/>
    </row>
    <row r="2233" spans="1:25" s="26" customFormat="1" ht="15" customHeight="1" x14ac:dyDescent="0.2">
      <c r="A2233" s="93">
        <v>41798.562291666698</v>
      </c>
      <c r="B2233" s="89" t="s">
        <v>38</v>
      </c>
      <c r="C2233" s="52" t="s">
        <v>995</v>
      </c>
      <c r="D2233" s="87" t="s">
        <v>6224</v>
      </c>
      <c r="E2233" s="89" t="s">
        <v>7397</v>
      </c>
      <c r="F2233" s="89" t="s">
        <v>7398</v>
      </c>
      <c r="G2233" s="89" t="s">
        <v>20</v>
      </c>
      <c r="H2233" s="89" t="s">
        <v>7399</v>
      </c>
      <c r="I2233" s="89" t="s">
        <v>2986</v>
      </c>
      <c r="J2233" s="95">
        <v>1</v>
      </c>
      <c r="K2233" s="95">
        <v>46</v>
      </c>
      <c r="L2233" s="150">
        <v>138</v>
      </c>
      <c r="M2233" s="146" t="s">
        <v>44</v>
      </c>
      <c r="N2233" s="149"/>
      <c r="O2233" s="149"/>
      <c r="P2233" s="149">
        <v>68</v>
      </c>
      <c r="Q2233" s="149"/>
      <c r="R2233" s="149"/>
      <c r="S2233" s="149"/>
      <c r="T2233" s="149"/>
      <c r="U2233" s="149"/>
      <c r="V2233" s="89"/>
      <c r="W2233" s="91"/>
      <c r="X2233" s="91"/>
      <c r="Y2233" s="91"/>
    </row>
    <row r="2234" spans="1:25" s="26" customFormat="1" ht="15" customHeight="1" x14ac:dyDescent="0.2">
      <c r="A2234" s="93">
        <v>41798.565092592602</v>
      </c>
      <c r="B2234" s="89" t="s">
        <v>38</v>
      </c>
      <c r="C2234" s="52" t="s">
        <v>995</v>
      </c>
      <c r="D2234" s="87" t="s">
        <v>6224</v>
      </c>
      <c r="E2234" s="89" t="s">
        <v>7400</v>
      </c>
      <c r="F2234" s="89" t="s">
        <v>2153</v>
      </c>
      <c r="G2234" s="94" t="s">
        <v>26</v>
      </c>
      <c r="H2234" s="89" t="s">
        <v>7401</v>
      </c>
      <c r="I2234" s="89" t="s">
        <v>4874</v>
      </c>
      <c r="J2234" s="95">
        <v>1</v>
      </c>
      <c r="K2234" s="95">
        <v>6</v>
      </c>
      <c r="L2234" s="150">
        <v>120</v>
      </c>
      <c r="M2234" s="146" t="s">
        <v>44</v>
      </c>
      <c r="N2234" s="149"/>
      <c r="O2234" s="149">
        <v>20</v>
      </c>
      <c r="P2234" s="149"/>
      <c r="Q2234" s="149"/>
      <c r="R2234" s="149"/>
      <c r="S2234" s="149"/>
      <c r="T2234" s="149"/>
      <c r="U2234" s="149"/>
      <c r="V2234" s="89"/>
      <c r="W2234" s="91"/>
      <c r="X2234" s="91"/>
      <c r="Y2234" s="91"/>
    </row>
    <row r="2235" spans="1:25" s="26" customFormat="1" ht="15" customHeight="1" x14ac:dyDescent="0.2">
      <c r="A2235" s="93">
        <v>41798.566620370402</v>
      </c>
      <c r="B2235" s="89" t="s">
        <v>38</v>
      </c>
      <c r="C2235" s="52" t="s">
        <v>995</v>
      </c>
      <c r="D2235" s="87" t="s">
        <v>6224</v>
      </c>
      <c r="E2235" s="89" t="s">
        <v>7402</v>
      </c>
      <c r="F2235" s="89" t="s">
        <v>7403</v>
      </c>
      <c r="G2235" s="89" t="s">
        <v>26</v>
      </c>
      <c r="H2235" s="89" t="s">
        <v>7404</v>
      </c>
      <c r="I2235" s="89" t="s">
        <v>2986</v>
      </c>
      <c r="J2235" s="95">
        <v>1</v>
      </c>
      <c r="K2235" s="95">
        <v>60</v>
      </c>
      <c r="L2235" s="150"/>
      <c r="M2235" s="146" t="s">
        <v>22</v>
      </c>
      <c r="N2235" s="149"/>
      <c r="O2235" s="149"/>
      <c r="P2235" s="149"/>
      <c r="Q2235" s="149"/>
      <c r="R2235" s="149"/>
      <c r="S2235" s="149"/>
      <c r="T2235" s="149"/>
      <c r="U2235" s="149"/>
      <c r="V2235" s="89"/>
      <c r="W2235" s="91"/>
      <c r="X2235" s="91"/>
      <c r="Y2235" s="91"/>
    </row>
    <row r="2236" spans="1:25" s="26" customFormat="1" ht="15" customHeight="1" x14ac:dyDescent="0.2">
      <c r="A2236" s="93">
        <v>41798.576481481497</v>
      </c>
      <c r="B2236" s="89" t="s">
        <v>38</v>
      </c>
      <c r="C2236" s="52" t="s">
        <v>995</v>
      </c>
      <c r="D2236" s="87" t="s">
        <v>6224</v>
      </c>
      <c r="E2236" s="89" t="s">
        <v>7405</v>
      </c>
      <c r="F2236" s="89" t="s">
        <v>1019</v>
      </c>
      <c r="G2236" s="89" t="s">
        <v>26</v>
      </c>
      <c r="H2236" s="89" t="s">
        <v>7406</v>
      </c>
      <c r="I2236" s="89" t="s">
        <v>2986</v>
      </c>
      <c r="J2236" s="95">
        <v>1</v>
      </c>
      <c r="K2236" s="95">
        <v>81</v>
      </c>
      <c r="L2236" s="150">
        <v>144</v>
      </c>
      <c r="M2236" s="146" t="s">
        <v>44</v>
      </c>
      <c r="N2236" s="149"/>
      <c r="O2236" s="149">
        <v>20</v>
      </c>
      <c r="P2236" s="149">
        <v>34</v>
      </c>
      <c r="Q2236" s="149"/>
      <c r="R2236" s="149"/>
      <c r="S2236" s="149"/>
      <c r="T2236" s="149"/>
      <c r="U2236" s="149"/>
      <c r="V2236" s="89"/>
      <c r="W2236" s="91"/>
      <c r="X2236" s="91"/>
      <c r="Y2236" s="91"/>
    </row>
    <row r="2237" spans="1:25" s="26" customFormat="1" ht="15" customHeight="1" x14ac:dyDescent="0.2">
      <c r="A2237" s="93">
        <v>41798.578807870399</v>
      </c>
      <c r="B2237" s="89" t="s">
        <v>38</v>
      </c>
      <c r="C2237" s="52" t="s">
        <v>995</v>
      </c>
      <c r="D2237" s="87" t="s">
        <v>6224</v>
      </c>
      <c r="E2237" s="89" t="s">
        <v>7407</v>
      </c>
      <c r="F2237" s="89" t="s">
        <v>1025</v>
      </c>
      <c r="G2237" s="94" t="s">
        <v>26</v>
      </c>
      <c r="H2237" s="89" t="s">
        <v>7408</v>
      </c>
      <c r="I2237" s="89" t="s">
        <v>2986</v>
      </c>
      <c r="J2237" s="95">
        <v>1</v>
      </c>
      <c r="K2237" s="95">
        <v>5</v>
      </c>
      <c r="L2237" s="150">
        <v>75</v>
      </c>
      <c r="M2237" s="146" t="s">
        <v>44</v>
      </c>
      <c r="N2237" s="149"/>
      <c r="O2237" s="149">
        <v>15</v>
      </c>
      <c r="P2237" s="149">
        <v>22</v>
      </c>
      <c r="Q2237" s="149"/>
      <c r="R2237" s="149"/>
      <c r="S2237" s="149"/>
      <c r="T2237" s="149"/>
      <c r="U2237" s="149"/>
      <c r="V2237" s="89"/>
      <c r="W2237" s="91"/>
      <c r="X2237" s="91"/>
      <c r="Y2237" s="91"/>
    </row>
    <row r="2238" spans="1:25" s="26" customFormat="1" ht="15" customHeight="1" x14ac:dyDescent="0.2">
      <c r="A2238" s="93">
        <v>41798.580162036997</v>
      </c>
      <c r="B2238" s="89" t="s">
        <v>38</v>
      </c>
      <c r="C2238" s="52" t="s">
        <v>995</v>
      </c>
      <c r="D2238" s="87" t="s">
        <v>6224</v>
      </c>
      <c r="E2238" s="89" t="s">
        <v>1003</v>
      </c>
      <c r="F2238" s="89" t="s">
        <v>1004</v>
      </c>
      <c r="G2238" s="89" t="s">
        <v>26</v>
      </c>
      <c r="H2238" s="89" t="s">
        <v>7409</v>
      </c>
      <c r="I2238" s="89" t="s">
        <v>2812</v>
      </c>
      <c r="J2238" s="95">
        <v>1</v>
      </c>
      <c r="K2238" s="95">
        <v>2</v>
      </c>
      <c r="L2238" s="150">
        <v>10</v>
      </c>
      <c r="M2238" s="146" t="s">
        <v>44</v>
      </c>
      <c r="N2238" s="149"/>
      <c r="O2238" s="149">
        <v>5</v>
      </c>
      <c r="P2238" s="149">
        <v>10</v>
      </c>
      <c r="Q2238" s="149"/>
      <c r="R2238" s="149"/>
      <c r="S2238" s="149"/>
      <c r="T2238" s="149"/>
      <c r="U2238" s="149"/>
      <c r="V2238" s="89"/>
      <c r="W2238" s="91"/>
      <c r="X2238" s="91"/>
      <c r="Y2238" s="91"/>
    </row>
    <row r="2239" spans="1:25" s="26" customFormat="1" ht="15" customHeight="1" x14ac:dyDescent="0.2">
      <c r="A2239" s="93">
        <v>41798.582256944399</v>
      </c>
      <c r="B2239" s="89" t="s">
        <v>38</v>
      </c>
      <c r="C2239" s="52" t="s">
        <v>995</v>
      </c>
      <c r="D2239" s="87" t="s">
        <v>6224</v>
      </c>
      <c r="E2239" s="89" t="s">
        <v>7392</v>
      </c>
      <c r="F2239" s="89" t="s">
        <v>1147</v>
      </c>
      <c r="G2239" s="89" t="s">
        <v>26</v>
      </c>
      <c r="H2239" s="89" t="s">
        <v>7410</v>
      </c>
      <c r="I2239" s="89" t="s">
        <v>2986</v>
      </c>
      <c r="J2239" s="95">
        <v>1</v>
      </c>
      <c r="K2239" s="95">
        <v>15</v>
      </c>
      <c r="L2239" s="150">
        <v>225</v>
      </c>
      <c r="M2239" s="146" t="s">
        <v>44</v>
      </c>
      <c r="N2239" s="149"/>
      <c r="O2239" s="149">
        <v>35</v>
      </c>
      <c r="P2239" s="149">
        <v>20</v>
      </c>
      <c r="Q2239" s="149"/>
      <c r="R2239" s="149"/>
      <c r="S2239" s="149"/>
      <c r="T2239" s="149"/>
      <c r="U2239" s="149"/>
      <c r="V2239" s="89"/>
      <c r="W2239" s="91"/>
      <c r="X2239" s="91"/>
      <c r="Y2239" s="91"/>
    </row>
    <row r="2240" spans="1:25" s="26" customFormat="1" ht="15" customHeight="1" x14ac:dyDescent="0.2">
      <c r="A2240" s="93">
        <v>41798.584282407399</v>
      </c>
      <c r="B2240" s="89" t="s">
        <v>38</v>
      </c>
      <c r="C2240" s="52" t="s">
        <v>995</v>
      </c>
      <c r="D2240" s="87" t="s">
        <v>6224</v>
      </c>
      <c r="E2240" s="89" t="s">
        <v>7411</v>
      </c>
      <c r="F2240" s="89" t="s">
        <v>4080</v>
      </c>
      <c r="G2240" s="89" t="s">
        <v>26</v>
      </c>
      <c r="H2240" s="89" t="s">
        <v>7412</v>
      </c>
      <c r="I2240" s="89" t="s">
        <v>4874</v>
      </c>
      <c r="J2240" s="95">
        <v>1</v>
      </c>
      <c r="K2240" s="95">
        <v>5</v>
      </c>
      <c r="L2240" s="150">
        <v>50</v>
      </c>
      <c r="M2240" s="146" t="s">
        <v>44</v>
      </c>
      <c r="N2240" s="149"/>
      <c r="O2240" s="149">
        <v>15</v>
      </c>
      <c r="P2240" s="149">
        <v>5</v>
      </c>
      <c r="Q2240" s="149"/>
      <c r="R2240" s="149"/>
      <c r="S2240" s="149"/>
      <c r="T2240" s="149"/>
      <c r="U2240" s="149"/>
      <c r="V2240" s="89"/>
      <c r="W2240" s="91"/>
      <c r="X2240" s="91"/>
      <c r="Y2240" s="91"/>
    </row>
    <row r="2241" spans="1:25" s="26" customFormat="1" ht="15" customHeight="1" x14ac:dyDescent="0.2">
      <c r="A2241" s="93">
        <v>41798.5880092593</v>
      </c>
      <c r="B2241" s="89" t="s">
        <v>38</v>
      </c>
      <c r="C2241" s="52" t="s">
        <v>995</v>
      </c>
      <c r="D2241" s="87" t="s">
        <v>6224</v>
      </c>
      <c r="E2241" s="89" t="s">
        <v>7413</v>
      </c>
      <c r="F2241" s="89" t="s">
        <v>197</v>
      </c>
      <c r="G2241" s="89" t="s">
        <v>26</v>
      </c>
      <c r="H2241" s="89" t="s">
        <v>7414</v>
      </c>
      <c r="I2241" s="89" t="s">
        <v>4874</v>
      </c>
      <c r="J2241" s="95">
        <v>1</v>
      </c>
      <c r="K2241" s="95">
        <v>2</v>
      </c>
      <c r="L2241" s="150">
        <v>30</v>
      </c>
      <c r="M2241" s="146" t="s">
        <v>44</v>
      </c>
      <c r="N2241" s="149"/>
      <c r="O2241" s="149">
        <v>5</v>
      </c>
      <c r="P2241" s="149"/>
      <c r="Q2241" s="149"/>
      <c r="R2241" s="149"/>
      <c r="S2241" s="149"/>
      <c r="T2241" s="149"/>
      <c r="U2241" s="149"/>
      <c r="V2241" s="89"/>
      <c r="W2241" s="91"/>
      <c r="X2241" s="91"/>
      <c r="Y2241" s="91"/>
    </row>
    <row r="2242" spans="1:25" s="26" customFormat="1" ht="15" customHeight="1" x14ac:dyDescent="0.2">
      <c r="A2242" s="93">
        <v>41798.590196759302</v>
      </c>
      <c r="B2242" s="89" t="s">
        <v>38</v>
      </c>
      <c r="C2242" s="52" t="s">
        <v>995</v>
      </c>
      <c r="D2242" s="87" t="s">
        <v>6224</v>
      </c>
      <c r="E2242" s="89" t="s">
        <v>1720</v>
      </c>
      <c r="F2242" s="89" t="s">
        <v>7415</v>
      </c>
      <c r="G2242" s="89" t="s">
        <v>26</v>
      </c>
      <c r="H2242" s="89" t="s">
        <v>7416</v>
      </c>
      <c r="I2242" s="89" t="s">
        <v>3265</v>
      </c>
      <c r="J2242" s="95">
        <v>1</v>
      </c>
      <c r="K2242" s="95">
        <v>9</v>
      </c>
      <c r="L2242" s="150">
        <v>45</v>
      </c>
      <c r="M2242" s="146" t="s">
        <v>44</v>
      </c>
      <c r="N2242" s="149"/>
      <c r="O2242" s="149">
        <v>25</v>
      </c>
      <c r="P2242" s="149">
        <v>18</v>
      </c>
      <c r="Q2242" s="149"/>
      <c r="R2242" s="149"/>
      <c r="S2242" s="149"/>
      <c r="T2242" s="149"/>
      <c r="U2242" s="149"/>
      <c r="V2242" s="89"/>
      <c r="W2242" s="91"/>
      <c r="X2242" s="91"/>
      <c r="Y2242" s="91"/>
    </row>
    <row r="2243" spans="1:25" s="26" customFormat="1" ht="15" customHeight="1" x14ac:dyDescent="0.2">
      <c r="A2243" s="93">
        <v>41798.591666666704</v>
      </c>
      <c r="B2243" s="89" t="s">
        <v>38</v>
      </c>
      <c r="C2243" s="52" t="s">
        <v>995</v>
      </c>
      <c r="D2243" s="87" t="s">
        <v>6224</v>
      </c>
      <c r="E2243" s="89" t="s">
        <v>1720</v>
      </c>
      <c r="F2243" s="89" t="s">
        <v>1004</v>
      </c>
      <c r="G2243" s="89" t="s">
        <v>42</v>
      </c>
      <c r="H2243" s="89" t="s">
        <v>5885</v>
      </c>
      <c r="I2243" s="89" t="s">
        <v>2812</v>
      </c>
      <c r="J2243" s="95">
        <v>1</v>
      </c>
      <c r="K2243" s="95">
        <v>8</v>
      </c>
      <c r="L2243" s="150">
        <v>40</v>
      </c>
      <c r="M2243" s="146" t="s">
        <v>44</v>
      </c>
      <c r="N2243" s="149"/>
      <c r="O2243" s="149">
        <v>20</v>
      </c>
      <c r="P2243" s="149">
        <v>4</v>
      </c>
      <c r="Q2243" s="149"/>
      <c r="R2243" s="149"/>
      <c r="S2243" s="149"/>
      <c r="T2243" s="149"/>
      <c r="U2243" s="149"/>
      <c r="V2243" s="89"/>
      <c r="W2243" s="91"/>
      <c r="X2243" s="91"/>
      <c r="Y2243" s="91"/>
    </row>
    <row r="2244" spans="1:25" s="26" customFormat="1" ht="15" customHeight="1" x14ac:dyDescent="0.2">
      <c r="A2244" s="93">
        <v>41798.596365740697</v>
      </c>
      <c r="B2244" s="89" t="s">
        <v>38</v>
      </c>
      <c r="C2244" s="52" t="s">
        <v>995</v>
      </c>
      <c r="D2244" s="87" t="s">
        <v>6224</v>
      </c>
      <c r="E2244" s="89" t="s">
        <v>7417</v>
      </c>
      <c r="F2244" s="89" t="s">
        <v>2918</v>
      </c>
      <c r="G2244" s="89" t="s">
        <v>26</v>
      </c>
      <c r="H2244" s="89" t="s">
        <v>7418</v>
      </c>
      <c r="I2244" s="89" t="s">
        <v>2986</v>
      </c>
      <c r="J2244" s="95">
        <v>1</v>
      </c>
      <c r="K2244" s="95">
        <v>10</v>
      </c>
      <c r="L2244" s="150">
        <v>180</v>
      </c>
      <c r="M2244" s="146" t="s">
        <v>44</v>
      </c>
      <c r="N2244" s="149"/>
      <c r="O2244" s="149">
        <v>25</v>
      </c>
      <c r="P2244" s="149">
        <v>45</v>
      </c>
      <c r="Q2244" s="149"/>
      <c r="R2244" s="149"/>
      <c r="S2244" s="149"/>
      <c r="T2244" s="149"/>
      <c r="U2244" s="149"/>
      <c r="V2244" s="89"/>
      <c r="W2244" s="91"/>
      <c r="X2244" s="91"/>
      <c r="Y2244" s="91"/>
    </row>
    <row r="2245" spans="1:25" s="26" customFormat="1" ht="15" customHeight="1" x14ac:dyDescent="0.2">
      <c r="A2245" s="93">
        <v>41798.597673611097</v>
      </c>
      <c r="B2245" s="89" t="s">
        <v>38</v>
      </c>
      <c r="C2245" s="52" t="s">
        <v>995</v>
      </c>
      <c r="D2245" s="87" t="s">
        <v>6224</v>
      </c>
      <c r="E2245" s="89" t="s">
        <v>7405</v>
      </c>
      <c r="F2245" s="89" t="s">
        <v>4910</v>
      </c>
      <c r="G2245" s="94" t="s">
        <v>26</v>
      </c>
      <c r="H2245" s="89" t="s">
        <v>7419</v>
      </c>
      <c r="I2245" s="89" t="s">
        <v>2812</v>
      </c>
      <c r="J2245" s="95">
        <v>1</v>
      </c>
      <c r="K2245" s="95">
        <v>1</v>
      </c>
      <c r="L2245" s="150">
        <v>15</v>
      </c>
      <c r="M2245" s="146" t="s">
        <v>44</v>
      </c>
      <c r="N2245" s="149"/>
      <c r="O2245" s="149">
        <v>5</v>
      </c>
      <c r="P2245" s="149">
        <v>19</v>
      </c>
      <c r="Q2245" s="149"/>
      <c r="R2245" s="149"/>
      <c r="S2245" s="149"/>
      <c r="T2245" s="149"/>
      <c r="U2245" s="149"/>
      <c r="V2245" s="89"/>
      <c r="W2245" s="91"/>
      <c r="X2245" s="91"/>
      <c r="Y2245" s="91"/>
    </row>
    <row r="2246" spans="1:25" s="26" customFormat="1" ht="15" customHeight="1" x14ac:dyDescent="0.2">
      <c r="A2246" s="93">
        <v>41798.602754629603</v>
      </c>
      <c r="B2246" s="89" t="s">
        <v>38</v>
      </c>
      <c r="C2246" s="52" t="s">
        <v>995</v>
      </c>
      <c r="D2246" s="87" t="s">
        <v>6224</v>
      </c>
      <c r="E2246" s="89" t="s">
        <v>7391</v>
      </c>
      <c r="F2246" s="89" t="s">
        <v>197</v>
      </c>
      <c r="G2246" s="89" t="s">
        <v>26</v>
      </c>
      <c r="H2246" s="89" t="s">
        <v>1168</v>
      </c>
      <c r="I2246" s="89" t="s">
        <v>2986</v>
      </c>
      <c r="J2246" s="95">
        <v>1</v>
      </c>
      <c r="K2246" s="95">
        <v>4</v>
      </c>
      <c r="L2246" s="150">
        <v>60</v>
      </c>
      <c r="M2246" s="146" t="s">
        <v>44</v>
      </c>
      <c r="N2246" s="149"/>
      <c r="O2246" s="149">
        <v>10</v>
      </c>
      <c r="P2246" s="149"/>
      <c r="Q2246" s="149"/>
      <c r="R2246" s="149"/>
      <c r="S2246" s="149"/>
      <c r="T2246" s="149"/>
      <c r="U2246" s="149"/>
      <c r="V2246" s="89"/>
      <c r="W2246" s="91"/>
      <c r="X2246" s="91"/>
      <c r="Y2246" s="91"/>
    </row>
    <row r="2247" spans="1:25" s="26" customFormat="1" ht="15" customHeight="1" x14ac:dyDescent="0.2">
      <c r="A2247" s="93">
        <v>41798.614270833299</v>
      </c>
      <c r="B2247" s="89" t="s">
        <v>38</v>
      </c>
      <c r="C2247" s="52" t="s">
        <v>995</v>
      </c>
      <c r="D2247" s="87" t="s">
        <v>6224</v>
      </c>
      <c r="E2247" s="89" t="s">
        <v>7420</v>
      </c>
      <c r="F2247" s="89" t="s">
        <v>7421</v>
      </c>
      <c r="G2247" s="94" t="s">
        <v>26</v>
      </c>
      <c r="H2247" s="89" t="s">
        <v>7421</v>
      </c>
      <c r="I2247" s="89" t="s">
        <v>2986</v>
      </c>
      <c r="J2247" s="95">
        <v>1</v>
      </c>
      <c r="K2247" s="95">
        <v>6</v>
      </c>
      <c r="L2247" s="150">
        <v>90</v>
      </c>
      <c r="M2247" s="146" t="s">
        <v>44</v>
      </c>
      <c r="N2247" s="149"/>
      <c r="O2247" s="149">
        <v>15</v>
      </c>
      <c r="P2247" s="149"/>
      <c r="Q2247" s="149"/>
      <c r="R2247" s="149"/>
      <c r="S2247" s="149"/>
      <c r="T2247" s="149"/>
      <c r="U2247" s="149"/>
      <c r="V2247" s="89"/>
      <c r="W2247" s="91"/>
      <c r="X2247" s="91"/>
      <c r="Y2247" s="91"/>
    </row>
    <row r="2248" spans="1:25" s="26" customFormat="1" ht="15" customHeight="1" x14ac:dyDescent="0.2">
      <c r="A2248" s="53">
        <v>41800.470775463</v>
      </c>
      <c r="B2248" s="54" t="s">
        <v>38</v>
      </c>
      <c r="C2248" s="52" t="s">
        <v>39</v>
      </c>
      <c r="D2248" s="113" t="s">
        <v>7147</v>
      </c>
      <c r="E2248" s="54" t="s">
        <v>7498</v>
      </c>
      <c r="F2248" s="54" t="s">
        <v>7499</v>
      </c>
      <c r="G2248" s="54" t="s">
        <v>60</v>
      </c>
      <c r="H2248" s="54" t="s">
        <v>7500</v>
      </c>
      <c r="I2248" s="54" t="s">
        <v>2986</v>
      </c>
      <c r="J2248" s="118">
        <v>3</v>
      </c>
      <c r="K2248" s="118">
        <v>183</v>
      </c>
      <c r="L2248" s="145">
        <v>2330</v>
      </c>
      <c r="M2248" s="146" t="s">
        <v>44</v>
      </c>
      <c r="N2248" s="147">
        <v>472.58</v>
      </c>
      <c r="O2248" s="147"/>
      <c r="P2248" s="147">
        <v>1150</v>
      </c>
      <c r="Q2248" s="147"/>
      <c r="R2248" s="147"/>
      <c r="S2248" s="147"/>
      <c r="T2248" s="147"/>
      <c r="U2248" s="147">
        <v>350</v>
      </c>
      <c r="V2248" s="54"/>
    </row>
    <row r="2249" spans="1:25" s="26" customFormat="1" ht="15" customHeight="1" x14ac:dyDescent="0.2">
      <c r="A2249" s="53">
        <v>41802.669479166703</v>
      </c>
      <c r="B2249" s="54" t="s">
        <v>38</v>
      </c>
      <c r="C2249" s="52" t="s">
        <v>39</v>
      </c>
      <c r="D2249" s="113" t="s">
        <v>7147</v>
      </c>
      <c r="E2249" s="54" t="s">
        <v>7604</v>
      </c>
      <c r="F2249" s="54" t="s">
        <v>7605</v>
      </c>
      <c r="G2249" s="54" t="s">
        <v>20</v>
      </c>
      <c r="H2249" s="54" t="s">
        <v>43</v>
      </c>
      <c r="I2249" s="54" t="s">
        <v>2986</v>
      </c>
      <c r="J2249" s="118">
        <v>1</v>
      </c>
      <c r="K2249" s="118">
        <v>95</v>
      </c>
      <c r="L2249" s="145"/>
      <c r="M2249" s="146" t="s">
        <v>44</v>
      </c>
      <c r="N2249" s="147">
        <v>684</v>
      </c>
      <c r="O2249" s="147"/>
      <c r="P2249" s="147"/>
      <c r="Q2249" s="147"/>
      <c r="R2249" s="147"/>
      <c r="S2249" s="147"/>
      <c r="T2249" s="147"/>
      <c r="U2249" s="147"/>
      <c r="V2249" s="54"/>
    </row>
    <row r="2250" spans="1:25" s="26" customFormat="1" ht="15" customHeight="1" x14ac:dyDescent="0.2">
      <c r="A2250" s="53">
        <v>41802.670902777798</v>
      </c>
      <c r="B2250" s="54" t="s">
        <v>38</v>
      </c>
      <c r="C2250" s="52" t="s">
        <v>39</v>
      </c>
      <c r="D2250" s="113" t="s">
        <v>7147</v>
      </c>
      <c r="E2250" s="54" t="s">
        <v>7606</v>
      </c>
      <c r="F2250" s="54" t="s">
        <v>7607</v>
      </c>
      <c r="G2250" s="54" t="s">
        <v>42</v>
      </c>
      <c r="H2250" s="54" t="s">
        <v>43</v>
      </c>
      <c r="I2250" s="54" t="s">
        <v>6288</v>
      </c>
      <c r="J2250" s="118">
        <v>1</v>
      </c>
      <c r="K2250" s="118">
        <v>18</v>
      </c>
      <c r="L2250" s="145"/>
      <c r="M2250" s="146" t="s">
        <v>44</v>
      </c>
      <c r="N2250" s="147">
        <v>171.2</v>
      </c>
      <c r="O2250" s="147"/>
      <c r="P2250" s="147"/>
      <c r="Q2250" s="147"/>
      <c r="R2250" s="147"/>
      <c r="S2250" s="147"/>
      <c r="T2250" s="147"/>
      <c r="U2250" s="147"/>
      <c r="V2250" s="54"/>
    </row>
    <row r="2251" spans="1:25" s="26" customFormat="1" ht="15" customHeight="1" x14ac:dyDescent="0.2">
      <c r="A2251" s="53">
        <v>41802.673634259299</v>
      </c>
      <c r="B2251" s="54" t="s">
        <v>38</v>
      </c>
      <c r="C2251" s="52" t="s">
        <v>39</v>
      </c>
      <c r="D2251" s="113" t="s">
        <v>7147</v>
      </c>
      <c r="E2251" s="54" t="s">
        <v>7000</v>
      </c>
      <c r="F2251" s="54" t="s">
        <v>7608</v>
      </c>
      <c r="G2251" s="54" t="s">
        <v>20</v>
      </c>
      <c r="H2251" s="54" t="s">
        <v>3817</v>
      </c>
      <c r="I2251" s="54" t="s">
        <v>6294</v>
      </c>
      <c r="J2251" s="118">
        <v>1</v>
      </c>
      <c r="K2251" s="118">
        <v>23</v>
      </c>
      <c r="L2251" s="145"/>
      <c r="M2251" s="146" t="s">
        <v>44</v>
      </c>
      <c r="N2251" s="147">
        <v>132</v>
      </c>
      <c r="O2251" s="147"/>
      <c r="P2251" s="147"/>
      <c r="Q2251" s="147"/>
      <c r="R2251" s="147"/>
      <c r="S2251" s="147"/>
      <c r="T2251" s="147"/>
      <c r="U2251" s="147"/>
      <c r="V2251" s="54"/>
    </row>
    <row r="2252" spans="1:25" s="26" customFormat="1" ht="15" customHeight="1" x14ac:dyDescent="0.2">
      <c r="A2252" s="53">
        <v>41802.676006944399</v>
      </c>
      <c r="B2252" s="54" t="s">
        <v>38</v>
      </c>
      <c r="C2252" s="52" t="s">
        <v>39</v>
      </c>
      <c r="D2252" s="113" t="s">
        <v>7147</v>
      </c>
      <c r="E2252" s="54" t="s">
        <v>3815</v>
      </c>
      <c r="F2252" s="54" t="s">
        <v>7609</v>
      </c>
      <c r="G2252" s="54" t="s">
        <v>20</v>
      </c>
      <c r="H2252" s="54" t="s">
        <v>43</v>
      </c>
      <c r="I2252" s="54" t="s">
        <v>6294</v>
      </c>
      <c r="J2252" s="118">
        <v>1</v>
      </c>
      <c r="K2252" s="118">
        <v>59</v>
      </c>
      <c r="L2252" s="145"/>
      <c r="M2252" s="146" t="s">
        <v>44</v>
      </c>
      <c r="N2252" s="147">
        <v>372</v>
      </c>
      <c r="O2252" s="147"/>
      <c r="P2252" s="147"/>
      <c r="Q2252" s="147"/>
      <c r="R2252" s="147"/>
      <c r="S2252" s="147"/>
      <c r="T2252" s="147"/>
      <c r="U2252" s="147"/>
      <c r="V2252" s="54"/>
    </row>
    <row r="2253" spans="1:25" s="26" customFormat="1" ht="15" customHeight="1" x14ac:dyDescent="0.2">
      <c r="A2253" s="53">
        <v>41807.424062500002</v>
      </c>
      <c r="B2253" s="54" t="s">
        <v>38</v>
      </c>
      <c r="C2253" s="52" t="s">
        <v>39</v>
      </c>
      <c r="D2253" s="113" t="s">
        <v>7147</v>
      </c>
      <c r="E2253" s="54" t="s">
        <v>7658</v>
      </c>
      <c r="F2253" s="54" t="s">
        <v>7659</v>
      </c>
      <c r="G2253" s="54" t="s">
        <v>42</v>
      </c>
      <c r="H2253" s="54" t="s">
        <v>43</v>
      </c>
      <c r="I2253" s="54" t="s">
        <v>6294</v>
      </c>
      <c r="J2253" s="118">
        <v>1</v>
      </c>
      <c r="K2253" s="118">
        <v>62</v>
      </c>
      <c r="L2253" s="145"/>
      <c r="M2253" s="146" t="s">
        <v>44</v>
      </c>
      <c r="N2253" s="147">
        <v>558.54</v>
      </c>
      <c r="O2253" s="147"/>
      <c r="P2253" s="147"/>
      <c r="Q2253" s="147"/>
      <c r="R2253" s="147"/>
      <c r="S2253" s="147"/>
      <c r="T2253" s="147"/>
      <c r="U2253" s="147"/>
      <c r="V2253" s="54"/>
    </row>
    <row r="2254" spans="1:25" s="26" customFormat="1" ht="15" customHeight="1" x14ac:dyDescent="0.2">
      <c r="A2254" s="53">
        <v>41807.425231481502</v>
      </c>
      <c r="B2254" s="54" t="s">
        <v>38</v>
      </c>
      <c r="C2254" s="52" t="s">
        <v>39</v>
      </c>
      <c r="D2254" s="113" t="s">
        <v>7147</v>
      </c>
      <c r="E2254" s="54" t="s">
        <v>7660</v>
      </c>
      <c r="F2254" s="54" t="s">
        <v>7661</v>
      </c>
      <c r="G2254" s="54" t="s">
        <v>42</v>
      </c>
      <c r="H2254" s="54" t="s">
        <v>7662</v>
      </c>
      <c r="I2254" s="54" t="s">
        <v>2986</v>
      </c>
      <c r="J2254" s="118">
        <v>1</v>
      </c>
      <c r="K2254" s="118">
        <v>12</v>
      </c>
      <c r="L2254" s="145">
        <v>115.16</v>
      </c>
      <c r="M2254" s="146" t="s">
        <v>22</v>
      </c>
      <c r="N2254" s="147"/>
      <c r="O2254" s="147"/>
      <c r="P2254" s="147"/>
      <c r="Q2254" s="147"/>
      <c r="R2254" s="147"/>
      <c r="S2254" s="147"/>
      <c r="T2254" s="147"/>
      <c r="U2254" s="147"/>
      <c r="V2254" s="54"/>
    </row>
    <row r="2255" spans="1:25" s="26" customFormat="1" ht="15" customHeight="1" x14ac:dyDescent="0.2">
      <c r="A2255" s="37">
        <v>41474.676018518498</v>
      </c>
      <c r="B2255" s="26" t="s">
        <v>38</v>
      </c>
      <c r="C2255" s="26" t="s">
        <v>254</v>
      </c>
      <c r="D2255" s="33">
        <v>41456</v>
      </c>
      <c r="E2255" s="26" t="s">
        <v>255</v>
      </c>
      <c r="F2255" s="26" t="s">
        <v>256</v>
      </c>
      <c r="G2255" s="26" t="s">
        <v>26</v>
      </c>
      <c r="H2255" s="26" t="s">
        <v>256</v>
      </c>
      <c r="J2255" s="115">
        <v>1</v>
      </c>
      <c r="K2255" s="115">
        <v>12</v>
      </c>
      <c r="L2255" s="136"/>
      <c r="M2255" s="137" t="s">
        <v>22</v>
      </c>
      <c r="N2255" s="138"/>
      <c r="O2255" s="138"/>
      <c r="P2255" s="138"/>
      <c r="Q2255" s="138"/>
      <c r="R2255" s="138"/>
      <c r="S2255" s="138"/>
      <c r="T2255" s="138"/>
      <c r="U2255" s="138"/>
      <c r="V2255" s="26" t="s">
        <v>257</v>
      </c>
    </row>
    <row r="2256" spans="1:25" s="26" customFormat="1" ht="15" customHeight="1" x14ac:dyDescent="0.2">
      <c r="A2256" s="37">
        <v>41485.639594907399</v>
      </c>
      <c r="B2256" s="26" t="s">
        <v>38</v>
      </c>
      <c r="C2256" s="26" t="s">
        <v>254</v>
      </c>
      <c r="D2256" s="33">
        <v>41456</v>
      </c>
      <c r="E2256" s="26" t="s">
        <v>402</v>
      </c>
      <c r="F2256" s="26" t="s">
        <v>403</v>
      </c>
      <c r="G2256" s="26" t="s">
        <v>156</v>
      </c>
      <c r="H2256" s="26" t="s">
        <v>404</v>
      </c>
      <c r="J2256" s="115">
        <v>1</v>
      </c>
      <c r="K2256" s="46">
        <v>1200</v>
      </c>
      <c r="L2256" s="136"/>
      <c r="M2256" s="137" t="s">
        <v>44</v>
      </c>
      <c r="N2256" s="138"/>
      <c r="O2256" s="138">
        <v>1305</v>
      </c>
      <c r="P2256" s="138"/>
      <c r="Q2256" s="138"/>
      <c r="R2256" s="138"/>
      <c r="S2256" s="138"/>
      <c r="T2256" s="138">
        <v>149.53</v>
      </c>
      <c r="U2256" s="138"/>
      <c r="V2256" s="26" t="s">
        <v>405</v>
      </c>
    </row>
    <row r="2257" spans="1:25" s="26" customFormat="1" ht="15" customHeight="1" x14ac:dyDescent="0.2">
      <c r="A2257" s="37">
        <v>41488.600694444402</v>
      </c>
      <c r="B2257" s="26" t="s">
        <v>38</v>
      </c>
      <c r="C2257" s="26" t="s">
        <v>254</v>
      </c>
      <c r="D2257" s="33">
        <v>41456</v>
      </c>
      <c r="E2257" s="26" t="s">
        <v>650</v>
      </c>
      <c r="F2257" s="26" t="s">
        <v>211</v>
      </c>
      <c r="G2257" s="26" t="s">
        <v>26</v>
      </c>
      <c r="H2257" s="26" t="s">
        <v>651</v>
      </c>
      <c r="J2257" s="115">
        <v>1</v>
      </c>
      <c r="K2257" s="115">
        <v>8</v>
      </c>
      <c r="L2257" s="136">
        <v>400</v>
      </c>
      <c r="M2257" s="137" t="s">
        <v>22</v>
      </c>
      <c r="N2257" s="138"/>
      <c r="O2257" s="138"/>
      <c r="P2257" s="138"/>
      <c r="Q2257" s="138"/>
      <c r="R2257" s="138"/>
      <c r="S2257" s="138"/>
      <c r="T2257" s="138"/>
      <c r="U2257" s="138"/>
    </row>
    <row r="2258" spans="1:25" s="26" customFormat="1" ht="15" customHeight="1" x14ac:dyDescent="0.2">
      <c r="A2258" s="38">
        <v>41496.593240740738</v>
      </c>
      <c r="B2258" s="29" t="s">
        <v>38</v>
      </c>
      <c r="C2258" s="29" t="s">
        <v>254</v>
      </c>
      <c r="D2258" s="30">
        <v>41487</v>
      </c>
      <c r="E2258" s="29" t="s">
        <v>1336</v>
      </c>
      <c r="F2258" s="29" t="s">
        <v>1337</v>
      </c>
      <c r="G2258" s="29" t="s">
        <v>26</v>
      </c>
      <c r="H2258" s="29" t="s">
        <v>1338</v>
      </c>
      <c r="I2258" s="29"/>
      <c r="J2258" s="116">
        <v>1</v>
      </c>
      <c r="K2258" s="116">
        <v>20</v>
      </c>
      <c r="L2258" s="139"/>
      <c r="M2258" s="140" t="s">
        <v>22</v>
      </c>
      <c r="N2258" s="141"/>
      <c r="O2258" s="141"/>
      <c r="P2258" s="141"/>
      <c r="Q2258" s="141"/>
      <c r="R2258" s="141"/>
      <c r="S2258" s="141"/>
      <c r="T2258" s="141"/>
      <c r="U2258" s="141"/>
      <c r="V2258" s="29" t="s">
        <v>1339</v>
      </c>
    </row>
    <row r="2259" spans="1:25" s="26" customFormat="1" ht="15" customHeight="1" x14ac:dyDescent="0.2">
      <c r="A2259" s="38">
        <v>41518.443113425928</v>
      </c>
      <c r="B2259" s="29" t="s">
        <v>38</v>
      </c>
      <c r="C2259" s="29" t="s">
        <v>254</v>
      </c>
      <c r="D2259" s="30">
        <v>41487</v>
      </c>
      <c r="E2259" s="31" t="s">
        <v>1494</v>
      </c>
      <c r="F2259" s="29" t="s">
        <v>1495</v>
      </c>
      <c r="G2259" s="29" t="s">
        <v>26</v>
      </c>
      <c r="H2259" s="29" t="s">
        <v>1496</v>
      </c>
      <c r="I2259" s="29"/>
      <c r="J2259" s="116">
        <v>1</v>
      </c>
      <c r="K2259" s="116">
        <v>65</v>
      </c>
      <c r="L2259" s="139">
        <v>395</v>
      </c>
      <c r="M2259" s="140" t="s">
        <v>22</v>
      </c>
      <c r="N2259" s="141"/>
      <c r="O2259" s="141"/>
      <c r="P2259" s="141"/>
      <c r="Q2259" s="141"/>
      <c r="R2259" s="141"/>
      <c r="S2259" s="141"/>
      <c r="T2259" s="141"/>
      <c r="U2259" s="141">
        <v>425</v>
      </c>
      <c r="V2259" s="29" t="s">
        <v>1497</v>
      </c>
    </row>
    <row r="2260" spans="1:25" s="26" customFormat="1" ht="15" customHeight="1" x14ac:dyDescent="0.2">
      <c r="A2260" s="32">
        <v>41547.326909722222</v>
      </c>
      <c r="B2260" s="26" t="s">
        <v>38</v>
      </c>
      <c r="C2260" s="26" t="s">
        <v>254</v>
      </c>
      <c r="D2260" s="30">
        <v>41518</v>
      </c>
      <c r="E2260" s="26" t="s">
        <v>2256</v>
      </c>
      <c r="F2260" s="26" t="s">
        <v>2257</v>
      </c>
      <c r="G2260" s="26" t="s">
        <v>156</v>
      </c>
      <c r="H2260" s="26" t="s">
        <v>2258</v>
      </c>
      <c r="J2260" s="46">
        <v>1</v>
      </c>
      <c r="K2260" s="46">
        <v>17</v>
      </c>
      <c r="L2260" s="136"/>
      <c r="M2260" s="137" t="s">
        <v>22</v>
      </c>
      <c r="N2260" s="138"/>
      <c r="O2260" s="138"/>
      <c r="P2260" s="138"/>
      <c r="Q2260" s="138"/>
      <c r="R2260" s="138"/>
      <c r="S2260" s="138"/>
      <c r="T2260" s="138"/>
      <c r="U2260" s="138"/>
    </row>
    <row r="2261" spans="1:25" s="26" customFormat="1" ht="15" customHeight="1" x14ac:dyDescent="0.2">
      <c r="A2261" s="48">
        <v>41600.658865740697</v>
      </c>
      <c r="B2261" s="49" t="s">
        <v>38</v>
      </c>
      <c r="C2261" s="50" t="s">
        <v>254</v>
      </c>
      <c r="D2261" s="67">
        <v>41579</v>
      </c>
      <c r="E2261" s="50" t="s">
        <v>3086</v>
      </c>
      <c r="F2261" s="50" t="s">
        <v>3087</v>
      </c>
      <c r="G2261" s="49" t="s">
        <v>20</v>
      </c>
      <c r="H2261" s="50" t="s">
        <v>3088</v>
      </c>
      <c r="I2261" s="50" t="s">
        <v>3089</v>
      </c>
      <c r="J2261" s="117">
        <v>1</v>
      </c>
      <c r="K2261" s="117">
        <v>130</v>
      </c>
      <c r="L2261" s="142"/>
      <c r="M2261" s="143" t="s">
        <v>22</v>
      </c>
      <c r="N2261" s="144"/>
      <c r="O2261" s="144"/>
      <c r="P2261" s="144"/>
      <c r="Q2261" s="144"/>
      <c r="R2261" s="144"/>
      <c r="S2261" s="144"/>
      <c r="T2261" s="144"/>
      <c r="U2261" s="144"/>
      <c r="V2261" s="50" t="s">
        <v>3090</v>
      </c>
    </row>
    <row r="2262" spans="1:25" s="26" customFormat="1" ht="15" customHeight="1" x14ac:dyDescent="0.2">
      <c r="A2262" s="48">
        <v>41612.573414351798</v>
      </c>
      <c r="B2262" s="49" t="s">
        <v>38</v>
      </c>
      <c r="C2262" s="50" t="s">
        <v>254</v>
      </c>
      <c r="D2262" s="67">
        <v>41579</v>
      </c>
      <c r="E2262" s="50" t="s">
        <v>3250</v>
      </c>
      <c r="F2262" s="50" t="s">
        <v>3251</v>
      </c>
      <c r="G2262" s="49" t="s">
        <v>156</v>
      </c>
      <c r="H2262" s="50" t="s">
        <v>3252</v>
      </c>
      <c r="I2262" s="50" t="s">
        <v>2812</v>
      </c>
      <c r="J2262" s="117">
        <v>1</v>
      </c>
      <c r="K2262" s="117">
        <v>200</v>
      </c>
      <c r="L2262" s="142"/>
      <c r="M2262" s="143" t="s">
        <v>44</v>
      </c>
      <c r="N2262" s="144"/>
      <c r="O2262" s="144">
        <v>230</v>
      </c>
      <c r="P2262" s="144"/>
      <c r="Q2262" s="144">
        <v>100</v>
      </c>
      <c r="R2262" s="144">
        <v>300</v>
      </c>
      <c r="S2262" s="144">
        <v>1500</v>
      </c>
      <c r="T2262" s="144"/>
      <c r="U2262" s="144"/>
      <c r="V2262" s="50" t="s">
        <v>3253</v>
      </c>
    </row>
    <row r="2263" spans="1:25" s="26" customFormat="1" ht="15" customHeight="1" x14ac:dyDescent="0.2">
      <c r="A2263" s="53">
        <v>41641.367314814801</v>
      </c>
      <c r="B2263" s="54" t="s">
        <v>38</v>
      </c>
      <c r="C2263" s="52" t="s">
        <v>254</v>
      </c>
      <c r="D2263" s="69">
        <v>41640</v>
      </c>
      <c r="E2263" s="54" t="s">
        <v>4134</v>
      </c>
      <c r="F2263" s="54" t="s">
        <v>4135</v>
      </c>
      <c r="G2263" s="54" t="s">
        <v>26</v>
      </c>
      <c r="H2263" s="54" t="s">
        <v>4136</v>
      </c>
      <c r="I2263" s="54" t="s">
        <v>2926</v>
      </c>
      <c r="J2263" s="95">
        <v>1</v>
      </c>
      <c r="K2263" s="118">
        <v>11</v>
      </c>
      <c r="L2263" s="145">
        <v>25</v>
      </c>
      <c r="M2263" s="146" t="s">
        <v>44</v>
      </c>
      <c r="N2263" s="147"/>
      <c r="O2263" s="147">
        <v>10</v>
      </c>
      <c r="P2263" s="147"/>
      <c r="Q2263" s="147"/>
      <c r="R2263" s="147"/>
      <c r="S2263" s="147"/>
      <c r="T2263" s="147">
        <v>20</v>
      </c>
      <c r="U2263" s="147"/>
      <c r="V2263" s="54" t="s">
        <v>4137</v>
      </c>
      <c r="W2263" s="52"/>
      <c r="X2263" s="52"/>
      <c r="Y2263" s="52"/>
    </row>
    <row r="2264" spans="1:25" s="26" customFormat="1" ht="15" customHeight="1" x14ac:dyDescent="0.2">
      <c r="A2264" s="55">
        <v>41674.560706018499</v>
      </c>
      <c r="B2264" s="52" t="s">
        <v>38</v>
      </c>
      <c r="C2264" s="52" t="s">
        <v>254</v>
      </c>
      <c r="D2264" s="69">
        <v>41640</v>
      </c>
      <c r="E2264" s="52" t="s">
        <v>4387</v>
      </c>
      <c r="F2264" s="52" t="s">
        <v>4388</v>
      </c>
      <c r="G2264" s="52" t="s">
        <v>351</v>
      </c>
      <c r="H2264" s="52" t="s">
        <v>4389</v>
      </c>
      <c r="I2264" s="52" t="s">
        <v>4390</v>
      </c>
      <c r="J2264" s="95">
        <v>1</v>
      </c>
      <c r="K2264" s="118">
        <v>25</v>
      </c>
      <c r="L2264" s="148"/>
      <c r="M2264" s="146" t="s">
        <v>22</v>
      </c>
      <c r="N2264" s="147"/>
      <c r="O2264" s="147"/>
      <c r="P2264" s="147"/>
      <c r="Q2264" s="147"/>
      <c r="R2264" s="147"/>
      <c r="S2264" s="147"/>
      <c r="T2264" s="147"/>
      <c r="U2264" s="149"/>
      <c r="V2264" s="52"/>
      <c r="W2264" s="52"/>
      <c r="X2264" s="52"/>
      <c r="Y2264" s="52"/>
    </row>
    <row r="2265" spans="1:25" s="26" customFormat="1" ht="15" customHeight="1" x14ac:dyDescent="0.2">
      <c r="A2265" s="32">
        <v>41678.696111111109</v>
      </c>
      <c r="B2265" s="26" t="s">
        <v>38</v>
      </c>
      <c r="C2265" s="26" t="s">
        <v>254</v>
      </c>
      <c r="D2265" s="33">
        <v>41671</v>
      </c>
      <c r="E2265" s="26" t="s">
        <v>2389</v>
      </c>
      <c r="F2265" s="26" t="s">
        <v>4571</v>
      </c>
      <c r="G2265" s="26" t="s">
        <v>26</v>
      </c>
      <c r="H2265" s="26" t="s">
        <v>4572</v>
      </c>
      <c r="I2265" s="26" t="s">
        <v>2926</v>
      </c>
      <c r="J2265" s="46">
        <v>1</v>
      </c>
      <c r="K2265" s="46">
        <v>8</v>
      </c>
      <c r="L2265" s="136">
        <v>8</v>
      </c>
      <c r="M2265" s="137" t="s">
        <v>22</v>
      </c>
      <c r="N2265" s="138"/>
      <c r="O2265" s="138"/>
      <c r="P2265" s="138"/>
      <c r="Q2265" s="138"/>
      <c r="R2265" s="138"/>
      <c r="S2265" s="138"/>
      <c r="T2265" s="138"/>
      <c r="U2265" s="138"/>
      <c r="V2265" s="26" t="s">
        <v>4573</v>
      </c>
    </row>
    <row r="2266" spans="1:25" s="26" customFormat="1" ht="15" customHeight="1" x14ac:dyDescent="0.2">
      <c r="A2266" s="32">
        <v>41678.712337962963</v>
      </c>
      <c r="B2266" s="26" t="s">
        <v>38</v>
      </c>
      <c r="C2266" s="26" t="s">
        <v>254</v>
      </c>
      <c r="D2266" s="33">
        <v>41671</v>
      </c>
      <c r="E2266" s="26" t="s">
        <v>4574</v>
      </c>
      <c r="F2266" s="26" t="s">
        <v>2417</v>
      </c>
      <c r="G2266" s="26" t="s">
        <v>26</v>
      </c>
      <c r="H2266" s="26" t="s">
        <v>4575</v>
      </c>
      <c r="I2266" s="26" t="s">
        <v>4576</v>
      </c>
      <c r="J2266" s="46">
        <v>1</v>
      </c>
      <c r="K2266" s="46">
        <v>6</v>
      </c>
      <c r="L2266" s="136"/>
      <c r="M2266" s="137" t="s">
        <v>22</v>
      </c>
      <c r="N2266" s="138"/>
      <c r="O2266" s="138"/>
      <c r="P2266" s="138"/>
      <c r="Q2266" s="138"/>
      <c r="R2266" s="138"/>
      <c r="S2266" s="138"/>
      <c r="T2266" s="138"/>
      <c r="U2266" s="138"/>
    </row>
    <row r="2267" spans="1:25" s="26" customFormat="1" ht="15" customHeight="1" x14ac:dyDescent="0.2">
      <c r="A2267" s="32">
        <v>41706.692094907405</v>
      </c>
      <c r="B2267" s="26" t="s">
        <v>38</v>
      </c>
      <c r="C2267" s="26" t="s">
        <v>254</v>
      </c>
      <c r="D2267" s="33">
        <v>41699</v>
      </c>
      <c r="E2267" s="26" t="s">
        <v>5055</v>
      </c>
      <c r="F2267" s="26" t="s">
        <v>5056</v>
      </c>
      <c r="G2267" s="26" t="s">
        <v>26</v>
      </c>
      <c r="H2267" s="26" t="s">
        <v>5057</v>
      </c>
      <c r="I2267" s="26" t="s">
        <v>2926</v>
      </c>
      <c r="J2267" s="46">
        <v>1</v>
      </c>
      <c r="K2267" s="46">
        <v>30</v>
      </c>
      <c r="L2267" s="136"/>
      <c r="M2267" s="137" t="s">
        <v>22</v>
      </c>
      <c r="N2267" s="138"/>
      <c r="O2267" s="138"/>
      <c r="P2267" s="138"/>
      <c r="Q2267" s="138"/>
      <c r="R2267" s="138"/>
      <c r="S2267" s="138"/>
      <c r="T2267" s="138"/>
      <c r="U2267" s="138"/>
      <c r="V2267" s="26" t="s">
        <v>5058</v>
      </c>
    </row>
    <row r="2268" spans="1:25" s="26" customFormat="1" ht="15" customHeight="1" x14ac:dyDescent="0.2">
      <c r="A2268" s="55">
        <v>41758.495775463001</v>
      </c>
      <c r="B2268" s="52" t="s">
        <v>38</v>
      </c>
      <c r="C2268" s="52" t="s">
        <v>254</v>
      </c>
      <c r="D2268" s="88" t="s">
        <v>6076</v>
      </c>
      <c r="E2268" s="52" t="s">
        <v>6160</v>
      </c>
      <c r="F2268" s="52" t="s">
        <v>6161</v>
      </c>
      <c r="G2268" s="52" t="s">
        <v>20</v>
      </c>
      <c r="H2268" s="52" t="s">
        <v>6162</v>
      </c>
      <c r="I2268" s="52" t="s">
        <v>2926</v>
      </c>
      <c r="J2268" s="95">
        <v>1</v>
      </c>
      <c r="K2268" s="95">
        <v>13</v>
      </c>
      <c r="L2268" s="149">
        <v>13</v>
      </c>
      <c r="M2268" s="146" t="s">
        <v>22</v>
      </c>
      <c r="N2268" s="149"/>
      <c r="O2268" s="149"/>
      <c r="P2268" s="149"/>
      <c r="Q2268" s="149"/>
      <c r="R2268" s="149"/>
      <c r="S2268" s="149"/>
      <c r="T2268" s="149"/>
      <c r="U2268" s="149"/>
      <c r="V2268" s="52"/>
    </row>
    <row r="2269" spans="1:25" s="26" customFormat="1" ht="15" customHeight="1" x14ac:dyDescent="0.2">
      <c r="A2269" s="37">
        <v>41486.716493055603</v>
      </c>
      <c r="B2269" s="26" t="s">
        <v>16</v>
      </c>
      <c r="C2269" s="26" t="s">
        <v>406</v>
      </c>
      <c r="D2269" s="33">
        <v>41456</v>
      </c>
      <c r="E2269" s="26" t="s">
        <v>407</v>
      </c>
      <c r="F2269" s="26" t="s">
        <v>408</v>
      </c>
      <c r="G2269" s="26" t="s">
        <v>26</v>
      </c>
      <c r="H2269" s="26" t="s">
        <v>409</v>
      </c>
      <c r="J2269" s="46">
        <v>1</v>
      </c>
      <c r="K2269" s="46">
        <v>0</v>
      </c>
      <c r="L2269" s="136"/>
      <c r="M2269" s="137" t="s">
        <v>22</v>
      </c>
      <c r="N2269" s="138"/>
      <c r="O2269" s="138"/>
      <c r="P2269" s="138"/>
      <c r="Q2269" s="138"/>
      <c r="R2269" s="138"/>
      <c r="S2269" s="138"/>
      <c r="T2269" s="138"/>
      <c r="U2269" s="138"/>
    </row>
    <row r="2270" spans="1:25" s="26" customFormat="1" ht="15" customHeight="1" x14ac:dyDescent="0.2">
      <c r="A2270" s="37">
        <v>41486.717199074097</v>
      </c>
      <c r="B2270" s="26" t="s">
        <v>16</v>
      </c>
      <c r="C2270" s="26" t="s">
        <v>406</v>
      </c>
      <c r="D2270" s="33">
        <v>41456</v>
      </c>
      <c r="E2270" s="26" t="s">
        <v>410</v>
      </c>
      <c r="F2270" s="26" t="s">
        <v>411</v>
      </c>
      <c r="G2270" s="26" t="s">
        <v>26</v>
      </c>
      <c r="H2270" s="26" t="s">
        <v>412</v>
      </c>
      <c r="J2270" s="46">
        <v>1</v>
      </c>
      <c r="K2270" s="46">
        <v>11</v>
      </c>
      <c r="L2270" s="136"/>
      <c r="M2270" s="137" t="s">
        <v>44</v>
      </c>
      <c r="N2270" s="138"/>
      <c r="O2270" s="138">
        <v>55</v>
      </c>
      <c r="P2270" s="138"/>
      <c r="Q2270" s="138"/>
      <c r="R2270" s="138"/>
      <c r="S2270" s="138"/>
      <c r="T2270" s="138"/>
      <c r="U2270" s="138"/>
    </row>
    <row r="2271" spans="1:25" s="26" customFormat="1" ht="15" customHeight="1" x14ac:dyDescent="0.2">
      <c r="A2271" s="37">
        <v>41486.718379629601</v>
      </c>
      <c r="B2271" s="26" t="s">
        <v>16</v>
      </c>
      <c r="C2271" s="26" t="s">
        <v>406</v>
      </c>
      <c r="D2271" s="33">
        <v>41456</v>
      </c>
      <c r="E2271" s="26" t="s">
        <v>413</v>
      </c>
      <c r="F2271" s="26" t="s">
        <v>414</v>
      </c>
      <c r="G2271" s="26" t="s">
        <v>26</v>
      </c>
      <c r="H2271" s="26" t="s">
        <v>415</v>
      </c>
      <c r="J2271" s="46">
        <v>1</v>
      </c>
      <c r="K2271" s="46">
        <v>7</v>
      </c>
      <c r="L2271" s="136"/>
      <c r="M2271" s="137" t="s">
        <v>44</v>
      </c>
      <c r="N2271" s="138"/>
      <c r="O2271" s="138">
        <v>35</v>
      </c>
      <c r="P2271" s="138"/>
      <c r="Q2271" s="138"/>
      <c r="R2271" s="138"/>
      <c r="S2271" s="138"/>
      <c r="T2271" s="138"/>
      <c r="U2271" s="138"/>
    </row>
    <row r="2272" spans="1:25" s="26" customFormat="1" ht="15" customHeight="1" x14ac:dyDescent="0.2">
      <c r="A2272" s="37">
        <v>41486.718935185199</v>
      </c>
      <c r="B2272" s="26" t="s">
        <v>16</v>
      </c>
      <c r="C2272" s="26" t="s">
        <v>406</v>
      </c>
      <c r="D2272" s="33">
        <v>41456</v>
      </c>
      <c r="E2272" s="26" t="s">
        <v>416</v>
      </c>
      <c r="F2272" s="26" t="s">
        <v>417</v>
      </c>
      <c r="G2272" s="26" t="s">
        <v>26</v>
      </c>
      <c r="H2272" s="26" t="s">
        <v>418</v>
      </c>
      <c r="J2272" s="46">
        <v>1</v>
      </c>
      <c r="K2272" s="46">
        <v>0</v>
      </c>
      <c r="L2272" s="136"/>
      <c r="M2272" s="137" t="s">
        <v>22</v>
      </c>
      <c r="N2272" s="138"/>
      <c r="O2272" s="138"/>
      <c r="P2272" s="138"/>
      <c r="Q2272" s="138"/>
      <c r="R2272" s="138"/>
      <c r="S2272" s="138"/>
      <c r="T2272" s="138"/>
      <c r="U2272" s="138"/>
    </row>
    <row r="2273" spans="1:21" s="26" customFormat="1" ht="15" customHeight="1" x14ac:dyDescent="0.2">
      <c r="A2273" s="37">
        <v>41486.7195138889</v>
      </c>
      <c r="B2273" s="26" t="s">
        <v>16</v>
      </c>
      <c r="C2273" s="26" t="s">
        <v>406</v>
      </c>
      <c r="D2273" s="33">
        <v>41456</v>
      </c>
      <c r="E2273" s="26" t="s">
        <v>419</v>
      </c>
      <c r="F2273" s="26" t="s">
        <v>420</v>
      </c>
      <c r="G2273" s="26" t="s">
        <v>26</v>
      </c>
      <c r="H2273" s="26" t="s">
        <v>421</v>
      </c>
      <c r="J2273" s="46">
        <v>1</v>
      </c>
      <c r="K2273" s="46">
        <v>0</v>
      </c>
      <c r="L2273" s="136"/>
      <c r="M2273" s="137" t="s">
        <v>22</v>
      </c>
      <c r="N2273" s="138"/>
      <c r="O2273" s="138"/>
      <c r="P2273" s="138"/>
      <c r="Q2273" s="138"/>
      <c r="R2273" s="138"/>
      <c r="S2273" s="138"/>
      <c r="T2273" s="138"/>
      <c r="U2273" s="138"/>
    </row>
    <row r="2274" spans="1:21" s="26" customFormat="1" ht="15" customHeight="1" x14ac:dyDescent="0.2">
      <c r="A2274" s="37">
        <v>41486.720555555599</v>
      </c>
      <c r="B2274" s="26" t="s">
        <v>16</v>
      </c>
      <c r="C2274" s="26" t="s">
        <v>406</v>
      </c>
      <c r="D2274" s="33">
        <v>41456</v>
      </c>
      <c r="E2274" s="26" t="s">
        <v>422</v>
      </c>
      <c r="F2274" s="26" t="s">
        <v>423</v>
      </c>
      <c r="G2274" s="26" t="s">
        <v>26</v>
      </c>
      <c r="H2274" s="26" t="s">
        <v>424</v>
      </c>
      <c r="J2274" s="46">
        <v>1</v>
      </c>
      <c r="K2274" s="46">
        <v>8</v>
      </c>
      <c r="L2274" s="136"/>
      <c r="M2274" s="137" t="s">
        <v>44</v>
      </c>
      <c r="N2274" s="138"/>
      <c r="O2274" s="138">
        <v>40</v>
      </c>
      <c r="P2274" s="138"/>
      <c r="Q2274" s="138"/>
      <c r="R2274" s="138"/>
      <c r="S2274" s="138"/>
      <c r="T2274" s="138"/>
      <c r="U2274" s="138"/>
    </row>
    <row r="2275" spans="1:21" s="26" customFormat="1" ht="15" customHeight="1" x14ac:dyDescent="0.2">
      <c r="A2275" s="37">
        <v>41486.721342592602</v>
      </c>
      <c r="B2275" s="26" t="s">
        <v>16</v>
      </c>
      <c r="C2275" s="26" t="s">
        <v>406</v>
      </c>
      <c r="D2275" s="33">
        <v>41456</v>
      </c>
      <c r="E2275" s="26" t="s">
        <v>425</v>
      </c>
      <c r="F2275" s="26" t="s">
        <v>426</v>
      </c>
      <c r="G2275" s="26" t="s">
        <v>26</v>
      </c>
      <c r="H2275" s="26" t="s">
        <v>427</v>
      </c>
      <c r="J2275" s="46">
        <v>1</v>
      </c>
      <c r="K2275" s="46">
        <v>5</v>
      </c>
      <c r="L2275" s="136"/>
      <c r="M2275" s="137" t="s">
        <v>44</v>
      </c>
      <c r="N2275" s="138"/>
      <c r="O2275" s="138">
        <v>25</v>
      </c>
      <c r="P2275" s="138"/>
      <c r="Q2275" s="138"/>
      <c r="R2275" s="138"/>
      <c r="S2275" s="138"/>
      <c r="T2275" s="138"/>
      <c r="U2275" s="138"/>
    </row>
    <row r="2276" spans="1:21" s="26" customFormat="1" ht="15" customHeight="1" x14ac:dyDescent="0.2">
      <c r="A2276" s="37">
        <v>41486.722037036998</v>
      </c>
      <c r="B2276" s="26" t="s">
        <v>16</v>
      </c>
      <c r="C2276" s="26" t="s">
        <v>406</v>
      </c>
      <c r="D2276" s="33">
        <v>41456</v>
      </c>
      <c r="E2276" s="26" t="s">
        <v>428</v>
      </c>
      <c r="F2276" s="26" t="s">
        <v>429</v>
      </c>
      <c r="G2276" s="26" t="s">
        <v>26</v>
      </c>
      <c r="H2276" s="26" t="s">
        <v>430</v>
      </c>
      <c r="J2276" s="46">
        <v>1</v>
      </c>
      <c r="K2276" s="46">
        <v>4</v>
      </c>
      <c r="L2276" s="136"/>
      <c r="M2276" s="137" t="s">
        <v>44</v>
      </c>
      <c r="N2276" s="138"/>
      <c r="O2276" s="138">
        <v>20</v>
      </c>
      <c r="P2276" s="138"/>
      <c r="Q2276" s="138"/>
      <c r="R2276" s="138"/>
      <c r="S2276" s="138"/>
      <c r="T2276" s="138"/>
      <c r="U2276" s="138"/>
    </row>
    <row r="2277" spans="1:21" s="26" customFormat="1" ht="15" customHeight="1" x14ac:dyDescent="0.2">
      <c r="A2277" s="37">
        <v>41486.722627314797</v>
      </c>
      <c r="B2277" s="26" t="s">
        <v>16</v>
      </c>
      <c r="C2277" s="26" t="s">
        <v>406</v>
      </c>
      <c r="D2277" s="33">
        <v>41456</v>
      </c>
      <c r="E2277" s="26" t="s">
        <v>431</v>
      </c>
      <c r="F2277" s="26" t="s">
        <v>432</v>
      </c>
      <c r="G2277" s="26" t="s">
        <v>26</v>
      </c>
      <c r="H2277" s="26" t="s">
        <v>433</v>
      </c>
      <c r="J2277" s="46">
        <v>1</v>
      </c>
      <c r="K2277" s="46">
        <v>21</v>
      </c>
      <c r="L2277" s="136"/>
      <c r="M2277" s="137" t="s">
        <v>44</v>
      </c>
      <c r="N2277" s="138"/>
      <c r="O2277" s="138">
        <v>105</v>
      </c>
      <c r="P2277" s="138"/>
      <c r="Q2277" s="138"/>
      <c r="R2277" s="138"/>
      <c r="S2277" s="138"/>
      <c r="T2277" s="138"/>
      <c r="U2277" s="138"/>
    </row>
    <row r="2278" spans="1:21" s="26" customFormat="1" ht="15" customHeight="1" x14ac:dyDescent="0.2">
      <c r="A2278" s="37">
        <v>41486.723298611098</v>
      </c>
      <c r="B2278" s="26" t="s">
        <v>16</v>
      </c>
      <c r="C2278" s="26" t="s">
        <v>406</v>
      </c>
      <c r="D2278" s="33">
        <v>41456</v>
      </c>
      <c r="E2278" s="26" t="s">
        <v>434</v>
      </c>
      <c r="F2278" s="26" t="s">
        <v>435</v>
      </c>
      <c r="G2278" s="26" t="s">
        <v>26</v>
      </c>
      <c r="H2278" s="26" t="s">
        <v>436</v>
      </c>
      <c r="J2278" s="46">
        <v>1</v>
      </c>
      <c r="K2278" s="46">
        <v>15</v>
      </c>
      <c r="L2278" s="136"/>
      <c r="M2278" s="137" t="s">
        <v>44</v>
      </c>
      <c r="N2278" s="138"/>
      <c r="O2278" s="138">
        <v>75</v>
      </c>
      <c r="P2278" s="138"/>
      <c r="Q2278" s="138"/>
      <c r="R2278" s="138"/>
      <c r="S2278" s="138"/>
      <c r="T2278" s="138"/>
      <c r="U2278" s="138"/>
    </row>
    <row r="2279" spans="1:21" s="26" customFormat="1" ht="15" customHeight="1" x14ac:dyDescent="0.2">
      <c r="A2279" s="37">
        <v>41486.723946759303</v>
      </c>
      <c r="B2279" s="26" t="s">
        <v>16</v>
      </c>
      <c r="C2279" s="26" t="s">
        <v>406</v>
      </c>
      <c r="D2279" s="33">
        <v>41456</v>
      </c>
      <c r="E2279" s="26" t="s">
        <v>437</v>
      </c>
      <c r="F2279" s="26" t="s">
        <v>438</v>
      </c>
      <c r="G2279" s="26" t="s">
        <v>26</v>
      </c>
      <c r="H2279" s="26" t="s">
        <v>439</v>
      </c>
      <c r="J2279" s="46">
        <v>1</v>
      </c>
      <c r="K2279" s="46">
        <v>6</v>
      </c>
      <c r="L2279" s="136"/>
      <c r="M2279" s="137" t="s">
        <v>44</v>
      </c>
      <c r="N2279" s="138"/>
      <c r="O2279" s="138">
        <v>30</v>
      </c>
      <c r="P2279" s="138"/>
      <c r="Q2279" s="138"/>
      <c r="R2279" s="138"/>
      <c r="S2279" s="138"/>
      <c r="T2279" s="138"/>
      <c r="U2279" s="138"/>
    </row>
    <row r="2280" spans="1:21" s="26" customFormat="1" ht="15" customHeight="1" x14ac:dyDescent="0.2">
      <c r="A2280" s="37">
        <v>41486.724710648101</v>
      </c>
      <c r="B2280" s="26" t="s">
        <v>16</v>
      </c>
      <c r="C2280" s="26" t="s">
        <v>406</v>
      </c>
      <c r="D2280" s="33">
        <v>41456</v>
      </c>
      <c r="E2280" s="26" t="s">
        <v>410</v>
      </c>
      <c r="F2280" s="26" t="s">
        <v>440</v>
      </c>
      <c r="G2280" s="26" t="s">
        <v>26</v>
      </c>
      <c r="H2280" s="26" t="s">
        <v>441</v>
      </c>
      <c r="J2280" s="46">
        <v>1</v>
      </c>
      <c r="K2280" s="46">
        <v>6</v>
      </c>
      <c r="L2280" s="136"/>
      <c r="M2280" s="137" t="s">
        <v>44</v>
      </c>
      <c r="N2280" s="138"/>
      <c r="O2280" s="138">
        <v>30</v>
      </c>
      <c r="P2280" s="138"/>
      <c r="Q2280" s="138"/>
      <c r="R2280" s="138"/>
      <c r="S2280" s="138"/>
      <c r="T2280" s="138"/>
      <c r="U2280" s="138"/>
    </row>
    <row r="2281" spans="1:21" s="26" customFormat="1" ht="15" customHeight="1" x14ac:dyDescent="0.2">
      <c r="A2281" s="37">
        <v>41486.731030092596</v>
      </c>
      <c r="B2281" s="26" t="s">
        <v>16</v>
      </c>
      <c r="C2281" s="26" t="s">
        <v>406</v>
      </c>
      <c r="D2281" s="33">
        <v>41456</v>
      </c>
      <c r="E2281" s="26" t="s">
        <v>442</v>
      </c>
      <c r="F2281" s="26" t="s">
        <v>443</v>
      </c>
      <c r="G2281" s="26" t="s">
        <v>26</v>
      </c>
      <c r="H2281" s="26" t="s">
        <v>444</v>
      </c>
      <c r="J2281" s="46">
        <v>1</v>
      </c>
      <c r="K2281" s="46">
        <v>4</v>
      </c>
      <c r="L2281" s="136"/>
      <c r="M2281" s="137" t="s">
        <v>44</v>
      </c>
      <c r="N2281" s="138"/>
      <c r="O2281" s="138">
        <v>20</v>
      </c>
      <c r="P2281" s="138"/>
      <c r="Q2281" s="138"/>
      <c r="R2281" s="138"/>
      <c r="S2281" s="138"/>
      <c r="T2281" s="138"/>
      <c r="U2281" s="138"/>
    </row>
    <row r="2282" spans="1:21" s="26" customFormat="1" ht="15" customHeight="1" x14ac:dyDescent="0.2">
      <c r="A2282" s="37">
        <v>41486.732326388897</v>
      </c>
      <c r="B2282" s="26" t="s">
        <v>16</v>
      </c>
      <c r="C2282" s="26" t="s">
        <v>406</v>
      </c>
      <c r="D2282" s="33">
        <v>41456</v>
      </c>
      <c r="E2282" s="26" t="s">
        <v>445</v>
      </c>
      <c r="F2282" s="26" t="s">
        <v>420</v>
      </c>
      <c r="G2282" s="26" t="s">
        <v>26</v>
      </c>
      <c r="H2282" s="26" t="s">
        <v>421</v>
      </c>
      <c r="J2282" s="46">
        <v>1</v>
      </c>
      <c r="K2282" s="46">
        <v>2</v>
      </c>
      <c r="L2282" s="136"/>
      <c r="M2282" s="137" t="s">
        <v>44</v>
      </c>
      <c r="N2282" s="138"/>
      <c r="O2282" s="138">
        <v>10</v>
      </c>
      <c r="P2282" s="138"/>
      <c r="Q2282" s="138"/>
      <c r="R2282" s="138"/>
      <c r="S2282" s="138"/>
      <c r="T2282" s="138"/>
      <c r="U2282" s="138"/>
    </row>
    <row r="2283" spans="1:21" s="26" customFormat="1" ht="15" customHeight="1" x14ac:dyDescent="0.2">
      <c r="A2283" s="37">
        <v>41486.7328935185</v>
      </c>
      <c r="B2283" s="26" t="s">
        <v>16</v>
      </c>
      <c r="C2283" s="26" t="s">
        <v>406</v>
      </c>
      <c r="D2283" s="33">
        <v>41456</v>
      </c>
      <c r="E2283" s="26" t="s">
        <v>410</v>
      </c>
      <c r="F2283" s="26" t="s">
        <v>435</v>
      </c>
      <c r="G2283" s="26" t="s">
        <v>26</v>
      </c>
      <c r="H2283" s="26" t="s">
        <v>436</v>
      </c>
      <c r="J2283" s="46">
        <v>1</v>
      </c>
      <c r="K2283" s="46">
        <v>19</v>
      </c>
      <c r="L2283" s="136"/>
      <c r="M2283" s="137" t="s">
        <v>44</v>
      </c>
      <c r="N2283" s="138"/>
      <c r="O2283" s="138">
        <v>95</v>
      </c>
      <c r="P2283" s="138"/>
      <c r="Q2283" s="138"/>
      <c r="R2283" s="138"/>
      <c r="S2283" s="138"/>
      <c r="T2283" s="138"/>
      <c r="U2283" s="138"/>
    </row>
    <row r="2284" spans="1:21" s="26" customFormat="1" ht="15" customHeight="1" x14ac:dyDescent="0.2">
      <c r="A2284" s="37">
        <v>41486.734479166698</v>
      </c>
      <c r="B2284" s="26" t="s">
        <v>16</v>
      </c>
      <c r="C2284" s="26" t="s">
        <v>406</v>
      </c>
      <c r="D2284" s="33">
        <v>41456</v>
      </c>
      <c r="E2284" s="26" t="s">
        <v>446</v>
      </c>
      <c r="F2284" s="26" t="s">
        <v>447</v>
      </c>
      <c r="G2284" s="26" t="s">
        <v>26</v>
      </c>
      <c r="H2284" s="26" t="s">
        <v>448</v>
      </c>
      <c r="J2284" s="46">
        <v>1</v>
      </c>
      <c r="K2284" s="46">
        <v>7</v>
      </c>
      <c r="L2284" s="136"/>
      <c r="M2284" s="137" t="s">
        <v>44</v>
      </c>
      <c r="N2284" s="138"/>
      <c r="O2284" s="138">
        <v>35</v>
      </c>
      <c r="P2284" s="138"/>
      <c r="Q2284" s="138"/>
      <c r="R2284" s="138"/>
      <c r="S2284" s="138"/>
      <c r="T2284" s="138"/>
      <c r="U2284" s="138"/>
    </row>
    <row r="2285" spans="1:21" s="26" customFormat="1" ht="15" customHeight="1" x14ac:dyDescent="0.2">
      <c r="A2285" s="37">
        <v>41486.735115740703</v>
      </c>
      <c r="B2285" s="26" t="s">
        <v>16</v>
      </c>
      <c r="C2285" s="26" t="s">
        <v>406</v>
      </c>
      <c r="D2285" s="33">
        <v>41456</v>
      </c>
      <c r="E2285" s="26" t="s">
        <v>449</v>
      </c>
      <c r="F2285" s="26" t="s">
        <v>450</v>
      </c>
      <c r="G2285" s="26" t="s">
        <v>26</v>
      </c>
      <c r="H2285" s="26" t="s">
        <v>451</v>
      </c>
      <c r="J2285" s="46">
        <v>1</v>
      </c>
      <c r="K2285" s="46">
        <v>13</v>
      </c>
      <c r="L2285" s="136"/>
      <c r="M2285" s="137" t="s">
        <v>44</v>
      </c>
      <c r="N2285" s="138"/>
      <c r="O2285" s="138">
        <v>65</v>
      </c>
      <c r="P2285" s="138"/>
      <c r="Q2285" s="138"/>
      <c r="R2285" s="138"/>
      <c r="S2285" s="138"/>
      <c r="T2285" s="138"/>
      <c r="U2285" s="138"/>
    </row>
    <row r="2286" spans="1:21" s="26" customFormat="1" ht="15" customHeight="1" x14ac:dyDescent="0.2">
      <c r="A2286" s="37">
        <v>41486.735613425903</v>
      </c>
      <c r="B2286" s="26" t="s">
        <v>16</v>
      </c>
      <c r="C2286" s="26" t="s">
        <v>406</v>
      </c>
      <c r="D2286" s="33">
        <v>41456</v>
      </c>
      <c r="E2286" s="26" t="s">
        <v>434</v>
      </c>
      <c r="F2286" s="26" t="s">
        <v>435</v>
      </c>
      <c r="G2286" s="26" t="s">
        <v>26</v>
      </c>
      <c r="H2286" s="26" t="s">
        <v>436</v>
      </c>
      <c r="J2286" s="46">
        <v>1</v>
      </c>
      <c r="K2286" s="46">
        <v>9</v>
      </c>
      <c r="L2286" s="136"/>
      <c r="M2286" s="137" t="s">
        <v>44</v>
      </c>
      <c r="N2286" s="138"/>
      <c r="O2286" s="138">
        <v>45</v>
      </c>
      <c r="P2286" s="138"/>
      <c r="Q2286" s="138"/>
      <c r="R2286" s="138"/>
      <c r="S2286" s="138"/>
      <c r="T2286" s="138"/>
      <c r="U2286" s="138"/>
    </row>
    <row r="2287" spans="1:21" s="26" customFormat="1" ht="15" customHeight="1" x14ac:dyDescent="0.2">
      <c r="A2287" s="37">
        <v>41486.736018518503</v>
      </c>
      <c r="B2287" s="26" t="s">
        <v>16</v>
      </c>
      <c r="C2287" s="26" t="s">
        <v>406</v>
      </c>
      <c r="D2287" s="33">
        <v>41456</v>
      </c>
      <c r="E2287" s="26" t="s">
        <v>437</v>
      </c>
      <c r="F2287" s="26" t="s">
        <v>440</v>
      </c>
      <c r="G2287" s="26" t="s">
        <v>26</v>
      </c>
      <c r="H2287" s="26" t="s">
        <v>441</v>
      </c>
      <c r="J2287" s="46">
        <v>1</v>
      </c>
      <c r="K2287" s="46">
        <v>0</v>
      </c>
      <c r="L2287" s="136"/>
      <c r="M2287" s="137" t="s">
        <v>22</v>
      </c>
      <c r="N2287" s="138"/>
      <c r="O2287" s="138"/>
      <c r="P2287" s="138"/>
      <c r="Q2287" s="138"/>
      <c r="R2287" s="138"/>
      <c r="S2287" s="138"/>
      <c r="T2287" s="138"/>
      <c r="U2287" s="138"/>
    </row>
    <row r="2288" spans="1:21" s="26" customFormat="1" ht="15" customHeight="1" x14ac:dyDescent="0.2">
      <c r="A2288" s="37">
        <v>41486.736793981501</v>
      </c>
      <c r="B2288" s="26" t="s">
        <v>16</v>
      </c>
      <c r="C2288" s="26" t="s">
        <v>406</v>
      </c>
      <c r="D2288" s="33">
        <v>41456</v>
      </c>
      <c r="E2288" s="26" t="s">
        <v>452</v>
      </c>
      <c r="F2288" s="26" t="s">
        <v>411</v>
      </c>
      <c r="G2288" s="26" t="s">
        <v>26</v>
      </c>
      <c r="H2288" s="26" t="s">
        <v>412</v>
      </c>
      <c r="J2288" s="46">
        <v>1</v>
      </c>
      <c r="K2288" s="46">
        <v>0</v>
      </c>
      <c r="L2288" s="136"/>
      <c r="M2288" s="137" t="s">
        <v>22</v>
      </c>
      <c r="N2288" s="138"/>
      <c r="O2288" s="138"/>
      <c r="P2288" s="138"/>
      <c r="Q2288" s="138"/>
      <c r="R2288" s="138"/>
      <c r="S2288" s="138"/>
      <c r="T2288" s="138"/>
      <c r="U2288" s="138"/>
    </row>
    <row r="2289" spans="1:21" s="26" customFormat="1" ht="15" customHeight="1" x14ac:dyDescent="0.2">
      <c r="A2289" s="37">
        <v>41486.737337963001</v>
      </c>
      <c r="B2289" s="26" t="s">
        <v>16</v>
      </c>
      <c r="C2289" s="26" t="s">
        <v>406</v>
      </c>
      <c r="D2289" s="33">
        <v>41456</v>
      </c>
      <c r="E2289" s="26" t="s">
        <v>453</v>
      </c>
      <c r="F2289" s="26" t="s">
        <v>423</v>
      </c>
      <c r="G2289" s="26" t="s">
        <v>26</v>
      </c>
      <c r="H2289" s="26" t="s">
        <v>424</v>
      </c>
      <c r="J2289" s="46">
        <v>1</v>
      </c>
      <c r="K2289" s="46">
        <v>0</v>
      </c>
      <c r="L2289" s="136"/>
      <c r="M2289" s="137" t="s">
        <v>22</v>
      </c>
      <c r="N2289" s="138"/>
      <c r="O2289" s="138"/>
      <c r="P2289" s="138"/>
      <c r="Q2289" s="138"/>
      <c r="R2289" s="138"/>
      <c r="S2289" s="138"/>
      <c r="T2289" s="138"/>
      <c r="U2289" s="138"/>
    </row>
    <row r="2290" spans="1:21" s="26" customFormat="1" ht="15" customHeight="1" x14ac:dyDescent="0.2">
      <c r="A2290" s="37">
        <v>41486.738379629598</v>
      </c>
      <c r="B2290" s="26" t="s">
        <v>16</v>
      </c>
      <c r="C2290" s="26" t="s">
        <v>406</v>
      </c>
      <c r="D2290" s="33">
        <v>41456</v>
      </c>
      <c r="E2290" s="26" t="s">
        <v>454</v>
      </c>
      <c r="F2290" s="26" t="s">
        <v>455</v>
      </c>
      <c r="G2290" s="26" t="s">
        <v>26</v>
      </c>
      <c r="H2290" s="26" t="s">
        <v>456</v>
      </c>
      <c r="J2290" s="46">
        <v>1</v>
      </c>
      <c r="K2290" s="46">
        <v>4</v>
      </c>
      <c r="L2290" s="136"/>
      <c r="M2290" s="137" t="s">
        <v>44</v>
      </c>
      <c r="N2290" s="138"/>
      <c r="O2290" s="138">
        <v>20</v>
      </c>
      <c r="P2290" s="138"/>
      <c r="Q2290" s="138"/>
      <c r="R2290" s="138"/>
      <c r="S2290" s="138"/>
      <c r="T2290" s="138"/>
      <c r="U2290" s="138"/>
    </row>
    <row r="2291" spans="1:21" s="26" customFormat="1" ht="15" customHeight="1" x14ac:dyDescent="0.2">
      <c r="A2291" s="37">
        <v>41486.739166666703</v>
      </c>
      <c r="B2291" s="26" t="s">
        <v>16</v>
      </c>
      <c r="C2291" s="26" t="s">
        <v>406</v>
      </c>
      <c r="D2291" s="33">
        <v>41456</v>
      </c>
      <c r="E2291" s="26" t="s">
        <v>457</v>
      </c>
      <c r="F2291" s="26" t="s">
        <v>458</v>
      </c>
      <c r="G2291" s="26" t="s">
        <v>26</v>
      </c>
      <c r="H2291" s="26" t="s">
        <v>459</v>
      </c>
      <c r="J2291" s="46">
        <v>1</v>
      </c>
      <c r="K2291" s="46">
        <v>23</v>
      </c>
      <c r="L2291" s="136"/>
      <c r="M2291" s="137" t="s">
        <v>44</v>
      </c>
      <c r="N2291" s="138"/>
      <c r="O2291" s="138">
        <v>115</v>
      </c>
      <c r="P2291" s="138"/>
      <c r="Q2291" s="138"/>
      <c r="R2291" s="138"/>
      <c r="S2291" s="138"/>
      <c r="T2291" s="138"/>
      <c r="U2291" s="138"/>
    </row>
    <row r="2292" spans="1:21" s="26" customFormat="1" ht="15" customHeight="1" x14ac:dyDescent="0.2">
      <c r="A2292" s="37">
        <v>41486.7396643518</v>
      </c>
      <c r="B2292" s="26" t="s">
        <v>16</v>
      </c>
      <c r="C2292" s="26" t="s">
        <v>406</v>
      </c>
      <c r="D2292" s="33">
        <v>41456</v>
      </c>
      <c r="E2292" s="26" t="s">
        <v>460</v>
      </c>
      <c r="F2292" s="26" t="s">
        <v>429</v>
      </c>
      <c r="G2292" s="26" t="s">
        <v>26</v>
      </c>
      <c r="H2292" s="26" t="s">
        <v>430</v>
      </c>
      <c r="J2292" s="46">
        <v>1</v>
      </c>
      <c r="K2292" s="46">
        <v>0</v>
      </c>
      <c r="L2292" s="136"/>
      <c r="M2292" s="137" t="s">
        <v>22</v>
      </c>
      <c r="N2292" s="138"/>
      <c r="O2292" s="138"/>
      <c r="P2292" s="138"/>
      <c r="Q2292" s="138"/>
      <c r="R2292" s="138"/>
      <c r="S2292" s="138"/>
      <c r="T2292" s="138"/>
      <c r="U2292" s="138"/>
    </row>
    <row r="2293" spans="1:21" s="26" customFormat="1" ht="15" customHeight="1" x14ac:dyDescent="0.2">
      <c r="A2293" s="37">
        <v>41486.740752314799</v>
      </c>
      <c r="B2293" s="26" t="s">
        <v>16</v>
      </c>
      <c r="C2293" s="26" t="s">
        <v>406</v>
      </c>
      <c r="D2293" s="33">
        <v>41456</v>
      </c>
      <c r="E2293" s="26" t="s">
        <v>449</v>
      </c>
      <c r="F2293" s="26" t="s">
        <v>461</v>
      </c>
      <c r="G2293" s="26" t="s">
        <v>26</v>
      </c>
      <c r="H2293" s="26" t="s">
        <v>462</v>
      </c>
      <c r="J2293" s="46">
        <v>1</v>
      </c>
      <c r="K2293" s="46">
        <v>19</v>
      </c>
      <c r="L2293" s="136"/>
      <c r="M2293" s="137" t="s">
        <v>44</v>
      </c>
      <c r="N2293" s="138"/>
      <c r="O2293" s="138">
        <v>95</v>
      </c>
      <c r="P2293" s="138"/>
      <c r="Q2293" s="138"/>
      <c r="R2293" s="138"/>
      <c r="S2293" s="138"/>
      <c r="T2293" s="138"/>
      <c r="U2293" s="138"/>
    </row>
    <row r="2294" spans="1:21" s="26" customFormat="1" ht="15" customHeight="1" x14ac:dyDescent="0.2">
      <c r="A2294" s="37">
        <v>41486.741261574098</v>
      </c>
      <c r="B2294" s="26" t="s">
        <v>16</v>
      </c>
      <c r="C2294" s="26" t="s">
        <v>406</v>
      </c>
      <c r="D2294" s="33">
        <v>41456</v>
      </c>
      <c r="E2294" s="26" t="s">
        <v>434</v>
      </c>
      <c r="F2294" s="26" t="s">
        <v>435</v>
      </c>
      <c r="G2294" s="26" t="s">
        <v>26</v>
      </c>
      <c r="H2294" s="26" t="s">
        <v>436</v>
      </c>
      <c r="J2294" s="46">
        <v>1</v>
      </c>
      <c r="K2294" s="46">
        <v>22</v>
      </c>
      <c r="L2294" s="136"/>
      <c r="M2294" s="137" t="s">
        <v>44</v>
      </c>
      <c r="N2294" s="138"/>
      <c r="O2294" s="138">
        <v>110</v>
      </c>
      <c r="P2294" s="138"/>
      <c r="Q2294" s="138"/>
      <c r="R2294" s="138"/>
      <c r="S2294" s="138"/>
      <c r="T2294" s="138"/>
      <c r="U2294" s="138"/>
    </row>
    <row r="2295" spans="1:21" s="26" customFormat="1" ht="15" customHeight="1" x14ac:dyDescent="0.2">
      <c r="A2295" s="37">
        <v>41486.741909722201</v>
      </c>
      <c r="B2295" s="26" t="s">
        <v>16</v>
      </c>
      <c r="C2295" s="26" t="s">
        <v>406</v>
      </c>
      <c r="D2295" s="33">
        <v>41456</v>
      </c>
      <c r="E2295" s="26" t="s">
        <v>437</v>
      </c>
      <c r="F2295" s="26" t="s">
        <v>463</v>
      </c>
      <c r="G2295" s="26" t="s">
        <v>26</v>
      </c>
      <c r="H2295" s="26" t="s">
        <v>464</v>
      </c>
      <c r="J2295" s="46">
        <v>1</v>
      </c>
      <c r="K2295" s="46">
        <v>0</v>
      </c>
      <c r="L2295" s="136"/>
      <c r="M2295" s="137" t="s">
        <v>22</v>
      </c>
      <c r="N2295" s="138"/>
      <c r="O2295" s="138"/>
      <c r="P2295" s="138"/>
      <c r="Q2295" s="138"/>
      <c r="R2295" s="138"/>
      <c r="S2295" s="138"/>
      <c r="T2295" s="138"/>
      <c r="U2295" s="138"/>
    </row>
    <row r="2296" spans="1:21" s="26" customFormat="1" ht="15" customHeight="1" x14ac:dyDescent="0.2">
      <c r="A2296" s="37">
        <v>41486.742395833302</v>
      </c>
      <c r="B2296" s="26" t="s">
        <v>16</v>
      </c>
      <c r="C2296" s="26" t="s">
        <v>406</v>
      </c>
      <c r="D2296" s="33">
        <v>41456</v>
      </c>
      <c r="E2296" s="26" t="s">
        <v>452</v>
      </c>
      <c r="F2296" s="26" t="s">
        <v>440</v>
      </c>
      <c r="G2296" s="26" t="s">
        <v>26</v>
      </c>
      <c r="H2296" s="26" t="s">
        <v>441</v>
      </c>
      <c r="J2296" s="46">
        <v>1</v>
      </c>
      <c r="K2296" s="46">
        <v>0</v>
      </c>
      <c r="L2296" s="136"/>
      <c r="M2296" s="137" t="s">
        <v>22</v>
      </c>
      <c r="N2296" s="138"/>
      <c r="O2296" s="138"/>
      <c r="P2296" s="138"/>
      <c r="Q2296" s="138"/>
      <c r="R2296" s="138"/>
      <c r="S2296" s="138"/>
      <c r="T2296" s="138"/>
      <c r="U2296" s="138"/>
    </row>
    <row r="2297" spans="1:21" s="26" customFormat="1" ht="15" customHeight="1" x14ac:dyDescent="0.2">
      <c r="A2297" s="37">
        <v>41487.499837962998</v>
      </c>
      <c r="B2297" s="26" t="s">
        <v>16</v>
      </c>
      <c r="C2297" s="26" t="s">
        <v>406</v>
      </c>
      <c r="D2297" s="33">
        <v>41456</v>
      </c>
      <c r="E2297" s="26" t="s">
        <v>469</v>
      </c>
      <c r="F2297" s="26" t="s">
        <v>470</v>
      </c>
      <c r="G2297" s="26" t="s">
        <v>26</v>
      </c>
      <c r="H2297" s="26" t="s">
        <v>471</v>
      </c>
      <c r="J2297" s="46">
        <v>1</v>
      </c>
      <c r="K2297" s="46">
        <v>3</v>
      </c>
      <c r="L2297" s="136"/>
      <c r="M2297" s="137" t="s">
        <v>44</v>
      </c>
      <c r="N2297" s="138"/>
      <c r="O2297" s="138">
        <v>15</v>
      </c>
      <c r="P2297" s="138"/>
      <c r="Q2297" s="138"/>
      <c r="R2297" s="138"/>
      <c r="S2297" s="138"/>
      <c r="T2297" s="138"/>
      <c r="U2297" s="138"/>
    </row>
    <row r="2298" spans="1:21" s="26" customFormat="1" ht="15" customHeight="1" x14ac:dyDescent="0.2">
      <c r="A2298" s="37">
        <v>41487.5004050926</v>
      </c>
      <c r="B2298" s="26" t="s">
        <v>16</v>
      </c>
      <c r="C2298" s="26" t="s">
        <v>406</v>
      </c>
      <c r="D2298" s="33">
        <v>41456</v>
      </c>
      <c r="E2298" s="26" t="s">
        <v>472</v>
      </c>
      <c r="F2298" s="26" t="s">
        <v>473</v>
      </c>
      <c r="G2298" s="26" t="s">
        <v>26</v>
      </c>
      <c r="H2298" s="26" t="s">
        <v>474</v>
      </c>
      <c r="J2298" s="46">
        <v>1</v>
      </c>
      <c r="K2298" s="46">
        <v>0</v>
      </c>
      <c r="L2298" s="136"/>
      <c r="M2298" s="137" t="s">
        <v>22</v>
      </c>
      <c r="N2298" s="138"/>
      <c r="O2298" s="138"/>
      <c r="P2298" s="138"/>
      <c r="Q2298" s="138"/>
      <c r="R2298" s="138"/>
      <c r="S2298" s="138"/>
      <c r="T2298" s="138"/>
      <c r="U2298" s="138"/>
    </row>
    <row r="2299" spans="1:21" s="26" customFormat="1" ht="15" customHeight="1" x14ac:dyDescent="0.2">
      <c r="A2299" s="37">
        <v>41487.500995370399</v>
      </c>
      <c r="B2299" s="26" t="s">
        <v>16</v>
      </c>
      <c r="C2299" s="26" t="s">
        <v>406</v>
      </c>
      <c r="D2299" s="33">
        <v>41456</v>
      </c>
      <c r="E2299" s="26" t="s">
        <v>475</v>
      </c>
      <c r="F2299" s="26" t="s">
        <v>476</v>
      </c>
      <c r="G2299" s="26" t="s">
        <v>26</v>
      </c>
      <c r="H2299" s="26" t="s">
        <v>477</v>
      </c>
      <c r="J2299" s="46">
        <v>1</v>
      </c>
      <c r="K2299" s="46">
        <v>0</v>
      </c>
      <c r="L2299" s="136"/>
      <c r="M2299" s="137" t="s">
        <v>22</v>
      </c>
      <c r="N2299" s="138"/>
      <c r="O2299" s="138"/>
      <c r="P2299" s="138"/>
      <c r="Q2299" s="138"/>
      <c r="R2299" s="138"/>
      <c r="S2299" s="138"/>
      <c r="T2299" s="138"/>
      <c r="U2299" s="138"/>
    </row>
    <row r="2300" spans="1:21" s="26" customFormat="1" ht="15" customHeight="1" x14ac:dyDescent="0.2">
      <c r="A2300" s="37">
        <v>41487.501655092601</v>
      </c>
      <c r="B2300" s="26" t="s">
        <v>16</v>
      </c>
      <c r="C2300" s="26" t="s">
        <v>406</v>
      </c>
      <c r="D2300" s="33">
        <v>41456</v>
      </c>
      <c r="E2300" s="26" t="s">
        <v>478</v>
      </c>
      <c r="F2300" s="26" t="s">
        <v>408</v>
      </c>
      <c r="G2300" s="26" t="s">
        <v>26</v>
      </c>
      <c r="H2300" s="26" t="s">
        <v>479</v>
      </c>
      <c r="J2300" s="46">
        <v>1</v>
      </c>
      <c r="K2300" s="46">
        <v>0</v>
      </c>
      <c r="L2300" s="136"/>
      <c r="M2300" s="137" t="s">
        <v>22</v>
      </c>
      <c r="N2300" s="138"/>
      <c r="O2300" s="138"/>
      <c r="P2300" s="138"/>
      <c r="Q2300" s="138"/>
      <c r="R2300" s="138"/>
      <c r="S2300" s="138"/>
      <c r="T2300" s="138"/>
      <c r="U2300" s="138"/>
    </row>
    <row r="2301" spans="1:21" s="26" customFormat="1" ht="15" customHeight="1" x14ac:dyDescent="0.2">
      <c r="A2301" s="37">
        <v>41487.502175925903</v>
      </c>
      <c r="B2301" s="26" t="s">
        <v>16</v>
      </c>
      <c r="C2301" s="26" t="s">
        <v>406</v>
      </c>
      <c r="D2301" s="33">
        <v>41456</v>
      </c>
      <c r="E2301" s="26" t="s">
        <v>472</v>
      </c>
      <c r="F2301" s="26" t="s">
        <v>414</v>
      </c>
      <c r="G2301" s="26" t="s">
        <v>26</v>
      </c>
      <c r="H2301" s="26" t="s">
        <v>480</v>
      </c>
      <c r="J2301" s="46">
        <v>1</v>
      </c>
      <c r="K2301" s="46">
        <v>0</v>
      </c>
      <c r="L2301" s="136"/>
      <c r="M2301" s="137" t="s">
        <v>22</v>
      </c>
      <c r="N2301" s="138"/>
      <c r="O2301" s="138"/>
      <c r="P2301" s="138"/>
      <c r="Q2301" s="138"/>
      <c r="R2301" s="138"/>
      <c r="S2301" s="138"/>
      <c r="T2301" s="138"/>
      <c r="U2301" s="138"/>
    </row>
    <row r="2302" spans="1:21" s="26" customFormat="1" ht="15" customHeight="1" x14ac:dyDescent="0.2">
      <c r="A2302" s="37">
        <v>41487.502673611103</v>
      </c>
      <c r="B2302" s="26" t="s">
        <v>16</v>
      </c>
      <c r="C2302" s="26" t="s">
        <v>406</v>
      </c>
      <c r="D2302" s="33">
        <v>41456</v>
      </c>
      <c r="E2302" s="26" t="s">
        <v>481</v>
      </c>
      <c r="F2302" s="26" t="s">
        <v>482</v>
      </c>
      <c r="G2302" s="26" t="s">
        <v>26</v>
      </c>
      <c r="H2302" s="26" t="s">
        <v>483</v>
      </c>
      <c r="J2302" s="46">
        <v>1</v>
      </c>
      <c r="K2302" s="46">
        <v>0</v>
      </c>
      <c r="L2302" s="136"/>
      <c r="M2302" s="137" t="s">
        <v>22</v>
      </c>
      <c r="N2302" s="138"/>
      <c r="O2302" s="138"/>
      <c r="P2302" s="138"/>
      <c r="Q2302" s="138"/>
      <c r="R2302" s="138"/>
      <c r="S2302" s="138"/>
      <c r="T2302" s="138"/>
      <c r="U2302" s="138"/>
    </row>
    <row r="2303" spans="1:21" s="26" customFormat="1" ht="15" customHeight="1" x14ac:dyDescent="0.2">
      <c r="A2303" s="37">
        <v>41487.503194444398</v>
      </c>
      <c r="B2303" s="26" t="s">
        <v>16</v>
      </c>
      <c r="C2303" s="26" t="s">
        <v>406</v>
      </c>
      <c r="D2303" s="33">
        <v>41456</v>
      </c>
      <c r="E2303" s="26" t="s">
        <v>484</v>
      </c>
      <c r="F2303" s="26" t="s">
        <v>485</v>
      </c>
      <c r="G2303" s="26" t="s">
        <v>26</v>
      </c>
      <c r="H2303" s="26" t="s">
        <v>486</v>
      </c>
      <c r="J2303" s="46">
        <v>1</v>
      </c>
      <c r="K2303" s="46">
        <v>4</v>
      </c>
      <c r="L2303" s="136"/>
      <c r="M2303" s="137" t="s">
        <v>44</v>
      </c>
      <c r="N2303" s="138"/>
      <c r="O2303" s="138">
        <v>20</v>
      </c>
      <c r="P2303" s="138"/>
      <c r="Q2303" s="138"/>
      <c r="R2303" s="138"/>
      <c r="S2303" s="138"/>
      <c r="T2303" s="138"/>
      <c r="U2303" s="138"/>
    </row>
    <row r="2304" spans="1:21" s="26" customFormat="1" ht="15" customHeight="1" x14ac:dyDescent="0.2">
      <c r="A2304" s="37">
        <v>41487.506805555597</v>
      </c>
      <c r="B2304" s="26" t="s">
        <v>16</v>
      </c>
      <c r="C2304" s="26" t="s">
        <v>406</v>
      </c>
      <c r="D2304" s="33">
        <v>41456</v>
      </c>
      <c r="E2304" s="26" t="s">
        <v>487</v>
      </c>
      <c r="F2304" s="26" t="s">
        <v>488</v>
      </c>
      <c r="G2304" s="26" t="s">
        <v>42</v>
      </c>
      <c r="H2304" s="26" t="s">
        <v>489</v>
      </c>
      <c r="J2304" s="115">
        <v>1</v>
      </c>
      <c r="K2304" s="115">
        <v>15</v>
      </c>
      <c r="L2304" s="136">
        <v>30</v>
      </c>
      <c r="M2304" s="137" t="s">
        <v>44</v>
      </c>
      <c r="N2304" s="138"/>
      <c r="O2304" s="138">
        <v>75</v>
      </c>
      <c r="P2304" s="138"/>
      <c r="Q2304" s="138"/>
      <c r="R2304" s="138"/>
      <c r="S2304" s="138"/>
      <c r="T2304" s="138"/>
      <c r="U2304" s="138"/>
    </row>
    <row r="2305" spans="1:22" s="26" customFormat="1" ht="15" customHeight="1" x14ac:dyDescent="0.2">
      <c r="A2305" s="37">
        <v>41487.507569444402</v>
      </c>
      <c r="B2305" s="26" t="s">
        <v>16</v>
      </c>
      <c r="C2305" s="26" t="s">
        <v>406</v>
      </c>
      <c r="D2305" s="33">
        <v>41456</v>
      </c>
      <c r="E2305" s="26" t="s">
        <v>490</v>
      </c>
      <c r="F2305" s="26" t="s">
        <v>429</v>
      </c>
      <c r="G2305" s="26" t="s">
        <v>42</v>
      </c>
      <c r="H2305" s="26" t="s">
        <v>491</v>
      </c>
      <c r="J2305" s="115">
        <v>1</v>
      </c>
      <c r="K2305" s="115">
        <v>21</v>
      </c>
      <c r="L2305" s="136">
        <v>42</v>
      </c>
      <c r="M2305" s="137" t="s">
        <v>44</v>
      </c>
      <c r="N2305" s="138"/>
      <c r="O2305" s="138">
        <v>105</v>
      </c>
      <c r="P2305" s="138"/>
      <c r="Q2305" s="138"/>
      <c r="R2305" s="138"/>
      <c r="S2305" s="138"/>
      <c r="T2305" s="138"/>
      <c r="U2305" s="138"/>
    </row>
    <row r="2306" spans="1:22" s="26" customFormat="1" ht="15" customHeight="1" x14ac:dyDescent="0.2">
      <c r="A2306" s="37">
        <v>41487.508379629602</v>
      </c>
      <c r="B2306" s="26" t="s">
        <v>16</v>
      </c>
      <c r="C2306" s="26" t="s">
        <v>406</v>
      </c>
      <c r="D2306" s="33">
        <v>41456</v>
      </c>
      <c r="E2306" s="26" t="s">
        <v>492</v>
      </c>
      <c r="F2306" s="26" t="s">
        <v>429</v>
      </c>
      <c r="G2306" s="26" t="s">
        <v>42</v>
      </c>
      <c r="H2306" s="26" t="s">
        <v>493</v>
      </c>
      <c r="J2306" s="115">
        <v>1</v>
      </c>
      <c r="K2306" s="115">
        <v>15</v>
      </c>
      <c r="L2306" s="136">
        <v>30</v>
      </c>
      <c r="M2306" s="137" t="s">
        <v>44</v>
      </c>
      <c r="N2306" s="138"/>
      <c r="O2306" s="138">
        <v>75</v>
      </c>
      <c r="P2306" s="138"/>
      <c r="Q2306" s="138"/>
      <c r="R2306" s="138"/>
      <c r="S2306" s="138"/>
      <c r="T2306" s="138"/>
      <c r="U2306" s="138"/>
    </row>
    <row r="2307" spans="1:22" s="26" customFormat="1" ht="15" customHeight="1" x14ac:dyDescent="0.2">
      <c r="A2307" s="37">
        <v>41487.509097222202</v>
      </c>
      <c r="B2307" s="26" t="s">
        <v>16</v>
      </c>
      <c r="C2307" s="26" t="s">
        <v>406</v>
      </c>
      <c r="D2307" s="33">
        <v>41456</v>
      </c>
      <c r="E2307" s="26" t="s">
        <v>494</v>
      </c>
      <c r="F2307" s="26" t="s">
        <v>495</v>
      </c>
      <c r="G2307" s="26" t="s">
        <v>42</v>
      </c>
      <c r="H2307" s="26" t="s">
        <v>496</v>
      </c>
      <c r="J2307" s="115">
        <v>1</v>
      </c>
      <c r="K2307" s="115">
        <v>5</v>
      </c>
      <c r="L2307" s="136">
        <v>20</v>
      </c>
      <c r="M2307" s="137" t="s">
        <v>44</v>
      </c>
      <c r="N2307" s="138"/>
      <c r="O2307" s="138">
        <v>25</v>
      </c>
      <c r="P2307" s="138"/>
      <c r="Q2307" s="138"/>
      <c r="R2307" s="138"/>
      <c r="S2307" s="138"/>
      <c r="T2307" s="138"/>
      <c r="U2307" s="138"/>
    </row>
    <row r="2308" spans="1:22" s="26" customFormat="1" ht="15" customHeight="1" x14ac:dyDescent="0.2">
      <c r="A2308" s="37">
        <v>41487.509768518503</v>
      </c>
      <c r="B2308" s="26" t="s">
        <v>16</v>
      </c>
      <c r="C2308" s="26" t="s">
        <v>406</v>
      </c>
      <c r="D2308" s="33">
        <v>41456</v>
      </c>
      <c r="E2308" s="26" t="s">
        <v>497</v>
      </c>
      <c r="F2308" s="26" t="s">
        <v>498</v>
      </c>
      <c r="G2308" s="26" t="s">
        <v>42</v>
      </c>
      <c r="H2308" s="26" t="s">
        <v>488</v>
      </c>
      <c r="J2308" s="115">
        <v>1</v>
      </c>
      <c r="K2308" s="115">
        <v>12</v>
      </c>
      <c r="L2308" s="136">
        <v>24</v>
      </c>
      <c r="M2308" s="137" t="s">
        <v>44</v>
      </c>
      <c r="N2308" s="138"/>
      <c r="O2308" s="138">
        <v>60</v>
      </c>
      <c r="P2308" s="138"/>
      <c r="Q2308" s="138"/>
      <c r="R2308" s="138"/>
      <c r="S2308" s="138"/>
      <c r="T2308" s="138"/>
      <c r="U2308" s="138"/>
    </row>
    <row r="2309" spans="1:22" s="26" customFormat="1" ht="15" customHeight="1" x14ac:dyDescent="0.2">
      <c r="A2309" s="37">
        <v>41487.516180555598</v>
      </c>
      <c r="B2309" s="26" t="s">
        <v>16</v>
      </c>
      <c r="C2309" s="26" t="s">
        <v>406</v>
      </c>
      <c r="D2309" s="33">
        <v>41456</v>
      </c>
      <c r="E2309" s="26" t="s">
        <v>499</v>
      </c>
      <c r="F2309" s="26" t="s">
        <v>498</v>
      </c>
      <c r="G2309" s="26" t="s">
        <v>42</v>
      </c>
      <c r="H2309" s="26" t="s">
        <v>136</v>
      </c>
      <c r="J2309" s="115">
        <v>1</v>
      </c>
      <c r="K2309" s="115">
        <v>12</v>
      </c>
      <c r="L2309" s="136">
        <v>24</v>
      </c>
      <c r="M2309" s="137" t="s">
        <v>44</v>
      </c>
      <c r="N2309" s="138"/>
      <c r="O2309" s="138">
        <v>60</v>
      </c>
      <c r="P2309" s="138"/>
      <c r="Q2309" s="138"/>
      <c r="R2309" s="138"/>
      <c r="S2309" s="138"/>
      <c r="T2309" s="138"/>
      <c r="U2309" s="138"/>
    </row>
    <row r="2310" spans="1:22" s="26" customFormat="1" ht="15" customHeight="1" x14ac:dyDescent="0.2">
      <c r="A2310" s="37">
        <v>41487.519178240698</v>
      </c>
      <c r="B2310" s="26" t="s">
        <v>16</v>
      </c>
      <c r="C2310" s="26" t="s">
        <v>406</v>
      </c>
      <c r="D2310" s="33">
        <v>41456</v>
      </c>
      <c r="E2310" s="26" t="s">
        <v>500</v>
      </c>
      <c r="F2310" s="26" t="s">
        <v>501</v>
      </c>
      <c r="G2310" s="34" t="s">
        <v>26</v>
      </c>
      <c r="H2310" s="26" t="s">
        <v>502</v>
      </c>
      <c r="J2310" s="46">
        <v>1</v>
      </c>
      <c r="K2310" s="46">
        <v>17</v>
      </c>
      <c r="L2310" s="136">
        <v>1445</v>
      </c>
      <c r="M2310" s="137" t="s">
        <v>22</v>
      </c>
      <c r="N2310" s="138"/>
      <c r="O2310" s="138"/>
      <c r="P2310" s="138"/>
      <c r="Q2310" s="138"/>
      <c r="R2310" s="138"/>
      <c r="S2310" s="138"/>
      <c r="T2310" s="138"/>
      <c r="U2310" s="138"/>
    </row>
    <row r="2311" spans="1:22" s="26" customFormat="1" ht="15" customHeight="1" x14ac:dyDescent="0.2">
      <c r="A2311" s="37">
        <v>41487.519942129598</v>
      </c>
      <c r="B2311" s="26" t="s">
        <v>16</v>
      </c>
      <c r="C2311" s="26" t="s">
        <v>406</v>
      </c>
      <c r="D2311" s="33">
        <v>41456</v>
      </c>
      <c r="E2311" s="26" t="s">
        <v>503</v>
      </c>
      <c r="F2311" s="26" t="s">
        <v>504</v>
      </c>
      <c r="G2311" s="26" t="s">
        <v>42</v>
      </c>
      <c r="H2311" s="26" t="s">
        <v>505</v>
      </c>
      <c r="J2311" s="115">
        <v>2</v>
      </c>
      <c r="K2311" s="115">
        <v>5</v>
      </c>
      <c r="L2311" s="136">
        <v>20</v>
      </c>
      <c r="M2311" s="137" t="s">
        <v>44</v>
      </c>
      <c r="N2311" s="138"/>
      <c r="O2311" s="138">
        <v>25</v>
      </c>
      <c r="P2311" s="138"/>
      <c r="Q2311" s="138"/>
      <c r="R2311" s="138"/>
      <c r="S2311" s="138"/>
      <c r="T2311" s="138"/>
      <c r="U2311" s="138"/>
    </row>
    <row r="2312" spans="1:22" s="26" customFormat="1" ht="15" customHeight="1" x14ac:dyDescent="0.2">
      <c r="A2312" s="37">
        <v>41487.520717592597</v>
      </c>
      <c r="B2312" s="26" t="s">
        <v>16</v>
      </c>
      <c r="C2312" s="26" t="s">
        <v>406</v>
      </c>
      <c r="D2312" s="33">
        <v>41456</v>
      </c>
      <c r="E2312" s="26" t="s">
        <v>506</v>
      </c>
      <c r="F2312" s="26" t="s">
        <v>507</v>
      </c>
      <c r="G2312" s="26" t="s">
        <v>42</v>
      </c>
      <c r="H2312" s="26" t="s">
        <v>508</v>
      </c>
      <c r="J2312" s="115">
        <v>2</v>
      </c>
      <c r="K2312" s="115">
        <v>10</v>
      </c>
      <c r="L2312" s="136">
        <v>40</v>
      </c>
      <c r="M2312" s="137" t="s">
        <v>22</v>
      </c>
      <c r="N2312" s="138"/>
      <c r="O2312" s="138"/>
      <c r="P2312" s="138"/>
      <c r="Q2312" s="138"/>
      <c r="R2312" s="138"/>
      <c r="S2312" s="138"/>
      <c r="T2312" s="138"/>
      <c r="U2312" s="138"/>
    </row>
    <row r="2313" spans="1:22" s="26" customFormat="1" ht="15" customHeight="1" x14ac:dyDescent="0.2">
      <c r="A2313" s="37">
        <v>41487.521782407399</v>
      </c>
      <c r="B2313" s="26" t="s">
        <v>16</v>
      </c>
      <c r="C2313" s="26" t="s">
        <v>406</v>
      </c>
      <c r="D2313" s="33">
        <v>41456</v>
      </c>
      <c r="E2313" s="26" t="s">
        <v>509</v>
      </c>
      <c r="F2313" s="26" t="s">
        <v>510</v>
      </c>
      <c r="G2313" s="26" t="s">
        <v>42</v>
      </c>
      <c r="H2313" s="26" t="s">
        <v>511</v>
      </c>
      <c r="J2313" s="115">
        <v>1</v>
      </c>
      <c r="K2313" s="115">
        <v>28</v>
      </c>
      <c r="L2313" s="136">
        <v>56</v>
      </c>
      <c r="M2313" s="137" t="s">
        <v>22</v>
      </c>
      <c r="N2313" s="138"/>
      <c r="O2313" s="138"/>
      <c r="P2313" s="138"/>
      <c r="Q2313" s="138"/>
      <c r="R2313" s="138"/>
      <c r="S2313" s="138"/>
      <c r="T2313" s="138"/>
      <c r="U2313" s="138"/>
    </row>
    <row r="2314" spans="1:22" s="26" customFormat="1" ht="15" customHeight="1" x14ac:dyDescent="0.2">
      <c r="A2314" s="38">
        <v>41520.766435185185</v>
      </c>
      <c r="B2314" s="29" t="s">
        <v>16</v>
      </c>
      <c r="C2314" s="29" t="s">
        <v>406</v>
      </c>
      <c r="D2314" s="30">
        <v>41487</v>
      </c>
      <c r="E2314" s="31" t="s">
        <v>1547</v>
      </c>
      <c r="F2314" s="29" t="s">
        <v>438</v>
      </c>
      <c r="G2314" s="29" t="s">
        <v>26</v>
      </c>
      <c r="H2314" s="29" t="s">
        <v>1548</v>
      </c>
      <c r="I2314" s="29"/>
      <c r="J2314" s="116">
        <v>1</v>
      </c>
      <c r="K2314" s="116">
        <v>0</v>
      </c>
      <c r="L2314" s="139"/>
      <c r="M2314" s="140" t="s">
        <v>22</v>
      </c>
      <c r="N2314" s="141"/>
      <c r="O2314" s="141"/>
      <c r="P2314" s="141"/>
      <c r="Q2314" s="141"/>
      <c r="R2314" s="141"/>
      <c r="S2314" s="141"/>
      <c r="T2314" s="141"/>
      <c r="U2314" s="141"/>
      <c r="V2314" s="29"/>
    </row>
    <row r="2315" spans="1:22" s="26" customFormat="1" ht="15" customHeight="1" x14ac:dyDescent="0.2">
      <c r="A2315" s="38">
        <v>41520.767245370371</v>
      </c>
      <c r="B2315" s="29" t="s">
        <v>16</v>
      </c>
      <c r="C2315" s="29" t="s">
        <v>406</v>
      </c>
      <c r="D2315" s="30">
        <v>41487</v>
      </c>
      <c r="E2315" s="31" t="s">
        <v>1549</v>
      </c>
      <c r="F2315" s="29" t="s">
        <v>432</v>
      </c>
      <c r="G2315" s="29" t="s">
        <v>26</v>
      </c>
      <c r="H2315" s="29" t="s">
        <v>1550</v>
      </c>
      <c r="I2315" s="29"/>
      <c r="J2315" s="116">
        <v>1</v>
      </c>
      <c r="K2315" s="116">
        <v>3</v>
      </c>
      <c r="L2315" s="139"/>
      <c r="M2315" s="140" t="s">
        <v>44</v>
      </c>
      <c r="N2315" s="141"/>
      <c r="O2315" s="141">
        <v>15</v>
      </c>
      <c r="P2315" s="141"/>
      <c r="Q2315" s="141"/>
      <c r="R2315" s="141"/>
      <c r="S2315" s="141"/>
      <c r="T2315" s="141"/>
      <c r="U2315" s="141"/>
      <c r="V2315" s="29"/>
    </row>
    <row r="2316" spans="1:22" s="26" customFormat="1" ht="15" customHeight="1" x14ac:dyDescent="0.2">
      <c r="A2316" s="38">
        <v>41520.774884259263</v>
      </c>
      <c r="B2316" s="29" t="s">
        <v>16</v>
      </c>
      <c r="C2316" s="29" t="s">
        <v>406</v>
      </c>
      <c r="D2316" s="30">
        <v>41487</v>
      </c>
      <c r="E2316" s="31" t="s">
        <v>1551</v>
      </c>
      <c r="F2316" s="29" t="s">
        <v>1552</v>
      </c>
      <c r="G2316" s="29" t="s">
        <v>26</v>
      </c>
      <c r="H2316" s="29" t="s">
        <v>1553</v>
      </c>
      <c r="I2316" s="29"/>
      <c r="J2316" s="116">
        <v>1</v>
      </c>
      <c r="K2316" s="116">
        <v>0</v>
      </c>
      <c r="L2316" s="139"/>
      <c r="M2316" s="140" t="s">
        <v>22</v>
      </c>
      <c r="N2316" s="141"/>
      <c r="O2316" s="141"/>
      <c r="P2316" s="141"/>
      <c r="Q2316" s="141"/>
      <c r="R2316" s="141"/>
      <c r="S2316" s="141"/>
      <c r="T2316" s="141"/>
      <c r="U2316" s="141"/>
      <c r="V2316" s="29"/>
    </row>
    <row r="2317" spans="1:22" s="26" customFormat="1" ht="15" customHeight="1" x14ac:dyDescent="0.2">
      <c r="A2317" s="38">
        <v>41520.775752314818</v>
      </c>
      <c r="B2317" s="29" t="s">
        <v>16</v>
      </c>
      <c r="C2317" s="29" t="s">
        <v>406</v>
      </c>
      <c r="D2317" s="30">
        <v>41487</v>
      </c>
      <c r="E2317" s="31" t="s">
        <v>1554</v>
      </c>
      <c r="F2317" s="29" t="s">
        <v>423</v>
      </c>
      <c r="G2317" s="29" t="s">
        <v>26</v>
      </c>
      <c r="H2317" s="29" t="s">
        <v>1555</v>
      </c>
      <c r="I2317" s="29"/>
      <c r="J2317" s="116">
        <v>1</v>
      </c>
      <c r="K2317" s="116">
        <v>4</v>
      </c>
      <c r="L2317" s="139"/>
      <c r="M2317" s="140" t="s">
        <v>44</v>
      </c>
      <c r="N2317" s="141"/>
      <c r="O2317" s="141">
        <v>20</v>
      </c>
      <c r="P2317" s="141"/>
      <c r="Q2317" s="141"/>
      <c r="R2317" s="141"/>
      <c r="S2317" s="141"/>
      <c r="T2317" s="141"/>
      <c r="U2317" s="141"/>
      <c r="V2317" s="29"/>
    </row>
    <row r="2318" spans="1:22" s="26" customFormat="1" ht="15" customHeight="1" x14ac:dyDescent="0.2">
      <c r="A2318" s="38">
        <v>41520.818865740737</v>
      </c>
      <c r="B2318" s="29" t="s">
        <v>16</v>
      </c>
      <c r="C2318" s="29" t="s">
        <v>406</v>
      </c>
      <c r="D2318" s="30">
        <v>41487</v>
      </c>
      <c r="E2318" s="31" t="s">
        <v>1556</v>
      </c>
      <c r="F2318" s="29" t="s">
        <v>420</v>
      </c>
      <c r="G2318" s="29" t="s">
        <v>26</v>
      </c>
      <c r="H2318" s="29" t="s">
        <v>1548</v>
      </c>
      <c r="I2318" s="29"/>
      <c r="J2318" s="116">
        <v>1</v>
      </c>
      <c r="K2318" s="116">
        <v>2</v>
      </c>
      <c r="L2318" s="139"/>
      <c r="M2318" s="140" t="s">
        <v>44</v>
      </c>
      <c r="N2318" s="141"/>
      <c r="O2318" s="141">
        <v>10</v>
      </c>
      <c r="P2318" s="141"/>
      <c r="Q2318" s="141"/>
      <c r="R2318" s="141"/>
      <c r="S2318" s="141"/>
      <c r="T2318" s="141"/>
      <c r="U2318" s="141"/>
      <c r="V2318" s="29"/>
    </row>
    <row r="2319" spans="1:22" s="26" customFormat="1" ht="15" customHeight="1" x14ac:dyDescent="0.2">
      <c r="A2319" s="38">
        <v>41520.819687499999</v>
      </c>
      <c r="B2319" s="29" t="s">
        <v>16</v>
      </c>
      <c r="C2319" s="29" t="s">
        <v>406</v>
      </c>
      <c r="D2319" s="30">
        <v>41487</v>
      </c>
      <c r="E2319" s="31" t="s">
        <v>1557</v>
      </c>
      <c r="F2319" s="29" t="s">
        <v>429</v>
      </c>
      <c r="G2319" s="29" t="s">
        <v>26</v>
      </c>
      <c r="H2319" s="29" t="s">
        <v>1558</v>
      </c>
      <c r="I2319" s="29"/>
      <c r="J2319" s="116">
        <v>1</v>
      </c>
      <c r="K2319" s="116">
        <v>10</v>
      </c>
      <c r="L2319" s="139"/>
      <c r="M2319" s="140" t="s">
        <v>44</v>
      </c>
      <c r="N2319" s="141"/>
      <c r="O2319" s="141">
        <v>50</v>
      </c>
      <c r="P2319" s="141"/>
      <c r="Q2319" s="141"/>
      <c r="R2319" s="141"/>
      <c r="S2319" s="141"/>
      <c r="T2319" s="141"/>
      <c r="U2319" s="141"/>
      <c r="V2319" s="29"/>
    </row>
    <row r="2320" spans="1:22" s="26" customFormat="1" ht="15" customHeight="1" x14ac:dyDescent="0.2">
      <c r="A2320" s="38">
        <v>41520.820590277777</v>
      </c>
      <c r="B2320" s="29" t="s">
        <v>16</v>
      </c>
      <c r="C2320" s="29" t="s">
        <v>406</v>
      </c>
      <c r="D2320" s="30">
        <v>41487</v>
      </c>
      <c r="E2320" s="31" t="s">
        <v>1559</v>
      </c>
      <c r="F2320" s="29" t="s">
        <v>408</v>
      </c>
      <c r="G2320" s="29" t="s">
        <v>26</v>
      </c>
      <c r="H2320" s="29" t="s">
        <v>1560</v>
      </c>
      <c r="I2320" s="29"/>
      <c r="J2320" s="116">
        <v>1</v>
      </c>
      <c r="K2320" s="116">
        <v>6</v>
      </c>
      <c r="L2320" s="139"/>
      <c r="M2320" s="140" t="s">
        <v>44</v>
      </c>
      <c r="N2320" s="141"/>
      <c r="O2320" s="141">
        <v>15</v>
      </c>
      <c r="P2320" s="141"/>
      <c r="Q2320" s="141"/>
      <c r="R2320" s="141"/>
      <c r="S2320" s="141"/>
      <c r="T2320" s="141"/>
      <c r="U2320" s="141"/>
      <c r="V2320" s="29"/>
    </row>
    <row r="2321" spans="1:22" s="26" customFormat="1" ht="15" customHeight="1" x14ac:dyDescent="0.2">
      <c r="A2321" s="38">
        <v>41520.821631944447</v>
      </c>
      <c r="B2321" s="29" t="s">
        <v>16</v>
      </c>
      <c r="C2321" s="29" t="s">
        <v>406</v>
      </c>
      <c r="D2321" s="30">
        <v>41487</v>
      </c>
      <c r="E2321" s="31" t="s">
        <v>1561</v>
      </c>
      <c r="F2321" s="29" t="s">
        <v>1562</v>
      </c>
      <c r="G2321" s="29" t="s">
        <v>26</v>
      </c>
      <c r="H2321" s="29" t="s">
        <v>1563</v>
      </c>
      <c r="I2321" s="29"/>
      <c r="J2321" s="116">
        <v>1</v>
      </c>
      <c r="K2321" s="116">
        <v>10</v>
      </c>
      <c r="L2321" s="139"/>
      <c r="M2321" s="140" t="s">
        <v>44</v>
      </c>
      <c r="N2321" s="141"/>
      <c r="O2321" s="141">
        <v>25</v>
      </c>
      <c r="P2321" s="141"/>
      <c r="Q2321" s="141"/>
      <c r="R2321" s="141"/>
      <c r="S2321" s="141"/>
      <c r="T2321" s="141"/>
      <c r="U2321" s="141"/>
      <c r="V2321" s="29"/>
    </row>
    <row r="2322" spans="1:22" s="26" customFormat="1" ht="15" customHeight="1" x14ac:dyDescent="0.2">
      <c r="A2322" s="38">
        <v>41520.823645833334</v>
      </c>
      <c r="B2322" s="29" t="s">
        <v>16</v>
      </c>
      <c r="C2322" s="29" t="s">
        <v>406</v>
      </c>
      <c r="D2322" s="30">
        <v>41487</v>
      </c>
      <c r="E2322" s="31" t="s">
        <v>1564</v>
      </c>
      <c r="F2322" s="29" t="s">
        <v>463</v>
      </c>
      <c r="G2322" s="29" t="s">
        <v>26</v>
      </c>
      <c r="H2322" s="29" t="s">
        <v>1565</v>
      </c>
      <c r="I2322" s="29"/>
      <c r="J2322" s="116">
        <v>1</v>
      </c>
      <c r="K2322" s="116">
        <v>3</v>
      </c>
      <c r="L2322" s="139"/>
      <c r="M2322" s="140" t="s">
        <v>44</v>
      </c>
      <c r="N2322" s="141"/>
      <c r="O2322" s="141">
        <v>8</v>
      </c>
      <c r="P2322" s="141"/>
      <c r="Q2322" s="141"/>
      <c r="R2322" s="141"/>
      <c r="S2322" s="141"/>
      <c r="T2322" s="141"/>
      <c r="U2322" s="141"/>
      <c r="V2322" s="29"/>
    </row>
    <row r="2323" spans="1:22" s="26" customFormat="1" ht="15" customHeight="1" x14ac:dyDescent="0.2">
      <c r="A2323" s="38">
        <v>41520.824490740742</v>
      </c>
      <c r="B2323" s="29" t="s">
        <v>16</v>
      </c>
      <c r="C2323" s="29" t="s">
        <v>406</v>
      </c>
      <c r="D2323" s="30">
        <v>41487</v>
      </c>
      <c r="E2323" s="31" t="s">
        <v>1566</v>
      </c>
      <c r="F2323" s="29" t="s">
        <v>414</v>
      </c>
      <c r="G2323" s="29" t="s">
        <v>26</v>
      </c>
      <c r="H2323" s="29" t="s">
        <v>1567</v>
      </c>
      <c r="I2323" s="29"/>
      <c r="J2323" s="116">
        <v>1</v>
      </c>
      <c r="K2323" s="116">
        <v>0</v>
      </c>
      <c r="L2323" s="139"/>
      <c r="M2323" s="140" t="s">
        <v>22</v>
      </c>
      <c r="N2323" s="141"/>
      <c r="O2323" s="141"/>
      <c r="P2323" s="141"/>
      <c r="Q2323" s="141"/>
      <c r="R2323" s="141"/>
      <c r="S2323" s="141"/>
      <c r="T2323" s="141"/>
      <c r="U2323" s="141"/>
      <c r="V2323" s="29"/>
    </row>
    <row r="2324" spans="1:22" s="26" customFormat="1" ht="15" customHeight="1" x14ac:dyDescent="0.2">
      <c r="A2324" s="38">
        <v>41520.825196759259</v>
      </c>
      <c r="B2324" s="29" t="s">
        <v>16</v>
      </c>
      <c r="C2324" s="29" t="s">
        <v>406</v>
      </c>
      <c r="D2324" s="30">
        <v>41487</v>
      </c>
      <c r="E2324" s="31" t="s">
        <v>1568</v>
      </c>
      <c r="F2324" s="29" t="s">
        <v>1569</v>
      </c>
      <c r="G2324" s="29" t="s">
        <v>26</v>
      </c>
      <c r="H2324" s="29" t="s">
        <v>1550</v>
      </c>
      <c r="I2324" s="29"/>
      <c r="J2324" s="116">
        <v>1</v>
      </c>
      <c r="K2324" s="116">
        <v>1</v>
      </c>
      <c r="L2324" s="139"/>
      <c r="M2324" s="140" t="s">
        <v>44</v>
      </c>
      <c r="N2324" s="141"/>
      <c r="O2324" s="141">
        <v>3</v>
      </c>
      <c r="P2324" s="141"/>
      <c r="Q2324" s="141"/>
      <c r="R2324" s="141"/>
      <c r="S2324" s="141"/>
      <c r="T2324" s="141"/>
      <c r="U2324" s="141"/>
      <c r="V2324" s="29"/>
    </row>
    <row r="2325" spans="1:22" s="26" customFormat="1" ht="15" customHeight="1" x14ac:dyDescent="0.2">
      <c r="A2325" s="38">
        <v>41520.82607638889</v>
      </c>
      <c r="B2325" s="29" t="s">
        <v>16</v>
      </c>
      <c r="C2325" s="29" t="s">
        <v>406</v>
      </c>
      <c r="D2325" s="30">
        <v>41487</v>
      </c>
      <c r="E2325" s="31" t="s">
        <v>1570</v>
      </c>
      <c r="F2325" s="29" t="s">
        <v>1571</v>
      </c>
      <c r="G2325" s="29" t="s">
        <v>26</v>
      </c>
      <c r="H2325" s="29" t="s">
        <v>1572</v>
      </c>
      <c r="I2325" s="29"/>
      <c r="J2325" s="116">
        <v>1</v>
      </c>
      <c r="K2325" s="116">
        <v>2</v>
      </c>
      <c r="L2325" s="139"/>
      <c r="M2325" s="140" t="s">
        <v>44</v>
      </c>
      <c r="N2325" s="141"/>
      <c r="O2325" s="141">
        <v>5</v>
      </c>
      <c r="P2325" s="141"/>
      <c r="Q2325" s="141"/>
      <c r="R2325" s="141"/>
      <c r="S2325" s="141"/>
      <c r="T2325" s="141"/>
      <c r="U2325" s="141"/>
      <c r="V2325" s="29"/>
    </row>
    <row r="2326" spans="1:22" s="26" customFormat="1" ht="15" customHeight="1" x14ac:dyDescent="0.2">
      <c r="A2326" s="38">
        <v>41520.826863425929</v>
      </c>
      <c r="B2326" s="29" t="s">
        <v>16</v>
      </c>
      <c r="C2326" s="29" t="s">
        <v>406</v>
      </c>
      <c r="D2326" s="30">
        <v>41487</v>
      </c>
      <c r="E2326" s="31" t="s">
        <v>1554</v>
      </c>
      <c r="F2326" s="29" t="s">
        <v>1573</v>
      </c>
      <c r="G2326" s="29" t="s">
        <v>26</v>
      </c>
      <c r="H2326" s="29" t="s">
        <v>1574</v>
      </c>
      <c r="I2326" s="29"/>
      <c r="J2326" s="116">
        <v>1</v>
      </c>
      <c r="K2326" s="116">
        <v>2</v>
      </c>
      <c r="L2326" s="139"/>
      <c r="M2326" s="140" t="s">
        <v>44</v>
      </c>
      <c r="N2326" s="141"/>
      <c r="O2326" s="141">
        <v>5</v>
      </c>
      <c r="P2326" s="141"/>
      <c r="Q2326" s="141"/>
      <c r="R2326" s="141"/>
      <c r="S2326" s="141"/>
      <c r="T2326" s="141"/>
      <c r="U2326" s="141"/>
      <c r="V2326" s="29"/>
    </row>
    <row r="2327" spans="1:22" s="26" customFormat="1" ht="15" customHeight="1" x14ac:dyDescent="0.2">
      <c r="A2327" s="38">
        <v>41520.827951388892</v>
      </c>
      <c r="B2327" s="29" t="s">
        <v>16</v>
      </c>
      <c r="C2327" s="29" t="s">
        <v>406</v>
      </c>
      <c r="D2327" s="30">
        <v>41487</v>
      </c>
      <c r="E2327" s="31" t="s">
        <v>1556</v>
      </c>
      <c r="F2327" s="29" t="s">
        <v>411</v>
      </c>
      <c r="G2327" s="29" t="s">
        <v>26</v>
      </c>
      <c r="H2327" s="29" t="s">
        <v>1575</v>
      </c>
      <c r="I2327" s="29"/>
      <c r="J2327" s="116">
        <v>1</v>
      </c>
      <c r="K2327" s="116">
        <v>9</v>
      </c>
      <c r="L2327" s="139"/>
      <c r="M2327" s="140" t="s">
        <v>44</v>
      </c>
      <c r="N2327" s="141"/>
      <c r="O2327" s="141">
        <v>23</v>
      </c>
      <c r="P2327" s="141"/>
      <c r="Q2327" s="141"/>
      <c r="R2327" s="141"/>
      <c r="S2327" s="141"/>
      <c r="T2327" s="141"/>
      <c r="U2327" s="141"/>
      <c r="V2327" s="29"/>
    </row>
    <row r="2328" spans="1:22" s="26" customFormat="1" ht="15" customHeight="1" x14ac:dyDescent="0.2">
      <c r="A2328" s="38">
        <v>41520.828750000001</v>
      </c>
      <c r="B2328" s="29" t="s">
        <v>16</v>
      </c>
      <c r="C2328" s="29" t="s">
        <v>406</v>
      </c>
      <c r="D2328" s="30">
        <v>41487</v>
      </c>
      <c r="E2328" s="31" t="s">
        <v>1576</v>
      </c>
      <c r="F2328" s="29" t="s">
        <v>426</v>
      </c>
      <c r="G2328" s="29" t="s">
        <v>26</v>
      </c>
      <c r="H2328" s="29" t="s">
        <v>1577</v>
      </c>
      <c r="I2328" s="29"/>
      <c r="J2328" s="116">
        <v>1</v>
      </c>
      <c r="K2328" s="116">
        <v>10</v>
      </c>
      <c r="L2328" s="139"/>
      <c r="M2328" s="140" t="s">
        <v>44</v>
      </c>
      <c r="N2328" s="141"/>
      <c r="O2328" s="141">
        <v>23</v>
      </c>
      <c r="P2328" s="141"/>
      <c r="Q2328" s="141"/>
      <c r="R2328" s="141"/>
      <c r="S2328" s="141"/>
      <c r="T2328" s="141"/>
      <c r="U2328" s="141"/>
      <c r="V2328" s="29"/>
    </row>
    <row r="2329" spans="1:22" s="26" customFormat="1" ht="15" customHeight="1" x14ac:dyDescent="0.2">
      <c r="A2329" s="38">
        <v>41520.829409722224</v>
      </c>
      <c r="B2329" s="29" t="s">
        <v>16</v>
      </c>
      <c r="C2329" s="29" t="s">
        <v>406</v>
      </c>
      <c r="D2329" s="30">
        <v>41487</v>
      </c>
      <c r="E2329" s="31" t="s">
        <v>1578</v>
      </c>
      <c r="F2329" s="29" t="s">
        <v>458</v>
      </c>
      <c r="G2329" s="29" t="s">
        <v>26</v>
      </c>
      <c r="H2329" s="29" t="s">
        <v>1550</v>
      </c>
      <c r="I2329" s="29"/>
      <c r="J2329" s="116">
        <v>1</v>
      </c>
      <c r="K2329" s="116">
        <v>2</v>
      </c>
      <c r="L2329" s="139"/>
      <c r="M2329" s="140" t="s">
        <v>44</v>
      </c>
      <c r="N2329" s="141"/>
      <c r="O2329" s="141">
        <v>5</v>
      </c>
      <c r="P2329" s="141"/>
      <c r="Q2329" s="141"/>
      <c r="R2329" s="141"/>
      <c r="S2329" s="141"/>
      <c r="T2329" s="141"/>
      <c r="U2329" s="141"/>
      <c r="V2329" s="29"/>
    </row>
    <row r="2330" spans="1:22" s="26" customFormat="1" ht="15" customHeight="1" x14ac:dyDescent="0.2">
      <c r="A2330" s="38">
        <v>41520.830451388887</v>
      </c>
      <c r="B2330" s="29" t="s">
        <v>16</v>
      </c>
      <c r="C2330" s="29" t="s">
        <v>406</v>
      </c>
      <c r="D2330" s="30">
        <v>41487</v>
      </c>
      <c r="E2330" s="31" t="s">
        <v>1561</v>
      </c>
      <c r="F2330" s="29" t="s">
        <v>435</v>
      </c>
      <c r="G2330" s="29" t="s">
        <v>26</v>
      </c>
      <c r="H2330" s="29" t="s">
        <v>1579</v>
      </c>
      <c r="I2330" s="29"/>
      <c r="J2330" s="116">
        <v>1</v>
      </c>
      <c r="K2330" s="116">
        <v>28</v>
      </c>
      <c r="L2330" s="139"/>
      <c r="M2330" s="140" t="s">
        <v>44</v>
      </c>
      <c r="N2330" s="141"/>
      <c r="O2330" s="141">
        <v>70</v>
      </c>
      <c r="P2330" s="141"/>
      <c r="Q2330" s="141"/>
      <c r="R2330" s="141"/>
      <c r="S2330" s="141"/>
      <c r="T2330" s="141"/>
      <c r="U2330" s="141"/>
      <c r="V2330" s="29"/>
    </row>
    <row r="2331" spans="1:22" s="26" customFormat="1" ht="15" customHeight="1" x14ac:dyDescent="0.2">
      <c r="A2331" s="38">
        <v>41521.691874999997</v>
      </c>
      <c r="B2331" s="29" t="s">
        <v>16</v>
      </c>
      <c r="C2331" s="29" t="s">
        <v>406</v>
      </c>
      <c r="D2331" s="30">
        <v>41487</v>
      </c>
      <c r="E2331" s="31" t="s">
        <v>1632</v>
      </c>
      <c r="F2331" s="29" t="s">
        <v>408</v>
      </c>
      <c r="G2331" s="29" t="s">
        <v>26</v>
      </c>
      <c r="H2331" s="29" t="s">
        <v>1560</v>
      </c>
      <c r="I2331" s="29"/>
      <c r="J2331" s="116">
        <v>1</v>
      </c>
      <c r="K2331" s="116">
        <v>7</v>
      </c>
      <c r="L2331" s="139"/>
      <c r="M2331" s="140" t="s">
        <v>44</v>
      </c>
      <c r="N2331" s="141"/>
      <c r="O2331" s="141">
        <v>18</v>
      </c>
      <c r="P2331" s="141"/>
      <c r="Q2331" s="141"/>
      <c r="R2331" s="141"/>
      <c r="S2331" s="141"/>
      <c r="T2331" s="141"/>
      <c r="U2331" s="141"/>
      <c r="V2331" s="29"/>
    </row>
    <row r="2332" spans="1:22" s="26" customFormat="1" ht="15" customHeight="1" x14ac:dyDescent="0.2">
      <c r="A2332" s="38">
        <v>41521.698182870372</v>
      </c>
      <c r="B2332" s="29" t="s">
        <v>16</v>
      </c>
      <c r="C2332" s="29" t="s">
        <v>406</v>
      </c>
      <c r="D2332" s="30">
        <v>41487</v>
      </c>
      <c r="E2332" s="31" t="s">
        <v>1566</v>
      </c>
      <c r="F2332" s="29" t="s">
        <v>1552</v>
      </c>
      <c r="G2332" s="29" t="s">
        <v>26</v>
      </c>
      <c r="H2332" s="29" t="s">
        <v>1553</v>
      </c>
      <c r="I2332" s="29"/>
      <c r="J2332" s="116">
        <v>1</v>
      </c>
      <c r="K2332" s="116">
        <v>5</v>
      </c>
      <c r="L2332" s="139"/>
      <c r="M2332" s="140" t="s">
        <v>44</v>
      </c>
      <c r="N2332" s="141"/>
      <c r="O2332" s="141">
        <v>13</v>
      </c>
      <c r="P2332" s="141"/>
      <c r="Q2332" s="141"/>
      <c r="R2332" s="141"/>
      <c r="S2332" s="141"/>
      <c r="T2332" s="141"/>
      <c r="U2332" s="141"/>
      <c r="V2332" s="29"/>
    </row>
    <row r="2333" spans="1:22" s="26" customFormat="1" ht="15" customHeight="1" x14ac:dyDescent="0.2">
      <c r="A2333" s="38">
        <v>41521.699143518519</v>
      </c>
      <c r="B2333" s="29" t="s">
        <v>16</v>
      </c>
      <c r="C2333" s="29" t="s">
        <v>406</v>
      </c>
      <c r="D2333" s="30">
        <v>41487</v>
      </c>
      <c r="E2333" s="31" t="s">
        <v>1633</v>
      </c>
      <c r="F2333" s="29" t="s">
        <v>1634</v>
      </c>
      <c r="G2333" s="29" t="s">
        <v>26</v>
      </c>
      <c r="H2333" s="29" t="s">
        <v>1635</v>
      </c>
      <c r="I2333" s="29"/>
      <c r="J2333" s="116">
        <v>1</v>
      </c>
      <c r="K2333" s="116">
        <v>0</v>
      </c>
      <c r="L2333" s="139"/>
      <c r="M2333" s="140" t="s">
        <v>22</v>
      </c>
      <c r="N2333" s="141"/>
      <c r="O2333" s="141"/>
      <c r="P2333" s="141"/>
      <c r="Q2333" s="141"/>
      <c r="R2333" s="141"/>
      <c r="S2333" s="141"/>
      <c r="T2333" s="141"/>
      <c r="U2333" s="141"/>
      <c r="V2333" s="29"/>
    </row>
    <row r="2334" spans="1:22" s="26" customFormat="1" ht="15" customHeight="1" x14ac:dyDescent="0.2">
      <c r="A2334" s="38">
        <v>41521.70008101852</v>
      </c>
      <c r="B2334" s="29" t="s">
        <v>16</v>
      </c>
      <c r="C2334" s="29" t="s">
        <v>406</v>
      </c>
      <c r="D2334" s="30">
        <v>41487</v>
      </c>
      <c r="E2334" s="31" t="s">
        <v>1568</v>
      </c>
      <c r="F2334" s="29" t="s">
        <v>432</v>
      </c>
      <c r="G2334" s="29" t="s">
        <v>26</v>
      </c>
      <c r="H2334" s="29" t="s">
        <v>1550</v>
      </c>
      <c r="I2334" s="29"/>
      <c r="J2334" s="116">
        <v>1</v>
      </c>
      <c r="K2334" s="116">
        <v>0</v>
      </c>
      <c r="L2334" s="139"/>
      <c r="M2334" s="140" t="s">
        <v>22</v>
      </c>
      <c r="N2334" s="141"/>
      <c r="O2334" s="141"/>
      <c r="P2334" s="141"/>
      <c r="Q2334" s="141"/>
      <c r="R2334" s="141"/>
      <c r="S2334" s="141"/>
      <c r="T2334" s="141"/>
      <c r="U2334" s="141"/>
      <c r="V2334" s="29"/>
    </row>
    <row r="2335" spans="1:22" s="26" customFormat="1" ht="15" customHeight="1" x14ac:dyDescent="0.2">
      <c r="A2335" s="38">
        <v>41521.701770833337</v>
      </c>
      <c r="B2335" s="29" t="s">
        <v>16</v>
      </c>
      <c r="C2335" s="29" t="s">
        <v>406</v>
      </c>
      <c r="D2335" s="30">
        <v>41487</v>
      </c>
      <c r="E2335" s="31" t="s">
        <v>1570</v>
      </c>
      <c r="F2335" s="29" t="s">
        <v>438</v>
      </c>
      <c r="G2335" s="29" t="s">
        <v>26</v>
      </c>
      <c r="H2335" s="29" t="s">
        <v>1548</v>
      </c>
      <c r="I2335" s="29"/>
      <c r="J2335" s="116">
        <v>1</v>
      </c>
      <c r="K2335" s="116">
        <v>6</v>
      </c>
      <c r="L2335" s="139"/>
      <c r="M2335" s="140" t="s">
        <v>44</v>
      </c>
      <c r="N2335" s="141"/>
      <c r="O2335" s="141">
        <v>15</v>
      </c>
      <c r="P2335" s="141"/>
      <c r="Q2335" s="141"/>
      <c r="R2335" s="141"/>
      <c r="S2335" s="141"/>
      <c r="T2335" s="141"/>
      <c r="U2335" s="141"/>
      <c r="V2335" s="29"/>
    </row>
    <row r="2336" spans="1:22" s="26" customFormat="1" ht="15" customHeight="1" x14ac:dyDescent="0.2">
      <c r="A2336" s="38">
        <v>41521.704872685186</v>
      </c>
      <c r="B2336" s="29" t="s">
        <v>16</v>
      </c>
      <c r="C2336" s="29" t="s">
        <v>406</v>
      </c>
      <c r="D2336" s="30">
        <v>41487</v>
      </c>
      <c r="E2336" s="31" t="s">
        <v>1636</v>
      </c>
      <c r="F2336" s="29" t="s">
        <v>1637</v>
      </c>
      <c r="G2336" s="29" t="s">
        <v>26</v>
      </c>
      <c r="H2336" s="29" t="s">
        <v>1638</v>
      </c>
      <c r="I2336" s="29"/>
      <c r="J2336" s="116">
        <v>1</v>
      </c>
      <c r="K2336" s="116">
        <v>9</v>
      </c>
      <c r="L2336" s="139"/>
      <c r="M2336" s="140" t="s">
        <v>44</v>
      </c>
      <c r="N2336" s="141"/>
      <c r="O2336" s="141">
        <v>23</v>
      </c>
      <c r="P2336" s="141"/>
      <c r="Q2336" s="141"/>
      <c r="R2336" s="141"/>
      <c r="S2336" s="141"/>
      <c r="T2336" s="141"/>
      <c r="U2336" s="141"/>
      <c r="V2336" s="29"/>
    </row>
    <row r="2337" spans="1:22" s="26" customFormat="1" ht="15" customHeight="1" x14ac:dyDescent="0.2">
      <c r="A2337" s="38">
        <v>41521.715729166666</v>
      </c>
      <c r="B2337" s="29" t="s">
        <v>16</v>
      </c>
      <c r="C2337" s="29" t="s">
        <v>406</v>
      </c>
      <c r="D2337" s="30">
        <v>41487</v>
      </c>
      <c r="E2337" s="31" t="s">
        <v>1556</v>
      </c>
      <c r="F2337" s="29" t="s">
        <v>1639</v>
      </c>
      <c r="G2337" s="29" t="s">
        <v>26</v>
      </c>
      <c r="H2337" s="29" t="s">
        <v>1640</v>
      </c>
      <c r="I2337" s="29"/>
      <c r="J2337" s="116">
        <v>1</v>
      </c>
      <c r="K2337" s="116">
        <v>3</v>
      </c>
      <c r="L2337" s="139"/>
      <c r="M2337" s="140" t="s">
        <v>44</v>
      </c>
      <c r="N2337" s="141"/>
      <c r="O2337" s="141">
        <v>8</v>
      </c>
      <c r="P2337" s="141"/>
      <c r="Q2337" s="141"/>
      <c r="R2337" s="141"/>
      <c r="S2337" s="141"/>
      <c r="T2337" s="141"/>
      <c r="U2337" s="141"/>
      <c r="V2337" s="29"/>
    </row>
    <row r="2338" spans="1:22" s="26" customFormat="1" ht="15" customHeight="1" x14ac:dyDescent="0.2">
      <c r="A2338" s="38">
        <v>41521.716516203705</v>
      </c>
      <c r="B2338" s="29" t="s">
        <v>16</v>
      </c>
      <c r="C2338" s="29" t="s">
        <v>406</v>
      </c>
      <c r="D2338" s="30">
        <v>41487</v>
      </c>
      <c r="E2338" s="31" t="s">
        <v>1557</v>
      </c>
      <c r="F2338" s="29" t="s">
        <v>423</v>
      </c>
      <c r="G2338" s="29" t="s">
        <v>26</v>
      </c>
      <c r="H2338" s="29" t="s">
        <v>1641</v>
      </c>
      <c r="I2338" s="29"/>
      <c r="J2338" s="116">
        <v>1</v>
      </c>
      <c r="K2338" s="116">
        <v>11</v>
      </c>
      <c r="L2338" s="139"/>
      <c r="M2338" s="140" t="s">
        <v>44</v>
      </c>
      <c r="N2338" s="141"/>
      <c r="O2338" s="141">
        <v>27</v>
      </c>
      <c r="P2338" s="141"/>
      <c r="Q2338" s="141"/>
      <c r="R2338" s="141"/>
      <c r="S2338" s="141"/>
      <c r="T2338" s="141"/>
      <c r="U2338" s="141"/>
      <c r="V2338" s="29"/>
    </row>
    <row r="2339" spans="1:22" s="26" customFormat="1" ht="15" customHeight="1" x14ac:dyDescent="0.2">
      <c r="A2339" s="38">
        <v>41521.717800925922</v>
      </c>
      <c r="B2339" s="29" t="s">
        <v>16</v>
      </c>
      <c r="C2339" s="29" t="s">
        <v>406</v>
      </c>
      <c r="D2339" s="30">
        <v>41487</v>
      </c>
      <c r="E2339" s="31" t="s">
        <v>1578</v>
      </c>
      <c r="F2339" s="29" t="s">
        <v>1642</v>
      </c>
      <c r="G2339" s="29" t="s">
        <v>26</v>
      </c>
      <c r="H2339" s="29" t="s">
        <v>1643</v>
      </c>
      <c r="I2339" s="29"/>
      <c r="J2339" s="116">
        <v>1</v>
      </c>
      <c r="K2339" s="116">
        <v>3</v>
      </c>
      <c r="L2339" s="139"/>
      <c r="M2339" s="140" t="s">
        <v>44</v>
      </c>
      <c r="N2339" s="141"/>
      <c r="O2339" s="141">
        <v>8</v>
      </c>
      <c r="P2339" s="141"/>
      <c r="Q2339" s="141"/>
      <c r="R2339" s="141"/>
      <c r="S2339" s="141"/>
      <c r="T2339" s="141"/>
      <c r="U2339" s="141"/>
      <c r="V2339" s="29"/>
    </row>
    <row r="2340" spans="1:22" s="26" customFormat="1" ht="15" customHeight="1" x14ac:dyDescent="0.2">
      <c r="A2340" s="38">
        <v>41521.726689814815</v>
      </c>
      <c r="B2340" s="29" t="s">
        <v>16</v>
      </c>
      <c r="C2340" s="29" t="s">
        <v>406</v>
      </c>
      <c r="D2340" s="30">
        <v>41487</v>
      </c>
      <c r="E2340" s="31" t="s">
        <v>1578</v>
      </c>
      <c r="F2340" s="29" t="s">
        <v>1642</v>
      </c>
      <c r="G2340" s="29" t="s">
        <v>26</v>
      </c>
      <c r="H2340" s="29" t="s">
        <v>1643</v>
      </c>
      <c r="I2340" s="29"/>
      <c r="J2340" s="116">
        <v>1</v>
      </c>
      <c r="K2340" s="116">
        <v>3</v>
      </c>
      <c r="L2340" s="139"/>
      <c r="M2340" s="140" t="s">
        <v>44</v>
      </c>
      <c r="N2340" s="141"/>
      <c r="O2340" s="141">
        <v>8</v>
      </c>
      <c r="P2340" s="141"/>
      <c r="Q2340" s="141"/>
      <c r="R2340" s="141"/>
      <c r="S2340" s="141"/>
      <c r="T2340" s="141"/>
      <c r="U2340" s="141"/>
      <c r="V2340" s="29"/>
    </row>
    <row r="2341" spans="1:22" s="26" customFormat="1" ht="15" customHeight="1" x14ac:dyDescent="0.2">
      <c r="A2341" s="38">
        <v>41521.727916666663</v>
      </c>
      <c r="B2341" s="29" t="s">
        <v>16</v>
      </c>
      <c r="C2341" s="29" t="s">
        <v>406</v>
      </c>
      <c r="D2341" s="30">
        <v>41487</v>
      </c>
      <c r="E2341" s="31" t="s">
        <v>1561</v>
      </c>
      <c r="F2341" s="29" t="s">
        <v>1644</v>
      </c>
      <c r="G2341" s="29" t="s">
        <v>26</v>
      </c>
      <c r="H2341" s="29" t="s">
        <v>1645</v>
      </c>
      <c r="I2341" s="29"/>
      <c r="J2341" s="116">
        <v>1</v>
      </c>
      <c r="K2341" s="116">
        <v>9</v>
      </c>
      <c r="L2341" s="139"/>
      <c r="M2341" s="140" t="s">
        <v>44</v>
      </c>
      <c r="N2341" s="141"/>
      <c r="O2341" s="141">
        <v>23</v>
      </c>
      <c r="P2341" s="141"/>
      <c r="Q2341" s="141"/>
      <c r="R2341" s="141"/>
      <c r="S2341" s="141"/>
      <c r="T2341" s="141"/>
      <c r="U2341" s="141"/>
      <c r="V2341" s="29"/>
    </row>
    <row r="2342" spans="1:22" s="26" customFormat="1" ht="15" customHeight="1" x14ac:dyDescent="0.2">
      <c r="A2342" s="38">
        <v>41521.746365740742</v>
      </c>
      <c r="B2342" s="29" t="s">
        <v>16</v>
      </c>
      <c r="C2342" s="29" t="s">
        <v>406</v>
      </c>
      <c r="D2342" s="30">
        <v>41487</v>
      </c>
      <c r="E2342" s="31" t="s">
        <v>1646</v>
      </c>
      <c r="F2342" s="29" t="s">
        <v>426</v>
      </c>
      <c r="G2342" s="29" t="s">
        <v>26</v>
      </c>
      <c r="H2342" s="29" t="s">
        <v>1647</v>
      </c>
      <c r="I2342" s="29"/>
      <c r="J2342" s="116">
        <v>1</v>
      </c>
      <c r="K2342" s="116">
        <v>0</v>
      </c>
      <c r="L2342" s="139"/>
      <c r="M2342" s="140" t="s">
        <v>22</v>
      </c>
      <c r="N2342" s="141"/>
      <c r="O2342" s="141"/>
      <c r="P2342" s="141"/>
      <c r="Q2342" s="141"/>
      <c r="R2342" s="141"/>
      <c r="S2342" s="141"/>
      <c r="T2342" s="141"/>
      <c r="U2342" s="141"/>
      <c r="V2342" s="29"/>
    </row>
    <row r="2343" spans="1:22" s="26" customFormat="1" ht="15" customHeight="1" x14ac:dyDescent="0.2">
      <c r="A2343" s="38">
        <v>41521.74690972222</v>
      </c>
      <c r="B2343" s="29" t="s">
        <v>16</v>
      </c>
      <c r="C2343" s="29" t="s">
        <v>406</v>
      </c>
      <c r="D2343" s="30">
        <v>41487</v>
      </c>
      <c r="E2343" s="31" t="s">
        <v>1648</v>
      </c>
      <c r="F2343" s="29" t="s">
        <v>1552</v>
      </c>
      <c r="G2343" s="29" t="s">
        <v>26</v>
      </c>
      <c r="H2343" s="29" t="s">
        <v>1649</v>
      </c>
      <c r="I2343" s="29"/>
      <c r="J2343" s="116">
        <v>1</v>
      </c>
      <c r="K2343" s="116">
        <v>0</v>
      </c>
      <c r="L2343" s="139"/>
      <c r="M2343" s="140" t="s">
        <v>22</v>
      </c>
      <c r="N2343" s="141"/>
      <c r="O2343" s="141"/>
      <c r="P2343" s="141"/>
      <c r="Q2343" s="141"/>
      <c r="R2343" s="141"/>
      <c r="S2343" s="141"/>
      <c r="T2343" s="141"/>
      <c r="U2343" s="141"/>
      <c r="V2343" s="29"/>
    </row>
    <row r="2344" spans="1:22" s="26" customFormat="1" ht="15" customHeight="1" x14ac:dyDescent="0.2">
      <c r="A2344" s="38">
        <v>41521.750243055554</v>
      </c>
      <c r="B2344" s="29" t="s">
        <v>16</v>
      </c>
      <c r="C2344" s="29" t="s">
        <v>406</v>
      </c>
      <c r="D2344" s="30">
        <v>41487</v>
      </c>
      <c r="E2344" s="31" t="s">
        <v>1566</v>
      </c>
      <c r="F2344" s="29" t="s">
        <v>429</v>
      </c>
      <c r="G2344" s="29" t="s">
        <v>26</v>
      </c>
      <c r="H2344" s="29" t="s">
        <v>1650</v>
      </c>
      <c r="I2344" s="29"/>
      <c r="J2344" s="116">
        <v>1</v>
      </c>
      <c r="K2344" s="116">
        <v>0</v>
      </c>
      <c r="L2344" s="139"/>
      <c r="M2344" s="140" t="s">
        <v>22</v>
      </c>
      <c r="N2344" s="141"/>
      <c r="O2344" s="141"/>
      <c r="P2344" s="141"/>
      <c r="Q2344" s="141"/>
      <c r="R2344" s="141"/>
      <c r="S2344" s="141"/>
      <c r="T2344" s="141"/>
      <c r="U2344" s="141"/>
      <c r="V2344" s="29"/>
    </row>
    <row r="2345" spans="1:22" s="26" customFormat="1" ht="15" customHeight="1" x14ac:dyDescent="0.2">
      <c r="A2345" s="38">
        <v>41521.751076388886</v>
      </c>
      <c r="B2345" s="29" t="s">
        <v>16</v>
      </c>
      <c r="C2345" s="29" t="s">
        <v>406</v>
      </c>
      <c r="D2345" s="30">
        <v>41487</v>
      </c>
      <c r="E2345" s="31" t="s">
        <v>1568</v>
      </c>
      <c r="F2345" s="29" t="s">
        <v>450</v>
      </c>
      <c r="G2345" s="29" t="s">
        <v>26</v>
      </c>
      <c r="H2345" s="29" t="s">
        <v>1651</v>
      </c>
      <c r="I2345" s="29"/>
      <c r="J2345" s="116">
        <v>1</v>
      </c>
      <c r="K2345" s="116">
        <v>2</v>
      </c>
      <c r="L2345" s="139"/>
      <c r="M2345" s="140" t="s">
        <v>44</v>
      </c>
      <c r="N2345" s="141"/>
      <c r="O2345" s="141">
        <v>5</v>
      </c>
      <c r="P2345" s="141"/>
      <c r="Q2345" s="141"/>
      <c r="R2345" s="141"/>
      <c r="S2345" s="141"/>
      <c r="T2345" s="141"/>
      <c r="U2345" s="141"/>
      <c r="V2345" s="29"/>
    </row>
    <row r="2346" spans="1:22" s="26" customFormat="1" ht="15" customHeight="1" x14ac:dyDescent="0.2">
      <c r="A2346" s="38">
        <v>41521.767592592594</v>
      </c>
      <c r="B2346" s="29" t="s">
        <v>16</v>
      </c>
      <c r="C2346" s="29" t="s">
        <v>406</v>
      </c>
      <c r="D2346" s="30">
        <v>41487</v>
      </c>
      <c r="E2346" s="31" t="s">
        <v>1636</v>
      </c>
      <c r="F2346" s="29" t="s">
        <v>299</v>
      </c>
      <c r="G2346" s="29" t="s">
        <v>26</v>
      </c>
      <c r="H2346" s="29" t="s">
        <v>1652</v>
      </c>
      <c r="I2346" s="29"/>
      <c r="J2346" s="116">
        <v>1</v>
      </c>
      <c r="K2346" s="116">
        <v>0</v>
      </c>
      <c r="L2346" s="139"/>
      <c r="M2346" s="140" t="s">
        <v>22</v>
      </c>
      <c r="N2346" s="141"/>
      <c r="O2346" s="141"/>
      <c r="P2346" s="141"/>
      <c r="Q2346" s="141"/>
      <c r="R2346" s="141"/>
      <c r="S2346" s="141"/>
      <c r="T2346" s="141"/>
      <c r="U2346" s="141"/>
      <c r="V2346" s="29"/>
    </row>
    <row r="2347" spans="1:22" s="26" customFormat="1" ht="15" customHeight="1" x14ac:dyDescent="0.2">
      <c r="A2347" s="38">
        <v>41521.769687499997</v>
      </c>
      <c r="B2347" s="29" t="s">
        <v>16</v>
      </c>
      <c r="C2347" s="29" t="s">
        <v>406</v>
      </c>
      <c r="D2347" s="30">
        <v>41487</v>
      </c>
      <c r="E2347" s="31" t="s">
        <v>1556</v>
      </c>
      <c r="F2347" s="29" t="s">
        <v>408</v>
      </c>
      <c r="G2347" s="29" t="s">
        <v>26</v>
      </c>
      <c r="H2347" s="29" t="s">
        <v>1653</v>
      </c>
      <c r="I2347" s="29"/>
      <c r="J2347" s="116">
        <v>1</v>
      </c>
      <c r="K2347" s="116">
        <v>7</v>
      </c>
      <c r="L2347" s="139"/>
      <c r="M2347" s="140" t="s">
        <v>44</v>
      </c>
      <c r="N2347" s="141"/>
      <c r="O2347" s="141">
        <v>18</v>
      </c>
      <c r="P2347" s="141"/>
      <c r="Q2347" s="141"/>
      <c r="R2347" s="141"/>
      <c r="S2347" s="141"/>
      <c r="T2347" s="141"/>
      <c r="U2347" s="141"/>
      <c r="V2347" s="29"/>
    </row>
    <row r="2348" spans="1:22" s="26" customFormat="1" ht="15" customHeight="1" x14ac:dyDescent="0.2">
      <c r="A2348" s="38">
        <v>41521.770879629628</v>
      </c>
      <c r="B2348" s="29" t="s">
        <v>16</v>
      </c>
      <c r="C2348" s="29" t="s">
        <v>406</v>
      </c>
      <c r="D2348" s="30">
        <v>41487</v>
      </c>
      <c r="E2348" s="31" t="s">
        <v>1557</v>
      </c>
      <c r="F2348" s="29" t="s">
        <v>411</v>
      </c>
      <c r="G2348" s="29" t="s">
        <v>26</v>
      </c>
      <c r="H2348" s="29" t="s">
        <v>1575</v>
      </c>
      <c r="I2348" s="29"/>
      <c r="J2348" s="116">
        <v>1</v>
      </c>
      <c r="K2348" s="116"/>
      <c r="L2348" s="139"/>
      <c r="M2348" s="140" t="s">
        <v>22</v>
      </c>
      <c r="N2348" s="141"/>
      <c r="O2348" s="141"/>
      <c r="P2348" s="141"/>
      <c r="Q2348" s="141"/>
      <c r="R2348" s="141"/>
      <c r="S2348" s="141"/>
      <c r="T2348" s="141"/>
      <c r="U2348" s="141"/>
      <c r="V2348" s="29"/>
    </row>
    <row r="2349" spans="1:22" s="26" customFormat="1" ht="15" customHeight="1" x14ac:dyDescent="0.2">
      <c r="A2349" s="38">
        <v>41521.77207175926</v>
      </c>
      <c r="B2349" s="29" t="s">
        <v>16</v>
      </c>
      <c r="C2349" s="29" t="s">
        <v>406</v>
      </c>
      <c r="D2349" s="30">
        <v>41487</v>
      </c>
      <c r="E2349" s="31" t="s">
        <v>1654</v>
      </c>
      <c r="F2349" s="29" t="s">
        <v>1642</v>
      </c>
      <c r="G2349" s="29" t="s">
        <v>26</v>
      </c>
      <c r="H2349" s="29" t="s">
        <v>1655</v>
      </c>
      <c r="I2349" s="29"/>
      <c r="J2349" s="116">
        <v>1</v>
      </c>
      <c r="K2349" s="116">
        <v>17</v>
      </c>
      <c r="L2349" s="139"/>
      <c r="M2349" s="140" t="s">
        <v>44</v>
      </c>
      <c r="N2349" s="141"/>
      <c r="O2349" s="141">
        <v>43</v>
      </c>
      <c r="P2349" s="141"/>
      <c r="Q2349" s="141"/>
      <c r="R2349" s="141"/>
      <c r="S2349" s="141"/>
      <c r="T2349" s="141"/>
      <c r="U2349" s="141"/>
      <c r="V2349" s="29"/>
    </row>
    <row r="2350" spans="1:22" s="26" customFormat="1" ht="15" customHeight="1" x14ac:dyDescent="0.2">
      <c r="A2350" s="38">
        <v>41521.808923611112</v>
      </c>
      <c r="B2350" s="29" t="s">
        <v>16</v>
      </c>
      <c r="C2350" s="29" t="s">
        <v>406</v>
      </c>
      <c r="D2350" s="30">
        <v>41487</v>
      </c>
      <c r="E2350" s="31" t="s">
        <v>1656</v>
      </c>
      <c r="F2350" s="29" t="s">
        <v>1644</v>
      </c>
      <c r="G2350" s="29" t="s">
        <v>26</v>
      </c>
      <c r="H2350" s="29"/>
      <c r="I2350" s="29"/>
      <c r="J2350" s="116">
        <v>1</v>
      </c>
      <c r="K2350" s="116">
        <v>12</v>
      </c>
      <c r="L2350" s="139"/>
      <c r="M2350" s="140" t="s">
        <v>44</v>
      </c>
      <c r="N2350" s="141"/>
      <c r="O2350" s="141">
        <v>30</v>
      </c>
      <c r="P2350" s="141"/>
      <c r="Q2350" s="141"/>
      <c r="R2350" s="141"/>
      <c r="S2350" s="141"/>
      <c r="T2350" s="141"/>
      <c r="U2350" s="141"/>
      <c r="V2350" s="29"/>
    </row>
    <row r="2351" spans="1:22" s="26" customFormat="1" ht="15" customHeight="1" x14ac:dyDescent="0.2">
      <c r="A2351" s="38">
        <v>41521.809537037036</v>
      </c>
      <c r="B2351" s="29" t="s">
        <v>16</v>
      </c>
      <c r="C2351" s="29" t="s">
        <v>406</v>
      </c>
      <c r="D2351" s="30">
        <v>41487</v>
      </c>
      <c r="E2351" s="31" t="s">
        <v>1657</v>
      </c>
      <c r="F2351" s="29" t="s">
        <v>473</v>
      </c>
      <c r="G2351" s="29" t="s">
        <v>26</v>
      </c>
      <c r="H2351" s="29" t="s">
        <v>1658</v>
      </c>
      <c r="I2351" s="29"/>
      <c r="J2351" s="116">
        <v>1</v>
      </c>
      <c r="K2351" s="116">
        <v>0</v>
      </c>
      <c r="L2351" s="139"/>
      <c r="M2351" s="140" t="s">
        <v>22</v>
      </c>
      <c r="N2351" s="141"/>
      <c r="O2351" s="141"/>
      <c r="P2351" s="141"/>
      <c r="Q2351" s="141"/>
      <c r="R2351" s="141"/>
      <c r="S2351" s="141"/>
      <c r="T2351" s="141"/>
      <c r="U2351" s="141"/>
      <c r="V2351" s="29"/>
    </row>
    <row r="2352" spans="1:22" s="26" customFormat="1" ht="15" customHeight="1" x14ac:dyDescent="0.2">
      <c r="A2352" s="38">
        <v>41521.815798611111</v>
      </c>
      <c r="B2352" s="29" t="s">
        <v>16</v>
      </c>
      <c r="C2352" s="29" t="s">
        <v>406</v>
      </c>
      <c r="D2352" s="30">
        <v>41487</v>
      </c>
      <c r="E2352" s="31" t="s">
        <v>1659</v>
      </c>
      <c r="F2352" s="29" t="s">
        <v>299</v>
      </c>
      <c r="G2352" s="29" t="s">
        <v>26</v>
      </c>
      <c r="H2352" s="29" t="s">
        <v>1652</v>
      </c>
      <c r="I2352" s="29"/>
      <c r="J2352" s="116">
        <v>1</v>
      </c>
      <c r="K2352" s="116">
        <v>0</v>
      </c>
      <c r="L2352" s="139"/>
      <c r="M2352" s="140" t="s">
        <v>22</v>
      </c>
      <c r="N2352" s="141"/>
      <c r="O2352" s="141"/>
      <c r="P2352" s="141"/>
      <c r="Q2352" s="141"/>
      <c r="R2352" s="141"/>
      <c r="S2352" s="141"/>
      <c r="T2352" s="141"/>
      <c r="U2352" s="141"/>
      <c r="V2352" s="29"/>
    </row>
    <row r="2353" spans="1:22" s="26" customFormat="1" ht="15" customHeight="1" x14ac:dyDescent="0.2">
      <c r="A2353" s="38">
        <v>41521.820162037038</v>
      </c>
      <c r="B2353" s="29" t="s">
        <v>16</v>
      </c>
      <c r="C2353" s="29" t="s">
        <v>406</v>
      </c>
      <c r="D2353" s="30">
        <v>41487</v>
      </c>
      <c r="E2353" s="31" t="s">
        <v>1566</v>
      </c>
      <c r="F2353" s="29" t="s">
        <v>414</v>
      </c>
      <c r="G2353" s="29" t="s">
        <v>26</v>
      </c>
      <c r="H2353" s="29" t="s">
        <v>1660</v>
      </c>
      <c r="I2353" s="29"/>
      <c r="J2353" s="116">
        <v>1</v>
      </c>
      <c r="K2353" s="116">
        <v>3</v>
      </c>
      <c r="L2353" s="139"/>
      <c r="M2353" s="140" t="s">
        <v>44</v>
      </c>
      <c r="N2353" s="141"/>
      <c r="O2353" s="141">
        <v>8</v>
      </c>
      <c r="P2353" s="141"/>
      <c r="Q2353" s="141"/>
      <c r="R2353" s="141"/>
      <c r="S2353" s="141"/>
      <c r="T2353" s="141"/>
      <c r="U2353" s="141"/>
      <c r="V2353" s="29"/>
    </row>
    <row r="2354" spans="1:22" s="26" customFormat="1" ht="15" customHeight="1" x14ac:dyDescent="0.2">
      <c r="A2354" s="38">
        <v>41521.820763888885</v>
      </c>
      <c r="B2354" s="29" t="s">
        <v>16</v>
      </c>
      <c r="C2354" s="29" t="s">
        <v>406</v>
      </c>
      <c r="D2354" s="30">
        <v>41487</v>
      </c>
      <c r="E2354" s="31" t="s">
        <v>1661</v>
      </c>
      <c r="F2354" s="29" t="s">
        <v>420</v>
      </c>
      <c r="G2354" s="29" t="s">
        <v>26</v>
      </c>
      <c r="H2354" s="29" t="s">
        <v>1548</v>
      </c>
      <c r="I2354" s="29"/>
      <c r="J2354" s="116">
        <v>1</v>
      </c>
      <c r="K2354" s="116">
        <v>4</v>
      </c>
      <c r="L2354" s="139"/>
      <c r="M2354" s="140" t="s">
        <v>44</v>
      </c>
      <c r="N2354" s="141"/>
      <c r="O2354" s="141">
        <v>10</v>
      </c>
      <c r="P2354" s="141"/>
      <c r="Q2354" s="141"/>
      <c r="R2354" s="141"/>
      <c r="S2354" s="141"/>
      <c r="T2354" s="141"/>
      <c r="U2354" s="141"/>
      <c r="V2354" s="29"/>
    </row>
    <row r="2355" spans="1:22" s="26" customFormat="1" ht="15" customHeight="1" x14ac:dyDescent="0.2">
      <c r="A2355" s="38">
        <v>41521.821469907409</v>
      </c>
      <c r="B2355" s="29" t="s">
        <v>16</v>
      </c>
      <c r="C2355" s="29" t="s">
        <v>406</v>
      </c>
      <c r="D2355" s="30">
        <v>41487</v>
      </c>
      <c r="E2355" s="31" t="s">
        <v>881</v>
      </c>
      <c r="F2355" s="29" t="s">
        <v>423</v>
      </c>
      <c r="G2355" s="29" t="s">
        <v>26</v>
      </c>
      <c r="H2355" s="29" t="s">
        <v>1662</v>
      </c>
      <c r="I2355" s="29"/>
      <c r="J2355" s="116">
        <v>1</v>
      </c>
      <c r="K2355" s="116">
        <v>0</v>
      </c>
      <c r="L2355" s="139"/>
      <c r="M2355" s="140" t="s">
        <v>22</v>
      </c>
      <c r="N2355" s="141"/>
      <c r="O2355" s="141"/>
      <c r="P2355" s="141"/>
      <c r="Q2355" s="141"/>
      <c r="R2355" s="141"/>
      <c r="S2355" s="141"/>
      <c r="T2355" s="141"/>
      <c r="U2355" s="141"/>
      <c r="V2355" s="29"/>
    </row>
    <row r="2356" spans="1:22" s="26" customFormat="1" ht="15" customHeight="1" x14ac:dyDescent="0.2">
      <c r="A2356" s="38">
        <v>41521.82236111111</v>
      </c>
      <c r="B2356" s="29" t="s">
        <v>16</v>
      </c>
      <c r="C2356" s="29" t="s">
        <v>406</v>
      </c>
      <c r="D2356" s="30">
        <v>41487</v>
      </c>
      <c r="E2356" s="31" t="s">
        <v>1663</v>
      </c>
      <c r="F2356" s="29" t="s">
        <v>1664</v>
      </c>
      <c r="G2356" s="29" t="s">
        <v>26</v>
      </c>
      <c r="H2356" s="29" t="s">
        <v>1665</v>
      </c>
      <c r="I2356" s="29"/>
      <c r="J2356" s="116">
        <v>1</v>
      </c>
      <c r="K2356" s="116">
        <v>18</v>
      </c>
      <c r="L2356" s="139"/>
      <c r="M2356" s="140" t="s">
        <v>44</v>
      </c>
      <c r="N2356" s="141"/>
      <c r="O2356" s="141">
        <v>45</v>
      </c>
      <c r="P2356" s="141"/>
      <c r="Q2356" s="141"/>
      <c r="R2356" s="141"/>
      <c r="S2356" s="141"/>
      <c r="T2356" s="141"/>
      <c r="U2356" s="141"/>
      <c r="V2356" s="29"/>
    </row>
    <row r="2357" spans="1:22" s="26" customFormat="1" ht="15" customHeight="1" x14ac:dyDescent="0.2">
      <c r="A2357" s="38">
        <v>41521.823136574072</v>
      </c>
      <c r="B2357" s="29" t="s">
        <v>16</v>
      </c>
      <c r="C2357" s="29" t="s">
        <v>406</v>
      </c>
      <c r="D2357" s="30">
        <v>41487</v>
      </c>
      <c r="E2357" s="31" t="s">
        <v>1654</v>
      </c>
      <c r="F2357" s="29" t="s">
        <v>458</v>
      </c>
      <c r="G2357" s="29" t="s">
        <v>26</v>
      </c>
      <c r="H2357" s="29" t="s">
        <v>1666</v>
      </c>
      <c r="I2357" s="29"/>
      <c r="J2357" s="116">
        <v>1</v>
      </c>
      <c r="K2357" s="116">
        <v>20</v>
      </c>
      <c r="L2357" s="139"/>
      <c r="M2357" s="140" t="s">
        <v>44</v>
      </c>
      <c r="N2357" s="141"/>
      <c r="O2357" s="141">
        <v>50</v>
      </c>
      <c r="P2357" s="141"/>
      <c r="Q2357" s="141"/>
      <c r="R2357" s="141"/>
      <c r="S2357" s="141"/>
      <c r="T2357" s="141"/>
      <c r="U2357" s="141"/>
      <c r="V2357" s="29"/>
    </row>
    <row r="2358" spans="1:22" s="26" customFormat="1" ht="15" customHeight="1" x14ac:dyDescent="0.2">
      <c r="A2358" s="32">
        <v>41552.745578703703</v>
      </c>
      <c r="B2358" s="26" t="s">
        <v>16</v>
      </c>
      <c r="C2358" s="26" t="s">
        <v>406</v>
      </c>
      <c r="D2358" s="30">
        <v>41518</v>
      </c>
      <c r="E2358" s="26" t="s">
        <v>2455</v>
      </c>
      <c r="F2358" s="26" t="s">
        <v>2456</v>
      </c>
      <c r="G2358" s="26" t="s">
        <v>26</v>
      </c>
      <c r="H2358" s="26" t="s">
        <v>2457</v>
      </c>
      <c r="J2358" s="46">
        <v>1</v>
      </c>
      <c r="K2358" s="46">
        <v>0</v>
      </c>
      <c r="L2358" s="136"/>
      <c r="M2358" s="137" t="s">
        <v>22</v>
      </c>
      <c r="N2358" s="138"/>
      <c r="O2358" s="138"/>
      <c r="P2358" s="138"/>
      <c r="Q2358" s="138"/>
      <c r="R2358" s="138"/>
      <c r="S2358" s="138"/>
      <c r="T2358" s="138"/>
      <c r="U2358" s="138"/>
    </row>
    <row r="2359" spans="1:22" s="26" customFormat="1" ht="15" customHeight="1" x14ac:dyDescent="0.2">
      <c r="A2359" s="32">
        <v>41552.746331018519</v>
      </c>
      <c r="B2359" s="26" t="s">
        <v>16</v>
      </c>
      <c r="C2359" s="26" t="s">
        <v>406</v>
      </c>
      <c r="D2359" s="30">
        <v>41518</v>
      </c>
      <c r="E2359" s="26" t="s">
        <v>2458</v>
      </c>
      <c r="F2359" s="26" t="s">
        <v>435</v>
      </c>
      <c r="G2359" s="26" t="s">
        <v>26</v>
      </c>
      <c r="H2359" s="26" t="s">
        <v>1579</v>
      </c>
      <c r="J2359" s="46">
        <v>1</v>
      </c>
      <c r="K2359" s="46">
        <v>27</v>
      </c>
      <c r="L2359" s="136"/>
      <c r="M2359" s="137" t="s">
        <v>44</v>
      </c>
      <c r="N2359" s="138"/>
      <c r="O2359" s="138">
        <v>70</v>
      </c>
      <c r="P2359" s="138"/>
      <c r="Q2359" s="138"/>
      <c r="R2359" s="138"/>
      <c r="S2359" s="138"/>
      <c r="T2359" s="138"/>
      <c r="U2359" s="138"/>
    </row>
    <row r="2360" spans="1:22" s="26" customFormat="1" ht="15" customHeight="1" x14ac:dyDescent="0.2">
      <c r="A2360" s="32">
        <v>41552.747488425928</v>
      </c>
      <c r="B2360" s="26" t="s">
        <v>16</v>
      </c>
      <c r="C2360" s="26" t="s">
        <v>406</v>
      </c>
      <c r="D2360" s="30">
        <v>41518</v>
      </c>
      <c r="E2360" s="26" t="s">
        <v>2459</v>
      </c>
      <c r="F2360" s="26" t="s">
        <v>2460</v>
      </c>
      <c r="G2360" s="26" t="s">
        <v>26</v>
      </c>
      <c r="H2360" s="26" t="s">
        <v>2461</v>
      </c>
      <c r="J2360" s="46">
        <v>1</v>
      </c>
      <c r="K2360" s="46">
        <v>4</v>
      </c>
      <c r="L2360" s="136"/>
      <c r="M2360" s="137" t="s">
        <v>44</v>
      </c>
      <c r="N2360" s="138"/>
      <c r="O2360" s="138">
        <v>10</v>
      </c>
      <c r="P2360" s="138"/>
      <c r="Q2360" s="138"/>
      <c r="R2360" s="138"/>
      <c r="S2360" s="138"/>
      <c r="T2360" s="138"/>
      <c r="U2360" s="138"/>
    </row>
    <row r="2361" spans="1:22" s="26" customFormat="1" ht="15" customHeight="1" x14ac:dyDescent="0.2">
      <c r="A2361" s="32">
        <v>41552.748055555552</v>
      </c>
      <c r="B2361" s="26" t="s">
        <v>16</v>
      </c>
      <c r="C2361" s="26" t="s">
        <v>406</v>
      </c>
      <c r="D2361" s="30">
        <v>41518</v>
      </c>
      <c r="E2361" s="26" t="s">
        <v>2462</v>
      </c>
      <c r="F2361" s="26" t="s">
        <v>299</v>
      </c>
      <c r="G2361" s="26" t="s">
        <v>26</v>
      </c>
      <c r="H2361" s="26" t="s">
        <v>2463</v>
      </c>
      <c r="J2361" s="46">
        <v>1</v>
      </c>
      <c r="K2361" s="46">
        <v>5</v>
      </c>
      <c r="L2361" s="136"/>
      <c r="M2361" s="137" t="s">
        <v>44</v>
      </c>
      <c r="N2361" s="138"/>
      <c r="O2361" s="138">
        <v>15</v>
      </c>
      <c r="P2361" s="138"/>
      <c r="Q2361" s="138"/>
      <c r="R2361" s="138"/>
      <c r="S2361" s="138"/>
      <c r="T2361" s="138"/>
      <c r="U2361" s="138"/>
    </row>
    <row r="2362" spans="1:22" s="26" customFormat="1" ht="15" customHeight="1" x14ac:dyDescent="0.2">
      <c r="A2362" s="32">
        <v>41552.774409722224</v>
      </c>
      <c r="B2362" s="26" t="s">
        <v>16</v>
      </c>
      <c r="C2362" s="26" t="s">
        <v>406</v>
      </c>
      <c r="D2362" s="30">
        <v>41518</v>
      </c>
      <c r="E2362" s="26" t="s">
        <v>2464</v>
      </c>
      <c r="F2362" s="26" t="s">
        <v>411</v>
      </c>
      <c r="G2362" s="26" t="s">
        <v>26</v>
      </c>
      <c r="H2362" s="26" t="s">
        <v>1575</v>
      </c>
      <c r="J2362" s="46">
        <v>1</v>
      </c>
      <c r="K2362" s="46">
        <v>0</v>
      </c>
      <c r="L2362" s="136"/>
      <c r="M2362" s="137" t="s">
        <v>22</v>
      </c>
      <c r="N2362" s="138"/>
      <c r="O2362" s="138"/>
      <c r="P2362" s="138"/>
      <c r="Q2362" s="138"/>
      <c r="R2362" s="138"/>
      <c r="S2362" s="138"/>
      <c r="T2362" s="138"/>
      <c r="U2362" s="138"/>
    </row>
    <row r="2363" spans="1:22" s="26" customFormat="1" ht="15" customHeight="1" x14ac:dyDescent="0.2">
      <c r="A2363" s="32">
        <v>41552.780277777776</v>
      </c>
      <c r="B2363" s="26" t="s">
        <v>16</v>
      </c>
      <c r="C2363" s="26" t="s">
        <v>406</v>
      </c>
      <c r="D2363" s="30">
        <v>41518</v>
      </c>
      <c r="E2363" s="26" t="s">
        <v>2465</v>
      </c>
      <c r="F2363" s="26" t="s">
        <v>2466</v>
      </c>
      <c r="G2363" s="26" t="s">
        <v>26</v>
      </c>
      <c r="H2363" s="26" t="s">
        <v>2467</v>
      </c>
      <c r="J2363" s="46">
        <v>1</v>
      </c>
      <c r="K2363" s="46">
        <v>1</v>
      </c>
      <c r="L2363" s="136"/>
      <c r="M2363" s="137" t="s">
        <v>44</v>
      </c>
      <c r="N2363" s="138"/>
      <c r="O2363" s="138">
        <v>5</v>
      </c>
      <c r="P2363" s="138"/>
      <c r="Q2363" s="138"/>
      <c r="R2363" s="138"/>
      <c r="S2363" s="138"/>
      <c r="T2363" s="138"/>
      <c r="U2363" s="138"/>
    </row>
    <row r="2364" spans="1:22" s="26" customFormat="1" ht="15" customHeight="1" x14ac:dyDescent="0.2">
      <c r="A2364" s="32">
        <v>41552.780856481484</v>
      </c>
      <c r="B2364" s="26" t="s">
        <v>16</v>
      </c>
      <c r="C2364" s="26" t="s">
        <v>406</v>
      </c>
      <c r="D2364" s="30">
        <v>41518</v>
      </c>
      <c r="E2364" s="26" t="s">
        <v>2468</v>
      </c>
      <c r="F2364" s="26" t="s">
        <v>423</v>
      </c>
      <c r="G2364" s="26" t="s">
        <v>26</v>
      </c>
      <c r="H2364" s="26" t="s">
        <v>2469</v>
      </c>
      <c r="J2364" s="115">
        <v>1</v>
      </c>
      <c r="K2364" s="115">
        <v>0</v>
      </c>
      <c r="L2364" s="136"/>
      <c r="M2364" s="137" t="s">
        <v>22</v>
      </c>
      <c r="N2364" s="138"/>
      <c r="O2364" s="138"/>
      <c r="P2364" s="138"/>
      <c r="Q2364" s="138"/>
      <c r="R2364" s="138"/>
      <c r="S2364" s="138"/>
      <c r="T2364" s="138"/>
      <c r="U2364" s="138"/>
    </row>
    <row r="2365" spans="1:22" s="26" customFormat="1" ht="15" customHeight="1" x14ac:dyDescent="0.2">
      <c r="A2365" s="32">
        <v>41552.781631944446</v>
      </c>
      <c r="B2365" s="26" t="s">
        <v>16</v>
      </c>
      <c r="C2365" s="26" t="s">
        <v>406</v>
      </c>
      <c r="D2365" s="30">
        <v>41518</v>
      </c>
      <c r="E2365" s="26" t="s">
        <v>2470</v>
      </c>
      <c r="F2365" s="26" t="s">
        <v>1569</v>
      </c>
      <c r="G2365" s="26" t="s">
        <v>26</v>
      </c>
      <c r="H2365" s="26" t="s">
        <v>1550</v>
      </c>
      <c r="J2365" s="46">
        <v>1</v>
      </c>
      <c r="K2365" s="46">
        <v>0</v>
      </c>
      <c r="L2365" s="136"/>
      <c r="M2365" s="137" t="s">
        <v>22</v>
      </c>
      <c r="N2365" s="138"/>
      <c r="O2365" s="138"/>
      <c r="P2365" s="138"/>
      <c r="Q2365" s="138"/>
      <c r="R2365" s="138"/>
      <c r="S2365" s="138"/>
      <c r="T2365" s="138"/>
      <c r="U2365" s="138"/>
      <c r="V2365" s="26" t="s">
        <v>2471</v>
      </c>
    </row>
    <row r="2366" spans="1:22" s="26" customFormat="1" ht="15" customHeight="1" x14ac:dyDescent="0.2">
      <c r="A2366" s="32">
        <v>41552.782939814817</v>
      </c>
      <c r="B2366" s="26" t="s">
        <v>16</v>
      </c>
      <c r="C2366" s="26" t="s">
        <v>406</v>
      </c>
      <c r="D2366" s="30">
        <v>41518</v>
      </c>
      <c r="E2366" s="26" t="s">
        <v>1661</v>
      </c>
      <c r="F2366" s="26" t="s">
        <v>420</v>
      </c>
      <c r="G2366" s="26" t="s">
        <v>26</v>
      </c>
      <c r="H2366" s="26" t="s">
        <v>2472</v>
      </c>
      <c r="J2366" s="46">
        <v>1</v>
      </c>
      <c r="K2366" s="46">
        <v>0</v>
      </c>
      <c r="L2366" s="136"/>
      <c r="M2366" s="137" t="s">
        <v>22</v>
      </c>
      <c r="N2366" s="138"/>
      <c r="O2366" s="138"/>
      <c r="P2366" s="138"/>
      <c r="Q2366" s="138"/>
      <c r="R2366" s="138"/>
      <c r="S2366" s="138"/>
      <c r="T2366" s="138"/>
      <c r="U2366" s="138"/>
    </row>
    <row r="2367" spans="1:22" s="26" customFormat="1" ht="15" customHeight="1" x14ac:dyDescent="0.2">
      <c r="A2367" s="32">
        <v>41552.784166666665</v>
      </c>
      <c r="B2367" s="26" t="s">
        <v>16</v>
      </c>
      <c r="C2367" s="26" t="s">
        <v>406</v>
      </c>
      <c r="D2367" s="30">
        <v>41518</v>
      </c>
      <c r="E2367" s="26" t="s">
        <v>2473</v>
      </c>
      <c r="F2367" s="26" t="s">
        <v>2474</v>
      </c>
      <c r="G2367" s="26" t="s">
        <v>26</v>
      </c>
      <c r="H2367" s="26" t="s">
        <v>2475</v>
      </c>
      <c r="J2367" s="46">
        <v>1</v>
      </c>
      <c r="K2367" s="46">
        <v>4</v>
      </c>
      <c r="L2367" s="136"/>
      <c r="M2367" s="137" t="s">
        <v>44</v>
      </c>
      <c r="N2367" s="138"/>
      <c r="O2367" s="138">
        <v>10</v>
      </c>
      <c r="P2367" s="138"/>
      <c r="Q2367" s="138"/>
      <c r="R2367" s="138"/>
      <c r="S2367" s="138"/>
      <c r="T2367" s="138"/>
      <c r="U2367" s="138"/>
    </row>
    <row r="2368" spans="1:22" s="26" customFormat="1" ht="15" customHeight="1" x14ac:dyDescent="0.2">
      <c r="A2368" s="32">
        <v>41552.785231481481</v>
      </c>
      <c r="B2368" s="26" t="s">
        <v>16</v>
      </c>
      <c r="C2368" s="26" t="s">
        <v>406</v>
      </c>
      <c r="D2368" s="30">
        <v>41518</v>
      </c>
      <c r="E2368" s="26" t="s">
        <v>2476</v>
      </c>
      <c r="F2368" s="26" t="s">
        <v>2477</v>
      </c>
      <c r="G2368" s="26" t="s">
        <v>26</v>
      </c>
      <c r="H2368" s="26" t="s">
        <v>2478</v>
      </c>
      <c r="J2368" s="46">
        <v>1</v>
      </c>
      <c r="K2368" s="46">
        <v>9</v>
      </c>
      <c r="L2368" s="136"/>
      <c r="M2368" s="137" t="s">
        <v>44</v>
      </c>
      <c r="N2368" s="138"/>
      <c r="O2368" s="138">
        <v>25</v>
      </c>
      <c r="P2368" s="138"/>
      <c r="Q2368" s="138"/>
      <c r="R2368" s="138"/>
      <c r="S2368" s="138"/>
      <c r="T2368" s="138"/>
      <c r="U2368" s="138"/>
    </row>
    <row r="2369" spans="1:21" s="26" customFormat="1" ht="15" customHeight="1" x14ac:dyDescent="0.2">
      <c r="A2369" s="32">
        <v>41552.786180555559</v>
      </c>
      <c r="B2369" s="26" t="s">
        <v>16</v>
      </c>
      <c r="C2369" s="26" t="s">
        <v>406</v>
      </c>
      <c r="D2369" s="30">
        <v>41518</v>
      </c>
      <c r="E2369" s="26" t="s">
        <v>2479</v>
      </c>
      <c r="F2369" s="26" t="s">
        <v>1639</v>
      </c>
      <c r="G2369" s="26" t="s">
        <v>26</v>
      </c>
      <c r="H2369" s="26" t="s">
        <v>2480</v>
      </c>
      <c r="J2369" s="46">
        <v>1</v>
      </c>
      <c r="K2369" s="46">
        <v>5</v>
      </c>
      <c r="L2369" s="136"/>
      <c r="M2369" s="137" t="s">
        <v>44</v>
      </c>
      <c r="N2369" s="138"/>
      <c r="O2369" s="138">
        <v>15</v>
      </c>
      <c r="P2369" s="138"/>
      <c r="Q2369" s="138"/>
      <c r="R2369" s="138"/>
      <c r="S2369" s="138"/>
      <c r="T2369" s="138"/>
      <c r="U2369" s="138"/>
    </row>
    <row r="2370" spans="1:21" s="26" customFormat="1" ht="15" customHeight="1" x14ac:dyDescent="0.2">
      <c r="A2370" s="32">
        <v>41552.786932870367</v>
      </c>
      <c r="B2370" s="26" t="s">
        <v>16</v>
      </c>
      <c r="C2370" s="26" t="s">
        <v>406</v>
      </c>
      <c r="D2370" s="30">
        <v>41518</v>
      </c>
      <c r="E2370" s="26" t="s">
        <v>1576</v>
      </c>
      <c r="F2370" s="26" t="s">
        <v>299</v>
      </c>
      <c r="G2370" s="26" t="s">
        <v>26</v>
      </c>
      <c r="H2370" s="26" t="s">
        <v>2481</v>
      </c>
      <c r="J2370" s="46">
        <v>1</v>
      </c>
      <c r="K2370" s="46">
        <v>0</v>
      </c>
      <c r="L2370" s="136"/>
      <c r="M2370" s="137" t="s">
        <v>22</v>
      </c>
      <c r="N2370" s="138"/>
      <c r="O2370" s="138"/>
      <c r="P2370" s="138"/>
      <c r="Q2370" s="138"/>
      <c r="R2370" s="138"/>
      <c r="S2370" s="138"/>
      <c r="T2370" s="138"/>
      <c r="U2370" s="138"/>
    </row>
    <row r="2371" spans="1:21" s="26" customFormat="1" ht="15" customHeight="1" x14ac:dyDescent="0.2">
      <c r="A2371" s="32">
        <v>41552.787777777776</v>
      </c>
      <c r="B2371" s="26" t="s">
        <v>16</v>
      </c>
      <c r="C2371" s="26" t="s">
        <v>406</v>
      </c>
      <c r="D2371" s="30">
        <v>41518</v>
      </c>
      <c r="E2371" s="26" t="s">
        <v>2482</v>
      </c>
      <c r="F2371" s="26" t="s">
        <v>2456</v>
      </c>
      <c r="G2371" s="26" t="s">
        <v>26</v>
      </c>
      <c r="H2371" s="26" t="s">
        <v>2483</v>
      </c>
      <c r="J2371" s="46">
        <v>1</v>
      </c>
      <c r="K2371" s="46">
        <v>5</v>
      </c>
      <c r="L2371" s="136"/>
      <c r="M2371" s="137" t="s">
        <v>44</v>
      </c>
      <c r="N2371" s="138"/>
      <c r="O2371" s="138">
        <v>15</v>
      </c>
      <c r="P2371" s="138"/>
      <c r="Q2371" s="138"/>
      <c r="R2371" s="138"/>
      <c r="S2371" s="138"/>
      <c r="T2371" s="138"/>
      <c r="U2371" s="138"/>
    </row>
    <row r="2372" spans="1:21" s="26" customFormat="1" ht="15" customHeight="1" x14ac:dyDescent="0.2">
      <c r="A2372" s="32">
        <v>41552.788391203707</v>
      </c>
      <c r="B2372" s="26" t="s">
        <v>16</v>
      </c>
      <c r="C2372" s="26" t="s">
        <v>406</v>
      </c>
      <c r="D2372" s="30">
        <v>41518</v>
      </c>
      <c r="E2372" s="26" t="s">
        <v>2484</v>
      </c>
      <c r="F2372" s="26" t="s">
        <v>435</v>
      </c>
      <c r="G2372" s="26" t="s">
        <v>26</v>
      </c>
      <c r="H2372" s="26" t="s">
        <v>1579</v>
      </c>
      <c r="J2372" s="46">
        <v>1</v>
      </c>
      <c r="K2372" s="46">
        <v>21</v>
      </c>
      <c r="L2372" s="136"/>
      <c r="M2372" s="137" t="s">
        <v>44</v>
      </c>
      <c r="N2372" s="138"/>
      <c r="O2372" s="138">
        <v>55</v>
      </c>
      <c r="P2372" s="138"/>
      <c r="Q2372" s="138"/>
      <c r="R2372" s="138"/>
      <c r="S2372" s="138"/>
      <c r="T2372" s="138"/>
      <c r="U2372" s="138"/>
    </row>
    <row r="2373" spans="1:21" s="26" customFormat="1" ht="15" customHeight="1" x14ac:dyDescent="0.2">
      <c r="A2373" s="32">
        <v>41552.817442129628</v>
      </c>
      <c r="B2373" s="26" t="s">
        <v>16</v>
      </c>
      <c r="C2373" s="26" t="s">
        <v>406</v>
      </c>
      <c r="D2373" s="30">
        <v>41518</v>
      </c>
      <c r="E2373" s="26" t="s">
        <v>2485</v>
      </c>
      <c r="F2373" s="26" t="s">
        <v>426</v>
      </c>
      <c r="G2373" s="26" t="s">
        <v>26</v>
      </c>
      <c r="H2373" s="26" t="s">
        <v>2486</v>
      </c>
      <c r="J2373" s="46">
        <v>1</v>
      </c>
      <c r="K2373" s="46">
        <v>0</v>
      </c>
      <c r="L2373" s="136"/>
      <c r="M2373" s="137" t="s">
        <v>22</v>
      </c>
      <c r="N2373" s="138"/>
      <c r="O2373" s="138"/>
      <c r="P2373" s="138"/>
      <c r="Q2373" s="138"/>
      <c r="R2373" s="138"/>
      <c r="S2373" s="138"/>
      <c r="T2373" s="138"/>
      <c r="U2373" s="138"/>
    </row>
    <row r="2374" spans="1:21" s="26" customFormat="1" ht="15" customHeight="1" x14ac:dyDescent="0.2">
      <c r="A2374" s="32">
        <v>41552.818124999998</v>
      </c>
      <c r="B2374" s="26" t="s">
        <v>16</v>
      </c>
      <c r="C2374" s="26" t="s">
        <v>406</v>
      </c>
      <c r="D2374" s="30">
        <v>41518</v>
      </c>
      <c r="E2374" s="26" t="s">
        <v>2465</v>
      </c>
      <c r="F2374" s="26" t="s">
        <v>2466</v>
      </c>
      <c r="G2374" s="26" t="s">
        <v>26</v>
      </c>
      <c r="H2374" s="26" t="s">
        <v>2467</v>
      </c>
      <c r="J2374" s="46">
        <v>1</v>
      </c>
      <c r="K2374" s="46">
        <v>5</v>
      </c>
      <c r="L2374" s="136"/>
      <c r="M2374" s="137" t="s">
        <v>44</v>
      </c>
      <c r="N2374" s="138"/>
      <c r="O2374" s="138">
        <v>15</v>
      </c>
      <c r="P2374" s="138"/>
      <c r="Q2374" s="138"/>
      <c r="R2374" s="138"/>
      <c r="S2374" s="138"/>
      <c r="T2374" s="138"/>
      <c r="U2374" s="138"/>
    </row>
    <row r="2375" spans="1:21" s="26" customFormat="1" ht="15" customHeight="1" x14ac:dyDescent="0.2">
      <c r="A2375" s="32">
        <v>41552.818715277775</v>
      </c>
      <c r="B2375" s="26" t="s">
        <v>16</v>
      </c>
      <c r="C2375" s="26" t="s">
        <v>406</v>
      </c>
      <c r="D2375" s="30">
        <v>41518</v>
      </c>
      <c r="E2375" s="26" t="s">
        <v>1633</v>
      </c>
      <c r="F2375" s="26" t="s">
        <v>2487</v>
      </c>
      <c r="G2375" s="26" t="s">
        <v>26</v>
      </c>
      <c r="H2375" s="26" t="s">
        <v>2488</v>
      </c>
      <c r="J2375" s="46">
        <v>1</v>
      </c>
      <c r="K2375" s="46">
        <v>0</v>
      </c>
      <c r="L2375" s="136"/>
      <c r="M2375" s="137" t="s">
        <v>22</v>
      </c>
      <c r="N2375" s="138"/>
      <c r="O2375" s="138"/>
      <c r="P2375" s="138"/>
      <c r="Q2375" s="138"/>
      <c r="R2375" s="138"/>
      <c r="S2375" s="138"/>
      <c r="T2375" s="138"/>
      <c r="U2375" s="138"/>
    </row>
    <row r="2376" spans="1:21" s="26" customFormat="1" ht="15" customHeight="1" x14ac:dyDescent="0.2">
      <c r="A2376" s="32">
        <v>41552.81958333333</v>
      </c>
      <c r="B2376" s="26" t="s">
        <v>16</v>
      </c>
      <c r="C2376" s="26" t="s">
        <v>406</v>
      </c>
      <c r="D2376" s="30">
        <v>41518</v>
      </c>
      <c r="E2376" s="26" t="s">
        <v>881</v>
      </c>
      <c r="F2376" s="26" t="s">
        <v>2489</v>
      </c>
      <c r="G2376" s="26" t="s">
        <v>26</v>
      </c>
      <c r="H2376" s="26" t="s">
        <v>2490</v>
      </c>
      <c r="J2376" s="46">
        <v>1</v>
      </c>
      <c r="K2376" s="46">
        <v>0</v>
      </c>
      <c r="L2376" s="136"/>
      <c r="M2376" s="137" t="s">
        <v>22</v>
      </c>
      <c r="N2376" s="138"/>
      <c r="O2376" s="138"/>
      <c r="P2376" s="138"/>
      <c r="Q2376" s="138"/>
      <c r="R2376" s="138"/>
      <c r="S2376" s="138"/>
      <c r="T2376" s="138"/>
      <c r="U2376" s="138"/>
    </row>
    <row r="2377" spans="1:21" s="26" customFormat="1" ht="15" customHeight="1" x14ac:dyDescent="0.2">
      <c r="A2377" s="32">
        <v>41552.820092592592</v>
      </c>
      <c r="B2377" s="26" t="s">
        <v>16</v>
      </c>
      <c r="C2377" s="26" t="s">
        <v>406</v>
      </c>
      <c r="D2377" s="30">
        <v>41518</v>
      </c>
      <c r="E2377" s="26" t="s">
        <v>1773</v>
      </c>
      <c r="F2377" s="26" t="s">
        <v>408</v>
      </c>
      <c r="G2377" s="26" t="s">
        <v>26</v>
      </c>
      <c r="H2377" s="26" t="s">
        <v>2480</v>
      </c>
      <c r="J2377" s="46">
        <v>1</v>
      </c>
      <c r="K2377" s="46">
        <v>0</v>
      </c>
      <c r="L2377" s="136"/>
      <c r="M2377" s="137" t="s">
        <v>22</v>
      </c>
      <c r="N2377" s="138"/>
      <c r="O2377" s="138"/>
      <c r="P2377" s="138"/>
      <c r="Q2377" s="138"/>
      <c r="R2377" s="138"/>
      <c r="S2377" s="138"/>
      <c r="T2377" s="138"/>
      <c r="U2377" s="138"/>
    </row>
    <row r="2378" spans="1:21" s="26" customFormat="1" ht="15" customHeight="1" x14ac:dyDescent="0.2">
      <c r="A2378" s="32">
        <v>41552.820694444446</v>
      </c>
      <c r="B2378" s="26" t="s">
        <v>16</v>
      </c>
      <c r="C2378" s="26" t="s">
        <v>406</v>
      </c>
      <c r="D2378" s="30">
        <v>41518</v>
      </c>
      <c r="E2378" s="26" t="s">
        <v>2491</v>
      </c>
      <c r="F2378" s="26" t="s">
        <v>423</v>
      </c>
      <c r="G2378" s="26" t="s">
        <v>26</v>
      </c>
      <c r="H2378" s="26" t="s">
        <v>2469</v>
      </c>
      <c r="J2378" s="46">
        <v>1</v>
      </c>
      <c r="K2378" s="46">
        <v>14</v>
      </c>
      <c r="L2378" s="136"/>
      <c r="M2378" s="137" t="s">
        <v>44</v>
      </c>
      <c r="N2378" s="138"/>
      <c r="O2378" s="138">
        <v>35</v>
      </c>
      <c r="P2378" s="138"/>
      <c r="Q2378" s="138"/>
      <c r="R2378" s="138"/>
      <c r="S2378" s="138"/>
      <c r="T2378" s="138"/>
      <c r="U2378" s="138"/>
    </row>
    <row r="2379" spans="1:21" s="26" customFormat="1" ht="15" customHeight="1" x14ac:dyDescent="0.2">
      <c r="A2379" s="32">
        <v>41552.826319444444</v>
      </c>
      <c r="B2379" s="26" t="s">
        <v>16</v>
      </c>
      <c r="C2379" s="26" t="s">
        <v>406</v>
      </c>
      <c r="D2379" s="30">
        <v>41518</v>
      </c>
      <c r="E2379" s="26" t="s">
        <v>2455</v>
      </c>
      <c r="F2379" s="26" t="s">
        <v>2456</v>
      </c>
      <c r="G2379" s="26" t="s">
        <v>26</v>
      </c>
      <c r="H2379" s="26" t="s">
        <v>2483</v>
      </c>
      <c r="J2379" s="46">
        <v>1</v>
      </c>
      <c r="K2379" s="46">
        <v>2</v>
      </c>
      <c r="L2379" s="136"/>
      <c r="M2379" s="137" t="s">
        <v>44</v>
      </c>
      <c r="N2379" s="138"/>
      <c r="O2379" s="138">
        <v>5</v>
      </c>
      <c r="P2379" s="138"/>
      <c r="Q2379" s="138"/>
      <c r="R2379" s="138"/>
      <c r="S2379" s="138"/>
      <c r="T2379" s="138"/>
      <c r="U2379" s="138"/>
    </row>
    <row r="2380" spans="1:21" s="26" customFormat="1" ht="15" customHeight="1" x14ac:dyDescent="0.2">
      <c r="A2380" s="32">
        <v>41552.827291666668</v>
      </c>
      <c r="B2380" s="26" t="s">
        <v>16</v>
      </c>
      <c r="C2380" s="26" t="s">
        <v>406</v>
      </c>
      <c r="D2380" s="30">
        <v>41518</v>
      </c>
      <c r="E2380" s="26" t="s">
        <v>2492</v>
      </c>
      <c r="F2380" s="26" t="s">
        <v>1552</v>
      </c>
      <c r="G2380" s="26" t="s">
        <v>26</v>
      </c>
      <c r="H2380" s="26" t="s">
        <v>1553</v>
      </c>
      <c r="J2380" s="46">
        <v>1</v>
      </c>
      <c r="K2380" s="46">
        <v>0</v>
      </c>
      <c r="L2380" s="136"/>
      <c r="M2380" s="137" t="s">
        <v>22</v>
      </c>
      <c r="N2380" s="138"/>
      <c r="O2380" s="138"/>
      <c r="P2380" s="138"/>
      <c r="Q2380" s="138"/>
      <c r="R2380" s="138"/>
      <c r="S2380" s="138"/>
      <c r="T2380" s="138"/>
      <c r="U2380" s="138"/>
    </row>
    <row r="2381" spans="1:21" s="26" customFormat="1" ht="15" customHeight="1" x14ac:dyDescent="0.2">
      <c r="A2381" s="32">
        <v>41552.831875000003</v>
      </c>
      <c r="B2381" s="26" t="s">
        <v>16</v>
      </c>
      <c r="C2381" s="26" t="s">
        <v>406</v>
      </c>
      <c r="D2381" s="30">
        <v>41518</v>
      </c>
      <c r="E2381" s="26" t="s">
        <v>2465</v>
      </c>
      <c r="F2381" s="26" t="s">
        <v>2466</v>
      </c>
      <c r="G2381" s="26" t="s">
        <v>26</v>
      </c>
      <c r="H2381" s="26" t="s">
        <v>2467</v>
      </c>
      <c r="J2381" s="46">
        <v>1</v>
      </c>
      <c r="K2381" s="46">
        <v>7</v>
      </c>
      <c r="L2381" s="136"/>
      <c r="M2381" s="137" t="s">
        <v>44</v>
      </c>
      <c r="N2381" s="138"/>
      <c r="O2381" s="138">
        <v>5</v>
      </c>
      <c r="P2381" s="138"/>
      <c r="Q2381" s="138"/>
      <c r="R2381" s="138"/>
      <c r="S2381" s="138"/>
      <c r="T2381" s="138"/>
      <c r="U2381" s="138"/>
    </row>
    <row r="2382" spans="1:21" s="26" customFormat="1" ht="15" customHeight="1" x14ac:dyDescent="0.2">
      <c r="A2382" s="32">
        <v>41552.832685185182</v>
      </c>
      <c r="B2382" s="26" t="s">
        <v>16</v>
      </c>
      <c r="C2382" s="26" t="s">
        <v>406</v>
      </c>
      <c r="D2382" s="30">
        <v>41518</v>
      </c>
      <c r="E2382" s="26" t="s">
        <v>2468</v>
      </c>
      <c r="F2382" s="26" t="s">
        <v>414</v>
      </c>
      <c r="G2382" s="26" t="s">
        <v>26</v>
      </c>
      <c r="H2382" s="26" t="s">
        <v>2493</v>
      </c>
      <c r="J2382" s="46">
        <v>1</v>
      </c>
      <c r="K2382" s="46">
        <v>2</v>
      </c>
      <c r="L2382" s="136"/>
      <c r="M2382" s="137" t="s">
        <v>22</v>
      </c>
      <c r="N2382" s="138"/>
      <c r="O2382" s="138"/>
      <c r="P2382" s="138"/>
      <c r="Q2382" s="138"/>
      <c r="R2382" s="138"/>
      <c r="S2382" s="138"/>
      <c r="T2382" s="138"/>
      <c r="U2382" s="138"/>
    </row>
    <row r="2383" spans="1:21" s="26" customFormat="1" ht="15" customHeight="1" x14ac:dyDescent="0.2">
      <c r="A2383" s="32">
        <v>41554.706377314818</v>
      </c>
      <c r="B2383" s="26" t="s">
        <v>16</v>
      </c>
      <c r="C2383" s="26" t="s">
        <v>406</v>
      </c>
      <c r="D2383" s="30">
        <v>41518</v>
      </c>
      <c r="E2383" s="26" t="s">
        <v>1661</v>
      </c>
      <c r="F2383" s="26" t="s">
        <v>1639</v>
      </c>
      <c r="G2383" s="26" t="s">
        <v>26</v>
      </c>
      <c r="H2383" s="26" t="s">
        <v>1653</v>
      </c>
      <c r="J2383" s="46">
        <v>1</v>
      </c>
      <c r="K2383" s="46">
        <v>1</v>
      </c>
      <c r="L2383" s="136"/>
      <c r="M2383" s="137" t="s">
        <v>44</v>
      </c>
      <c r="N2383" s="138"/>
      <c r="O2383" s="138">
        <v>5</v>
      </c>
      <c r="P2383" s="138"/>
      <c r="Q2383" s="138"/>
      <c r="R2383" s="138"/>
      <c r="S2383" s="138"/>
      <c r="T2383" s="138"/>
      <c r="U2383" s="138"/>
    </row>
    <row r="2384" spans="1:21" s="26" customFormat="1" ht="15" customHeight="1" x14ac:dyDescent="0.2">
      <c r="A2384" s="32">
        <v>41554.707083333335</v>
      </c>
      <c r="B2384" s="26" t="s">
        <v>16</v>
      </c>
      <c r="C2384" s="26" t="s">
        <v>406</v>
      </c>
      <c r="D2384" s="30">
        <v>41518</v>
      </c>
      <c r="E2384" s="26" t="s">
        <v>1636</v>
      </c>
      <c r="F2384" s="26" t="s">
        <v>463</v>
      </c>
      <c r="G2384" s="26" t="s">
        <v>26</v>
      </c>
      <c r="H2384" s="26" t="s">
        <v>2556</v>
      </c>
      <c r="J2384" s="46">
        <v>1</v>
      </c>
      <c r="K2384" s="46">
        <v>5</v>
      </c>
      <c r="L2384" s="136"/>
      <c r="M2384" s="137" t="s">
        <v>44</v>
      </c>
      <c r="N2384" s="138"/>
      <c r="O2384" s="138">
        <v>25</v>
      </c>
      <c r="P2384" s="138"/>
      <c r="Q2384" s="138"/>
      <c r="R2384" s="138"/>
      <c r="S2384" s="138"/>
      <c r="T2384" s="138"/>
      <c r="U2384" s="138"/>
    </row>
    <row r="2385" spans="1:22" s="26" customFormat="1" ht="15" customHeight="1" x14ac:dyDescent="0.2">
      <c r="A2385" s="32">
        <v>41554.709502314814</v>
      </c>
      <c r="B2385" s="26" t="s">
        <v>16</v>
      </c>
      <c r="C2385" s="26" t="s">
        <v>406</v>
      </c>
      <c r="D2385" s="30">
        <v>41518</v>
      </c>
      <c r="E2385" s="26" t="s">
        <v>2557</v>
      </c>
      <c r="F2385" s="26" t="s">
        <v>2456</v>
      </c>
      <c r="G2385" s="26" t="s">
        <v>26</v>
      </c>
      <c r="H2385" s="26" t="s">
        <v>2483</v>
      </c>
      <c r="J2385" s="46">
        <v>1</v>
      </c>
      <c r="K2385" s="46">
        <v>5</v>
      </c>
      <c r="L2385" s="136"/>
      <c r="M2385" s="137" t="s">
        <v>22</v>
      </c>
      <c r="N2385" s="138"/>
      <c r="O2385" s="138"/>
      <c r="P2385" s="138"/>
      <c r="Q2385" s="138"/>
      <c r="R2385" s="138"/>
      <c r="S2385" s="138"/>
      <c r="T2385" s="138"/>
      <c r="U2385" s="138"/>
    </row>
    <row r="2386" spans="1:22" s="26" customFormat="1" ht="15" customHeight="1" x14ac:dyDescent="0.2">
      <c r="A2386" s="32">
        <v>41554.710381944446</v>
      </c>
      <c r="B2386" s="26" t="s">
        <v>16</v>
      </c>
      <c r="C2386" s="26" t="s">
        <v>406</v>
      </c>
      <c r="D2386" s="30">
        <v>41518</v>
      </c>
      <c r="E2386" s="26" t="s">
        <v>2558</v>
      </c>
      <c r="F2386" s="26" t="s">
        <v>299</v>
      </c>
      <c r="G2386" s="26" t="s">
        <v>26</v>
      </c>
      <c r="H2386" s="26" t="s">
        <v>2559</v>
      </c>
      <c r="J2386" s="115">
        <v>1</v>
      </c>
      <c r="K2386" s="115">
        <v>1</v>
      </c>
      <c r="L2386" s="136"/>
      <c r="M2386" s="137" t="s">
        <v>22</v>
      </c>
      <c r="N2386" s="138"/>
      <c r="O2386" s="138"/>
      <c r="P2386" s="138"/>
      <c r="Q2386" s="138"/>
      <c r="R2386" s="138"/>
      <c r="S2386" s="138"/>
      <c r="T2386" s="138"/>
      <c r="U2386" s="138"/>
    </row>
    <row r="2387" spans="1:22" s="26" customFormat="1" ht="15" customHeight="1" x14ac:dyDescent="0.2">
      <c r="A2387" s="32">
        <v>41554.71193287037</v>
      </c>
      <c r="B2387" s="26" t="s">
        <v>16</v>
      </c>
      <c r="C2387" s="26" t="s">
        <v>406</v>
      </c>
      <c r="D2387" s="30">
        <v>41518</v>
      </c>
      <c r="E2387" s="26" t="s">
        <v>2465</v>
      </c>
      <c r="F2387" s="26" t="s">
        <v>2466</v>
      </c>
      <c r="G2387" s="26" t="s">
        <v>26</v>
      </c>
      <c r="H2387" s="26" t="s">
        <v>2467</v>
      </c>
      <c r="J2387" s="46">
        <v>1</v>
      </c>
      <c r="K2387" s="46">
        <v>8</v>
      </c>
      <c r="L2387" s="136"/>
      <c r="M2387" s="137" t="s">
        <v>44</v>
      </c>
      <c r="N2387" s="138"/>
      <c r="O2387" s="138">
        <v>15</v>
      </c>
      <c r="P2387" s="138"/>
      <c r="Q2387" s="138"/>
      <c r="R2387" s="138"/>
      <c r="S2387" s="138"/>
      <c r="T2387" s="138"/>
      <c r="U2387" s="138"/>
    </row>
    <row r="2388" spans="1:22" s="26" customFormat="1" ht="15" customHeight="1" x14ac:dyDescent="0.2">
      <c r="A2388" s="32">
        <v>41554.712858796294</v>
      </c>
      <c r="B2388" s="26" t="s">
        <v>16</v>
      </c>
      <c r="C2388" s="26" t="s">
        <v>406</v>
      </c>
      <c r="D2388" s="30">
        <v>41518</v>
      </c>
      <c r="E2388" s="26" t="s">
        <v>2468</v>
      </c>
      <c r="F2388" s="26" t="s">
        <v>414</v>
      </c>
      <c r="G2388" s="26" t="s">
        <v>26</v>
      </c>
      <c r="H2388" s="26" t="s">
        <v>2493</v>
      </c>
      <c r="J2388" s="46">
        <v>1</v>
      </c>
      <c r="K2388" s="46">
        <v>4</v>
      </c>
      <c r="L2388" s="136"/>
      <c r="M2388" s="137" t="s">
        <v>44</v>
      </c>
      <c r="N2388" s="138"/>
      <c r="O2388" s="138">
        <v>10</v>
      </c>
      <c r="P2388" s="138"/>
      <c r="Q2388" s="138"/>
      <c r="R2388" s="138"/>
      <c r="S2388" s="138"/>
      <c r="T2388" s="138"/>
      <c r="U2388" s="138"/>
    </row>
    <row r="2389" spans="1:22" s="26" customFormat="1" ht="15" customHeight="1" x14ac:dyDescent="0.2">
      <c r="A2389" s="32">
        <v>41554.71334490741</v>
      </c>
      <c r="B2389" s="26" t="s">
        <v>16</v>
      </c>
      <c r="C2389" s="26" t="s">
        <v>406</v>
      </c>
      <c r="D2389" s="30">
        <v>41518</v>
      </c>
      <c r="E2389" s="26" t="s">
        <v>881</v>
      </c>
      <c r="F2389" s="26" t="s">
        <v>411</v>
      </c>
      <c r="G2389" s="26" t="s">
        <v>26</v>
      </c>
      <c r="H2389" s="26" t="s">
        <v>1575</v>
      </c>
      <c r="J2389" s="46">
        <v>1</v>
      </c>
      <c r="K2389" s="46">
        <v>0</v>
      </c>
      <c r="L2389" s="136"/>
      <c r="M2389" s="137" t="s">
        <v>22</v>
      </c>
      <c r="N2389" s="138"/>
      <c r="O2389" s="138"/>
      <c r="P2389" s="138"/>
      <c r="Q2389" s="138"/>
      <c r="R2389" s="138"/>
      <c r="S2389" s="138"/>
      <c r="T2389" s="138"/>
      <c r="U2389" s="138"/>
    </row>
    <row r="2390" spans="1:22" s="26" customFormat="1" ht="15" customHeight="1" x14ac:dyDescent="0.2">
      <c r="A2390" s="32">
        <v>41554.713969907411</v>
      </c>
      <c r="B2390" s="26" t="s">
        <v>16</v>
      </c>
      <c r="C2390" s="26" t="s">
        <v>406</v>
      </c>
      <c r="D2390" s="30">
        <v>41518</v>
      </c>
      <c r="E2390" s="26" t="s">
        <v>2476</v>
      </c>
      <c r="F2390" s="26" t="s">
        <v>2560</v>
      </c>
      <c r="G2390" s="26" t="s">
        <v>26</v>
      </c>
      <c r="H2390" s="26" t="s">
        <v>2561</v>
      </c>
      <c r="J2390" s="46">
        <v>1</v>
      </c>
      <c r="K2390" s="46">
        <v>6</v>
      </c>
      <c r="L2390" s="136"/>
      <c r="M2390" s="137" t="s">
        <v>44</v>
      </c>
      <c r="N2390" s="138"/>
      <c r="O2390" s="138">
        <v>15</v>
      </c>
      <c r="P2390" s="138"/>
      <c r="Q2390" s="138"/>
      <c r="R2390" s="138"/>
      <c r="S2390" s="138"/>
      <c r="T2390" s="138"/>
      <c r="U2390" s="138"/>
    </row>
    <row r="2391" spans="1:22" s="26" customFormat="1" ht="15" customHeight="1" x14ac:dyDescent="0.2">
      <c r="A2391" s="32">
        <v>41554.715081018519</v>
      </c>
      <c r="B2391" s="26" t="s">
        <v>16</v>
      </c>
      <c r="C2391" s="26" t="s">
        <v>406</v>
      </c>
      <c r="D2391" s="30">
        <v>41518</v>
      </c>
      <c r="E2391" s="26" t="s">
        <v>2479</v>
      </c>
      <c r="F2391" s="34" t="s">
        <v>2795</v>
      </c>
      <c r="G2391" s="26" t="s">
        <v>156</v>
      </c>
      <c r="H2391" s="26" t="s">
        <v>2562</v>
      </c>
      <c r="J2391" s="46">
        <v>1</v>
      </c>
      <c r="K2391" s="46">
        <v>18</v>
      </c>
      <c r="L2391" s="136"/>
      <c r="M2391" s="137" t="s">
        <v>22</v>
      </c>
      <c r="N2391" s="138"/>
      <c r="O2391" s="138"/>
      <c r="P2391" s="138"/>
      <c r="Q2391" s="138"/>
      <c r="R2391" s="138"/>
      <c r="S2391" s="138"/>
      <c r="T2391" s="138"/>
      <c r="U2391" s="138"/>
    </row>
    <row r="2392" spans="1:22" s="26" customFormat="1" ht="15" customHeight="1" x14ac:dyDescent="0.2">
      <c r="A2392" s="32">
        <v>41554.715601851851</v>
      </c>
      <c r="B2392" s="26" t="s">
        <v>16</v>
      </c>
      <c r="C2392" s="26" t="s">
        <v>406</v>
      </c>
      <c r="D2392" s="30">
        <v>41518</v>
      </c>
      <c r="E2392" s="26" t="s">
        <v>2455</v>
      </c>
      <c r="F2392" s="26" t="s">
        <v>2456</v>
      </c>
      <c r="G2392" s="26" t="s">
        <v>26</v>
      </c>
      <c r="H2392" s="26" t="s">
        <v>2483</v>
      </c>
      <c r="J2392" s="46">
        <v>1</v>
      </c>
      <c r="K2392" s="46">
        <v>0</v>
      </c>
      <c r="L2392" s="136"/>
      <c r="M2392" s="137" t="s">
        <v>22</v>
      </c>
      <c r="N2392" s="138"/>
      <c r="O2392" s="138"/>
      <c r="P2392" s="138"/>
      <c r="Q2392" s="138"/>
      <c r="R2392" s="138"/>
      <c r="S2392" s="138"/>
      <c r="T2392" s="138"/>
      <c r="U2392" s="138"/>
    </row>
    <row r="2393" spans="1:22" s="26" customFormat="1" ht="15" customHeight="1" x14ac:dyDescent="0.2">
      <c r="A2393" s="32">
        <v>41554.732800925929</v>
      </c>
      <c r="B2393" s="26" t="s">
        <v>16</v>
      </c>
      <c r="C2393" s="26" t="s">
        <v>406</v>
      </c>
      <c r="D2393" s="30">
        <v>41518</v>
      </c>
      <c r="E2393" s="26" t="s">
        <v>2563</v>
      </c>
      <c r="F2393" s="26" t="s">
        <v>429</v>
      </c>
      <c r="G2393" s="26" t="s">
        <v>26</v>
      </c>
      <c r="H2393" s="26" t="s">
        <v>2564</v>
      </c>
      <c r="J2393" s="46">
        <v>1</v>
      </c>
      <c r="K2393" s="46">
        <v>0</v>
      </c>
      <c r="L2393" s="136"/>
      <c r="M2393" s="137" t="s">
        <v>22</v>
      </c>
      <c r="N2393" s="138"/>
      <c r="O2393" s="138"/>
      <c r="P2393" s="138"/>
      <c r="Q2393" s="138"/>
      <c r="R2393" s="138"/>
      <c r="S2393" s="138"/>
      <c r="T2393" s="138"/>
      <c r="U2393" s="138"/>
    </row>
    <row r="2394" spans="1:22" s="26" customFormat="1" ht="15" customHeight="1" x14ac:dyDescent="0.2">
      <c r="A2394" s="32">
        <v>41554.73574074074</v>
      </c>
      <c r="B2394" s="26" t="s">
        <v>16</v>
      </c>
      <c r="C2394" s="26" t="s">
        <v>406</v>
      </c>
      <c r="D2394" s="30">
        <v>41518</v>
      </c>
      <c r="E2394" s="26" t="s">
        <v>2565</v>
      </c>
      <c r="F2394" s="26" t="s">
        <v>2566</v>
      </c>
      <c r="G2394" s="26" t="s">
        <v>26</v>
      </c>
      <c r="H2394" s="26" t="s">
        <v>2567</v>
      </c>
      <c r="J2394" s="46">
        <v>1</v>
      </c>
      <c r="K2394" s="46">
        <v>22</v>
      </c>
      <c r="L2394" s="136">
        <v>100</v>
      </c>
      <c r="M2394" s="137" t="s">
        <v>22</v>
      </c>
      <c r="N2394" s="138"/>
      <c r="O2394" s="138"/>
      <c r="P2394" s="138"/>
      <c r="Q2394" s="138"/>
      <c r="R2394" s="138"/>
      <c r="S2394" s="138"/>
      <c r="T2394" s="138"/>
      <c r="U2394" s="138"/>
    </row>
    <row r="2395" spans="1:22" s="26" customFormat="1" ht="15" customHeight="1" x14ac:dyDescent="0.2">
      <c r="A2395" s="32">
        <v>41554.736400462964</v>
      </c>
      <c r="B2395" s="26" t="s">
        <v>16</v>
      </c>
      <c r="C2395" s="26" t="s">
        <v>406</v>
      </c>
      <c r="D2395" s="30">
        <v>41518</v>
      </c>
      <c r="E2395" s="26" t="s">
        <v>2568</v>
      </c>
      <c r="F2395" s="26" t="s">
        <v>2569</v>
      </c>
      <c r="G2395" s="26" t="s">
        <v>26</v>
      </c>
      <c r="H2395" s="26" t="s">
        <v>2570</v>
      </c>
      <c r="J2395" s="46">
        <v>1</v>
      </c>
      <c r="K2395" s="46">
        <v>20</v>
      </c>
      <c r="L2395" s="136"/>
      <c r="M2395" s="137" t="s">
        <v>22</v>
      </c>
      <c r="N2395" s="138"/>
      <c r="O2395" s="138"/>
      <c r="P2395" s="138"/>
      <c r="Q2395" s="138"/>
      <c r="R2395" s="138"/>
      <c r="S2395" s="138"/>
      <c r="T2395" s="138"/>
      <c r="U2395" s="138"/>
    </row>
    <row r="2396" spans="1:22" s="26" customFormat="1" ht="15" customHeight="1" x14ac:dyDescent="0.2">
      <c r="A2396" s="48">
        <v>41611.733842592599</v>
      </c>
      <c r="B2396" s="49" t="s">
        <v>16</v>
      </c>
      <c r="C2396" s="50" t="s">
        <v>406</v>
      </c>
      <c r="D2396" s="67">
        <v>41579</v>
      </c>
      <c r="E2396" s="50" t="s">
        <v>881</v>
      </c>
      <c r="F2396" s="50" t="s">
        <v>426</v>
      </c>
      <c r="G2396" s="49" t="s">
        <v>26</v>
      </c>
      <c r="H2396" s="50" t="s">
        <v>3218</v>
      </c>
      <c r="I2396" s="50" t="s">
        <v>3001</v>
      </c>
      <c r="J2396" s="117">
        <v>1</v>
      </c>
      <c r="K2396" s="117">
        <v>0</v>
      </c>
      <c r="L2396" s="142"/>
      <c r="M2396" s="143" t="s">
        <v>22</v>
      </c>
      <c r="N2396" s="144"/>
      <c r="O2396" s="144"/>
      <c r="P2396" s="144"/>
      <c r="Q2396" s="144"/>
      <c r="R2396" s="144"/>
      <c r="S2396" s="144"/>
      <c r="T2396" s="144"/>
      <c r="U2396" s="144"/>
      <c r="V2396" s="50"/>
    </row>
    <row r="2397" spans="1:22" s="26" customFormat="1" ht="15" customHeight="1" x14ac:dyDescent="0.2">
      <c r="A2397" s="48">
        <v>41611.735335648198</v>
      </c>
      <c r="B2397" s="49" t="s">
        <v>16</v>
      </c>
      <c r="C2397" s="50" t="s">
        <v>406</v>
      </c>
      <c r="D2397" s="67">
        <v>41579</v>
      </c>
      <c r="E2397" s="50" t="s">
        <v>2458</v>
      </c>
      <c r="F2397" s="50" t="s">
        <v>435</v>
      </c>
      <c r="G2397" s="49" t="s">
        <v>26</v>
      </c>
      <c r="H2397" s="50" t="s">
        <v>3219</v>
      </c>
      <c r="I2397" s="50" t="s">
        <v>3001</v>
      </c>
      <c r="J2397" s="117">
        <v>1</v>
      </c>
      <c r="K2397" s="117">
        <v>19</v>
      </c>
      <c r="L2397" s="142"/>
      <c r="M2397" s="143" t="s">
        <v>44</v>
      </c>
      <c r="N2397" s="144"/>
      <c r="O2397" s="144">
        <v>75</v>
      </c>
      <c r="P2397" s="144"/>
      <c r="Q2397" s="144"/>
      <c r="R2397" s="144"/>
      <c r="S2397" s="144"/>
      <c r="T2397" s="144"/>
      <c r="U2397" s="144"/>
      <c r="V2397" s="50"/>
    </row>
    <row r="2398" spans="1:22" s="26" customFormat="1" ht="15" customHeight="1" x14ac:dyDescent="0.2">
      <c r="A2398" s="48">
        <v>41611.736226851899</v>
      </c>
      <c r="B2398" s="49" t="s">
        <v>16</v>
      </c>
      <c r="C2398" s="50" t="s">
        <v>406</v>
      </c>
      <c r="D2398" s="67">
        <v>41579</v>
      </c>
      <c r="E2398" s="50" t="s">
        <v>2464</v>
      </c>
      <c r="F2398" s="50" t="s">
        <v>1637</v>
      </c>
      <c r="G2398" s="49" t="s">
        <v>26</v>
      </c>
      <c r="H2398" s="50" t="s">
        <v>3220</v>
      </c>
      <c r="I2398" s="50" t="s">
        <v>3001</v>
      </c>
      <c r="J2398" s="117">
        <v>1</v>
      </c>
      <c r="K2398" s="117">
        <v>4</v>
      </c>
      <c r="L2398" s="142"/>
      <c r="M2398" s="143" t="s">
        <v>22</v>
      </c>
      <c r="N2398" s="144"/>
      <c r="O2398" s="144"/>
      <c r="P2398" s="144"/>
      <c r="Q2398" s="144"/>
      <c r="R2398" s="144"/>
      <c r="S2398" s="144"/>
      <c r="T2398" s="144"/>
      <c r="U2398" s="144"/>
      <c r="V2398" s="50"/>
    </row>
    <row r="2399" spans="1:22" s="26" customFormat="1" ht="15" customHeight="1" x14ac:dyDescent="0.2">
      <c r="A2399" s="48">
        <v>41611.737175925897</v>
      </c>
      <c r="B2399" s="49" t="s">
        <v>16</v>
      </c>
      <c r="C2399" s="50" t="s">
        <v>406</v>
      </c>
      <c r="D2399" s="67">
        <v>41579</v>
      </c>
      <c r="E2399" s="50" t="s">
        <v>2465</v>
      </c>
      <c r="F2399" s="50" t="s">
        <v>2466</v>
      </c>
      <c r="G2399" s="49" t="s">
        <v>26</v>
      </c>
      <c r="H2399" s="50" t="s">
        <v>3221</v>
      </c>
      <c r="I2399" s="50" t="s">
        <v>3001</v>
      </c>
      <c r="J2399" s="117">
        <v>1</v>
      </c>
      <c r="K2399" s="117">
        <v>3</v>
      </c>
      <c r="L2399" s="142"/>
      <c r="M2399" s="143" t="s">
        <v>44</v>
      </c>
      <c r="N2399" s="144"/>
      <c r="O2399" s="144">
        <v>15</v>
      </c>
      <c r="P2399" s="144"/>
      <c r="Q2399" s="144"/>
      <c r="R2399" s="144"/>
      <c r="S2399" s="144"/>
      <c r="T2399" s="144"/>
      <c r="U2399" s="144"/>
      <c r="V2399" s="50"/>
    </row>
    <row r="2400" spans="1:22" s="26" customFormat="1" ht="15" customHeight="1" x14ac:dyDescent="0.2">
      <c r="A2400" s="48">
        <v>41611.738067129598</v>
      </c>
      <c r="B2400" s="49" t="s">
        <v>16</v>
      </c>
      <c r="C2400" s="50" t="s">
        <v>406</v>
      </c>
      <c r="D2400" s="67">
        <v>41579</v>
      </c>
      <c r="E2400" s="50" t="s">
        <v>881</v>
      </c>
      <c r="F2400" s="50" t="s">
        <v>299</v>
      </c>
      <c r="G2400" s="49" t="s">
        <v>26</v>
      </c>
      <c r="H2400" s="50">
        <v>1</v>
      </c>
      <c r="I2400" s="50" t="s">
        <v>3001</v>
      </c>
      <c r="J2400" s="117">
        <v>1</v>
      </c>
      <c r="K2400" s="117">
        <v>0</v>
      </c>
      <c r="L2400" s="142"/>
      <c r="M2400" s="143" t="s">
        <v>22</v>
      </c>
      <c r="N2400" s="144"/>
      <c r="O2400" s="144"/>
      <c r="P2400" s="144"/>
      <c r="Q2400" s="144"/>
      <c r="R2400" s="144"/>
      <c r="S2400" s="144"/>
      <c r="T2400" s="144"/>
      <c r="U2400" s="144"/>
      <c r="V2400" s="50"/>
    </row>
    <row r="2401" spans="1:22" s="26" customFormat="1" ht="15" customHeight="1" x14ac:dyDescent="0.2">
      <c r="A2401" s="48">
        <v>41611.739629629599</v>
      </c>
      <c r="B2401" s="49" t="s">
        <v>16</v>
      </c>
      <c r="C2401" s="50" t="s">
        <v>406</v>
      </c>
      <c r="D2401" s="67">
        <v>41579</v>
      </c>
      <c r="E2401" s="50" t="s">
        <v>3222</v>
      </c>
      <c r="F2401" s="50" t="s">
        <v>373</v>
      </c>
      <c r="G2401" s="49" t="s">
        <v>26</v>
      </c>
      <c r="H2401" s="50" t="s">
        <v>3223</v>
      </c>
      <c r="I2401" s="50" t="s">
        <v>3001</v>
      </c>
      <c r="J2401" s="117">
        <v>1</v>
      </c>
      <c r="K2401" s="117">
        <v>30</v>
      </c>
      <c r="L2401" s="142"/>
      <c r="M2401" s="143" t="s">
        <v>22</v>
      </c>
      <c r="N2401" s="144"/>
      <c r="O2401" s="144"/>
      <c r="P2401" s="144"/>
      <c r="Q2401" s="144"/>
      <c r="R2401" s="144"/>
      <c r="S2401" s="144"/>
      <c r="T2401" s="144"/>
      <c r="U2401" s="144"/>
      <c r="V2401" s="50"/>
    </row>
    <row r="2402" spans="1:22" s="26" customFormat="1" ht="15" customHeight="1" x14ac:dyDescent="0.2">
      <c r="A2402" s="48">
        <v>41611.7408796296</v>
      </c>
      <c r="B2402" s="49" t="s">
        <v>16</v>
      </c>
      <c r="C2402" s="50" t="s">
        <v>406</v>
      </c>
      <c r="D2402" s="67">
        <v>41579</v>
      </c>
      <c r="E2402" s="50" t="s">
        <v>3224</v>
      </c>
      <c r="F2402" s="50" t="s">
        <v>931</v>
      </c>
      <c r="G2402" s="49" t="s">
        <v>26</v>
      </c>
      <c r="H2402" s="50" t="s">
        <v>3225</v>
      </c>
      <c r="I2402" s="50" t="s">
        <v>3001</v>
      </c>
      <c r="J2402" s="117">
        <v>1</v>
      </c>
      <c r="K2402" s="117">
        <v>35</v>
      </c>
      <c r="L2402" s="142"/>
      <c r="M2402" s="143" t="s">
        <v>44</v>
      </c>
      <c r="N2402" s="144"/>
      <c r="O2402" s="144">
        <v>25</v>
      </c>
      <c r="P2402" s="144"/>
      <c r="Q2402" s="144"/>
      <c r="R2402" s="144"/>
      <c r="S2402" s="144"/>
      <c r="T2402" s="144"/>
      <c r="U2402" s="144"/>
      <c r="V2402" s="50"/>
    </row>
    <row r="2403" spans="1:22" s="26" customFormat="1" ht="15" customHeight="1" x14ac:dyDescent="0.2">
      <c r="A2403" s="48">
        <v>41611.741747685199</v>
      </c>
      <c r="B2403" s="49" t="s">
        <v>16</v>
      </c>
      <c r="C2403" s="50" t="s">
        <v>406</v>
      </c>
      <c r="D2403" s="67">
        <v>41579</v>
      </c>
      <c r="E2403" s="50" t="s">
        <v>2491</v>
      </c>
      <c r="F2403" s="50" t="s">
        <v>2862</v>
      </c>
      <c r="G2403" s="49" t="s">
        <v>26</v>
      </c>
      <c r="H2403" s="50" t="s">
        <v>3226</v>
      </c>
      <c r="I2403" s="50" t="s">
        <v>3001</v>
      </c>
      <c r="J2403" s="117">
        <v>1</v>
      </c>
      <c r="K2403" s="117">
        <v>0</v>
      </c>
      <c r="L2403" s="142"/>
      <c r="M2403" s="143" t="s">
        <v>22</v>
      </c>
      <c r="N2403" s="144"/>
      <c r="O2403" s="144"/>
      <c r="P2403" s="144"/>
      <c r="Q2403" s="144"/>
      <c r="R2403" s="144"/>
      <c r="S2403" s="144"/>
      <c r="T2403" s="144"/>
      <c r="U2403" s="144"/>
      <c r="V2403" s="50"/>
    </row>
    <row r="2404" spans="1:22" s="26" customFormat="1" ht="15" customHeight="1" x14ac:dyDescent="0.2">
      <c r="A2404" s="48">
        <v>41611.742349537002</v>
      </c>
      <c r="B2404" s="49" t="s">
        <v>16</v>
      </c>
      <c r="C2404" s="50" t="s">
        <v>406</v>
      </c>
      <c r="D2404" s="67">
        <v>41579</v>
      </c>
      <c r="E2404" s="50" t="s">
        <v>3227</v>
      </c>
      <c r="F2404" s="50" t="s">
        <v>435</v>
      </c>
      <c r="G2404" s="49" t="s">
        <v>26</v>
      </c>
      <c r="H2404" s="50">
        <v>1</v>
      </c>
      <c r="I2404" s="50" t="s">
        <v>3001</v>
      </c>
      <c r="J2404" s="117">
        <v>1</v>
      </c>
      <c r="K2404" s="117">
        <v>15</v>
      </c>
      <c r="L2404" s="142"/>
      <c r="M2404" s="143" t="s">
        <v>44</v>
      </c>
      <c r="N2404" s="144"/>
      <c r="O2404" s="144">
        <v>35</v>
      </c>
      <c r="P2404" s="144"/>
      <c r="Q2404" s="144"/>
      <c r="R2404" s="144"/>
      <c r="S2404" s="144"/>
      <c r="T2404" s="144"/>
      <c r="U2404" s="144"/>
      <c r="V2404" s="50"/>
    </row>
    <row r="2405" spans="1:22" s="26" customFormat="1" ht="15" customHeight="1" x14ac:dyDescent="0.2">
      <c r="A2405" s="48">
        <v>41611.743136574099</v>
      </c>
      <c r="B2405" s="49" t="s">
        <v>16</v>
      </c>
      <c r="C2405" s="50" t="s">
        <v>406</v>
      </c>
      <c r="D2405" s="67">
        <v>41579</v>
      </c>
      <c r="E2405" s="50" t="s">
        <v>2468</v>
      </c>
      <c r="F2405" s="50" t="s">
        <v>2466</v>
      </c>
      <c r="G2405" s="49" t="s">
        <v>26</v>
      </c>
      <c r="H2405" s="50" t="s">
        <v>3221</v>
      </c>
      <c r="I2405" s="50" t="s">
        <v>3001</v>
      </c>
      <c r="J2405" s="117">
        <v>1</v>
      </c>
      <c r="K2405" s="117">
        <v>2</v>
      </c>
      <c r="L2405" s="142"/>
      <c r="M2405" s="143" t="s">
        <v>44</v>
      </c>
      <c r="N2405" s="144"/>
      <c r="O2405" s="144">
        <v>5</v>
      </c>
      <c r="P2405" s="144"/>
      <c r="Q2405" s="144"/>
      <c r="R2405" s="144"/>
      <c r="S2405" s="144"/>
      <c r="T2405" s="144"/>
      <c r="U2405" s="144"/>
      <c r="V2405" s="50"/>
    </row>
    <row r="2406" spans="1:22" s="26" customFormat="1" ht="15" customHeight="1" x14ac:dyDescent="0.2">
      <c r="A2406" s="48">
        <v>41611.7441203704</v>
      </c>
      <c r="B2406" s="49" t="s">
        <v>16</v>
      </c>
      <c r="C2406" s="50" t="s">
        <v>406</v>
      </c>
      <c r="D2406" s="67">
        <v>41579</v>
      </c>
      <c r="E2406" s="50" t="s">
        <v>1661</v>
      </c>
      <c r="F2406" s="50" t="s">
        <v>420</v>
      </c>
      <c r="G2406" s="49" t="s">
        <v>26</v>
      </c>
      <c r="H2406" s="50" t="s">
        <v>3228</v>
      </c>
      <c r="I2406" s="50" t="s">
        <v>3001</v>
      </c>
      <c r="J2406" s="117">
        <v>1</v>
      </c>
      <c r="K2406" s="117">
        <v>2</v>
      </c>
      <c r="L2406" s="142"/>
      <c r="M2406" s="143" t="s">
        <v>22</v>
      </c>
      <c r="N2406" s="144"/>
      <c r="O2406" s="144"/>
      <c r="P2406" s="144"/>
      <c r="Q2406" s="144"/>
      <c r="R2406" s="144"/>
      <c r="S2406" s="144"/>
      <c r="T2406" s="144"/>
      <c r="U2406" s="144"/>
      <c r="V2406" s="50"/>
    </row>
    <row r="2407" spans="1:22" s="26" customFormat="1" ht="15" customHeight="1" x14ac:dyDescent="0.2">
      <c r="A2407" s="48">
        <v>41611.745682870402</v>
      </c>
      <c r="B2407" s="49" t="s">
        <v>16</v>
      </c>
      <c r="C2407" s="50" t="s">
        <v>406</v>
      </c>
      <c r="D2407" s="67">
        <v>41579</v>
      </c>
      <c r="E2407" s="50" t="s">
        <v>2458</v>
      </c>
      <c r="F2407" s="50" t="s">
        <v>435</v>
      </c>
      <c r="G2407" s="49" t="s">
        <v>26</v>
      </c>
      <c r="H2407" s="50" t="s">
        <v>3219</v>
      </c>
      <c r="I2407" s="50" t="s">
        <v>3001</v>
      </c>
      <c r="J2407" s="117"/>
      <c r="K2407" s="117">
        <v>60</v>
      </c>
      <c r="L2407" s="142"/>
      <c r="M2407" s="143" t="s">
        <v>44</v>
      </c>
      <c r="N2407" s="144"/>
      <c r="O2407" s="144">
        <v>250</v>
      </c>
      <c r="P2407" s="144"/>
      <c r="Q2407" s="144"/>
      <c r="R2407" s="144"/>
      <c r="S2407" s="144"/>
      <c r="T2407" s="144"/>
      <c r="U2407" s="144"/>
      <c r="V2407" s="50"/>
    </row>
    <row r="2408" spans="1:22" s="26" customFormat="1" ht="15" customHeight="1" x14ac:dyDescent="0.2">
      <c r="A2408" s="48">
        <v>41611.753564814797</v>
      </c>
      <c r="B2408" s="49" t="s">
        <v>16</v>
      </c>
      <c r="C2408" s="50" t="s">
        <v>406</v>
      </c>
      <c r="D2408" s="67">
        <v>41579</v>
      </c>
      <c r="E2408" s="50" t="s">
        <v>1646</v>
      </c>
      <c r="F2408" s="50" t="s">
        <v>426</v>
      </c>
      <c r="G2408" s="49" t="s">
        <v>26</v>
      </c>
      <c r="H2408" s="50" t="s">
        <v>3218</v>
      </c>
      <c r="I2408" s="50" t="s">
        <v>3001</v>
      </c>
      <c r="J2408" s="117">
        <v>1</v>
      </c>
      <c r="K2408" s="117">
        <v>0</v>
      </c>
      <c r="L2408" s="142"/>
      <c r="M2408" s="143" t="s">
        <v>22</v>
      </c>
      <c r="N2408" s="144"/>
      <c r="O2408" s="144"/>
      <c r="P2408" s="144"/>
      <c r="Q2408" s="144"/>
      <c r="R2408" s="144"/>
      <c r="S2408" s="144"/>
      <c r="T2408" s="144"/>
      <c r="U2408" s="144"/>
      <c r="V2408" s="50"/>
    </row>
    <row r="2409" spans="1:22" s="26" customFormat="1" ht="15" customHeight="1" x14ac:dyDescent="0.2">
      <c r="A2409" s="48">
        <v>41611.754178240699</v>
      </c>
      <c r="B2409" s="49" t="s">
        <v>16</v>
      </c>
      <c r="C2409" s="50" t="s">
        <v>406</v>
      </c>
      <c r="D2409" s="67">
        <v>41579</v>
      </c>
      <c r="E2409" s="50" t="s">
        <v>3229</v>
      </c>
      <c r="F2409" s="50" t="s">
        <v>429</v>
      </c>
      <c r="G2409" s="49" t="s">
        <v>26</v>
      </c>
      <c r="H2409" s="50" t="s">
        <v>3230</v>
      </c>
      <c r="I2409" s="50" t="s">
        <v>3001</v>
      </c>
      <c r="J2409" s="117">
        <v>1</v>
      </c>
      <c r="K2409" s="117">
        <v>0</v>
      </c>
      <c r="L2409" s="142"/>
      <c r="M2409" s="143" t="s">
        <v>22</v>
      </c>
      <c r="N2409" s="144"/>
      <c r="O2409" s="144"/>
      <c r="P2409" s="144"/>
      <c r="Q2409" s="144"/>
      <c r="R2409" s="144"/>
      <c r="S2409" s="144"/>
      <c r="T2409" s="144"/>
      <c r="U2409" s="144"/>
      <c r="V2409" s="50"/>
    </row>
    <row r="2410" spans="1:22" s="26" customFormat="1" ht="15" customHeight="1" x14ac:dyDescent="0.2">
      <c r="A2410" s="48">
        <v>41611.7583564815</v>
      </c>
      <c r="B2410" s="49" t="s">
        <v>16</v>
      </c>
      <c r="C2410" s="50" t="s">
        <v>406</v>
      </c>
      <c r="D2410" s="67">
        <v>41579</v>
      </c>
      <c r="E2410" s="50" t="s">
        <v>3231</v>
      </c>
      <c r="F2410" s="50" t="s">
        <v>2466</v>
      </c>
      <c r="G2410" s="49" t="s">
        <v>26</v>
      </c>
      <c r="H2410" s="50" t="s">
        <v>3221</v>
      </c>
      <c r="I2410" s="50" t="s">
        <v>3001</v>
      </c>
      <c r="J2410" s="117">
        <v>1</v>
      </c>
      <c r="K2410" s="117">
        <v>3</v>
      </c>
      <c r="L2410" s="142"/>
      <c r="M2410" s="143" t="s">
        <v>44</v>
      </c>
      <c r="N2410" s="144"/>
      <c r="O2410" s="144">
        <v>15</v>
      </c>
      <c r="P2410" s="144"/>
      <c r="Q2410" s="144"/>
      <c r="R2410" s="144"/>
      <c r="S2410" s="144"/>
      <c r="T2410" s="144"/>
      <c r="U2410" s="144"/>
      <c r="V2410" s="50"/>
    </row>
    <row r="2411" spans="1:22" s="26" customFormat="1" ht="15" customHeight="1" x14ac:dyDescent="0.2">
      <c r="A2411" s="48">
        <v>41611.759733796302</v>
      </c>
      <c r="B2411" s="49" t="s">
        <v>16</v>
      </c>
      <c r="C2411" s="50" t="s">
        <v>406</v>
      </c>
      <c r="D2411" s="67">
        <v>41579</v>
      </c>
      <c r="E2411" s="50" t="s">
        <v>2468</v>
      </c>
      <c r="F2411" s="50" t="s">
        <v>414</v>
      </c>
      <c r="G2411" s="49" t="s">
        <v>26</v>
      </c>
      <c r="H2411" s="50" t="s">
        <v>3232</v>
      </c>
      <c r="I2411" s="50" t="s">
        <v>3171</v>
      </c>
      <c r="J2411" s="117">
        <v>1</v>
      </c>
      <c r="K2411" s="117">
        <v>2</v>
      </c>
      <c r="L2411" s="142"/>
      <c r="M2411" s="143" t="s">
        <v>44</v>
      </c>
      <c r="N2411" s="144"/>
      <c r="O2411" s="144">
        <v>5</v>
      </c>
      <c r="P2411" s="144"/>
      <c r="Q2411" s="144"/>
      <c r="R2411" s="144"/>
      <c r="S2411" s="144"/>
      <c r="T2411" s="144"/>
      <c r="U2411" s="144"/>
      <c r="V2411" s="50"/>
    </row>
    <row r="2412" spans="1:22" s="26" customFormat="1" ht="15" customHeight="1" x14ac:dyDescent="0.2">
      <c r="A2412" s="48">
        <v>41611.773287037002</v>
      </c>
      <c r="B2412" s="49" t="s">
        <v>16</v>
      </c>
      <c r="C2412" s="50" t="s">
        <v>406</v>
      </c>
      <c r="D2412" s="67">
        <v>41579</v>
      </c>
      <c r="E2412" s="50" t="s">
        <v>881</v>
      </c>
      <c r="F2412" s="50" t="s">
        <v>463</v>
      </c>
      <c r="G2412" s="49" t="s">
        <v>26</v>
      </c>
      <c r="H2412" s="50" t="s">
        <v>3233</v>
      </c>
      <c r="I2412" s="50" t="s">
        <v>3001</v>
      </c>
      <c r="J2412" s="117">
        <v>1</v>
      </c>
      <c r="K2412" s="117">
        <v>0</v>
      </c>
      <c r="L2412" s="142"/>
      <c r="M2412" s="143" t="s">
        <v>22</v>
      </c>
      <c r="N2412" s="144"/>
      <c r="O2412" s="144"/>
      <c r="P2412" s="144"/>
      <c r="Q2412" s="144"/>
      <c r="R2412" s="144"/>
      <c r="S2412" s="144"/>
      <c r="T2412" s="144"/>
      <c r="U2412" s="144"/>
      <c r="V2412" s="50"/>
    </row>
    <row r="2413" spans="1:22" s="26" customFormat="1" ht="15" customHeight="1" x14ac:dyDescent="0.2">
      <c r="A2413" s="48">
        <v>41611.7739814815</v>
      </c>
      <c r="B2413" s="49" t="s">
        <v>16</v>
      </c>
      <c r="C2413" s="50" t="s">
        <v>406</v>
      </c>
      <c r="D2413" s="67">
        <v>41579</v>
      </c>
      <c r="E2413" s="50" t="s">
        <v>3222</v>
      </c>
      <c r="F2413" s="50" t="s">
        <v>373</v>
      </c>
      <c r="G2413" s="49" t="s">
        <v>26</v>
      </c>
      <c r="H2413" s="50" t="s">
        <v>3234</v>
      </c>
      <c r="I2413" s="50" t="s">
        <v>3001</v>
      </c>
      <c r="J2413" s="117">
        <v>1</v>
      </c>
      <c r="K2413" s="117">
        <v>15</v>
      </c>
      <c r="L2413" s="142"/>
      <c r="M2413" s="143" t="s">
        <v>22</v>
      </c>
      <c r="N2413" s="144"/>
      <c r="O2413" s="144"/>
      <c r="P2413" s="144"/>
      <c r="Q2413" s="144"/>
      <c r="R2413" s="144"/>
      <c r="S2413" s="144"/>
      <c r="T2413" s="144"/>
      <c r="U2413" s="144"/>
      <c r="V2413" s="50"/>
    </row>
    <row r="2414" spans="1:22" s="26" customFormat="1" ht="15" customHeight="1" x14ac:dyDescent="0.2">
      <c r="A2414" s="48">
        <v>41611.778217592597</v>
      </c>
      <c r="B2414" s="49" t="s">
        <v>16</v>
      </c>
      <c r="C2414" s="50" t="s">
        <v>406</v>
      </c>
      <c r="D2414" s="67">
        <v>41579</v>
      </c>
      <c r="E2414" s="50" t="s">
        <v>3235</v>
      </c>
      <c r="F2414" s="50" t="s">
        <v>408</v>
      </c>
      <c r="G2414" s="49" t="s">
        <v>26</v>
      </c>
      <c r="H2414" s="50" t="s">
        <v>3236</v>
      </c>
      <c r="I2414" s="50" t="s">
        <v>2926</v>
      </c>
      <c r="J2414" s="117">
        <v>1</v>
      </c>
      <c r="K2414" s="117">
        <v>0</v>
      </c>
      <c r="L2414" s="142"/>
      <c r="M2414" s="143" t="s">
        <v>22</v>
      </c>
      <c r="N2414" s="144"/>
      <c r="O2414" s="144"/>
      <c r="P2414" s="144"/>
      <c r="Q2414" s="144"/>
      <c r="R2414" s="144"/>
      <c r="S2414" s="144"/>
      <c r="T2414" s="144"/>
      <c r="U2414" s="144"/>
      <c r="V2414" s="50"/>
    </row>
    <row r="2415" spans="1:22" s="26" customFormat="1" ht="15" customHeight="1" x14ac:dyDescent="0.2">
      <c r="A2415" s="48">
        <v>41611.778877314799</v>
      </c>
      <c r="B2415" s="49" t="s">
        <v>16</v>
      </c>
      <c r="C2415" s="50" t="s">
        <v>406</v>
      </c>
      <c r="D2415" s="67">
        <v>41579</v>
      </c>
      <c r="E2415" s="50" t="s">
        <v>3237</v>
      </c>
      <c r="F2415" s="50" t="s">
        <v>931</v>
      </c>
      <c r="G2415" s="49" t="s">
        <v>26</v>
      </c>
      <c r="H2415" s="50" t="s">
        <v>3225</v>
      </c>
      <c r="I2415" s="50" t="s">
        <v>3001</v>
      </c>
      <c r="J2415" s="117">
        <v>1</v>
      </c>
      <c r="K2415" s="117">
        <v>4</v>
      </c>
      <c r="L2415" s="142"/>
      <c r="M2415" s="143" t="s">
        <v>22</v>
      </c>
      <c r="N2415" s="144"/>
      <c r="O2415" s="144"/>
      <c r="P2415" s="144"/>
      <c r="Q2415" s="144"/>
      <c r="R2415" s="144"/>
      <c r="S2415" s="144"/>
      <c r="T2415" s="144"/>
      <c r="U2415" s="144"/>
      <c r="V2415" s="50"/>
    </row>
    <row r="2416" spans="1:22" s="26" customFormat="1" ht="15" customHeight="1" x14ac:dyDescent="0.2">
      <c r="A2416" s="48">
        <v>41611.783877314803</v>
      </c>
      <c r="B2416" s="49" t="s">
        <v>16</v>
      </c>
      <c r="C2416" s="50" t="s">
        <v>406</v>
      </c>
      <c r="D2416" s="67">
        <v>41579</v>
      </c>
      <c r="E2416" s="50" t="s">
        <v>1656</v>
      </c>
      <c r="F2416" s="50" t="s">
        <v>2474</v>
      </c>
      <c r="G2416" s="49" t="s">
        <v>26</v>
      </c>
      <c r="H2416" s="50" t="s">
        <v>3238</v>
      </c>
      <c r="I2416" s="50" t="s">
        <v>3001</v>
      </c>
      <c r="J2416" s="117">
        <v>1</v>
      </c>
      <c r="K2416" s="117">
        <v>3</v>
      </c>
      <c r="L2416" s="142"/>
      <c r="M2416" s="143" t="s">
        <v>22</v>
      </c>
      <c r="N2416" s="144"/>
      <c r="O2416" s="144"/>
      <c r="P2416" s="144"/>
      <c r="Q2416" s="144"/>
      <c r="R2416" s="144"/>
      <c r="S2416" s="144"/>
      <c r="T2416" s="144"/>
      <c r="U2416" s="144"/>
      <c r="V2416" s="50"/>
    </row>
    <row r="2417" spans="1:22" s="26" customFormat="1" ht="15" customHeight="1" x14ac:dyDescent="0.2">
      <c r="A2417" s="48">
        <v>41611.784861111097</v>
      </c>
      <c r="B2417" s="49" t="s">
        <v>16</v>
      </c>
      <c r="C2417" s="50" t="s">
        <v>406</v>
      </c>
      <c r="D2417" s="67">
        <v>41579</v>
      </c>
      <c r="E2417" s="50" t="s">
        <v>1646</v>
      </c>
      <c r="F2417" s="50" t="s">
        <v>1552</v>
      </c>
      <c r="G2417" s="49" t="s">
        <v>26</v>
      </c>
      <c r="H2417" s="50" t="s">
        <v>3239</v>
      </c>
      <c r="I2417" s="50" t="s">
        <v>2926</v>
      </c>
      <c r="J2417" s="117">
        <v>1</v>
      </c>
      <c r="K2417" s="117">
        <v>4</v>
      </c>
      <c r="L2417" s="142"/>
      <c r="M2417" s="143" t="s">
        <v>44</v>
      </c>
      <c r="N2417" s="144"/>
      <c r="O2417" s="144">
        <v>10</v>
      </c>
      <c r="P2417" s="144"/>
      <c r="Q2417" s="144"/>
      <c r="R2417" s="144"/>
      <c r="S2417" s="144"/>
      <c r="T2417" s="144"/>
      <c r="U2417" s="144"/>
      <c r="V2417" s="50"/>
    </row>
    <row r="2418" spans="1:22" s="26" customFormat="1" ht="15" customHeight="1" x14ac:dyDescent="0.2">
      <c r="A2418" s="48">
        <v>41611.7856018518</v>
      </c>
      <c r="B2418" s="49" t="s">
        <v>16</v>
      </c>
      <c r="C2418" s="50" t="s">
        <v>406</v>
      </c>
      <c r="D2418" s="67">
        <v>41579</v>
      </c>
      <c r="E2418" s="50" t="s">
        <v>3240</v>
      </c>
      <c r="F2418" s="50" t="s">
        <v>2862</v>
      </c>
      <c r="G2418" s="49" t="s">
        <v>26</v>
      </c>
      <c r="H2418" s="50" t="s">
        <v>3241</v>
      </c>
      <c r="I2418" s="50" t="s">
        <v>3001</v>
      </c>
      <c r="J2418" s="117">
        <v>1</v>
      </c>
      <c r="K2418" s="117">
        <v>0</v>
      </c>
      <c r="L2418" s="142"/>
      <c r="M2418" s="143" t="s">
        <v>22</v>
      </c>
      <c r="N2418" s="144"/>
      <c r="O2418" s="144"/>
      <c r="P2418" s="144"/>
      <c r="Q2418" s="144"/>
      <c r="R2418" s="144"/>
      <c r="S2418" s="144"/>
      <c r="T2418" s="144"/>
      <c r="U2418" s="144"/>
      <c r="V2418" s="50"/>
    </row>
    <row r="2419" spans="1:22" s="26" customFormat="1" ht="15" customHeight="1" x14ac:dyDescent="0.2">
      <c r="A2419" s="48">
        <v>41611.835659722201</v>
      </c>
      <c r="B2419" s="49" t="s">
        <v>16</v>
      </c>
      <c r="C2419" s="50" t="s">
        <v>406</v>
      </c>
      <c r="D2419" s="67">
        <v>41579</v>
      </c>
      <c r="E2419" s="50" t="s">
        <v>3242</v>
      </c>
      <c r="F2419" s="50" t="s">
        <v>414</v>
      </c>
      <c r="G2419" s="49" t="s">
        <v>26</v>
      </c>
      <c r="H2419" s="50" t="s">
        <v>3243</v>
      </c>
      <c r="I2419" s="50" t="s">
        <v>2926</v>
      </c>
      <c r="J2419" s="117">
        <v>1</v>
      </c>
      <c r="K2419" s="117">
        <v>12</v>
      </c>
      <c r="L2419" s="142"/>
      <c r="M2419" s="143" t="s">
        <v>44</v>
      </c>
      <c r="N2419" s="144"/>
      <c r="O2419" s="144">
        <v>10</v>
      </c>
      <c r="P2419" s="144"/>
      <c r="Q2419" s="144"/>
      <c r="R2419" s="144"/>
      <c r="S2419" s="144"/>
      <c r="T2419" s="144"/>
      <c r="U2419" s="144"/>
      <c r="V2419" s="50"/>
    </row>
    <row r="2420" spans="1:22" s="26" customFormat="1" ht="15" customHeight="1" x14ac:dyDescent="0.2">
      <c r="A2420" s="48">
        <v>41611.836504629602</v>
      </c>
      <c r="B2420" s="49" t="s">
        <v>16</v>
      </c>
      <c r="C2420" s="50" t="s">
        <v>406</v>
      </c>
      <c r="D2420" s="67">
        <v>41579</v>
      </c>
      <c r="E2420" s="50" t="s">
        <v>3244</v>
      </c>
      <c r="F2420" s="50" t="s">
        <v>1639</v>
      </c>
      <c r="G2420" s="49" t="s">
        <v>26</v>
      </c>
      <c r="H2420" s="50" t="s">
        <v>3245</v>
      </c>
      <c r="I2420" s="50" t="s">
        <v>3001</v>
      </c>
      <c r="J2420" s="117">
        <v>1</v>
      </c>
      <c r="K2420" s="117">
        <v>5</v>
      </c>
      <c r="L2420" s="142"/>
      <c r="M2420" s="143" t="s">
        <v>44</v>
      </c>
      <c r="N2420" s="144"/>
      <c r="O2420" s="144">
        <v>10</v>
      </c>
      <c r="P2420" s="144"/>
      <c r="Q2420" s="144"/>
      <c r="R2420" s="144"/>
      <c r="S2420" s="144"/>
      <c r="T2420" s="144"/>
      <c r="U2420" s="144"/>
      <c r="V2420" s="50"/>
    </row>
    <row r="2421" spans="1:22" s="26" customFormat="1" ht="15" customHeight="1" x14ac:dyDescent="0.2">
      <c r="A2421" s="48">
        <v>41611.837719907402</v>
      </c>
      <c r="B2421" s="49" t="s">
        <v>16</v>
      </c>
      <c r="C2421" s="50" t="s">
        <v>406</v>
      </c>
      <c r="D2421" s="67">
        <v>41579</v>
      </c>
      <c r="E2421" s="50" t="s">
        <v>1773</v>
      </c>
      <c r="F2421" s="50" t="s">
        <v>420</v>
      </c>
      <c r="G2421" s="49" t="s">
        <v>26</v>
      </c>
      <c r="H2421" s="50" t="s">
        <v>3246</v>
      </c>
      <c r="I2421" s="50" t="s">
        <v>2926</v>
      </c>
      <c r="J2421" s="117">
        <v>1</v>
      </c>
      <c r="K2421" s="117">
        <v>2</v>
      </c>
      <c r="L2421" s="142"/>
      <c r="M2421" s="143" t="s">
        <v>44</v>
      </c>
      <c r="N2421" s="144"/>
      <c r="O2421" s="144">
        <v>10</v>
      </c>
      <c r="P2421" s="144"/>
      <c r="Q2421" s="144"/>
      <c r="R2421" s="144"/>
      <c r="S2421" s="144"/>
      <c r="T2421" s="144"/>
      <c r="U2421" s="144"/>
      <c r="V2421" s="50"/>
    </row>
    <row r="2422" spans="1:22" s="26" customFormat="1" ht="15" customHeight="1" x14ac:dyDescent="0.2">
      <c r="A2422" s="48">
        <v>41611.838379629597</v>
      </c>
      <c r="B2422" s="49" t="s">
        <v>16</v>
      </c>
      <c r="C2422" s="50" t="s">
        <v>406</v>
      </c>
      <c r="D2422" s="67">
        <v>41579</v>
      </c>
      <c r="E2422" s="50" t="s">
        <v>1663</v>
      </c>
      <c r="F2422" s="50" t="s">
        <v>408</v>
      </c>
      <c r="G2422" s="49" t="s">
        <v>26</v>
      </c>
      <c r="H2422" s="50" t="s">
        <v>3236</v>
      </c>
      <c r="I2422" s="50" t="s">
        <v>3001</v>
      </c>
      <c r="J2422" s="117">
        <v>1</v>
      </c>
      <c r="K2422" s="117">
        <v>3</v>
      </c>
      <c r="L2422" s="142"/>
      <c r="M2422" s="143" t="s">
        <v>44</v>
      </c>
      <c r="N2422" s="144"/>
      <c r="O2422" s="144">
        <v>15</v>
      </c>
      <c r="P2422" s="144"/>
      <c r="Q2422" s="144"/>
      <c r="R2422" s="144"/>
      <c r="S2422" s="144"/>
      <c r="T2422" s="144"/>
      <c r="U2422" s="144"/>
      <c r="V2422" s="50"/>
    </row>
    <row r="2423" spans="1:22" s="26" customFormat="1" ht="15" customHeight="1" x14ac:dyDescent="0.2">
      <c r="A2423" s="48">
        <v>41613.707268518498</v>
      </c>
      <c r="B2423" s="49" t="s">
        <v>16</v>
      </c>
      <c r="C2423" s="50" t="s">
        <v>406</v>
      </c>
      <c r="D2423" s="67">
        <v>41579</v>
      </c>
      <c r="E2423" s="50" t="s">
        <v>3361</v>
      </c>
      <c r="F2423" s="50" t="s">
        <v>3362</v>
      </c>
      <c r="G2423" s="49" t="s">
        <v>20</v>
      </c>
      <c r="H2423" s="50" t="s">
        <v>3363</v>
      </c>
      <c r="I2423" s="50" t="s">
        <v>3001</v>
      </c>
      <c r="J2423" s="117">
        <v>2</v>
      </c>
      <c r="K2423" s="117">
        <v>127</v>
      </c>
      <c r="L2423" s="142">
        <v>254</v>
      </c>
      <c r="M2423" s="143" t="s">
        <v>22</v>
      </c>
      <c r="N2423" s="144"/>
      <c r="O2423" s="144"/>
      <c r="P2423" s="144"/>
      <c r="Q2423" s="144"/>
      <c r="R2423" s="144"/>
      <c r="S2423" s="144"/>
      <c r="T2423" s="144"/>
      <c r="U2423" s="144"/>
      <c r="V2423" s="50"/>
    </row>
    <row r="2424" spans="1:22" s="26" customFormat="1" ht="15" customHeight="1" x14ac:dyDescent="0.2">
      <c r="A2424" s="48">
        <v>41613.708368055602</v>
      </c>
      <c r="B2424" s="49" t="s">
        <v>16</v>
      </c>
      <c r="C2424" s="50" t="s">
        <v>406</v>
      </c>
      <c r="D2424" s="67">
        <v>41579</v>
      </c>
      <c r="E2424" s="50" t="s">
        <v>3364</v>
      </c>
      <c r="F2424" s="50" t="s">
        <v>3365</v>
      </c>
      <c r="G2424" s="49" t="s">
        <v>20</v>
      </c>
      <c r="H2424" s="50" t="s">
        <v>3366</v>
      </c>
      <c r="I2424" s="50" t="s">
        <v>3001</v>
      </c>
      <c r="J2424" s="117">
        <v>1</v>
      </c>
      <c r="K2424" s="117">
        <v>25</v>
      </c>
      <c r="L2424" s="142">
        <v>50</v>
      </c>
      <c r="M2424" s="143" t="s">
        <v>22</v>
      </c>
      <c r="N2424" s="144"/>
      <c r="O2424" s="144"/>
      <c r="P2424" s="144"/>
      <c r="Q2424" s="144"/>
      <c r="R2424" s="144"/>
      <c r="S2424" s="144"/>
      <c r="T2424" s="144"/>
      <c r="U2424" s="144"/>
      <c r="V2424" s="50"/>
    </row>
    <row r="2425" spans="1:22" s="26" customFormat="1" ht="15" customHeight="1" x14ac:dyDescent="0.2">
      <c r="A2425" s="48">
        <v>41613.709664351802</v>
      </c>
      <c r="B2425" s="49" t="s">
        <v>16</v>
      </c>
      <c r="C2425" s="50" t="s">
        <v>406</v>
      </c>
      <c r="D2425" s="67">
        <v>41579</v>
      </c>
      <c r="E2425" s="50" t="s">
        <v>3367</v>
      </c>
      <c r="F2425" s="50" t="s">
        <v>3368</v>
      </c>
      <c r="G2425" s="49" t="s">
        <v>20</v>
      </c>
      <c r="H2425" s="50" t="s">
        <v>3369</v>
      </c>
      <c r="I2425" s="50" t="s">
        <v>3001</v>
      </c>
      <c r="J2425" s="117">
        <v>1</v>
      </c>
      <c r="K2425" s="117">
        <v>16</v>
      </c>
      <c r="L2425" s="142">
        <v>32</v>
      </c>
      <c r="M2425" s="143" t="s">
        <v>22</v>
      </c>
      <c r="N2425" s="144"/>
      <c r="O2425" s="144"/>
      <c r="P2425" s="144"/>
      <c r="Q2425" s="144"/>
      <c r="R2425" s="144"/>
      <c r="S2425" s="144"/>
      <c r="T2425" s="144"/>
      <c r="U2425" s="144"/>
      <c r="V2425" s="50"/>
    </row>
    <row r="2426" spans="1:22" s="26" customFormat="1" ht="15" customHeight="1" x14ac:dyDescent="0.2">
      <c r="A2426" s="48">
        <v>41613.714328703703</v>
      </c>
      <c r="B2426" s="49" t="s">
        <v>16</v>
      </c>
      <c r="C2426" s="50" t="s">
        <v>406</v>
      </c>
      <c r="D2426" s="67">
        <v>41579</v>
      </c>
      <c r="E2426" s="50" t="s">
        <v>3370</v>
      </c>
      <c r="F2426" s="50" t="s">
        <v>3371</v>
      </c>
      <c r="G2426" s="49" t="s">
        <v>20</v>
      </c>
      <c r="H2426" s="50" t="s">
        <v>3372</v>
      </c>
      <c r="I2426" s="50" t="s">
        <v>3001</v>
      </c>
      <c r="J2426" s="117">
        <v>1</v>
      </c>
      <c r="K2426" s="117">
        <v>49</v>
      </c>
      <c r="L2426" s="142">
        <v>98</v>
      </c>
      <c r="M2426" s="143" t="s">
        <v>22</v>
      </c>
      <c r="N2426" s="144"/>
      <c r="O2426" s="144"/>
      <c r="P2426" s="144"/>
      <c r="Q2426" s="144"/>
      <c r="R2426" s="144"/>
      <c r="S2426" s="144"/>
      <c r="T2426" s="144"/>
      <c r="U2426" s="144"/>
      <c r="V2426" s="50"/>
    </row>
    <row r="2427" spans="1:22" s="26" customFormat="1" ht="15" customHeight="1" x14ac:dyDescent="0.2">
      <c r="A2427" s="48">
        <v>41613.715381944399</v>
      </c>
      <c r="B2427" s="49" t="s">
        <v>16</v>
      </c>
      <c r="C2427" s="50" t="s">
        <v>406</v>
      </c>
      <c r="D2427" s="67">
        <v>41579</v>
      </c>
      <c r="E2427" s="50" t="s">
        <v>3242</v>
      </c>
      <c r="F2427" s="50" t="s">
        <v>3373</v>
      </c>
      <c r="G2427" s="49" t="s">
        <v>20</v>
      </c>
      <c r="H2427" s="50" t="s">
        <v>3374</v>
      </c>
      <c r="I2427" s="50" t="s">
        <v>3001</v>
      </c>
      <c r="J2427" s="117">
        <v>1</v>
      </c>
      <c r="K2427" s="117">
        <v>49</v>
      </c>
      <c r="L2427" s="142">
        <v>98</v>
      </c>
      <c r="M2427" s="143" t="s">
        <v>22</v>
      </c>
      <c r="N2427" s="144"/>
      <c r="O2427" s="144"/>
      <c r="P2427" s="144"/>
      <c r="Q2427" s="144"/>
      <c r="R2427" s="144"/>
      <c r="S2427" s="144"/>
      <c r="T2427" s="144"/>
      <c r="U2427" s="144"/>
      <c r="V2427" s="50"/>
    </row>
    <row r="2428" spans="1:22" s="26" customFormat="1" ht="15" customHeight="1" x14ac:dyDescent="0.2">
      <c r="A2428" s="48">
        <v>41613.717407407399</v>
      </c>
      <c r="B2428" s="49" t="s">
        <v>16</v>
      </c>
      <c r="C2428" s="50" t="s">
        <v>406</v>
      </c>
      <c r="D2428" s="67">
        <v>41579</v>
      </c>
      <c r="E2428" s="50" t="s">
        <v>3375</v>
      </c>
      <c r="F2428" s="50" t="s">
        <v>3376</v>
      </c>
      <c r="G2428" s="49" t="s">
        <v>20</v>
      </c>
      <c r="H2428" s="50"/>
      <c r="I2428" s="50" t="s">
        <v>3001</v>
      </c>
      <c r="J2428" s="117">
        <v>1</v>
      </c>
      <c r="K2428" s="117">
        <v>8</v>
      </c>
      <c r="L2428" s="142">
        <v>16</v>
      </c>
      <c r="M2428" s="143" t="s">
        <v>44</v>
      </c>
      <c r="N2428" s="144"/>
      <c r="O2428" s="144">
        <v>10</v>
      </c>
      <c r="P2428" s="144"/>
      <c r="Q2428" s="144"/>
      <c r="R2428" s="144"/>
      <c r="S2428" s="144"/>
      <c r="T2428" s="144"/>
      <c r="U2428" s="144"/>
      <c r="V2428" s="50"/>
    </row>
    <row r="2429" spans="1:22" s="26" customFormat="1" ht="15" customHeight="1" x14ac:dyDescent="0.2">
      <c r="A2429" s="48">
        <v>41613.7186574074</v>
      </c>
      <c r="B2429" s="49" t="s">
        <v>16</v>
      </c>
      <c r="C2429" s="50" t="s">
        <v>406</v>
      </c>
      <c r="D2429" s="67">
        <v>41579</v>
      </c>
      <c r="E2429" s="50" t="s">
        <v>3377</v>
      </c>
      <c r="F2429" s="50" t="s">
        <v>3378</v>
      </c>
      <c r="G2429" s="49" t="s">
        <v>20</v>
      </c>
      <c r="H2429" s="50" t="s">
        <v>3379</v>
      </c>
      <c r="I2429" s="50" t="s">
        <v>3001</v>
      </c>
      <c r="J2429" s="117">
        <v>1</v>
      </c>
      <c r="K2429" s="117">
        <v>22</v>
      </c>
      <c r="L2429" s="142">
        <v>44</v>
      </c>
      <c r="M2429" s="143" t="s">
        <v>22</v>
      </c>
      <c r="N2429" s="144"/>
      <c r="O2429" s="144"/>
      <c r="P2429" s="144"/>
      <c r="Q2429" s="144"/>
      <c r="R2429" s="144"/>
      <c r="S2429" s="144"/>
      <c r="T2429" s="144"/>
      <c r="U2429" s="144"/>
      <c r="V2429" s="50"/>
    </row>
    <row r="2430" spans="1:22" s="26" customFormat="1" ht="15" customHeight="1" x14ac:dyDescent="0.2">
      <c r="A2430" s="48">
        <v>41613.719594907401</v>
      </c>
      <c r="B2430" s="49" t="s">
        <v>16</v>
      </c>
      <c r="C2430" s="50" t="s">
        <v>406</v>
      </c>
      <c r="D2430" s="67">
        <v>41579</v>
      </c>
      <c r="E2430" s="50" t="s">
        <v>3380</v>
      </c>
      <c r="F2430" s="50" t="s">
        <v>3381</v>
      </c>
      <c r="G2430" s="49" t="s">
        <v>20</v>
      </c>
      <c r="H2430" s="50" t="s">
        <v>3382</v>
      </c>
      <c r="I2430" s="50" t="s">
        <v>3001</v>
      </c>
      <c r="J2430" s="117">
        <v>1</v>
      </c>
      <c r="K2430" s="117">
        <v>107</v>
      </c>
      <c r="L2430" s="142">
        <v>214</v>
      </c>
      <c r="M2430" s="143" t="s">
        <v>22</v>
      </c>
      <c r="N2430" s="144"/>
      <c r="O2430" s="144"/>
      <c r="P2430" s="144"/>
      <c r="Q2430" s="144"/>
      <c r="R2430" s="144"/>
      <c r="S2430" s="144"/>
      <c r="T2430" s="144"/>
      <c r="U2430" s="144"/>
      <c r="V2430" s="50"/>
    </row>
    <row r="2431" spans="1:22" s="26" customFormat="1" ht="15" customHeight="1" x14ac:dyDescent="0.2">
      <c r="A2431" s="48">
        <v>41613.724537037</v>
      </c>
      <c r="B2431" s="49" t="s">
        <v>16</v>
      </c>
      <c r="C2431" s="50" t="s">
        <v>406</v>
      </c>
      <c r="D2431" s="67">
        <v>41579</v>
      </c>
      <c r="E2431" s="50" t="s">
        <v>3383</v>
      </c>
      <c r="F2431" s="50" t="s">
        <v>3384</v>
      </c>
      <c r="G2431" s="49" t="s">
        <v>20</v>
      </c>
      <c r="H2431" s="50" t="s">
        <v>3382</v>
      </c>
      <c r="I2431" s="50" t="s">
        <v>3001</v>
      </c>
      <c r="J2431" s="117">
        <v>1</v>
      </c>
      <c r="K2431" s="117">
        <v>48</v>
      </c>
      <c r="L2431" s="142">
        <v>96</v>
      </c>
      <c r="M2431" s="143" t="s">
        <v>22</v>
      </c>
      <c r="N2431" s="144"/>
      <c r="O2431" s="144"/>
      <c r="P2431" s="144"/>
      <c r="Q2431" s="144"/>
      <c r="R2431" s="144"/>
      <c r="S2431" s="144"/>
      <c r="T2431" s="144"/>
      <c r="U2431" s="144"/>
      <c r="V2431" s="50"/>
    </row>
    <row r="2432" spans="1:22" s="26" customFormat="1" ht="15" customHeight="1" x14ac:dyDescent="0.2">
      <c r="A2432" s="48">
        <v>41613.727152777799</v>
      </c>
      <c r="B2432" s="49" t="s">
        <v>16</v>
      </c>
      <c r="C2432" s="50" t="s">
        <v>406</v>
      </c>
      <c r="D2432" s="67">
        <v>41579</v>
      </c>
      <c r="E2432" s="50" t="s">
        <v>3385</v>
      </c>
      <c r="F2432" s="50" t="s">
        <v>3386</v>
      </c>
      <c r="G2432" s="49" t="s">
        <v>42</v>
      </c>
      <c r="H2432" s="50"/>
      <c r="I2432" s="50" t="s">
        <v>3001</v>
      </c>
      <c r="J2432" s="117">
        <v>1</v>
      </c>
      <c r="K2432" s="117">
        <v>38</v>
      </c>
      <c r="L2432" s="142">
        <v>76</v>
      </c>
      <c r="M2432" s="143" t="s">
        <v>22</v>
      </c>
      <c r="N2432" s="144"/>
      <c r="O2432" s="144"/>
      <c r="P2432" s="144"/>
      <c r="Q2432" s="144"/>
      <c r="R2432" s="144"/>
      <c r="S2432" s="144"/>
      <c r="T2432" s="144"/>
      <c r="U2432" s="144"/>
      <c r="V2432" s="50"/>
    </row>
    <row r="2433" spans="1:22" s="26" customFormat="1" ht="15" customHeight="1" x14ac:dyDescent="0.2">
      <c r="A2433" s="48">
        <v>41613.729918981502</v>
      </c>
      <c r="B2433" s="49" t="s">
        <v>16</v>
      </c>
      <c r="C2433" s="50" t="s">
        <v>406</v>
      </c>
      <c r="D2433" s="67">
        <v>41579</v>
      </c>
      <c r="E2433" s="50" t="s">
        <v>3370</v>
      </c>
      <c r="F2433" s="50" t="s">
        <v>3387</v>
      </c>
      <c r="G2433" s="49" t="s">
        <v>20</v>
      </c>
      <c r="H2433" s="50" t="s">
        <v>3388</v>
      </c>
      <c r="I2433" s="50" t="s">
        <v>3001</v>
      </c>
      <c r="J2433" s="117">
        <v>1</v>
      </c>
      <c r="K2433" s="117">
        <v>47</v>
      </c>
      <c r="L2433" s="142">
        <v>94</v>
      </c>
      <c r="M2433" s="143" t="s">
        <v>22</v>
      </c>
      <c r="N2433" s="144"/>
      <c r="O2433" s="144"/>
      <c r="P2433" s="144"/>
      <c r="Q2433" s="144"/>
      <c r="R2433" s="144"/>
      <c r="S2433" s="144"/>
      <c r="T2433" s="144"/>
      <c r="U2433" s="144"/>
      <c r="V2433" s="50"/>
    </row>
    <row r="2434" spans="1:22" s="26" customFormat="1" ht="15" customHeight="1" x14ac:dyDescent="0.2">
      <c r="A2434" s="48">
        <v>41613.731412036999</v>
      </c>
      <c r="B2434" s="49" t="s">
        <v>16</v>
      </c>
      <c r="C2434" s="50" t="s">
        <v>406</v>
      </c>
      <c r="D2434" s="67">
        <v>41579</v>
      </c>
      <c r="E2434" s="50" t="s">
        <v>3389</v>
      </c>
      <c r="F2434" s="50" t="s">
        <v>3390</v>
      </c>
      <c r="G2434" s="49" t="s">
        <v>20</v>
      </c>
      <c r="H2434" s="50" t="s">
        <v>3391</v>
      </c>
      <c r="I2434" s="50" t="s">
        <v>3001</v>
      </c>
      <c r="J2434" s="117">
        <v>1</v>
      </c>
      <c r="K2434" s="117">
        <v>47</v>
      </c>
      <c r="L2434" s="142">
        <v>94</v>
      </c>
      <c r="M2434" s="143" t="s">
        <v>22</v>
      </c>
      <c r="N2434" s="144"/>
      <c r="O2434" s="144"/>
      <c r="P2434" s="144"/>
      <c r="Q2434" s="144"/>
      <c r="R2434" s="144"/>
      <c r="S2434" s="144"/>
      <c r="T2434" s="144"/>
      <c r="U2434" s="144"/>
      <c r="V2434" s="50"/>
    </row>
    <row r="2435" spans="1:22" s="26" customFormat="1" ht="15" customHeight="1" x14ac:dyDescent="0.2">
      <c r="A2435" s="48">
        <v>41613.733506944402</v>
      </c>
      <c r="B2435" s="49" t="s">
        <v>16</v>
      </c>
      <c r="C2435" s="50" t="s">
        <v>406</v>
      </c>
      <c r="D2435" s="67">
        <v>41579</v>
      </c>
      <c r="E2435" s="50" t="s">
        <v>3392</v>
      </c>
      <c r="F2435" s="50" t="s">
        <v>3393</v>
      </c>
      <c r="G2435" s="49" t="s">
        <v>20</v>
      </c>
      <c r="H2435" s="50" t="s">
        <v>3394</v>
      </c>
      <c r="I2435" s="50" t="s">
        <v>3001</v>
      </c>
      <c r="J2435" s="117">
        <v>1</v>
      </c>
      <c r="K2435" s="117">
        <v>145</v>
      </c>
      <c r="L2435" s="142">
        <v>290</v>
      </c>
      <c r="M2435" s="143" t="s">
        <v>22</v>
      </c>
      <c r="N2435" s="144"/>
      <c r="O2435" s="144"/>
      <c r="P2435" s="144"/>
      <c r="Q2435" s="144"/>
      <c r="R2435" s="144"/>
      <c r="S2435" s="144"/>
      <c r="T2435" s="144"/>
      <c r="U2435" s="144"/>
      <c r="V2435" s="50"/>
    </row>
    <row r="2436" spans="1:22" s="26" customFormat="1" ht="15" customHeight="1" x14ac:dyDescent="0.2">
      <c r="A2436" s="48">
        <v>41613.7347800926</v>
      </c>
      <c r="B2436" s="49" t="s">
        <v>16</v>
      </c>
      <c r="C2436" s="50" t="s">
        <v>406</v>
      </c>
      <c r="D2436" s="67">
        <v>41579</v>
      </c>
      <c r="E2436" s="50" t="s">
        <v>3395</v>
      </c>
      <c r="F2436" s="50" t="s">
        <v>3396</v>
      </c>
      <c r="G2436" s="49" t="s">
        <v>20</v>
      </c>
      <c r="H2436" s="50" t="s">
        <v>3374</v>
      </c>
      <c r="I2436" s="50" t="s">
        <v>3001</v>
      </c>
      <c r="J2436" s="117">
        <v>1</v>
      </c>
      <c r="K2436" s="117">
        <v>145</v>
      </c>
      <c r="L2436" s="142">
        <v>290</v>
      </c>
      <c r="M2436" s="143" t="s">
        <v>22</v>
      </c>
      <c r="N2436" s="144"/>
      <c r="O2436" s="144"/>
      <c r="P2436" s="144"/>
      <c r="Q2436" s="144"/>
      <c r="R2436" s="144"/>
      <c r="S2436" s="144"/>
      <c r="T2436" s="144"/>
      <c r="U2436" s="144"/>
      <c r="V2436" s="50"/>
    </row>
    <row r="2437" spans="1:22" s="26" customFormat="1" ht="15" customHeight="1" x14ac:dyDescent="0.2">
      <c r="A2437" s="48">
        <v>41613.768553240698</v>
      </c>
      <c r="B2437" s="49" t="s">
        <v>16</v>
      </c>
      <c r="C2437" s="50" t="s">
        <v>406</v>
      </c>
      <c r="D2437" s="67">
        <v>41579</v>
      </c>
      <c r="E2437" s="50" t="s">
        <v>3397</v>
      </c>
      <c r="F2437" s="50" t="s">
        <v>3398</v>
      </c>
      <c r="G2437" s="49" t="s">
        <v>351</v>
      </c>
      <c r="H2437" s="50" t="s">
        <v>3399</v>
      </c>
      <c r="I2437" s="50" t="s">
        <v>3001</v>
      </c>
      <c r="J2437" s="117">
        <v>1</v>
      </c>
      <c r="K2437" s="117">
        <v>100</v>
      </c>
      <c r="L2437" s="142"/>
      <c r="M2437" s="143" t="s">
        <v>22</v>
      </c>
      <c r="N2437" s="144"/>
      <c r="O2437" s="144"/>
      <c r="P2437" s="144"/>
      <c r="Q2437" s="144"/>
      <c r="R2437" s="144"/>
      <c r="S2437" s="144"/>
      <c r="T2437" s="144"/>
      <c r="U2437" s="144"/>
      <c r="V2437" s="50"/>
    </row>
    <row r="2438" spans="1:22" s="26" customFormat="1" ht="15" customHeight="1" x14ac:dyDescent="0.2">
      <c r="A2438" s="48">
        <v>41613.773634259298</v>
      </c>
      <c r="B2438" s="49" t="s">
        <v>16</v>
      </c>
      <c r="C2438" s="50" t="s">
        <v>406</v>
      </c>
      <c r="D2438" s="67">
        <v>41579</v>
      </c>
      <c r="E2438" s="50" t="s">
        <v>3400</v>
      </c>
      <c r="F2438" s="50" t="s">
        <v>3401</v>
      </c>
      <c r="G2438" s="49" t="s">
        <v>20</v>
      </c>
      <c r="H2438" s="50" t="s">
        <v>3402</v>
      </c>
      <c r="I2438" s="50" t="s">
        <v>3001</v>
      </c>
      <c r="J2438" s="117">
        <v>1</v>
      </c>
      <c r="K2438" s="117">
        <v>32</v>
      </c>
      <c r="L2438" s="142">
        <v>64</v>
      </c>
      <c r="M2438" s="143" t="s">
        <v>22</v>
      </c>
      <c r="N2438" s="144"/>
      <c r="O2438" s="144"/>
      <c r="P2438" s="144"/>
      <c r="Q2438" s="144"/>
      <c r="R2438" s="144"/>
      <c r="S2438" s="144"/>
      <c r="T2438" s="144"/>
      <c r="U2438" s="144"/>
      <c r="V2438" s="50"/>
    </row>
    <row r="2439" spans="1:22" s="26" customFormat="1" ht="15" customHeight="1" x14ac:dyDescent="0.2">
      <c r="A2439" s="48">
        <v>41613.7759606482</v>
      </c>
      <c r="B2439" s="49" t="s">
        <v>16</v>
      </c>
      <c r="C2439" s="50" t="s">
        <v>406</v>
      </c>
      <c r="D2439" s="67">
        <v>41579</v>
      </c>
      <c r="E2439" s="50" t="s">
        <v>3403</v>
      </c>
      <c r="F2439" s="50" t="s">
        <v>3404</v>
      </c>
      <c r="G2439" s="49" t="s">
        <v>20</v>
      </c>
      <c r="H2439" s="50" t="s">
        <v>3405</v>
      </c>
      <c r="I2439" s="50" t="s">
        <v>3001</v>
      </c>
      <c r="J2439" s="117">
        <v>1</v>
      </c>
      <c r="K2439" s="117">
        <v>60</v>
      </c>
      <c r="L2439" s="142">
        <v>120</v>
      </c>
      <c r="M2439" s="143" t="s">
        <v>22</v>
      </c>
      <c r="N2439" s="144"/>
      <c r="O2439" s="144"/>
      <c r="P2439" s="144"/>
      <c r="Q2439" s="144"/>
      <c r="R2439" s="144"/>
      <c r="S2439" s="144"/>
      <c r="T2439" s="144"/>
      <c r="U2439" s="144"/>
      <c r="V2439" s="50"/>
    </row>
    <row r="2440" spans="1:22" s="26" customFormat="1" ht="15" customHeight="1" x14ac:dyDescent="0.2">
      <c r="A2440" s="48">
        <v>41613.777361111097</v>
      </c>
      <c r="B2440" s="49" t="s">
        <v>16</v>
      </c>
      <c r="C2440" s="50" t="s">
        <v>406</v>
      </c>
      <c r="D2440" s="67">
        <v>41579</v>
      </c>
      <c r="E2440" s="50" t="s">
        <v>3406</v>
      </c>
      <c r="F2440" s="50" t="s">
        <v>3404</v>
      </c>
      <c r="G2440" s="49" t="s">
        <v>20</v>
      </c>
      <c r="H2440" s="50" t="s">
        <v>3405</v>
      </c>
      <c r="I2440" s="50" t="s">
        <v>3001</v>
      </c>
      <c r="J2440" s="117">
        <v>1</v>
      </c>
      <c r="K2440" s="117">
        <v>59</v>
      </c>
      <c r="L2440" s="142">
        <v>118</v>
      </c>
      <c r="M2440" s="143" t="s">
        <v>22</v>
      </c>
      <c r="N2440" s="144"/>
      <c r="O2440" s="144"/>
      <c r="P2440" s="144"/>
      <c r="Q2440" s="144"/>
      <c r="R2440" s="144"/>
      <c r="S2440" s="144"/>
      <c r="T2440" s="144"/>
      <c r="U2440" s="144"/>
      <c r="V2440" s="50"/>
    </row>
    <row r="2441" spans="1:22" s="26" customFormat="1" ht="15" customHeight="1" x14ac:dyDescent="0.2">
      <c r="A2441" s="48">
        <v>41613.778645833299</v>
      </c>
      <c r="B2441" s="49" t="s">
        <v>16</v>
      </c>
      <c r="C2441" s="50" t="s">
        <v>406</v>
      </c>
      <c r="D2441" s="67">
        <v>41579</v>
      </c>
      <c r="E2441" s="50" t="s">
        <v>3389</v>
      </c>
      <c r="F2441" s="50" t="s">
        <v>3407</v>
      </c>
      <c r="G2441" s="49" t="s">
        <v>20</v>
      </c>
      <c r="H2441" s="50" t="s">
        <v>3408</v>
      </c>
      <c r="I2441" s="50" t="s">
        <v>3001</v>
      </c>
      <c r="J2441" s="117">
        <v>1</v>
      </c>
      <c r="K2441" s="117">
        <v>2</v>
      </c>
      <c r="L2441" s="142">
        <v>10</v>
      </c>
      <c r="M2441" s="143" t="s">
        <v>22</v>
      </c>
      <c r="N2441" s="144"/>
      <c r="O2441" s="144"/>
      <c r="P2441" s="144"/>
      <c r="Q2441" s="144"/>
      <c r="R2441" s="144"/>
      <c r="S2441" s="144"/>
      <c r="T2441" s="144"/>
      <c r="U2441" s="144"/>
      <c r="V2441" s="50"/>
    </row>
    <row r="2442" spans="1:22" s="26" customFormat="1" ht="15" customHeight="1" x14ac:dyDescent="0.2">
      <c r="A2442" s="48">
        <v>41613.779641203699</v>
      </c>
      <c r="B2442" s="49" t="s">
        <v>16</v>
      </c>
      <c r="C2442" s="50" t="s">
        <v>406</v>
      </c>
      <c r="D2442" s="67">
        <v>41579</v>
      </c>
      <c r="E2442" s="50" t="s">
        <v>3409</v>
      </c>
      <c r="F2442" s="50" t="s">
        <v>3410</v>
      </c>
      <c r="G2442" s="49" t="s">
        <v>42</v>
      </c>
      <c r="H2442" s="50" t="s">
        <v>3411</v>
      </c>
      <c r="I2442" s="50" t="s">
        <v>3001</v>
      </c>
      <c r="J2442" s="117">
        <v>1</v>
      </c>
      <c r="K2442" s="117">
        <v>25</v>
      </c>
      <c r="L2442" s="142">
        <v>50</v>
      </c>
      <c r="M2442" s="143" t="s">
        <v>22</v>
      </c>
      <c r="N2442" s="144"/>
      <c r="O2442" s="144"/>
      <c r="P2442" s="144"/>
      <c r="Q2442" s="144"/>
      <c r="R2442" s="144"/>
      <c r="S2442" s="144"/>
      <c r="T2442" s="144"/>
      <c r="U2442" s="144"/>
      <c r="V2442" s="50"/>
    </row>
    <row r="2443" spans="1:22" s="26" customFormat="1" ht="15" customHeight="1" x14ac:dyDescent="0.2">
      <c r="A2443" s="48">
        <v>41613.780729166698</v>
      </c>
      <c r="B2443" s="49" t="s">
        <v>16</v>
      </c>
      <c r="C2443" s="50" t="s">
        <v>406</v>
      </c>
      <c r="D2443" s="67">
        <v>41579</v>
      </c>
      <c r="E2443" s="50" t="s">
        <v>3412</v>
      </c>
      <c r="F2443" s="50" t="s">
        <v>3413</v>
      </c>
      <c r="G2443" s="49" t="s">
        <v>42</v>
      </c>
      <c r="H2443" s="50" t="s">
        <v>3414</v>
      </c>
      <c r="I2443" s="50" t="s">
        <v>3001</v>
      </c>
      <c r="J2443" s="117">
        <v>1</v>
      </c>
      <c r="K2443" s="117">
        <v>16</v>
      </c>
      <c r="L2443" s="142">
        <v>32</v>
      </c>
      <c r="M2443" s="143" t="s">
        <v>22</v>
      </c>
      <c r="N2443" s="144"/>
      <c r="O2443" s="144"/>
      <c r="P2443" s="144"/>
      <c r="Q2443" s="144"/>
      <c r="R2443" s="144"/>
      <c r="S2443" s="144"/>
      <c r="T2443" s="144"/>
      <c r="U2443" s="144"/>
      <c r="V2443" s="50"/>
    </row>
    <row r="2444" spans="1:22" s="26" customFormat="1" ht="15" customHeight="1" x14ac:dyDescent="0.2">
      <c r="A2444" s="48">
        <v>41613.781956018502</v>
      </c>
      <c r="B2444" s="49" t="s">
        <v>16</v>
      </c>
      <c r="C2444" s="50" t="s">
        <v>406</v>
      </c>
      <c r="D2444" s="67">
        <v>41579</v>
      </c>
      <c r="E2444" s="50" t="s">
        <v>3364</v>
      </c>
      <c r="F2444" s="50" t="s">
        <v>3415</v>
      </c>
      <c r="G2444" s="49" t="s">
        <v>20</v>
      </c>
      <c r="H2444" s="50" t="s">
        <v>3405</v>
      </c>
      <c r="I2444" s="50" t="s">
        <v>3171</v>
      </c>
      <c r="J2444" s="117">
        <v>1</v>
      </c>
      <c r="K2444" s="117">
        <v>42</v>
      </c>
      <c r="L2444" s="142">
        <v>84</v>
      </c>
      <c r="M2444" s="143" t="s">
        <v>22</v>
      </c>
      <c r="N2444" s="144"/>
      <c r="O2444" s="144"/>
      <c r="P2444" s="144"/>
      <c r="Q2444" s="144"/>
      <c r="R2444" s="144"/>
      <c r="S2444" s="144"/>
      <c r="T2444" s="144"/>
      <c r="U2444" s="144"/>
      <c r="V2444" s="50"/>
    </row>
    <row r="2445" spans="1:22" s="26" customFormat="1" ht="15" customHeight="1" x14ac:dyDescent="0.2">
      <c r="A2445" s="32">
        <v>41637.790578703702</v>
      </c>
      <c r="B2445" s="26" t="s">
        <v>16</v>
      </c>
      <c r="C2445" s="26" t="s">
        <v>406</v>
      </c>
      <c r="D2445" s="68">
        <v>41609</v>
      </c>
      <c r="E2445" s="26" t="s">
        <v>3850</v>
      </c>
      <c r="F2445" s="26" t="s">
        <v>2862</v>
      </c>
      <c r="G2445" s="26" t="s">
        <v>26</v>
      </c>
      <c r="H2445" s="26" t="s">
        <v>3851</v>
      </c>
      <c r="I2445" s="26" t="s">
        <v>3001</v>
      </c>
      <c r="J2445" s="46">
        <v>1</v>
      </c>
      <c r="K2445" s="46">
        <v>3</v>
      </c>
      <c r="L2445" s="136"/>
      <c r="M2445" s="137" t="s">
        <v>22</v>
      </c>
      <c r="N2445" s="138"/>
      <c r="O2445" s="138"/>
      <c r="P2445" s="138"/>
      <c r="Q2445" s="138"/>
      <c r="R2445" s="138"/>
      <c r="S2445" s="138"/>
      <c r="T2445" s="138"/>
      <c r="U2445" s="138"/>
    </row>
    <row r="2446" spans="1:22" s="26" customFormat="1" ht="15" customHeight="1" x14ac:dyDescent="0.2">
      <c r="A2446" s="32">
        <v>41637.791527777779</v>
      </c>
      <c r="B2446" s="26" t="s">
        <v>16</v>
      </c>
      <c r="C2446" s="26" t="s">
        <v>406</v>
      </c>
      <c r="D2446" s="68">
        <v>41609</v>
      </c>
      <c r="E2446" s="26" t="s">
        <v>3852</v>
      </c>
      <c r="F2446" s="26" t="s">
        <v>2466</v>
      </c>
      <c r="G2446" s="26" t="s">
        <v>26</v>
      </c>
      <c r="H2446" s="26" t="s">
        <v>3853</v>
      </c>
      <c r="I2446" s="26" t="s">
        <v>3001</v>
      </c>
      <c r="J2446" s="46">
        <v>1</v>
      </c>
      <c r="K2446" s="46">
        <v>5</v>
      </c>
      <c r="L2446" s="136"/>
      <c r="M2446" s="137" t="s">
        <v>44</v>
      </c>
      <c r="N2446" s="138"/>
      <c r="O2446" s="138">
        <v>10</v>
      </c>
      <c r="P2446" s="138"/>
      <c r="Q2446" s="138"/>
      <c r="R2446" s="138"/>
      <c r="S2446" s="138"/>
      <c r="T2446" s="138"/>
      <c r="U2446" s="138"/>
    </row>
    <row r="2447" spans="1:22" s="26" customFormat="1" ht="15" customHeight="1" x14ac:dyDescent="0.2">
      <c r="A2447" s="32">
        <v>41637.792048611111</v>
      </c>
      <c r="B2447" s="26" t="s">
        <v>16</v>
      </c>
      <c r="C2447" s="26" t="s">
        <v>406</v>
      </c>
      <c r="D2447" s="68">
        <v>41609</v>
      </c>
      <c r="E2447" s="26" t="s">
        <v>416</v>
      </c>
      <c r="F2447" s="26" t="s">
        <v>463</v>
      </c>
      <c r="G2447" s="26" t="s">
        <v>26</v>
      </c>
      <c r="H2447" s="26" t="s">
        <v>464</v>
      </c>
      <c r="I2447" s="26" t="s">
        <v>3001</v>
      </c>
      <c r="J2447" s="46">
        <v>1</v>
      </c>
      <c r="K2447" s="46">
        <v>0</v>
      </c>
      <c r="L2447" s="136"/>
      <c r="M2447" s="137" t="s">
        <v>22</v>
      </c>
      <c r="N2447" s="138"/>
      <c r="O2447" s="138"/>
      <c r="P2447" s="138"/>
      <c r="Q2447" s="138"/>
      <c r="R2447" s="138"/>
      <c r="S2447" s="138"/>
      <c r="T2447" s="138"/>
      <c r="U2447" s="138"/>
    </row>
    <row r="2448" spans="1:22" s="26" customFormat="1" ht="15" customHeight="1" x14ac:dyDescent="0.2">
      <c r="A2448" s="32">
        <v>41637.793599537035</v>
      </c>
      <c r="B2448" s="26" t="s">
        <v>16</v>
      </c>
      <c r="C2448" s="26" t="s">
        <v>406</v>
      </c>
      <c r="D2448" s="68">
        <v>41609</v>
      </c>
      <c r="E2448" s="26" t="s">
        <v>419</v>
      </c>
      <c r="F2448" s="26" t="s">
        <v>420</v>
      </c>
      <c r="G2448" s="26" t="s">
        <v>26</v>
      </c>
      <c r="H2448" s="26" t="s">
        <v>421</v>
      </c>
      <c r="I2448" s="26" t="s">
        <v>3001</v>
      </c>
      <c r="J2448" s="46">
        <v>1</v>
      </c>
      <c r="K2448" s="46">
        <v>5</v>
      </c>
      <c r="L2448" s="136"/>
      <c r="M2448" s="137" t="s">
        <v>44</v>
      </c>
      <c r="N2448" s="138"/>
      <c r="O2448" s="138">
        <v>15</v>
      </c>
      <c r="P2448" s="138"/>
      <c r="Q2448" s="138"/>
      <c r="R2448" s="138"/>
      <c r="S2448" s="138"/>
      <c r="T2448" s="138"/>
      <c r="U2448" s="138"/>
    </row>
    <row r="2449" spans="1:21" s="26" customFormat="1" ht="15" customHeight="1" x14ac:dyDescent="0.2">
      <c r="A2449" s="32">
        <v>41637.794050925928</v>
      </c>
      <c r="B2449" s="26" t="s">
        <v>16</v>
      </c>
      <c r="C2449" s="26" t="s">
        <v>406</v>
      </c>
      <c r="D2449" s="68">
        <v>41609</v>
      </c>
      <c r="E2449" s="26" t="s">
        <v>3854</v>
      </c>
      <c r="F2449" s="26" t="s">
        <v>429</v>
      </c>
      <c r="G2449" s="26" t="s">
        <v>26</v>
      </c>
      <c r="H2449" s="26" t="s">
        <v>3855</v>
      </c>
      <c r="I2449" s="26" t="s">
        <v>3001</v>
      </c>
      <c r="J2449" s="46">
        <v>1</v>
      </c>
      <c r="K2449" s="46">
        <v>0</v>
      </c>
      <c r="L2449" s="136"/>
      <c r="M2449" s="137" t="s">
        <v>22</v>
      </c>
      <c r="N2449" s="138"/>
      <c r="O2449" s="138"/>
      <c r="P2449" s="138"/>
      <c r="Q2449" s="138"/>
      <c r="R2449" s="138"/>
      <c r="S2449" s="138"/>
      <c r="T2449" s="138"/>
      <c r="U2449" s="138"/>
    </row>
    <row r="2450" spans="1:21" s="26" customFormat="1" ht="15" customHeight="1" x14ac:dyDescent="0.2">
      <c r="A2450" s="32">
        <v>41637.797476851854</v>
      </c>
      <c r="B2450" s="26" t="s">
        <v>16</v>
      </c>
      <c r="C2450" s="26" t="s">
        <v>406</v>
      </c>
      <c r="D2450" s="68">
        <v>41609</v>
      </c>
      <c r="E2450" s="26" t="s">
        <v>437</v>
      </c>
      <c r="F2450" s="26" t="s">
        <v>435</v>
      </c>
      <c r="G2450" s="26" t="s">
        <v>26</v>
      </c>
      <c r="H2450" s="26" t="s">
        <v>436</v>
      </c>
      <c r="I2450" s="26" t="s">
        <v>3001</v>
      </c>
      <c r="J2450" s="46">
        <v>1</v>
      </c>
      <c r="K2450" s="46">
        <v>4</v>
      </c>
      <c r="L2450" s="136"/>
      <c r="M2450" s="137" t="s">
        <v>22</v>
      </c>
      <c r="N2450" s="138"/>
      <c r="O2450" s="138"/>
      <c r="P2450" s="138"/>
      <c r="Q2450" s="138"/>
      <c r="R2450" s="138"/>
      <c r="S2450" s="138"/>
      <c r="T2450" s="138"/>
      <c r="U2450" s="138"/>
    </row>
    <row r="2451" spans="1:21" s="26" customFormat="1" ht="15" customHeight="1" x14ac:dyDescent="0.2">
      <c r="A2451" s="32">
        <v>41637.798194444447</v>
      </c>
      <c r="B2451" s="26" t="s">
        <v>16</v>
      </c>
      <c r="C2451" s="26" t="s">
        <v>406</v>
      </c>
      <c r="D2451" s="68">
        <v>41609</v>
      </c>
      <c r="E2451" s="26" t="s">
        <v>410</v>
      </c>
      <c r="F2451" s="26" t="s">
        <v>1552</v>
      </c>
      <c r="G2451" s="26" t="s">
        <v>26</v>
      </c>
      <c r="H2451" s="26" t="s">
        <v>441</v>
      </c>
      <c r="I2451" s="26" t="s">
        <v>3001</v>
      </c>
      <c r="J2451" s="46">
        <v>1</v>
      </c>
      <c r="K2451" s="46">
        <v>1</v>
      </c>
      <c r="L2451" s="136"/>
      <c r="M2451" s="137" t="s">
        <v>22</v>
      </c>
      <c r="N2451" s="138"/>
      <c r="O2451" s="138"/>
      <c r="P2451" s="138"/>
      <c r="Q2451" s="138"/>
      <c r="R2451" s="138"/>
      <c r="S2451" s="138"/>
      <c r="T2451" s="138"/>
      <c r="U2451" s="138"/>
    </row>
    <row r="2452" spans="1:21" s="26" customFormat="1" ht="15" customHeight="1" x14ac:dyDescent="0.2">
      <c r="A2452" s="32">
        <v>41637.799247685187</v>
      </c>
      <c r="B2452" s="26" t="s">
        <v>16</v>
      </c>
      <c r="C2452" s="26" t="s">
        <v>406</v>
      </c>
      <c r="D2452" s="68">
        <v>41609</v>
      </c>
      <c r="E2452" s="26" t="s">
        <v>3852</v>
      </c>
      <c r="F2452" s="26" t="s">
        <v>2466</v>
      </c>
      <c r="G2452" s="26" t="s">
        <v>26</v>
      </c>
      <c r="H2452" s="26" t="s">
        <v>3856</v>
      </c>
      <c r="I2452" s="26" t="s">
        <v>3857</v>
      </c>
      <c r="J2452" s="46">
        <v>1</v>
      </c>
      <c r="K2452" s="46">
        <v>0</v>
      </c>
      <c r="L2452" s="136"/>
      <c r="M2452" s="137" t="s">
        <v>22</v>
      </c>
      <c r="N2452" s="138"/>
      <c r="O2452" s="138"/>
      <c r="P2452" s="138"/>
      <c r="Q2452" s="138"/>
      <c r="R2452" s="138"/>
      <c r="S2452" s="138"/>
      <c r="T2452" s="138"/>
      <c r="U2452" s="138"/>
    </row>
    <row r="2453" spans="1:21" s="26" customFormat="1" ht="15" customHeight="1" x14ac:dyDescent="0.2">
      <c r="A2453" s="32">
        <v>41637.800104166665</v>
      </c>
      <c r="B2453" s="26" t="s">
        <v>16</v>
      </c>
      <c r="C2453" s="26" t="s">
        <v>406</v>
      </c>
      <c r="D2453" s="68">
        <v>41609</v>
      </c>
      <c r="E2453" s="26" t="s">
        <v>422</v>
      </c>
      <c r="F2453" s="26" t="s">
        <v>408</v>
      </c>
      <c r="G2453" s="26" t="s">
        <v>26</v>
      </c>
      <c r="H2453" s="26" t="s">
        <v>409</v>
      </c>
      <c r="I2453" s="26" t="s">
        <v>3001</v>
      </c>
      <c r="J2453" s="46">
        <v>1</v>
      </c>
      <c r="K2453" s="46">
        <v>3</v>
      </c>
      <c r="L2453" s="136"/>
      <c r="M2453" s="137" t="s">
        <v>44</v>
      </c>
      <c r="N2453" s="138"/>
      <c r="O2453" s="138">
        <v>5</v>
      </c>
      <c r="P2453" s="138"/>
      <c r="Q2453" s="138"/>
      <c r="R2453" s="138"/>
      <c r="S2453" s="138"/>
      <c r="T2453" s="138"/>
      <c r="U2453" s="138"/>
    </row>
    <row r="2454" spans="1:21" s="26" customFormat="1" ht="15" customHeight="1" x14ac:dyDescent="0.2">
      <c r="A2454" s="32">
        <v>41637.801423611112</v>
      </c>
      <c r="B2454" s="26" t="s">
        <v>16</v>
      </c>
      <c r="C2454" s="26" t="s">
        <v>406</v>
      </c>
      <c r="D2454" s="68">
        <v>41609</v>
      </c>
      <c r="E2454" s="26" t="s">
        <v>425</v>
      </c>
      <c r="F2454" s="26" t="s">
        <v>3858</v>
      </c>
      <c r="G2454" s="26" t="s">
        <v>26</v>
      </c>
      <c r="H2454" s="26" t="s">
        <v>3859</v>
      </c>
      <c r="I2454" s="26" t="s">
        <v>3001</v>
      </c>
      <c r="J2454" s="46">
        <v>1</v>
      </c>
      <c r="K2454" s="46">
        <v>0</v>
      </c>
      <c r="L2454" s="136"/>
      <c r="M2454" s="137" t="s">
        <v>22</v>
      </c>
      <c r="N2454" s="138"/>
      <c r="O2454" s="138"/>
      <c r="P2454" s="138"/>
      <c r="Q2454" s="138"/>
      <c r="R2454" s="138"/>
      <c r="S2454" s="138"/>
      <c r="T2454" s="138"/>
      <c r="U2454" s="138"/>
    </row>
    <row r="2455" spans="1:21" s="26" customFormat="1" ht="15" customHeight="1" x14ac:dyDescent="0.2">
      <c r="A2455" s="32">
        <v>41637.801932870374</v>
      </c>
      <c r="B2455" s="26" t="s">
        <v>16</v>
      </c>
      <c r="C2455" s="26" t="s">
        <v>406</v>
      </c>
      <c r="D2455" s="68">
        <v>41609</v>
      </c>
      <c r="E2455" s="26" t="s">
        <v>460</v>
      </c>
      <c r="F2455" s="26" t="s">
        <v>2474</v>
      </c>
      <c r="G2455" s="26" t="s">
        <v>26</v>
      </c>
      <c r="H2455" s="26" t="s">
        <v>3860</v>
      </c>
      <c r="I2455" s="26" t="s">
        <v>3001</v>
      </c>
      <c r="J2455" s="46">
        <v>1</v>
      </c>
      <c r="K2455" s="46">
        <v>0</v>
      </c>
      <c r="L2455" s="136"/>
      <c r="M2455" s="137" t="s">
        <v>22</v>
      </c>
      <c r="N2455" s="138"/>
      <c r="O2455" s="138"/>
      <c r="P2455" s="138"/>
      <c r="Q2455" s="138"/>
      <c r="R2455" s="138"/>
      <c r="S2455" s="138"/>
      <c r="T2455" s="138"/>
      <c r="U2455" s="138"/>
    </row>
    <row r="2456" spans="1:21" s="26" customFormat="1" ht="15" customHeight="1" x14ac:dyDescent="0.2">
      <c r="A2456" s="32">
        <v>41637.802777777775</v>
      </c>
      <c r="B2456" s="26" t="s">
        <v>16</v>
      </c>
      <c r="C2456" s="26" t="s">
        <v>406</v>
      </c>
      <c r="D2456" s="68">
        <v>41609</v>
      </c>
      <c r="E2456" s="26" t="s">
        <v>437</v>
      </c>
      <c r="F2456" s="26" t="s">
        <v>3861</v>
      </c>
      <c r="G2456" s="26" t="s">
        <v>26</v>
      </c>
      <c r="H2456" s="26" t="s">
        <v>3862</v>
      </c>
      <c r="I2456" s="26" t="s">
        <v>3001</v>
      </c>
      <c r="J2456" s="46">
        <v>1</v>
      </c>
      <c r="K2456" s="46">
        <v>3</v>
      </c>
      <c r="L2456" s="136"/>
      <c r="M2456" s="137" t="s">
        <v>44</v>
      </c>
      <c r="N2456" s="138"/>
      <c r="O2456" s="138">
        <v>15</v>
      </c>
      <c r="P2456" s="138"/>
      <c r="Q2456" s="138"/>
      <c r="R2456" s="138"/>
      <c r="S2456" s="138"/>
      <c r="T2456" s="138"/>
      <c r="U2456" s="138"/>
    </row>
    <row r="2457" spans="1:21" s="26" customFormat="1" ht="15" customHeight="1" x14ac:dyDescent="0.2">
      <c r="A2457" s="32">
        <v>41637.803425925929</v>
      </c>
      <c r="B2457" s="26" t="s">
        <v>16</v>
      </c>
      <c r="C2457" s="26" t="s">
        <v>406</v>
      </c>
      <c r="D2457" s="68">
        <v>41609</v>
      </c>
      <c r="E2457" s="26" t="s">
        <v>3863</v>
      </c>
      <c r="F2457" s="26" t="s">
        <v>426</v>
      </c>
      <c r="G2457" s="26" t="s">
        <v>26</v>
      </c>
      <c r="H2457" s="26" t="s">
        <v>3864</v>
      </c>
      <c r="I2457" s="26" t="s">
        <v>3001</v>
      </c>
      <c r="J2457" s="46">
        <v>1</v>
      </c>
      <c r="K2457" s="46">
        <v>0</v>
      </c>
      <c r="L2457" s="136"/>
      <c r="M2457" s="137" t="s">
        <v>22</v>
      </c>
      <c r="N2457" s="138"/>
      <c r="O2457" s="138"/>
      <c r="P2457" s="138"/>
      <c r="Q2457" s="138"/>
      <c r="R2457" s="138"/>
      <c r="S2457" s="138"/>
      <c r="T2457" s="138"/>
      <c r="U2457" s="138"/>
    </row>
    <row r="2458" spans="1:21" s="26" customFormat="1" ht="15" customHeight="1" x14ac:dyDescent="0.2">
      <c r="A2458" s="32">
        <v>41637.803923611114</v>
      </c>
      <c r="B2458" s="26" t="s">
        <v>16</v>
      </c>
      <c r="C2458" s="26" t="s">
        <v>406</v>
      </c>
      <c r="D2458" s="68">
        <v>41609</v>
      </c>
      <c r="E2458" s="26" t="s">
        <v>452</v>
      </c>
      <c r="F2458" s="26" t="s">
        <v>3858</v>
      </c>
      <c r="G2458" s="26" t="s">
        <v>26</v>
      </c>
      <c r="H2458" s="26" t="s">
        <v>3859</v>
      </c>
      <c r="I2458" s="26" t="s">
        <v>3001</v>
      </c>
      <c r="J2458" s="46">
        <v>1</v>
      </c>
      <c r="K2458" s="46">
        <v>0</v>
      </c>
      <c r="L2458" s="136"/>
      <c r="M2458" s="137" t="s">
        <v>22</v>
      </c>
      <c r="N2458" s="138"/>
      <c r="O2458" s="138"/>
      <c r="P2458" s="138"/>
      <c r="Q2458" s="138"/>
      <c r="R2458" s="138"/>
      <c r="S2458" s="138"/>
      <c r="T2458" s="138"/>
      <c r="U2458" s="138"/>
    </row>
    <row r="2459" spans="1:21" s="26" customFormat="1" ht="15" customHeight="1" x14ac:dyDescent="0.2">
      <c r="A2459" s="32">
        <v>41637.804479166669</v>
      </c>
      <c r="B2459" s="26" t="s">
        <v>16</v>
      </c>
      <c r="C2459" s="26" t="s">
        <v>406</v>
      </c>
      <c r="D2459" s="68">
        <v>41609</v>
      </c>
      <c r="E2459" s="26" t="s">
        <v>3865</v>
      </c>
      <c r="F2459" s="26" t="s">
        <v>2466</v>
      </c>
      <c r="G2459" s="26" t="s">
        <v>26</v>
      </c>
      <c r="H2459" s="26" t="s">
        <v>3866</v>
      </c>
      <c r="I2459" s="26" t="s">
        <v>3001</v>
      </c>
      <c r="J2459" s="46">
        <v>1</v>
      </c>
      <c r="K2459" s="46">
        <v>6</v>
      </c>
      <c r="L2459" s="136"/>
      <c r="M2459" s="137" t="s">
        <v>44</v>
      </c>
      <c r="N2459" s="138"/>
      <c r="O2459" s="138">
        <v>30</v>
      </c>
      <c r="P2459" s="138"/>
      <c r="Q2459" s="138"/>
      <c r="R2459" s="138"/>
      <c r="S2459" s="138"/>
      <c r="T2459" s="138"/>
      <c r="U2459" s="138"/>
    </row>
    <row r="2460" spans="1:21" s="26" customFormat="1" ht="15" customHeight="1" x14ac:dyDescent="0.2">
      <c r="A2460" s="32">
        <v>41637.805081018516</v>
      </c>
      <c r="B2460" s="26" t="s">
        <v>16</v>
      </c>
      <c r="C2460" s="26" t="s">
        <v>406</v>
      </c>
      <c r="D2460" s="68">
        <v>41609</v>
      </c>
      <c r="E2460" s="26" t="s">
        <v>460</v>
      </c>
      <c r="F2460" s="26" t="s">
        <v>408</v>
      </c>
      <c r="G2460" s="26" t="s">
        <v>26</v>
      </c>
      <c r="H2460" s="26" t="s">
        <v>409</v>
      </c>
      <c r="I2460" s="26" t="s">
        <v>3001</v>
      </c>
      <c r="J2460" s="46">
        <v>1</v>
      </c>
      <c r="K2460" s="46">
        <v>1</v>
      </c>
      <c r="L2460" s="136"/>
      <c r="M2460" s="137" t="s">
        <v>44</v>
      </c>
      <c r="N2460" s="138"/>
      <c r="O2460" s="138">
        <v>5</v>
      </c>
      <c r="P2460" s="138"/>
      <c r="Q2460" s="138"/>
      <c r="R2460" s="138"/>
      <c r="S2460" s="138"/>
      <c r="T2460" s="138"/>
      <c r="U2460" s="138"/>
    </row>
    <row r="2461" spans="1:21" s="26" customFormat="1" ht="15" customHeight="1" x14ac:dyDescent="0.2">
      <c r="A2461" s="32">
        <v>41637.805648148147</v>
      </c>
      <c r="B2461" s="26" t="s">
        <v>16</v>
      </c>
      <c r="C2461" s="26" t="s">
        <v>406</v>
      </c>
      <c r="D2461" s="68">
        <v>41609</v>
      </c>
      <c r="E2461" s="26" t="s">
        <v>437</v>
      </c>
      <c r="F2461" s="26" t="s">
        <v>435</v>
      </c>
      <c r="G2461" s="26" t="s">
        <v>26</v>
      </c>
      <c r="H2461" s="26" t="s">
        <v>436</v>
      </c>
      <c r="I2461" s="26" t="s">
        <v>3001</v>
      </c>
      <c r="J2461" s="46">
        <v>1</v>
      </c>
      <c r="K2461" s="46">
        <v>8</v>
      </c>
      <c r="L2461" s="136"/>
      <c r="M2461" s="137" t="s">
        <v>44</v>
      </c>
      <c r="N2461" s="138"/>
      <c r="O2461" s="138">
        <v>40</v>
      </c>
      <c r="P2461" s="138"/>
      <c r="Q2461" s="138"/>
      <c r="R2461" s="138"/>
      <c r="S2461" s="138"/>
      <c r="T2461" s="138"/>
      <c r="U2461" s="138"/>
    </row>
    <row r="2462" spans="1:21" s="26" customFormat="1" ht="15" customHeight="1" x14ac:dyDescent="0.2">
      <c r="A2462" s="32">
        <v>41637.806215277778</v>
      </c>
      <c r="B2462" s="26" t="s">
        <v>16</v>
      </c>
      <c r="C2462" s="26" t="s">
        <v>406</v>
      </c>
      <c r="D2462" s="68">
        <v>41609</v>
      </c>
      <c r="E2462" s="26" t="s">
        <v>3852</v>
      </c>
      <c r="F2462" s="26" t="s">
        <v>2466</v>
      </c>
      <c r="G2462" s="26" t="s">
        <v>26</v>
      </c>
      <c r="H2462" s="26" t="s">
        <v>3867</v>
      </c>
      <c r="I2462" s="26" t="s">
        <v>3001</v>
      </c>
      <c r="J2462" s="46">
        <v>1</v>
      </c>
      <c r="K2462" s="46">
        <v>0</v>
      </c>
      <c r="L2462" s="136"/>
      <c r="M2462" s="137" t="s">
        <v>22</v>
      </c>
      <c r="N2462" s="138"/>
      <c r="O2462" s="138"/>
      <c r="P2462" s="138"/>
      <c r="Q2462" s="138"/>
      <c r="R2462" s="138"/>
      <c r="S2462" s="138"/>
      <c r="T2462" s="138"/>
      <c r="U2462" s="138"/>
    </row>
    <row r="2463" spans="1:21" s="26" customFormat="1" ht="15" customHeight="1" x14ac:dyDescent="0.2">
      <c r="A2463" s="32">
        <v>41637.806793981479</v>
      </c>
      <c r="B2463" s="26" t="s">
        <v>16</v>
      </c>
      <c r="C2463" s="26" t="s">
        <v>406</v>
      </c>
      <c r="D2463" s="68">
        <v>41609</v>
      </c>
      <c r="E2463" s="26" t="s">
        <v>416</v>
      </c>
      <c r="F2463" s="26" t="s">
        <v>463</v>
      </c>
      <c r="G2463" s="26" t="s">
        <v>26</v>
      </c>
      <c r="H2463" s="26" t="s">
        <v>464</v>
      </c>
      <c r="I2463" s="26" t="s">
        <v>3001</v>
      </c>
      <c r="J2463" s="46">
        <v>1</v>
      </c>
      <c r="K2463" s="46">
        <v>4</v>
      </c>
      <c r="L2463" s="136"/>
      <c r="M2463" s="137" t="s">
        <v>22</v>
      </c>
      <c r="N2463" s="138"/>
      <c r="O2463" s="138"/>
      <c r="P2463" s="138"/>
      <c r="Q2463" s="138"/>
      <c r="R2463" s="138"/>
      <c r="S2463" s="138"/>
      <c r="T2463" s="138"/>
      <c r="U2463" s="138"/>
    </row>
    <row r="2464" spans="1:21" s="26" customFormat="1" ht="15" customHeight="1" x14ac:dyDescent="0.2">
      <c r="A2464" s="32">
        <v>41637.807337962964</v>
      </c>
      <c r="B2464" s="26" t="s">
        <v>16</v>
      </c>
      <c r="C2464" s="26" t="s">
        <v>406</v>
      </c>
      <c r="D2464" s="68">
        <v>41609</v>
      </c>
      <c r="E2464" s="26" t="s">
        <v>419</v>
      </c>
      <c r="F2464" s="26" t="s">
        <v>420</v>
      </c>
      <c r="G2464" s="26" t="s">
        <v>26</v>
      </c>
      <c r="H2464" s="26" t="s">
        <v>421</v>
      </c>
      <c r="I2464" s="26" t="s">
        <v>3001</v>
      </c>
      <c r="J2464" s="46">
        <v>1</v>
      </c>
      <c r="K2464" s="46">
        <v>5</v>
      </c>
      <c r="L2464" s="136"/>
      <c r="M2464" s="137" t="s">
        <v>44</v>
      </c>
      <c r="N2464" s="138"/>
      <c r="O2464" s="138">
        <v>15</v>
      </c>
      <c r="P2464" s="138"/>
      <c r="Q2464" s="138"/>
      <c r="R2464" s="138"/>
      <c r="S2464" s="138"/>
      <c r="T2464" s="138"/>
      <c r="U2464" s="138"/>
    </row>
    <row r="2465" spans="1:25" s="26" customFormat="1" ht="15" customHeight="1" x14ac:dyDescent="0.2">
      <c r="A2465" s="32">
        <v>41637.807916666665</v>
      </c>
      <c r="B2465" s="26" t="s">
        <v>16</v>
      </c>
      <c r="C2465" s="26" t="s">
        <v>406</v>
      </c>
      <c r="D2465" s="68">
        <v>41609</v>
      </c>
      <c r="E2465" s="26" t="s">
        <v>3868</v>
      </c>
      <c r="F2465" s="26" t="s">
        <v>299</v>
      </c>
      <c r="G2465" s="26" t="s">
        <v>26</v>
      </c>
      <c r="H2465" s="26" t="s">
        <v>3869</v>
      </c>
      <c r="I2465" s="26" t="s">
        <v>3001</v>
      </c>
      <c r="J2465" s="46">
        <v>1</v>
      </c>
      <c r="K2465" s="46">
        <v>3</v>
      </c>
      <c r="L2465" s="136"/>
      <c r="M2465" s="137" t="s">
        <v>44</v>
      </c>
      <c r="N2465" s="138"/>
      <c r="O2465" s="138">
        <v>15</v>
      </c>
      <c r="P2465" s="138"/>
      <c r="Q2465" s="138"/>
      <c r="R2465" s="138"/>
      <c r="S2465" s="138"/>
      <c r="T2465" s="138"/>
      <c r="U2465" s="138"/>
    </row>
    <row r="2466" spans="1:25" s="26" customFormat="1" ht="15" customHeight="1" x14ac:dyDescent="0.2">
      <c r="A2466" s="32">
        <v>41637.808391203704</v>
      </c>
      <c r="B2466" s="26" t="s">
        <v>16</v>
      </c>
      <c r="C2466" s="26" t="s">
        <v>406</v>
      </c>
      <c r="D2466" s="68">
        <v>41609</v>
      </c>
      <c r="E2466" s="26" t="s">
        <v>425</v>
      </c>
      <c r="F2466" s="26" t="s">
        <v>414</v>
      </c>
      <c r="G2466" s="26" t="s">
        <v>26</v>
      </c>
      <c r="H2466" s="26" t="s">
        <v>3870</v>
      </c>
      <c r="I2466" s="26" t="s">
        <v>3001</v>
      </c>
      <c r="J2466" s="46">
        <v>1</v>
      </c>
      <c r="K2466" s="46">
        <v>0</v>
      </c>
      <c r="L2466" s="136"/>
      <c r="M2466" s="137" t="s">
        <v>22</v>
      </c>
      <c r="N2466" s="138"/>
      <c r="O2466" s="138"/>
      <c r="P2466" s="138"/>
      <c r="Q2466" s="138"/>
      <c r="R2466" s="138"/>
      <c r="S2466" s="138"/>
      <c r="T2466" s="138"/>
      <c r="U2466" s="138"/>
    </row>
    <row r="2467" spans="1:25" s="26" customFormat="1" ht="15" customHeight="1" x14ac:dyDescent="0.2">
      <c r="A2467" s="32">
        <v>41637.808981481481</v>
      </c>
      <c r="B2467" s="26" t="s">
        <v>16</v>
      </c>
      <c r="C2467" s="26" t="s">
        <v>406</v>
      </c>
      <c r="D2467" s="68">
        <v>41609</v>
      </c>
      <c r="E2467" s="26" t="s">
        <v>3871</v>
      </c>
      <c r="F2467" s="26" t="s">
        <v>429</v>
      </c>
      <c r="G2467" s="26" t="s">
        <v>26</v>
      </c>
      <c r="H2467" s="26" t="s">
        <v>3872</v>
      </c>
      <c r="I2467" s="26" t="s">
        <v>3001</v>
      </c>
      <c r="J2467" s="46">
        <v>1</v>
      </c>
      <c r="K2467" s="46">
        <v>5</v>
      </c>
      <c r="L2467" s="136"/>
      <c r="M2467" s="137" t="s">
        <v>22</v>
      </c>
      <c r="N2467" s="138"/>
      <c r="O2467" s="138"/>
      <c r="P2467" s="138"/>
      <c r="Q2467" s="138"/>
      <c r="R2467" s="138"/>
      <c r="S2467" s="138"/>
      <c r="T2467" s="138"/>
      <c r="U2467" s="138"/>
    </row>
    <row r="2468" spans="1:25" s="26" customFormat="1" ht="15" customHeight="1" x14ac:dyDescent="0.2">
      <c r="A2468" s="55">
        <v>41671.778229166703</v>
      </c>
      <c r="B2468" s="52" t="s">
        <v>16</v>
      </c>
      <c r="C2468" s="52" t="s">
        <v>406</v>
      </c>
      <c r="D2468" s="69">
        <v>41640</v>
      </c>
      <c r="E2468" s="52" t="s">
        <v>2464</v>
      </c>
      <c r="F2468" s="52" t="s">
        <v>4328</v>
      </c>
      <c r="G2468" s="52" t="s">
        <v>26</v>
      </c>
      <c r="H2468" s="52" t="s">
        <v>4329</v>
      </c>
      <c r="I2468" s="52" t="s">
        <v>2986</v>
      </c>
      <c r="J2468" s="95">
        <v>1</v>
      </c>
      <c r="K2468" s="118">
        <v>20</v>
      </c>
      <c r="L2468" s="148"/>
      <c r="M2468" s="146" t="s">
        <v>44</v>
      </c>
      <c r="N2468" s="147"/>
      <c r="O2468" s="147">
        <v>100</v>
      </c>
      <c r="P2468" s="147"/>
      <c r="Q2468" s="147"/>
      <c r="R2468" s="147"/>
      <c r="S2468" s="147"/>
      <c r="T2468" s="147"/>
      <c r="U2468" s="149"/>
      <c r="V2468" s="52"/>
      <c r="W2468" s="52"/>
      <c r="X2468" s="52"/>
      <c r="Y2468" s="52"/>
    </row>
    <row r="2469" spans="1:25" s="26" customFormat="1" ht="15" customHeight="1" x14ac:dyDescent="0.2">
      <c r="A2469" s="55">
        <v>41671.780648148102</v>
      </c>
      <c r="B2469" s="52" t="s">
        <v>16</v>
      </c>
      <c r="C2469" s="52" t="s">
        <v>406</v>
      </c>
      <c r="D2469" s="69">
        <v>41640</v>
      </c>
      <c r="E2469" s="52" t="s">
        <v>4330</v>
      </c>
      <c r="F2469" s="52" t="s">
        <v>411</v>
      </c>
      <c r="G2469" s="52" t="s">
        <v>26</v>
      </c>
      <c r="H2469" s="52" t="s">
        <v>1575</v>
      </c>
      <c r="I2469" s="52" t="s">
        <v>2986</v>
      </c>
      <c r="J2469" s="95">
        <v>1</v>
      </c>
      <c r="K2469" s="118">
        <v>6</v>
      </c>
      <c r="L2469" s="148"/>
      <c r="M2469" s="146" t="s">
        <v>22</v>
      </c>
      <c r="N2469" s="147"/>
      <c r="O2469" s="147"/>
      <c r="P2469" s="147"/>
      <c r="Q2469" s="147"/>
      <c r="R2469" s="147"/>
      <c r="S2469" s="147"/>
      <c r="T2469" s="147"/>
      <c r="U2469" s="149"/>
      <c r="V2469" s="52"/>
      <c r="W2469" s="52"/>
      <c r="X2469" s="52"/>
      <c r="Y2469" s="52"/>
    </row>
    <row r="2470" spans="1:25" s="26" customFormat="1" ht="15" customHeight="1" x14ac:dyDescent="0.2">
      <c r="A2470" s="55">
        <v>41671.781817129602</v>
      </c>
      <c r="B2470" s="52" t="s">
        <v>16</v>
      </c>
      <c r="C2470" s="52" t="s">
        <v>406</v>
      </c>
      <c r="D2470" s="69">
        <v>41640</v>
      </c>
      <c r="E2470" s="52" t="s">
        <v>1661</v>
      </c>
      <c r="F2470" s="52" t="s">
        <v>420</v>
      </c>
      <c r="G2470" s="52" t="s">
        <v>26</v>
      </c>
      <c r="H2470" s="52" t="s">
        <v>4331</v>
      </c>
      <c r="I2470" s="52" t="s">
        <v>2986</v>
      </c>
      <c r="J2470" s="95">
        <v>1</v>
      </c>
      <c r="K2470" s="118">
        <v>7</v>
      </c>
      <c r="L2470" s="148"/>
      <c r="M2470" s="146" t="s">
        <v>22</v>
      </c>
      <c r="N2470" s="147"/>
      <c r="O2470" s="147"/>
      <c r="P2470" s="147"/>
      <c r="Q2470" s="147"/>
      <c r="R2470" s="147"/>
      <c r="S2470" s="147"/>
      <c r="T2470" s="147"/>
      <c r="U2470" s="149"/>
      <c r="V2470" s="52"/>
      <c r="W2470" s="52"/>
      <c r="X2470" s="52"/>
      <c r="Y2470" s="52"/>
    </row>
    <row r="2471" spans="1:25" s="26" customFormat="1" ht="15" customHeight="1" x14ac:dyDescent="0.2">
      <c r="A2471" s="55">
        <v>41671.782754629603</v>
      </c>
      <c r="B2471" s="52" t="s">
        <v>16</v>
      </c>
      <c r="C2471" s="52" t="s">
        <v>406</v>
      </c>
      <c r="D2471" s="69">
        <v>41640</v>
      </c>
      <c r="E2471" s="52" t="s">
        <v>2473</v>
      </c>
      <c r="F2471" s="52" t="s">
        <v>423</v>
      </c>
      <c r="G2471" s="52" t="s">
        <v>26</v>
      </c>
      <c r="H2471" s="52" t="s">
        <v>2469</v>
      </c>
      <c r="I2471" s="52" t="s">
        <v>2986</v>
      </c>
      <c r="J2471" s="95">
        <v>1</v>
      </c>
      <c r="K2471" s="118">
        <v>5</v>
      </c>
      <c r="L2471" s="148"/>
      <c r="M2471" s="146" t="s">
        <v>22</v>
      </c>
      <c r="N2471" s="147"/>
      <c r="O2471" s="147"/>
      <c r="P2471" s="147"/>
      <c r="Q2471" s="147"/>
      <c r="R2471" s="147"/>
      <c r="S2471" s="147"/>
      <c r="T2471" s="147"/>
      <c r="U2471" s="149"/>
      <c r="V2471" s="52"/>
      <c r="W2471" s="52"/>
      <c r="X2471" s="52"/>
      <c r="Y2471" s="52"/>
    </row>
    <row r="2472" spans="1:25" s="26" customFormat="1" ht="15" customHeight="1" x14ac:dyDescent="0.2">
      <c r="A2472" s="55">
        <v>41671.783587963</v>
      </c>
      <c r="B2472" s="52" t="s">
        <v>16</v>
      </c>
      <c r="C2472" s="52" t="s">
        <v>406</v>
      </c>
      <c r="D2472" s="69">
        <v>41640</v>
      </c>
      <c r="E2472" s="52" t="s">
        <v>2491</v>
      </c>
      <c r="F2472" s="52" t="s">
        <v>408</v>
      </c>
      <c r="G2472" s="52" t="s">
        <v>26</v>
      </c>
      <c r="H2472" s="52" t="s">
        <v>4332</v>
      </c>
      <c r="I2472" s="52" t="s">
        <v>2986</v>
      </c>
      <c r="J2472" s="95">
        <v>1</v>
      </c>
      <c r="K2472" s="118">
        <v>0</v>
      </c>
      <c r="L2472" s="148"/>
      <c r="M2472" s="146" t="s">
        <v>22</v>
      </c>
      <c r="N2472" s="147"/>
      <c r="O2472" s="147"/>
      <c r="P2472" s="147"/>
      <c r="Q2472" s="147"/>
      <c r="R2472" s="147"/>
      <c r="S2472" s="147"/>
      <c r="T2472" s="147"/>
      <c r="U2472" s="149"/>
      <c r="V2472" s="52"/>
      <c r="W2472" s="52"/>
      <c r="X2472" s="52"/>
      <c r="Y2472" s="52"/>
    </row>
    <row r="2473" spans="1:25" s="26" customFormat="1" ht="15" customHeight="1" x14ac:dyDescent="0.2">
      <c r="A2473" s="55">
        <v>41671.784155092602</v>
      </c>
      <c r="B2473" s="52" t="s">
        <v>16</v>
      </c>
      <c r="C2473" s="52" t="s">
        <v>406</v>
      </c>
      <c r="D2473" s="69">
        <v>41640</v>
      </c>
      <c r="E2473" s="52" t="s">
        <v>2458</v>
      </c>
      <c r="F2473" s="52" t="s">
        <v>435</v>
      </c>
      <c r="G2473" s="52" t="s">
        <v>26</v>
      </c>
      <c r="H2473" s="52" t="s">
        <v>1563</v>
      </c>
      <c r="I2473" s="52" t="s">
        <v>2986</v>
      </c>
      <c r="J2473" s="95">
        <v>1</v>
      </c>
      <c r="K2473" s="118">
        <v>4</v>
      </c>
      <c r="L2473" s="148"/>
      <c r="M2473" s="146" t="s">
        <v>22</v>
      </c>
      <c r="N2473" s="147"/>
      <c r="O2473" s="147"/>
      <c r="P2473" s="147"/>
      <c r="Q2473" s="147"/>
      <c r="R2473" s="147"/>
      <c r="S2473" s="147"/>
      <c r="T2473" s="147"/>
      <c r="U2473" s="149"/>
      <c r="V2473" s="52"/>
      <c r="W2473" s="52"/>
      <c r="X2473" s="52"/>
      <c r="Y2473" s="52"/>
    </row>
    <row r="2474" spans="1:25" s="26" customFormat="1" ht="15" customHeight="1" x14ac:dyDescent="0.2">
      <c r="A2474" s="55">
        <v>41671.785138888903</v>
      </c>
      <c r="B2474" s="52" t="s">
        <v>16</v>
      </c>
      <c r="C2474" s="52" t="s">
        <v>406</v>
      </c>
      <c r="D2474" s="69">
        <v>41640</v>
      </c>
      <c r="E2474" s="52" t="s">
        <v>2492</v>
      </c>
      <c r="F2474" s="52" t="s">
        <v>426</v>
      </c>
      <c r="G2474" s="52" t="s">
        <v>26</v>
      </c>
      <c r="H2474" s="52" t="s">
        <v>2486</v>
      </c>
      <c r="I2474" s="52" t="s">
        <v>2986</v>
      </c>
      <c r="J2474" s="95">
        <v>1</v>
      </c>
      <c r="K2474" s="118">
        <v>6</v>
      </c>
      <c r="L2474" s="148"/>
      <c r="M2474" s="146" t="s">
        <v>22</v>
      </c>
      <c r="N2474" s="147"/>
      <c r="O2474" s="147"/>
      <c r="P2474" s="147"/>
      <c r="Q2474" s="147"/>
      <c r="R2474" s="147"/>
      <c r="S2474" s="147"/>
      <c r="T2474" s="147"/>
      <c r="U2474" s="149"/>
      <c r="V2474" s="52"/>
      <c r="W2474" s="52"/>
      <c r="X2474" s="52"/>
      <c r="Y2474" s="52"/>
    </row>
    <row r="2475" spans="1:25" s="26" customFormat="1" ht="15" customHeight="1" x14ac:dyDescent="0.2">
      <c r="A2475" s="55">
        <v>41671.7859143518</v>
      </c>
      <c r="B2475" s="52" t="s">
        <v>16</v>
      </c>
      <c r="C2475" s="52" t="s">
        <v>406</v>
      </c>
      <c r="D2475" s="69">
        <v>41640</v>
      </c>
      <c r="E2475" s="52" t="s">
        <v>2464</v>
      </c>
      <c r="F2475" s="52" t="s">
        <v>429</v>
      </c>
      <c r="G2475" s="52" t="s">
        <v>26</v>
      </c>
      <c r="H2475" s="52" t="s">
        <v>4333</v>
      </c>
      <c r="I2475" s="52" t="s">
        <v>2986</v>
      </c>
      <c r="J2475" s="95">
        <v>1</v>
      </c>
      <c r="K2475" s="118">
        <v>0</v>
      </c>
      <c r="L2475" s="148"/>
      <c r="M2475" s="146" t="s">
        <v>22</v>
      </c>
      <c r="N2475" s="147"/>
      <c r="O2475" s="147"/>
      <c r="P2475" s="147"/>
      <c r="Q2475" s="147"/>
      <c r="R2475" s="147"/>
      <c r="S2475" s="147"/>
      <c r="T2475" s="147"/>
      <c r="U2475" s="149"/>
      <c r="V2475" s="52"/>
      <c r="W2475" s="52"/>
      <c r="X2475" s="52"/>
      <c r="Y2475" s="52"/>
    </row>
    <row r="2476" spans="1:25" s="26" customFormat="1" ht="15" customHeight="1" x14ac:dyDescent="0.2">
      <c r="A2476" s="55">
        <v>41671.786527777796</v>
      </c>
      <c r="B2476" s="52" t="s">
        <v>16</v>
      </c>
      <c r="C2476" s="52" t="s">
        <v>406</v>
      </c>
      <c r="D2476" s="69">
        <v>41640</v>
      </c>
      <c r="E2476" s="52" t="s">
        <v>4334</v>
      </c>
      <c r="F2476" s="52" t="s">
        <v>1552</v>
      </c>
      <c r="G2476" s="52" t="s">
        <v>26</v>
      </c>
      <c r="H2476" s="52" t="s">
        <v>4335</v>
      </c>
      <c r="I2476" s="52" t="s">
        <v>2986</v>
      </c>
      <c r="J2476" s="95">
        <v>1</v>
      </c>
      <c r="K2476" s="118">
        <v>0</v>
      </c>
      <c r="L2476" s="148"/>
      <c r="M2476" s="146" t="s">
        <v>22</v>
      </c>
      <c r="N2476" s="147"/>
      <c r="O2476" s="147"/>
      <c r="P2476" s="147"/>
      <c r="Q2476" s="147"/>
      <c r="R2476" s="147"/>
      <c r="S2476" s="147"/>
      <c r="T2476" s="147"/>
      <c r="U2476" s="149"/>
      <c r="V2476" s="52"/>
      <c r="W2476" s="52"/>
      <c r="X2476" s="52"/>
      <c r="Y2476" s="52"/>
    </row>
    <row r="2477" spans="1:25" s="26" customFormat="1" ht="15" customHeight="1" x14ac:dyDescent="0.2">
      <c r="A2477" s="55">
        <v>41671.789409722202</v>
      </c>
      <c r="B2477" s="52" t="s">
        <v>16</v>
      </c>
      <c r="C2477" s="52" t="s">
        <v>406</v>
      </c>
      <c r="D2477" s="69">
        <v>41640</v>
      </c>
      <c r="E2477" s="52" t="s">
        <v>1661</v>
      </c>
      <c r="F2477" s="52" t="s">
        <v>420</v>
      </c>
      <c r="G2477" s="52" t="s">
        <v>26</v>
      </c>
      <c r="H2477" s="52" t="s">
        <v>4331</v>
      </c>
      <c r="I2477" s="52" t="s">
        <v>2986</v>
      </c>
      <c r="J2477" s="95">
        <v>1</v>
      </c>
      <c r="K2477" s="118">
        <v>0</v>
      </c>
      <c r="L2477" s="148"/>
      <c r="M2477" s="146" t="s">
        <v>22</v>
      </c>
      <c r="N2477" s="147"/>
      <c r="O2477" s="147"/>
      <c r="P2477" s="147"/>
      <c r="Q2477" s="147"/>
      <c r="R2477" s="147"/>
      <c r="S2477" s="147"/>
      <c r="T2477" s="147"/>
      <c r="U2477" s="149"/>
      <c r="V2477" s="52"/>
      <c r="W2477" s="52"/>
      <c r="X2477" s="52"/>
      <c r="Y2477" s="52"/>
    </row>
    <row r="2478" spans="1:25" s="26" customFormat="1" ht="15" customHeight="1" x14ac:dyDescent="0.2">
      <c r="A2478" s="55">
        <v>41671.790081018502</v>
      </c>
      <c r="B2478" s="52" t="s">
        <v>16</v>
      </c>
      <c r="C2478" s="52" t="s">
        <v>406</v>
      </c>
      <c r="D2478" s="69">
        <v>41640</v>
      </c>
      <c r="E2478" s="52" t="s">
        <v>4336</v>
      </c>
      <c r="F2478" s="52" t="s">
        <v>299</v>
      </c>
      <c r="G2478" s="52" t="s">
        <v>26</v>
      </c>
      <c r="H2478" s="52" t="s">
        <v>2559</v>
      </c>
      <c r="I2478" s="52" t="s">
        <v>2986</v>
      </c>
      <c r="J2478" s="95">
        <v>1</v>
      </c>
      <c r="K2478" s="118">
        <v>2</v>
      </c>
      <c r="L2478" s="148"/>
      <c r="M2478" s="146" t="s">
        <v>44</v>
      </c>
      <c r="N2478" s="147"/>
      <c r="O2478" s="147">
        <v>10</v>
      </c>
      <c r="P2478" s="147"/>
      <c r="Q2478" s="147"/>
      <c r="R2478" s="147"/>
      <c r="S2478" s="147"/>
      <c r="T2478" s="147"/>
      <c r="U2478" s="149"/>
      <c r="V2478" s="52"/>
      <c r="W2478" s="52"/>
      <c r="X2478" s="52"/>
      <c r="Y2478" s="52"/>
    </row>
    <row r="2479" spans="1:25" s="26" customFormat="1" ht="15" customHeight="1" x14ac:dyDescent="0.2">
      <c r="A2479" s="55">
        <v>41671.790856481501</v>
      </c>
      <c r="B2479" s="52" t="s">
        <v>16</v>
      </c>
      <c r="C2479" s="52" t="s">
        <v>406</v>
      </c>
      <c r="D2479" s="69">
        <v>41640</v>
      </c>
      <c r="E2479" s="52" t="s">
        <v>2491</v>
      </c>
      <c r="F2479" s="52" t="s">
        <v>1639</v>
      </c>
      <c r="G2479" s="52" t="s">
        <v>26</v>
      </c>
      <c r="H2479" s="52" t="s">
        <v>4337</v>
      </c>
      <c r="I2479" s="52" t="s">
        <v>2986</v>
      </c>
      <c r="J2479" s="95">
        <v>1</v>
      </c>
      <c r="K2479" s="118">
        <v>5</v>
      </c>
      <c r="L2479" s="148"/>
      <c r="M2479" s="146" t="s">
        <v>44</v>
      </c>
      <c r="N2479" s="147"/>
      <c r="O2479" s="147">
        <v>5</v>
      </c>
      <c r="P2479" s="147"/>
      <c r="Q2479" s="147"/>
      <c r="R2479" s="147"/>
      <c r="S2479" s="147"/>
      <c r="T2479" s="147"/>
      <c r="U2479" s="149"/>
      <c r="V2479" s="52"/>
      <c r="W2479" s="52"/>
      <c r="X2479" s="52"/>
      <c r="Y2479" s="52"/>
    </row>
    <row r="2480" spans="1:25" s="26" customFormat="1" ht="15" customHeight="1" x14ac:dyDescent="0.2">
      <c r="A2480" s="55">
        <v>41671.791504629597</v>
      </c>
      <c r="B2480" s="52" t="s">
        <v>16</v>
      </c>
      <c r="C2480" s="52" t="s">
        <v>406</v>
      </c>
      <c r="D2480" s="69">
        <v>41640</v>
      </c>
      <c r="E2480" s="52" t="s">
        <v>2458</v>
      </c>
      <c r="F2480" s="52" t="s">
        <v>435</v>
      </c>
      <c r="G2480" s="52" t="s">
        <v>26</v>
      </c>
      <c r="H2480" s="52" t="s">
        <v>1579</v>
      </c>
      <c r="I2480" s="52" t="s">
        <v>2986</v>
      </c>
      <c r="J2480" s="95">
        <v>1</v>
      </c>
      <c r="K2480" s="118">
        <v>13</v>
      </c>
      <c r="L2480" s="148"/>
      <c r="M2480" s="146" t="s">
        <v>44</v>
      </c>
      <c r="N2480" s="147"/>
      <c r="O2480" s="147">
        <v>45</v>
      </c>
      <c r="P2480" s="147"/>
      <c r="Q2480" s="147"/>
      <c r="R2480" s="147"/>
      <c r="S2480" s="147"/>
      <c r="T2480" s="147"/>
      <c r="U2480" s="149"/>
      <c r="V2480" s="52"/>
      <c r="W2480" s="52"/>
      <c r="X2480" s="52"/>
      <c r="Y2480" s="52"/>
    </row>
    <row r="2481" spans="1:25" s="26" customFormat="1" ht="15" customHeight="1" x14ac:dyDescent="0.2">
      <c r="A2481" s="55">
        <v>41671.792511574102</v>
      </c>
      <c r="B2481" s="52" t="s">
        <v>16</v>
      </c>
      <c r="C2481" s="52" t="s">
        <v>406</v>
      </c>
      <c r="D2481" s="69">
        <v>41640</v>
      </c>
      <c r="E2481" s="52" t="s">
        <v>4330</v>
      </c>
      <c r="F2481" s="52" t="s">
        <v>373</v>
      </c>
      <c r="G2481" s="52" t="s">
        <v>26</v>
      </c>
      <c r="H2481" s="52" t="s">
        <v>4338</v>
      </c>
      <c r="I2481" s="52" t="s">
        <v>2986</v>
      </c>
      <c r="J2481" s="95">
        <v>1</v>
      </c>
      <c r="K2481" s="118">
        <v>2</v>
      </c>
      <c r="L2481" s="148"/>
      <c r="M2481" s="146" t="s">
        <v>22</v>
      </c>
      <c r="N2481" s="147"/>
      <c r="O2481" s="147"/>
      <c r="P2481" s="147"/>
      <c r="Q2481" s="147"/>
      <c r="R2481" s="147"/>
      <c r="S2481" s="147"/>
      <c r="T2481" s="147"/>
      <c r="U2481" s="149"/>
      <c r="V2481" s="52"/>
      <c r="W2481" s="52"/>
      <c r="X2481" s="52"/>
      <c r="Y2481" s="52"/>
    </row>
    <row r="2482" spans="1:25" s="26" customFormat="1" ht="15" customHeight="1" x14ac:dyDescent="0.2">
      <c r="A2482" s="55">
        <v>41671.793541666702</v>
      </c>
      <c r="B2482" s="52" t="s">
        <v>16</v>
      </c>
      <c r="C2482" s="52" t="s">
        <v>406</v>
      </c>
      <c r="D2482" s="69">
        <v>41640</v>
      </c>
      <c r="E2482" s="52" t="s">
        <v>1661</v>
      </c>
      <c r="F2482" s="52" t="s">
        <v>408</v>
      </c>
      <c r="G2482" s="52" t="s">
        <v>26</v>
      </c>
      <c r="H2482" s="52" t="s">
        <v>4332</v>
      </c>
      <c r="I2482" s="52" t="s">
        <v>2986</v>
      </c>
      <c r="J2482" s="95">
        <v>1</v>
      </c>
      <c r="K2482" s="118">
        <v>1</v>
      </c>
      <c r="L2482" s="148"/>
      <c r="M2482" s="146" t="s">
        <v>44</v>
      </c>
      <c r="N2482" s="147"/>
      <c r="O2482" s="147">
        <v>5</v>
      </c>
      <c r="P2482" s="147"/>
      <c r="Q2482" s="147"/>
      <c r="R2482" s="147"/>
      <c r="S2482" s="147"/>
      <c r="T2482" s="147"/>
      <c r="U2482" s="149"/>
      <c r="V2482" s="52"/>
      <c r="W2482" s="52"/>
      <c r="X2482" s="52"/>
      <c r="Y2482" s="52"/>
    </row>
    <row r="2483" spans="1:25" s="26" customFormat="1" ht="15" customHeight="1" x14ac:dyDescent="0.2">
      <c r="A2483" s="55">
        <v>41671.794155092597</v>
      </c>
      <c r="B2483" s="52" t="s">
        <v>16</v>
      </c>
      <c r="C2483" s="52" t="s">
        <v>406</v>
      </c>
      <c r="D2483" s="69">
        <v>41640</v>
      </c>
      <c r="E2483" s="52" t="s">
        <v>4336</v>
      </c>
      <c r="F2483" s="52" t="s">
        <v>447</v>
      </c>
      <c r="G2483" s="52" t="s">
        <v>26</v>
      </c>
      <c r="H2483" s="52" t="s">
        <v>4339</v>
      </c>
      <c r="I2483" s="52" t="s">
        <v>2986</v>
      </c>
      <c r="J2483" s="95">
        <v>1</v>
      </c>
      <c r="K2483" s="118">
        <v>3</v>
      </c>
      <c r="L2483" s="148"/>
      <c r="M2483" s="146" t="s">
        <v>44</v>
      </c>
      <c r="N2483" s="147"/>
      <c r="O2483" s="147">
        <v>15</v>
      </c>
      <c r="P2483" s="147"/>
      <c r="Q2483" s="147"/>
      <c r="R2483" s="147"/>
      <c r="S2483" s="147"/>
      <c r="T2483" s="147"/>
      <c r="U2483" s="149"/>
      <c r="V2483" s="52"/>
      <c r="W2483" s="52"/>
      <c r="X2483" s="52"/>
      <c r="Y2483" s="52"/>
    </row>
    <row r="2484" spans="1:25" s="26" customFormat="1" ht="15" customHeight="1" x14ac:dyDescent="0.2">
      <c r="A2484" s="55">
        <v>41671.7948958333</v>
      </c>
      <c r="B2484" s="52" t="s">
        <v>16</v>
      </c>
      <c r="C2484" s="52" t="s">
        <v>406</v>
      </c>
      <c r="D2484" s="69">
        <v>41640</v>
      </c>
      <c r="E2484" s="52" t="s">
        <v>2634</v>
      </c>
      <c r="F2484" s="52" t="s">
        <v>4340</v>
      </c>
      <c r="G2484" s="52" t="s">
        <v>26</v>
      </c>
      <c r="H2484" s="52" t="s">
        <v>4341</v>
      </c>
      <c r="I2484" s="52" t="s">
        <v>2986</v>
      </c>
      <c r="J2484" s="95">
        <v>1</v>
      </c>
      <c r="K2484" s="118">
        <v>6</v>
      </c>
      <c r="L2484" s="148"/>
      <c r="M2484" s="146" t="s">
        <v>44</v>
      </c>
      <c r="N2484" s="147"/>
      <c r="O2484" s="147">
        <v>10</v>
      </c>
      <c r="P2484" s="147"/>
      <c r="Q2484" s="147"/>
      <c r="R2484" s="147"/>
      <c r="S2484" s="147"/>
      <c r="T2484" s="147"/>
      <c r="U2484" s="149"/>
      <c r="V2484" s="52"/>
      <c r="W2484" s="52"/>
      <c r="X2484" s="52"/>
      <c r="Y2484" s="52"/>
    </row>
    <row r="2485" spans="1:25" s="26" customFormat="1" ht="15" customHeight="1" x14ac:dyDescent="0.2">
      <c r="A2485" s="55">
        <v>41671.796793981499</v>
      </c>
      <c r="B2485" s="52" t="s">
        <v>16</v>
      </c>
      <c r="C2485" s="52" t="s">
        <v>406</v>
      </c>
      <c r="D2485" s="69">
        <v>41640</v>
      </c>
      <c r="E2485" s="52" t="s">
        <v>2458</v>
      </c>
      <c r="F2485" s="52" t="s">
        <v>429</v>
      </c>
      <c r="G2485" s="52" t="s">
        <v>26</v>
      </c>
      <c r="H2485" s="52" t="s">
        <v>4333</v>
      </c>
      <c r="I2485" s="52" t="s">
        <v>2986</v>
      </c>
      <c r="J2485" s="95">
        <v>1</v>
      </c>
      <c r="K2485" s="118">
        <v>18</v>
      </c>
      <c r="L2485" s="148"/>
      <c r="M2485" s="146" t="s">
        <v>44</v>
      </c>
      <c r="N2485" s="147"/>
      <c r="O2485" s="147">
        <v>25</v>
      </c>
      <c r="P2485" s="147"/>
      <c r="Q2485" s="147"/>
      <c r="R2485" s="147"/>
      <c r="S2485" s="147"/>
      <c r="T2485" s="147"/>
      <c r="U2485" s="149"/>
      <c r="V2485" s="52"/>
      <c r="W2485" s="52"/>
      <c r="X2485" s="52"/>
      <c r="Y2485" s="52"/>
    </row>
    <row r="2486" spans="1:25" s="26" customFormat="1" ht="15" customHeight="1" x14ac:dyDescent="0.2">
      <c r="A2486" s="55">
        <v>41671.798530092601</v>
      </c>
      <c r="B2486" s="52" t="s">
        <v>16</v>
      </c>
      <c r="C2486" s="52" t="s">
        <v>406</v>
      </c>
      <c r="D2486" s="69">
        <v>41640</v>
      </c>
      <c r="E2486" s="52" t="s">
        <v>4330</v>
      </c>
      <c r="F2486" s="52" t="s">
        <v>414</v>
      </c>
      <c r="G2486" s="52" t="s">
        <v>26</v>
      </c>
      <c r="H2486" s="52" t="s">
        <v>4342</v>
      </c>
      <c r="I2486" s="52" t="s">
        <v>2986</v>
      </c>
      <c r="J2486" s="95">
        <v>1</v>
      </c>
      <c r="K2486" s="118">
        <v>2</v>
      </c>
      <c r="L2486" s="148"/>
      <c r="M2486" s="146" t="s">
        <v>22</v>
      </c>
      <c r="N2486" s="147"/>
      <c r="O2486" s="147"/>
      <c r="P2486" s="147"/>
      <c r="Q2486" s="147"/>
      <c r="R2486" s="147"/>
      <c r="S2486" s="147"/>
      <c r="T2486" s="147"/>
      <c r="U2486" s="149"/>
      <c r="V2486" s="52"/>
      <c r="W2486" s="52"/>
      <c r="X2486" s="52"/>
      <c r="Y2486" s="52"/>
    </row>
    <row r="2487" spans="1:25" s="26" customFormat="1" ht="15" customHeight="1" x14ac:dyDescent="0.2">
      <c r="A2487" s="55">
        <v>41671.799456018503</v>
      </c>
      <c r="B2487" s="52" t="s">
        <v>16</v>
      </c>
      <c r="C2487" s="52" t="s">
        <v>406</v>
      </c>
      <c r="D2487" s="69">
        <v>41640</v>
      </c>
      <c r="E2487" s="52" t="s">
        <v>4343</v>
      </c>
      <c r="F2487" s="52" t="s">
        <v>2862</v>
      </c>
      <c r="G2487" s="52" t="s">
        <v>26</v>
      </c>
      <c r="H2487" s="52" t="s">
        <v>4344</v>
      </c>
      <c r="I2487" s="52" t="s">
        <v>2986</v>
      </c>
      <c r="J2487" s="95">
        <v>1</v>
      </c>
      <c r="K2487" s="118">
        <v>0</v>
      </c>
      <c r="L2487" s="148"/>
      <c r="M2487" s="146" t="s">
        <v>22</v>
      </c>
      <c r="N2487" s="147"/>
      <c r="O2487" s="147"/>
      <c r="P2487" s="147"/>
      <c r="Q2487" s="147"/>
      <c r="R2487" s="147"/>
      <c r="S2487" s="147"/>
      <c r="T2487" s="147"/>
      <c r="U2487" s="149"/>
      <c r="V2487" s="52"/>
      <c r="W2487" s="52"/>
      <c r="X2487" s="52"/>
      <c r="Y2487" s="52"/>
    </row>
    <row r="2488" spans="1:25" s="26" customFormat="1" ht="15" customHeight="1" x14ac:dyDescent="0.2">
      <c r="A2488" s="55">
        <v>41671.800104166701</v>
      </c>
      <c r="B2488" s="52" t="s">
        <v>16</v>
      </c>
      <c r="C2488" s="52" t="s">
        <v>406</v>
      </c>
      <c r="D2488" s="69">
        <v>41640</v>
      </c>
      <c r="E2488" s="52" t="s">
        <v>881</v>
      </c>
      <c r="F2488" s="52" t="s">
        <v>1639</v>
      </c>
      <c r="G2488" s="52" t="s">
        <v>26</v>
      </c>
      <c r="H2488" s="52" t="s">
        <v>4337</v>
      </c>
      <c r="I2488" s="52" t="s">
        <v>2986</v>
      </c>
      <c r="J2488" s="95">
        <v>1</v>
      </c>
      <c r="K2488" s="118">
        <v>0</v>
      </c>
      <c r="L2488" s="148"/>
      <c r="M2488" s="146" t="s">
        <v>22</v>
      </c>
      <c r="N2488" s="147"/>
      <c r="O2488" s="147"/>
      <c r="P2488" s="147"/>
      <c r="Q2488" s="147"/>
      <c r="R2488" s="147"/>
      <c r="S2488" s="147"/>
      <c r="T2488" s="147"/>
      <c r="U2488" s="149"/>
      <c r="V2488" s="52"/>
      <c r="W2488" s="52"/>
      <c r="X2488" s="52"/>
      <c r="Y2488" s="52"/>
    </row>
    <row r="2489" spans="1:25" s="26" customFormat="1" ht="15" customHeight="1" x14ac:dyDescent="0.2">
      <c r="A2489" s="55">
        <v>41671.801620370403</v>
      </c>
      <c r="B2489" s="52" t="s">
        <v>16</v>
      </c>
      <c r="C2489" s="52" t="s">
        <v>406</v>
      </c>
      <c r="D2489" s="69">
        <v>41640</v>
      </c>
      <c r="E2489" s="52" t="s">
        <v>1656</v>
      </c>
      <c r="F2489" s="52" t="s">
        <v>113</v>
      </c>
      <c r="G2489" s="52" t="s">
        <v>26</v>
      </c>
      <c r="H2489" s="52" t="s">
        <v>4345</v>
      </c>
      <c r="I2489" s="52" t="s">
        <v>2986</v>
      </c>
      <c r="J2489" s="95">
        <v>1</v>
      </c>
      <c r="K2489" s="118">
        <v>29</v>
      </c>
      <c r="L2489" s="148"/>
      <c r="M2489" s="146" t="s">
        <v>44</v>
      </c>
      <c r="N2489" s="147"/>
      <c r="O2489" s="147">
        <v>95</v>
      </c>
      <c r="P2489" s="147"/>
      <c r="Q2489" s="147"/>
      <c r="R2489" s="147"/>
      <c r="S2489" s="147"/>
      <c r="T2489" s="147"/>
      <c r="U2489" s="149"/>
      <c r="V2489" s="52"/>
      <c r="W2489" s="52"/>
      <c r="X2489" s="52"/>
      <c r="Y2489" s="52"/>
    </row>
    <row r="2490" spans="1:25" s="26" customFormat="1" ht="15" customHeight="1" x14ac:dyDescent="0.2">
      <c r="A2490" s="55">
        <v>41671.802245370403</v>
      </c>
      <c r="B2490" s="52" t="s">
        <v>16</v>
      </c>
      <c r="C2490" s="52" t="s">
        <v>406</v>
      </c>
      <c r="D2490" s="69">
        <v>41640</v>
      </c>
      <c r="E2490" s="52" t="s">
        <v>4334</v>
      </c>
      <c r="F2490" s="52" t="s">
        <v>1552</v>
      </c>
      <c r="G2490" s="52" t="s">
        <v>26</v>
      </c>
      <c r="H2490" s="52" t="s">
        <v>4346</v>
      </c>
      <c r="I2490" s="52" t="s">
        <v>2986</v>
      </c>
      <c r="J2490" s="95">
        <v>1</v>
      </c>
      <c r="K2490" s="118">
        <v>0</v>
      </c>
      <c r="L2490" s="148"/>
      <c r="M2490" s="146" t="s">
        <v>22</v>
      </c>
      <c r="N2490" s="147"/>
      <c r="O2490" s="147"/>
      <c r="P2490" s="147"/>
      <c r="Q2490" s="147"/>
      <c r="R2490" s="147"/>
      <c r="S2490" s="147"/>
      <c r="T2490" s="147"/>
      <c r="U2490" s="149"/>
      <c r="V2490" s="52"/>
      <c r="W2490" s="52"/>
      <c r="X2490" s="52"/>
      <c r="Y2490" s="52"/>
    </row>
    <row r="2491" spans="1:25" s="26" customFormat="1" ht="15" customHeight="1" x14ac:dyDescent="0.2">
      <c r="A2491" s="55">
        <v>41671.802974537</v>
      </c>
      <c r="B2491" s="52" t="s">
        <v>16</v>
      </c>
      <c r="C2491" s="52" t="s">
        <v>406</v>
      </c>
      <c r="D2491" s="69">
        <v>41640</v>
      </c>
      <c r="E2491" s="52" t="s">
        <v>4343</v>
      </c>
      <c r="F2491" s="52" t="s">
        <v>423</v>
      </c>
      <c r="G2491" s="52" t="s">
        <v>26</v>
      </c>
      <c r="H2491" s="52" t="s">
        <v>2469</v>
      </c>
      <c r="I2491" s="52" t="s">
        <v>2986</v>
      </c>
      <c r="J2491" s="95">
        <v>1</v>
      </c>
      <c r="K2491" s="118">
        <v>0</v>
      </c>
      <c r="L2491" s="148"/>
      <c r="M2491" s="146" t="s">
        <v>22</v>
      </c>
      <c r="N2491" s="147"/>
      <c r="O2491" s="147"/>
      <c r="P2491" s="147"/>
      <c r="Q2491" s="147"/>
      <c r="R2491" s="147"/>
      <c r="S2491" s="147"/>
      <c r="T2491" s="147"/>
      <c r="U2491" s="149"/>
      <c r="V2491" s="52"/>
      <c r="W2491" s="52"/>
      <c r="X2491" s="52"/>
      <c r="Y2491" s="52"/>
    </row>
    <row r="2492" spans="1:25" s="26" customFormat="1" ht="15" customHeight="1" x14ac:dyDescent="0.2">
      <c r="A2492" s="55">
        <v>41671.803692129601</v>
      </c>
      <c r="B2492" s="52" t="s">
        <v>16</v>
      </c>
      <c r="C2492" s="52" t="s">
        <v>406</v>
      </c>
      <c r="D2492" s="69">
        <v>41640</v>
      </c>
      <c r="E2492" s="52" t="s">
        <v>4336</v>
      </c>
      <c r="F2492" s="52" t="s">
        <v>2474</v>
      </c>
      <c r="G2492" s="52" t="s">
        <v>26</v>
      </c>
      <c r="H2492" s="52" t="s">
        <v>4347</v>
      </c>
      <c r="I2492" s="52" t="s">
        <v>2986</v>
      </c>
      <c r="J2492" s="95">
        <v>1</v>
      </c>
      <c r="K2492" s="118">
        <v>2</v>
      </c>
      <c r="L2492" s="148"/>
      <c r="M2492" s="146" t="s">
        <v>44</v>
      </c>
      <c r="N2492" s="147"/>
      <c r="O2492" s="147">
        <v>10</v>
      </c>
      <c r="P2492" s="147"/>
      <c r="Q2492" s="147"/>
      <c r="R2492" s="147"/>
      <c r="S2492" s="147"/>
      <c r="T2492" s="147"/>
      <c r="U2492" s="149"/>
      <c r="V2492" s="52"/>
      <c r="W2492" s="52"/>
      <c r="X2492" s="52"/>
      <c r="Y2492" s="52"/>
    </row>
    <row r="2493" spans="1:25" s="26" customFormat="1" ht="15" customHeight="1" x14ac:dyDescent="0.2">
      <c r="A2493" s="32">
        <v>41699.422233796293</v>
      </c>
      <c r="B2493" s="26" t="s">
        <v>16</v>
      </c>
      <c r="C2493" s="26" t="s">
        <v>406</v>
      </c>
      <c r="D2493" s="33">
        <v>41609</v>
      </c>
      <c r="E2493" s="26" t="s">
        <v>4714</v>
      </c>
      <c r="F2493" s="26" t="s">
        <v>4715</v>
      </c>
      <c r="G2493" s="26" t="s">
        <v>156</v>
      </c>
      <c r="H2493" s="26" t="s">
        <v>4716</v>
      </c>
      <c r="I2493" s="26" t="s">
        <v>4717</v>
      </c>
      <c r="J2493" s="46">
        <v>1</v>
      </c>
      <c r="K2493" s="46">
        <v>150</v>
      </c>
      <c r="L2493" s="136">
        <v>459</v>
      </c>
      <c r="M2493" s="137" t="s">
        <v>44</v>
      </c>
      <c r="N2493" s="138"/>
      <c r="O2493" s="138">
        <v>260</v>
      </c>
      <c r="P2493" s="138"/>
      <c r="Q2493" s="138"/>
      <c r="R2493" s="138"/>
      <c r="S2493" s="138"/>
      <c r="T2493" s="138"/>
      <c r="U2493" s="138"/>
    </row>
    <row r="2494" spans="1:25" s="26" customFormat="1" ht="15" customHeight="1" x14ac:dyDescent="0.2">
      <c r="A2494" s="32">
        <v>41699.426828703705</v>
      </c>
      <c r="B2494" s="26" t="s">
        <v>16</v>
      </c>
      <c r="C2494" s="26" t="s">
        <v>406</v>
      </c>
      <c r="D2494" s="33">
        <v>41548</v>
      </c>
      <c r="E2494" s="26" t="s">
        <v>4718</v>
      </c>
      <c r="F2494" s="26" t="s">
        <v>4719</v>
      </c>
      <c r="G2494" s="26" t="s">
        <v>156</v>
      </c>
      <c r="H2494" s="26" t="s">
        <v>4720</v>
      </c>
      <c r="I2494" s="26" t="s">
        <v>4717</v>
      </c>
      <c r="J2494" s="46">
        <v>1</v>
      </c>
      <c r="K2494" s="46">
        <v>84</v>
      </c>
      <c r="L2494" s="136">
        <v>339</v>
      </c>
      <c r="M2494" s="137" t="s">
        <v>44</v>
      </c>
      <c r="N2494" s="138"/>
      <c r="O2494" s="138">
        <v>90</v>
      </c>
      <c r="P2494" s="138"/>
      <c r="Q2494" s="138"/>
      <c r="R2494" s="138"/>
      <c r="S2494" s="138"/>
      <c r="T2494" s="138"/>
      <c r="U2494" s="138"/>
    </row>
    <row r="2495" spans="1:25" s="26" customFormat="1" ht="15" customHeight="1" x14ac:dyDescent="0.2">
      <c r="A2495" s="32">
        <v>41699.428923611114</v>
      </c>
      <c r="B2495" s="26" t="s">
        <v>16</v>
      </c>
      <c r="C2495" s="26" t="s">
        <v>406</v>
      </c>
      <c r="D2495" s="33">
        <v>41548</v>
      </c>
      <c r="E2495" s="26" t="s">
        <v>4721</v>
      </c>
      <c r="F2495" s="26" t="s">
        <v>4719</v>
      </c>
      <c r="G2495" s="26" t="s">
        <v>156</v>
      </c>
      <c r="H2495" s="26" t="s">
        <v>4720</v>
      </c>
      <c r="I2495" s="26" t="s">
        <v>4717</v>
      </c>
      <c r="J2495" s="46">
        <v>1</v>
      </c>
      <c r="K2495" s="46">
        <v>136</v>
      </c>
      <c r="L2495" s="136">
        <v>550</v>
      </c>
      <c r="M2495" s="137" t="s">
        <v>44</v>
      </c>
      <c r="N2495" s="138"/>
      <c r="O2495" s="138">
        <v>155</v>
      </c>
      <c r="P2495" s="138"/>
      <c r="Q2495" s="138"/>
      <c r="R2495" s="138"/>
      <c r="S2495" s="138"/>
      <c r="T2495" s="138"/>
      <c r="U2495" s="138"/>
    </row>
    <row r="2496" spans="1:25" s="26" customFormat="1" ht="15" customHeight="1" x14ac:dyDescent="0.2">
      <c r="A2496" s="32">
        <v>41699.430046296293</v>
      </c>
      <c r="B2496" s="26" t="s">
        <v>16</v>
      </c>
      <c r="C2496" s="26" t="s">
        <v>406</v>
      </c>
      <c r="D2496" s="33">
        <v>41548</v>
      </c>
      <c r="E2496" s="26" t="s">
        <v>4722</v>
      </c>
      <c r="F2496" s="26" t="s">
        <v>4719</v>
      </c>
      <c r="G2496" s="26" t="s">
        <v>156</v>
      </c>
      <c r="H2496" s="26" t="s">
        <v>4720</v>
      </c>
      <c r="I2496" s="26" t="s">
        <v>4717</v>
      </c>
      <c r="J2496" s="46">
        <v>1</v>
      </c>
      <c r="K2496" s="46">
        <v>185</v>
      </c>
      <c r="L2496" s="136">
        <v>395</v>
      </c>
      <c r="M2496" s="137" t="s">
        <v>44</v>
      </c>
      <c r="N2496" s="138"/>
      <c r="O2496" s="138">
        <v>209</v>
      </c>
      <c r="P2496" s="138"/>
      <c r="Q2496" s="138"/>
      <c r="R2496" s="138"/>
      <c r="S2496" s="138"/>
      <c r="T2496" s="138"/>
      <c r="U2496" s="138"/>
    </row>
    <row r="2497" spans="1:22" s="26" customFormat="1" ht="15" customHeight="1" x14ac:dyDescent="0.2">
      <c r="A2497" s="32">
        <v>41699.432199074072</v>
      </c>
      <c r="B2497" s="26" t="s">
        <v>16</v>
      </c>
      <c r="C2497" s="26" t="s">
        <v>406</v>
      </c>
      <c r="D2497" s="33">
        <v>41518</v>
      </c>
      <c r="E2497" s="26" t="s">
        <v>4723</v>
      </c>
      <c r="F2497" s="26" t="s">
        <v>4724</v>
      </c>
      <c r="G2497" s="26" t="s">
        <v>20</v>
      </c>
      <c r="H2497" s="26" t="s">
        <v>4725</v>
      </c>
      <c r="I2497" s="26" t="s">
        <v>3001</v>
      </c>
      <c r="J2497" s="46">
        <v>1</v>
      </c>
      <c r="K2497" s="46">
        <v>61</v>
      </c>
      <c r="L2497" s="136">
        <v>122</v>
      </c>
      <c r="M2497" s="137" t="s">
        <v>22</v>
      </c>
      <c r="N2497" s="138"/>
      <c r="O2497" s="138"/>
      <c r="P2497" s="138"/>
      <c r="Q2497" s="138"/>
      <c r="R2497" s="138"/>
      <c r="S2497" s="138"/>
      <c r="T2497" s="138"/>
      <c r="U2497" s="138"/>
    </row>
    <row r="2498" spans="1:22" s="26" customFormat="1" ht="15" customHeight="1" x14ac:dyDescent="0.2">
      <c r="A2498" s="32">
        <v>41699.432939814818</v>
      </c>
      <c r="B2498" s="26" t="s">
        <v>16</v>
      </c>
      <c r="C2498" s="26" t="s">
        <v>406</v>
      </c>
      <c r="D2498" s="33">
        <v>41518</v>
      </c>
      <c r="E2498" s="26" t="s">
        <v>4726</v>
      </c>
      <c r="F2498" s="26" t="s">
        <v>4727</v>
      </c>
      <c r="G2498" s="26" t="s">
        <v>20</v>
      </c>
      <c r="H2498" s="26" t="s">
        <v>4728</v>
      </c>
      <c r="I2498" s="26" t="s">
        <v>3001</v>
      </c>
      <c r="J2498" s="46">
        <v>1</v>
      </c>
      <c r="K2498" s="46">
        <v>49</v>
      </c>
      <c r="L2498" s="136">
        <v>98</v>
      </c>
      <c r="M2498" s="137" t="s">
        <v>22</v>
      </c>
      <c r="N2498" s="138"/>
      <c r="O2498" s="138"/>
      <c r="P2498" s="138"/>
      <c r="Q2498" s="138"/>
      <c r="R2498" s="138"/>
      <c r="S2498" s="138"/>
      <c r="T2498" s="138"/>
      <c r="U2498" s="138"/>
    </row>
    <row r="2499" spans="1:22" s="26" customFormat="1" ht="15" customHeight="1" x14ac:dyDescent="0.2">
      <c r="A2499" s="32">
        <v>41699.442337962966</v>
      </c>
      <c r="B2499" s="26" t="s">
        <v>16</v>
      </c>
      <c r="C2499" s="26" t="s">
        <v>406</v>
      </c>
      <c r="D2499" s="33">
        <v>41518</v>
      </c>
      <c r="E2499" s="26" t="s">
        <v>4729</v>
      </c>
      <c r="F2499" s="26" t="s">
        <v>4730</v>
      </c>
      <c r="G2499" s="26" t="s">
        <v>42</v>
      </c>
      <c r="H2499" s="26" t="s">
        <v>4731</v>
      </c>
      <c r="I2499" s="26" t="s">
        <v>3001</v>
      </c>
      <c r="J2499" s="46">
        <v>1</v>
      </c>
      <c r="K2499" s="46">
        <v>23</v>
      </c>
      <c r="L2499" s="136">
        <v>46</v>
      </c>
      <c r="M2499" s="137" t="s">
        <v>44</v>
      </c>
      <c r="N2499" s="138"/>
      <c r="O2499" s="138">
        <v>20</v>
      </c>
      <c r="P2499" s="138"/>
      <c r="Q2499" s="138"/>
      <c r="R2499" s="138"/>
      <c r="S2499" s="138"/>
      <c r="T2499" s="138"/>
      <c r="U2499" s="138"/>
    </row>
    <row r="2500" spans="1:22" s="26" customFormat="1" ht="15" customHeight="1" x14ac:dyDescent="0.2">
      <c r="A2500" s="32">
        <v>41699.443749999999</v>
      </c>
      <c r="B2500" s="26" t="s">
        <v>16</v>
      </c>
      <c r="C2500" s="26" t="s">
        <v>406</v>
      </c>
      <c r="D2500" s="33">
        <v>41518</v>
      </c>
      <c r="E2500" s="26" t="s">
        <v>4732</v>
      </c>
      <c r="F2500" s="26" t="s">
        <v>4733</v>
      </c>
      <c r="G2500" s="26" t="s">
        <v>42</v>
      </c>
      <c r="H2500" s="26" t="s">
        <v>4734</v>
      </c>
      <c r="I2500" s="26" t="s">
        <v>3001</v>
      </c>
      <c r="J2500" s="46">
        <v>2</v>
      </c>
      <c r="K2500" s="46">
        <v>7</v>
      </c>
      <c r="L2500" s="136">
        <v>28</v>
      </c>
      <c r="M2500" s="137" t="s">
        <v>44</v>
      </c>
      <c r="N2500" s="138"/>
      <c r="O2500" s="138">
        <v>20</v>
      </c>
      <c r="P2500" s="138"/>
      <c r="Q2500" s="138"/>
      <c r="R2500" s="138"/>
      <c r="S2500" s="138"/>
      <c r="T2500" s="138"/>
      <c r="U2500" s="138"/>
    </row>
    <row r="2501" spans="1:22" s="26" customFormat="1" ht="15" customHeight="1" x14ac:dyDescent="0.2">
      <c r="A2501" s="32">
        <v>41699.444571759261</v>
      </c>
      <c r="B2501" s="26" t="s">
        <v>16</v>
      </c>
      <c r="C2501" s="26" t="s">
        <v>406</v>
      </c>
      <c r="D2501" s="33">
        <v>41518</v>
      </c>
      <c r="E2501" s="26" t="s">
        <v>639</v>
      </c>
      <c r="F2501" s="26" t="s">
        <v>4735</v>
      </c>
      <c r="G2501" s="26" t="s">
        <v>42</v>
      </c>
      <c r="H2501" s="26" t="s">
        <v>4734</v>
      </c>
      <c r="I2501" s="26" t="s">
        <v>3001</v>
      </c>
      <c r="J2501" s="46">
        <v>2</v>
      </c>
      <c r="K2501" s="46">
        <v>7</v>
      </c>
      <c r="L2501" s="136">
        <v>28</v>
      </c>
      <c r="M2501" s="137" t="s">
        <v>44</v>
      </c>
      <c r="N2501" s="138"/>
      <c r="O2501" s="138">
        <v>10</v>
      </c>
      <c r="P2501" s="138"/>
      <c r="Q2501" s="138"/>
      <c r="R2501" s="138"/>
      <c r="S2501" s="138"/>
      <c r="T2501" s="138"/>
      <c r="U2501" s="138"/>
    </row>
    <row r="2502" spans="1:22" s="26" customFormat="1" ht="15" customHeight="1" x14ac:dyDescent="0.2">
      <c r="A2502" s="32">
        <v>41699.447164351855</v>
      </c>
      <c r="B2502" s="26" t="s">
        <v>16</v>
      </c>
      <c r="C2502" s="26" t="s">
        <v>406</v>
      </c>
      <c r="D2502" s="33">
        <v>41609</v>
      </c>
      <c r="E2502" s="26" t="s">
        <v>3097</v>
      </c>
      <c r="F2502" s="26" t="s">
        <v>4736</v>
      </c>
      <c r="G2502" s="26" t="s">
        <v>20</v>
      </c>
      <c r="H2502" s="26" t="s">
        <v>4737</v>
      </c>
      <c r="I2502" s="26" t="s">
        <v>3001</v>
      </c>
      <c r="J2502" s="46">
        <v>2</v>
      </c>
      <c r="K2502" s="46">
        <v>10</v>
      </c>
      <c r="L2502" s="136">
        <v>40</v>
      </c>
      <c r="M2502" s="137" t="s">
        <v>22</v>
      </c>
      <c r="N2502" s="138"/>
      <c r="O2502" s="138"/>
      <c r="P2502" s="138"/>
      <c r="Q2502" s="138"/>
      <c r="R2502" s="138"/>
      <c r="S2502" s="138"/>
      <c r="T2502" s="138"/>
      <c r="U2502" s="138"/>
    </row>
    <row r="2503" spans="1:22" s="26" customFormat="1" ht="15" customHeight="1" x14ac:dyDescent="0.2">
      <c r="A2503" s="32">
        <v>41699.461458333331</v>
      </c>
      <c r="B2503" s="26" t="s">
        <v>16</v>
      </c>
      <c r="C2503" s="26" t="s">
        <v>406</v>
      </c>
      <c r="D2503" s="33">
        <v>41609</v>
      </c>
      <c r="E2503" s="26" t="s">
        <v>4738</v>
      </c>
      <c r="F2503" s="26" t="s">
        <v>4739</v>
      </c>
      <c r="G2503" s="26" t="s">
        <v>20</v>
      </c>
      <c r="H2503" s="26" t="s">
        <v>4740</v>
      </c>
      <c r="I2503" s="26" t="s">
        <v>3001</v>
      </c>
      <c r="J2503" s="46">
        <v>1</v>
      </c>
      <c r="K2503" s="46">
        <v>40</v>
      </c>
      <c r="L2503" s="136">
        <v>80</v>
      </c>
      <c r="M2503" s="137" t="s">
        <v>22</v>
      </c>
      <c r="N2503" s="138"/>
      <c r="O2503" s="138"/>
      <c r="P2503" s="138"/>
      <c r="Q2503" s="138"/>
      <c r="R2503" s="138"/>
      <c r="S2503" s="138"/>
      <c r="T2503" s="138"/>
      <c r="U2503" s="138"/>
    </row>
    <row r="2504" spans="1:22" s="26" customFormat="1" ht="15" customHeight="1" x14ac:dyDescent="0.2">
      <c r="A2504" s="32">
        <v>41699.465891203705</v>
      </c>
      <c r="B2504" s="26" t="s">
        <v>16</v>
      </c>
      <c r="C2504" s="26" t="s">
        <v>406</v>
      </c>
      <c r="D2504" s="33">
        <v>41671</v>
      </c>
      <c r="E2504" s="26" t="s">
        <v>4741</v>
      </c>
      <c r="F2504" s="26" t="s">
        <v>4742</v>
      </c>
      <c r="G2504" s="26" t="s">
        <v>20</v>
      </c>
      <c r="H2504" s="26" t="s">
        <v>4743</v>
      </c>
      <c r="I2504" s="26" t="s">
        <v>3001</v>
      </c>
      <c r="J2504" s="46">
        <v>1</v>
      </c>
      <c r="K2504" s="46">
        <v>13</v>
      </c>
      <c r="L2504" s="136">
        <v>26</v>
      </c>
      <c r="M2504" s="137" t="s">
        <v>22</v>
      </c>
      <c r="N2504" s="138"/>
      <c r="O2504" s="138"/>
      <c r="P2504" s="138"/>
      <c r="Q2504" s="138"/>
      <c r="R2504" s="138"/>
      <c r="S2504" s="138"/>
      <c r="T2504" s="138"/>
      <c r="U2504" s="138"/>
    </row>
    <row r="2505" spans="1:22" s="26" customFormat="1" ht="15" customHeight="1" x14ac:dyDescent="0.2">
      <c r="A2505" s="32">
        <v>41699.466817129629</v>
      </c>
      <c r="B2505" s="26" t="s">
        <v>16</v>
      </c>
      <c r="C2505" s="26" t="s">
        <v>406</v>
      </c>
      <c r="D2505" s="33">
        <v>41671</v>
      </c>
      <c r="E2505" s="26" t="s">
        <v>4744</v>
      </c>
      <c r="F2505" s="26" t="s">
        <v>4742</v>
      </c>
      <c r="G2505" s="26" t="s">
        <v>20</v>
      </c>
      <c r="H2505" s="26" t="s">
        <v>4745</v>
      </c>
      <c r="I2505" s="26" t="s">
        <v>3001</v>
      </c>
      <c r="J2505" s="46">
        <v>2</v>
      </c>
      <c r="K2505" s="46">
        <v>38</v>
      </c>
      <c r="L2505" s="136">
        <v>152</v>
      </c>
      <c r="M2505" s="137" t="s">
        <v>22</v>
      </c>
      <c r="N2505" s="138"/>
      <c r="O2505" s="138"/>
      <c r="P2505" s="138"/>
      <c r="Q2505" s="138"/>
      <c r="R2505" s="138"/>
      <c r="S2505" s="138"/>
      <c r="T2505" s="138"/>
      <c r="U2505" s="138"/>
    </row>
    <row r="2506" spans="1:22" s="26" customFormat="1" ht="15" customHeight="1" x14ac:dyDescent="0.2">
      <c r="A2506" s="32">
        <v>41699.473043981481</v>
      </c>
      <c r="B2506" s="26" t="s">
        <v>16</v>
      </c>
      <c r="C2506" s="26" t="s">
        <v>406</v>
      </c>
      <c r="D2506" s="33">
        <v>41671</v>
      </c>
      <c r="E2506" s="26" t="s">
        <v>4746</v>
      </c>
      <c r="F2506" s="26" t="s">
        <v>4747</v>
      </c>
      <c r="G2506" s="26" t="s">
        <v>20</v>
      </c>
      <c r="H2506" s="26" t="s">
        <v>4743</v>
      </c>
      <c r="I2506" s="26" t="s">
        <v>3001</v>
      </c>
      <c r="J2506" s="46">
        <v>1</v>
      </c>
      <c r="K2506" s="46">
        <v>12</v>
      </c>
      <c r="L2506" s="136">
        <v>24</v>
      </c>
      <c r="M2506" s="137" t="s">
        <v>22</v>
      </c>
      <c r="N2506" s="138"/>
      <c r="O2506" s="138"/>
      <c r="P2506" s="138"/>
      <c r="Q2506" s="138"/>
      <c r="R2506" s="138"/>
      <c r="S2506" s="138"/>
      <c r="T2506" s="138"/>
      <c r="U2506" s="138"/>
    </row>
    <row r="2507" spans="1:22" s="26" customFormat="1" ht="15" customHeight="1" x14ac:dyDescent="0.2">
      <c r="A2507" s="32">
        <v>41699.476956018516</v>
      </c>
      <c r="B2507" s="26" t="s">
        <v>16</v>
      </c>
      <c r="C2507" s="26" t="s">
        <v>406</v>
      </c>
      <c r="D2507" s="33">
        <v>41671</v>
      </c>
      <c r="E2507" s="26" t="s">
        <v>4748</v>
      </c>
      <c r="F2507" s="26" t="s">
        <v>4747</v>
      </c>
      <c r="G2507" s="26" t="s">
        <v>20</v>
      </c>
      <c r="H2507" s="26" t="s">
        <v>4737</v>
      </c>
      <c r="I2507" s="26" t="s">
        <v>3001</v>
      </c>
      <c r="J2507" s="46">
        <v>1</v>
      </c>
      <c r="K2507" s="46">
        <v>20</v>
      </c>
      <c r="L2507" s="136">
        <v>40</v>
      </c>
      <c r="M2507" s="137" t="s">
        <v>22</v>
      </c>
      <c r="N2507" s="138"/>
      <c r="O2507" s="138"/>
      <c r="P2507" s="138"/>
      <c r="Q2507" s="138"/>
      <c r="R2507" s="138"/>
      <c r="S2507" s="138"/>
      <c r="T2507" s="138"/>
      <c r="U2507" s="138"/>
    </row>
    <row r="2508" spans="1:22" s="26" customFormat="1" ht="15" customHeight="1" x14ac:dyDescent="0.2">
      <c r="A2508" s="32">
        <v>41700.63890046296</v>
      </c>
      <c r="B2508" s="26" t="s">
        <v>16</v>
      </c>
      <c r="C2508" s="26" t="s">
        <v>406</v>
      </c>
      <c r="D2508" s="33">
        <v>41671</v>
      </c>
      <c r="E2508" s="26" t="s">
        <v>4776</v>
      </c>
      <c r="F2508" s="26" t="s">
        <v>479</v>
      </c>
      <c r="G2508" s="26" t="s">
        <v>26</v>
      </c>
      <c r="H2508" s="26" t="s">
        <v>4777</v>
      </c>
      <c r="I2508" s="26" t="s">
        <v>3001</v>
      </c>
      <c r="J2508" s="46">
        <v>1</v>
      </c>
      <c r="K2508" s="46">
        <v>0</v>
      </c>
      <c r="L2508" s="136"/>
      <c r="M2508" s="137" t="s">
        <v>22</v>
      </c>
      <c r="N2508" s="138"/>
      <c r="O2508" s="138"/>
      <c r="P2508" s="138"/>
      <c r="Q2508" s="138"/>
      <c r="R2508" s="138"/>
      <c r="S2508" s="138"/>
      <c r="T2508" s="138"/>
      <c r="U2508" s="138"/>
    </row>
    <row r="2509" spans="1:22" s="26" customFormat="1" ht="15" customHeight="1" x14ac:dyDescent="0.2">
      <c r="A2509" s="32">
        <v>41700.639502314814</v>
      </c>
      <c r="B2509" s="26" t="s">
        <v>16</v>
      </c>
      <c r="C2509" s="26" t="s">
        <v>406</v>
      </c>
      <c r="D2509" s="33">
        <v>41671</v>
      </c>
      <c r="E2509" s="26" t="s">
        <v>4778</v>
      </c>
      <c r="F2509" s="26" t="s">
        <v>1644</v>
      </c>
      <c r="G2509" s="26" t="s">
        <v>26</v>
      </c>
      <c r="H2509" s="26" t="s">
        <v>4779</v>
      </c>
      <c r="I2509" s="26" t="s">
        <v>3001</v>
      </c>
      <c r="J2509" s="46">
        <v>1</v>
      </c>
      <c r="K2509" s="46">
        <v>0</v>
      </c>
      <c r="L2509" s="136"/>
      <c r="M2509" s="137" t="s">
        <v>22</v>
      </c>
      <c r="N2509" s="138"/>
      <c r="O2509" s="138"/>
      <c r="P2509" s="138"/>
      <c r="Q2509" s="138"/>
      <c r="R2509" s="138"/>
      <c r="S2509" s="138"/>
      <c r="T2509" s="138"/>
      <c r="U2509" s="138"/>
    </row>
    <row r="2510" spans="1:22" s="26" customFormat="1" ht="15" customHeight="1" x14ac:dyDescent="0.2">
      <c r="A2510" s="32">
        <v>41700.640520833331</v>
      </c>
      <c r="B2510" s="26" t="s">
        <v>16</v>
      </c>
      <c r="C2510" s="26" t="s">
        <v>406</v>
      </c>
      <c r="D2510" s="33">
        <v>41671</v>
      </c>
      <c r="E2510" s="26" t="s">
        <v>4780</v>
      </c>
      <c r="F2510" s="26" t="s">
        <v>113</v>
      </c>
      <c r="G2510" s="26" t="s">
        <v>26</v>
      </c>
      <c r="H2510" s="26" t="s">
        <v>4781</v>
      </c>
      <c r="I2510" s="26" t="s">
        <v>3001</v>
      </c>
      <c r="J2510" s="46">
        <v>1</v>
      </c>
      <c r="K2510" s="46">
        <v>0</v>
      </c>
      <c r="L2510" s="136"/>
      <c r="M2510" s="137" t="s">
        <v>22</v>
      </c>
      <c r="N2510" s="138"/>
      <c r="O2510" s="138"/>
      <c r="P2510" s="138"/>
      <c r="Q2510" s="138"/>
      <c r="R2510" s="138"/>
      <c r="S2510" s="138"/>
      <c r="T2510" s="138"/>
      <c r="U2510" s="138"/>
      <c r="V2510" s="26" t="s">
        <v>2471</v>
      </c>
    </row>
    <row r="2511" spans="1:22" s="26" customFormat="1" ht="15" customHeight="1" x14ac:dyDescent="0.2">
      <c r="A2511" s="32">
        <v>41700.641226851854</v>
      </c>
      <c r="B2511" s="26" t="s">
        <v>16</v>
      </c>
      <c r="C2511" s="26" t="s">
        <v>406</v>
      </c>
      <c r="D2511" s="33">
        <v>41671</v>
      </c>
      <c r="E2511" s="26" t="s">
        <v>4726</v>
      </c>
      <c r="F2511" s="26" t="s">
        <v>2466</v>
      </c>
      <c r="G2511" s="26" t="s">
        <v>26</v>
      </c>
      <c r="H2511" s="26" t="s">
        <v>4782</v>
      </c>
      <c r="I2511" s="26" t="s">
        <v>2812</v>
      </c>
      <c r="J2511" s="46">
        <v>1</v>
      </c>
      <c r="K2511" s="46">
        <v>1</v>
      </c>
      <c r="L2511" s="136"/>
      <c r="M2511" s="137" t="s">
        <v>44</v>
      </c>
      <c r="N2511" s="138"/>
      <c r="O2511" s="138">
        <v>5</v>
      </c>
      <c r="P2511" s="138"/>
      <c r="Q2511" s="138"/>
      <c r="R2511" s="138"/>
      <c r="S2511" s="138"/>
      <c r="T2511" s="138"/>
      <c r="U2511" s="138"/>
    </row>
    <row r="2512" spans="1:22" s="26" customFormat="1" ht="15" customHeight="1" x14ac:dyDescent="0.2">
      <c r="A2512" s="32">
        <v>41700.642048611109</v>
      </c>
      <c r="B2512" s="26" t="s">
        <v>16</v>
      </c>
      <c r="C2512" s="26" t="s">
        <v>406</v>
      </c>
      <c r="D2512" s="33">
        <v>41671</v>
      </c>
      <c r="E2512" s="26" t="s">
        <v>4723</v>
      </c>
      <c r="F2512" s="26" t="s">
        <v>414</v>
      </c>
      <c r="G2512" s="26" t="s">
        <v>26</v>
      </c>
      <c r="H2512" s="26" t="s">
        <v>4783</v>
      </c>
      <c r="I2512" s="26" t="s">
        <v>3001</v>
      </c>
      <c r="J2512" s="46">
        <v>1</v>
      </c>
      <c r="K2512" s="46">
        <v>0</v>
      </c>
      <c r="L2512" s="136"/>
      <c r="M2512" s="137" t="s">
        <v>22</v>
      </c>
      <c r="N2512" s="138"/>
      <c r="O2512" s="138"/>
      <c r="P2512" s="138"/>
      <c r="Q2512" s="138"/>
      <c r="R2512" s="138"/>
      <c r="S2512" s="138"/>
      <c r="T2512" s="138"/>
      <c r="U2512" s="138"/>
    </row>
    <row r="2513" spans="1:21" s="26" customFormat="1" ht="15" customHeight="1" x14ac:dyDescent="0.2">
      <c r="A2513" s="32">
        <v>41700.642916666664</v>
      </c>
      <c r="B2513" s="26" t="s">
        <v>16</v>
      </c>
      <c r="C2513" s="26" t="s">
        <v>406</v>
      </c>
      <c r="D2513" s="33">
        <v>41671</v>
      </c>
      <c r="E2513" s="26" t="s">
        <v>4784</v>
      </c>
      <c r="F2513" s="26" t="s">
        <v>429</v>
      </c>
      <c r="G2513" s="26" t="s">
        <v>26</v>
      </c>
      <c r="H2513" s="26" t="s">
        <v>4785</v>
      </c>
      <c r="I2513" s="26" t="s">
        <v>3001</v>
      </c>
      <c r="J2513" s="46">
        <v>1</v>
      </c>
      <c r="K2513" s="46">
        <v>0</v>
      </c>
      <c r="L2513" s="136"/>
      <c r="M2513" s="137" t="s">
        <v>22</v>
      </c>
      <c r="N2513" s="138"/>
      <c r="O2513" s="138"/>
      <c r="P2513" s="138"/>
      <c r="Q2513" s="138"/>
      <c r="R2513" s="138"/>
      <c r="S2513" s="138"/>
      <c r="T2513" s="138"/>
      <c r="U2513" s="138"/>
    </row>
    <row r="2514" spans="1:21" s="26" customFormat="1" ht="15" customHeight="1" x14ac:dyDescent="0.2">
      <c r="A2514" s="32">
        <v>41700.643703703703</v>
      </c>
      <c r="B2514" s="26" t="s">
        <v>16</v>
      </c>
      <c r="C2514" s="26" t="s">
        <v>406</v>
      </c>
      <c r="D2514" s="33">
        <v>41671</v>
      </c>
      <c r="E2514" s="26" t="s">
        <v>1863</v>
      </c>
      <c r="F2514" s="26" t="s">
        <v>299</v>
      </c>
      <c r="G2514" s="26" t="s">
        <v>26</v>
      </c>
      <c r="H2514" s="26" t="s">
        <v>4786</v>
      </c>
      <c r="I2514" s="26" t="s">
        <v>2812</v>
      </c>
      <c r="J2514" s="46">
        <v>1</v>
      </c>
      <c r="K2514" s="46">
        <v>0</v>
      </c>
      <c r="L2514" s="136"/>
      <c r="M2514" s="137" t="s">
        <v>22</v>
      </c>
      <c r="N2514" s="138"/>
      <c r="O2514" s="138"/>
      <c r="P2514" s="138"/>
      <c r="Q2514" s="138"/>
      <c r="R2514" s="138"/>
      <c r="S2514" s="138"/>
      <c r="T2514" s="138"/>
      <c r="U2514" s="138"/>
    </row>
    <row r="2515" spans="1:21" s="26" customFormat="1" ht="15" customHeight="1" x14ac:dyDescent="0.2">
      <c r="A2515" s="32">
        <v>41700.64466435185</v>
      </c>
      <c r="B2515" s="26" t="s">
        <v>16</v>
      </c>
      <c r="C2515" s="26" t="s">
        <v>406</v>
      </c>
      <c r="D2515" s="33">
        <v>41671</v>
      </c>
      <c r="E2515" s="26" t="s">
        <v>639</v>
      </c>
      <c r="F2515" s="26" t="s">
        <v>4340</v>
      </c>
      <c r="G2515" s="26" t="s">
        <v>26</v>
      </c>
      <c r="H2515" s="26" t="s">
        <v>4787</v>
      </c>
      <c r="I2515" s="26" t="s">
        <v>3001</v>
      </c>
      <c r="J2515" s="46">
        <v>1</v>
      </c>
      <c r="K2515" s="46">
        <v>7</v>
      </c>
      <c r="L2515" s="136"/>
      <c r="M2515" s="137" t="s">
        <v>44</v>
      </c>
      <c r="N2515" s="138"/>
      <c r="O2515" s="138">
        <v>35</v>
      </c>
      <c r="P2515" s="138"/>
      <c r="Q2515" s="138"/>
      <c r="R2515" s="138"/>
      <c r="S2515" s="138"/>
      <c r="T2515" s="138"/>
      <c r="U2515" s="138"/>
    </row>
    <row r="2516" spans="1:21" s="26" customFormat="1" ht="15" customHeight="1" x14ac:dyDescent="0.2">
      <c r="A2516" s="32">
        <v>41700.645428240743</v>
      </c>
      <c r="B2516" s="26" t="s">
        <v>16</v>
      </c>
      <c r="C2516" s="26" t="s">
        <v>406</v>
      </c>
      <c r="D2516" s="33">
        <v>41671</v>
      </c>
      <c r="E2516" s="26" t="s">
        <v>4788</v>
      </c>
      <c r="F2516" s="26" t="s">
        <v>423</v>
      </c>
      <c r="G2516" s="26" t="s">
        <v>26</v>
      </c>
      <c r="H2516" s="26" t="s">
        <v>1641</v>
      </c>
      <c r="I2516" s="26" t="s">
        <v>3001</v>
      </c>
      <c r="J2516" s="46">
        <v>1</v>
      </c>
      <c r="K2516" s="46">
        <v>0</v>
      </c>
      <c r="L2516" s="136"/>
      <c r="M2516" s="137" t="s">
        <v>22</v>
      </c>
      <c r="N2516" s="138"/>
      <c r="O2516" s="138"/>
      <c r="P2516" s="138"/>
      <c r="Q2516" s="138"/>
      <c r="R2516" s="138"/>
      <c r="S2516" s="138"/>
      <c r="T2516" s="138"/>
      <c r="U2516" s="138"/>
    </row>
    <row r="2517" spans="1:21" s="26" customFormat="1" ht="15" customHeight="1" x14ac:dyDescent="0.2">
      <c r="A2517" s="32">
        <v>41700.645856481482</v>
      </c>
      <c r="B2517" s="26" t="s">
        <v>16</v>
      </c>
      <c r="C2517" s="26" t="s">
        <v>406</v>
      </c>
      <c r="D2517" s="33">
        <v>41671</v>
      </c>
      <c r="E2517" s="26" t="s">
        <v>4726</v>
      </c>
      <c r="F2517" s="26" t="s">
        <v>2466</v>
      </c>
      <c r="G2517" s="26" t="s">
        <v>26</v>
      </c>
      <c r="I2517" s="26" t="s">
        <v>2812</v>
      </c>
      <c r="J2517" s="46">
        <v>1</v>
      </c>
      <c r="K2517" s="46">
        <v>1</v>
      </c>
      <c r="L2517" s="136"/>
      <c r="M2517" s="137" t="s">
        <v>44</v>
      </c>
      <c r="N2517" s="138"/>
      <c r="O2517" s="138">
        <v>5</v>
      </c>
      <c r="P2517" s="138"/>
      <c r="Q2517" s="138"/>
      <c r="R2517" s="138"/>
      <c r="S2517" s="138"/>
      <c r="T2517" s="138"/>
      <c r="U2517" s="138"/>
    </row>
    <row r="2518" spans="1:21" s="26" customFormat="1" ht="15" customHeight="1" x14ac:dyDescent="0.2">
      <c r="A2518" s="32">
        <v>41700.646516203706</v>
      </c>
      <c r="B2518" s="26" t="s">
        <v>16</v>
      </c>
      <c r="C2518" s="26" t="s">
        <v>406</v>
      </c>
      <c r="D2518" s="33">
        <v>41671</v>
      </c>
      <c r="E2518" s="26" t="s">
        <v>4789</v>
      </c>
      <c r="F2518" s="26" t="s">
        <v>4790</v>
      </c>
      <c r="G2518" s="26" t="s">
        <v>26</v>
      </c>
      <c r="H2518" s="26" t="s">
        <v>4791</v>
      </c>
      <c r="I2518" s="26" t="s">
        <v>3001</v>
      </c>
      <c r="J2518" s="46">
        <v>1</v>
      </c>
      <c r="K2518" s="46">
        <v>0</v>
      </c>
      <c r="L2518" s="136"/>
      <c r="M2518" s="137" t="s">
        <v>22</v>
      </c>
      <c r="N2518" s="138"/>
      <c r="O2518" s="138"/>
      <c r="P2518" s="138"/>
      <c r="Q2518" s="138"/>
      <c r="R2518" s="138"/>
      <c r="S2518" s="138"/>
      <c r="T2518" s="138"/>
      <c r="U2518" s="138"/>
    </row>
    <row r="2519" spans="1:21" s="26" customFormat="1" ht="15" customHeight="1" x14ac:dyDescent="0.2">
      <c r="A2519" s="32">
        <v>41700.648229166669</v>
      </c>
      <c r="B2519" s="26" t="s">
        <v>16</v>
      </c>
      <c r="C2519" s="26" t="s">
        <v>406</v>
      </c>
      <c r="D2519" s="33">
        <v>41671</v>
      </c>
      <c r="E2519" s="26" t="s">
        <v>4792</v>
      </c>
      <c r="F2519" s="26" t="s">
        <v>299</v>
      </c>
      <c r="G2519" s="26" t="s">
        <v>26</v>
      </c>
      <c r="H2519" s="26" t="s">
        <v>4786</v>
      </c>
      <c r="I2519" s="26" t="s">
        <v>3001</v>
      </c>
      <c r="J2519" s="46">
        <v>1</v>
      </c>
      <c r="K2519" s="46">
        <v>4</v>
      </c>
      <c r="L2519" s="136"/>
      <c r="M2519" s="137" t="s">
        <v>44</v>
      </c>
      <c r="N2519" s="138"/>
      <c r="O2519" s="138">
        <v>20</v>
      </c>
      <c r="P2519" s="138"/>
      <c r="Q2519" s="138"/>
      <c r="R2519" s="138"/>
      <c r="S2519" s="138"/>
      <c r="T2519" s="138"/>
      <c r="U2519" s="138"/>
    </row>
    <row r="2520" spans="1:21" s="26" customFormat="1" ht="15" customHeight="1" x14ac:dyDescent="0.2">
      <c r="A2520" s="32">
        <v>41700.649085648147</v>
      </c>
      <c r="B2520" s="26" t="s">
        <v>16</v>
      </c>
      <c r="C2520" s="26" t="s">
        <v>406</v>
      </c>
      <c r="D2520" s="33">
        <v>41671</v>
      </c>
      <c r="E2520" s="26" t="s">
        <v>4793</v>
      </c>
      <c r="F2520" s="26" t="s">
        <v>2456</v>
      </c>
      <c r="G2520" s="26" t="s">
        <v>26</v>
      </c>
      <c r="H2520" s="26" t="s">
        <v>4794</v>
      </c>
      <c r="I2520" s="26" t="s">
        <v>2812</v>
      </c>
      <c r="J2520" s="46">
        <v>1</v>
      </c>
      <c r="K2520" s="46">
        <v>6</v>
      </c>
      <c r="L2520" s="136"/>
      <c r="M2520" s="137" t="s">
        <v>44</v>
      </c>
      <c r="N2520" s="138"/>
      <c r="O2520" s="138">
        <v>10</v>
      </c>
      <c r="P2520" s="138"/>
      <c r="Q2520" s="138"/>
      <c r="R2520" s="138"/>
      <c r="S2520" s="138"/>
      <c r="T2520" s="138"/>
      <c r="U2520" s="138"/>
    </row>
    <row r="2521" spans="1:21" s="26" customFormat="1" ht="15" customHeight="1" x14ac:dyDescent="0.2">
      <c r="A2521" s="32">
        <v>41700.650092592594</v>
      </c>
      <c r="B2521" s="26" t="s">
        <v>16</v>
      </c>
      <c r="C2521" s="26" t="s">
        <v>406</v>
      </c>
      <c r="D2521" s="33">
        <v>41671</v>
      </c>
      <c r="E2521" s="26" t="s">
        <v>639</v>
      </c>
      <c r="F2521" s="26" t="s">
        <v>4795</v>
      </c>
      <c r="G2521" s="26" t="s">
        <v>26</v>
      </c>
      <c r="H2521" s="26" t="s">
        <v>4796</v>
      </c>
      <c r="I2521" s="26" t="s">
        <v>3001</v>
      </c>
      <c r="J2521" s="46">
        <v>1</v>
      </c>
      <c r="K2521" s="46">
        <v>15</v>
      </c>
      <c r="L2521" s="136"/>
      <c r="M2521" s="137" t="s">
        <v>44</v>
      </c>
      <c r="N2521" s="138"/>
      <c r="O2521" s="138">
        <v>50</v>
      </c>
      <c r="P2521" s="138"/>
      <c r="Q2521" s="138"/>
      <c r="R2521" s="138"/>
      <c r="S2521" s="138"/>
      <c r="T2521" s="138"/>
      <c r="U2521" s="138"/>
    </row>
    <row r="2522" spans="1:21" s="26" customFormat="1" ht="15" customHeight="1" x14ac:dyDescent="0.2">
      <c r="A2522" s="32">
        <v>41700.652337962965</v>
      </c>
      <c r="B2522" s="26" t="s">
        <v>16</v>
      </c>
      <c r="C2522" s="26" t="s">
        <v>406</v>
      </c>
      <c r="D2522" s="33">
        <v>41671</v>
      </c>
      <c r="E2522" s="26" t="s">
        <v>4797</v>
      </c>
      <c r="F2522" s="26" t="s">
        <v>4798</v>
      </c>
      <c r="G2522" s="26" t="s">
        <v>26</v>
      </c>
      <c r="H2522" s="26" t="s">
        <v>4799</v>
      </c>
      <c r="I2522" s="26" t="s">
        <v>2812</v>
      </c>
      <c r="J2522" s="46">
        <v>1</v>
      </c>
      <c r="K2522" s="46">
        <v>7</v>
      </c>
      <c r="L2522" s="136"/>
      <c r="M2522" s="137" t="s">
        <v>44</v>
      </c>
      <c r="N2522" s="138"/>
      <c r="O2522" s="138">
        <v>25</v>
      </c>
      <c r="P2522" s="138"/>
      <c r="Q2522" s="138"/>
      <c r="R2522" s="138"/>
      <c r="S2522" s="138"/>
      <c r="T2522" s="138"/>
      <c r="U2522" s="138"/>
    </row>
    <row r="2523" spans="1:21" s="26" customFormat="1" ht="15" customHeight="1" x14ac:dyDescent="0.2">
      <c r="A2523" s="32">
        <v>41700.653356481482</v>
      </c>
      <c r="B2523" s="26" t="s">
        <v>16</v>
      </c>
      <c r="C2523" s="26" t="s">
        <v>406</v>
      </c>
      <c r="D2523" s="33">
        <v>41671</v>
      </c>
      <c r="E2523" s="26" t="s">
        <v>4780</v>
      </c>
      <c r="F2523" s="26" t="s">
        <v>4800</v>
      </c>
      <c r="G2523" s="26" t="s">
        <v>26</v>
      </c>
      <c r="H2523" s="26" t="s">
        <v>4801</v>
      </c>
      <c r="I2523" s="26" t="s">
        <v>3001</v>
      </c>
      <c r="J2523" s="46">
        <v>1</v>
      </c>
      <c r="K2523" s="46">
        <v>4</v>
      </c>
      <c r="L2523" s="136"/>
      <c r="M2523" s="137" t="s">
        <v>44</v>
      </c>
      <c r="N2523" s="138"/>
      <c r="O2523" s="138">
        <v>20</v>
      </c>
      <c r="P2523" s="138"/>
      <c r="Q2523" s="138"/>
      <c r="R2523" s="138"/>
      <c r="S2523" s="138"/>
      <c r="T2523" s="138"/>
      <c r="U2523" s="138"/>
    </row>
    <row r="2524" spans="1:21" s="26" customFormat="1" ht="15" customHeight="1" x14ac:dyDescent="0.2">
      <c r="A2524" s="32">
        <v>41700.65415509259</v>
      </c>
      <c r="B2524" s="26" t="s">
        <v>16</v>
      </c>
      <c r="C2524" s="26" t="s">
        <v>406</v>
      </c>
      <c r="D2524" s="33">
        <v>41671</v>
      </c>
      <c r="E2524" s="26" t="s">
        <v>4384</v>
      </c>
      <c r="F2524" s="26" t="s">
        <v>470</v>
      </c>
      <c r="G2524" s="26" t="s">
        <v>26</v>
      </c>
      <c r="H2524" s="26" t="s">
        <v>4802</v>
      </c>
      <c r="I2524" s="26" t="s">
        <v>3001</v>
      </c>
      <c r="J2524" s="46">
        <v>1</v>
      </c>
      <c r="K2524" s="46">
        <v>3</v>
      </c>
      <c r="L2524" s="136"/>
      <c r="M2524" s="137" t="s">
        <v>44</v>
      </c>
      <c r="N2524" s="138"/>
      <c r="O2524" s="138">
        <v>10</v>
      </c>
      <c r="P2524" s="138"/>
      <c r="Q2524" s="138"/>
      <c r="R2524" s="138"/>
      <c r="S2524" s="138"/>
      <c r="T2524" s="138"/>
      <c r="U2524" s="138"/>
    </row>
    <row r="2525" spans="1:21" s="26" customFormat="1" ht="15" customHeight="1" x14ac:dyDescent="0.2">
      <c r="A2525" s="32">
        <v>41700.655659722222</v>
      </c>
      <c r="B2525" s="26" t="s">
        <v>16</v>
      </c>
      <c r="C2525" s="26" t="s">
        <v>406</v>
      </c>
      <c r="D2525" s="33">
        <v>41671</v>
      </c>
      <c r="E2525" s="26" t="s">
        <v>4789</v>
      </c>
      <c r="F2525" s="26" t="s">
        <v>2466</v>
      </c>
      <c r="G2525" s="26" t="s">
        <v>26</v>
      </c>
      <c r="H2525" s="26" t="s">
        <v>4782</v>
      </c>
      <c r="I2525" s="26" t="s">
        <v>2812</v>
      </c>
      <c r="J2525" s="46">
        <v>1</v>
      </c>
      <c r="K2525" s="46">
        <v>5</v>
      </c>
      <c r="L2525" s="136"/>
      <c r="M2525" s="137" t="s">
        <v>44</v>
      </c>
      <c r="N2525" s="138"/>
      <c r="O2525" s="138">
        <v>25</v>
      </c>
      <c r="P2525" s="138"/>
      <c r="Q2525" s="138"/>
      <c r="R2525" s="138"/>
      <c r="S2525" s="138"/>
      <c r="T2525" s="138"/>
      <c r="U2525" s="138"/>
    </row>
    <row r="2526" spans="1:21" s="26" customFormat="1" ht="15" customHeight="1" x14ac:dyDescent="0.2">
      <c r="A2526" s="32">
        <v>41700.656400462962</v>
      </c>
      <c r="B2526" s="26" t="s">
        <v>16</v>
      </c>
      <c r="C2526" s="26" t="s">
        <v>406</v>
      </c>
      <c r="D2526" s="33">
        <v>41671</v>
      </c>
      <c r="E2526" s="26" t="s">
        <v>4803</v>
      </c>
      <c r="F2526" s="26" t="s">
        <v>4804</v>
      </c>
      <c r="G2526" s="26" t="s">
        <v>26</v>
      </c>
      <c r="H2526" s="26" t="s">
        <v>4805</v>
      </c>
      <c r="I2526" s="26" t="s">
        <v>3001</v>
      </c>
      <c r="J2526" s="46">
        <v>1</v>
      </c>
      <c r="K2526" s="46">
        <v>7</v>
      </c>
      <c r="L2526" s="136"/>
      <c r="M2526" s="137" t="s">
        <v>44</v>
      </c>
      <c r="N2526" s="138"/>
      <c r="O2526" s="138"/>
      <c r="P2526" s="138"/>
      <c r="Q2526" s="138"/>
      <c r="R2526" s="138"/>
      <c r="S2526" s="138"/>
      <c r="T2526" s="138"/>
      <c r="U2526" s="138"/>
    </row>
    <row r="2527" spans="1:21" s="26" customFormat="1" ht="15" customHeight="1" x14ac:dyDescent="0.2">
      <c r="A2527" s="32">
        <v>41700.657106481478</v>
      </c>
      <c r="B2527" s="26" t="s">
        <v>16</v>
      </c>
      <c r="C2527" s="26" t="s">
        <v>406</v>
      </c>
      <c r="D2527" s="33">
        <v>41671</v>
      </c>
      <c r="E2527" s="26" t="s">
        <v>4806</v>
      </c>
      <c r="F2527" s="26" t="s">
        <v>4807</v>
      </c>
      <c r="G2527" s="26" t="s">
        <v>26</v>
      </c>
      <c r="H2527" s="26" t="s">
        <v>4808</v>
      </c>
      <c r="I2527" s="26" t="s">
        <v>3001</v>
      </c>
      <c r="J2527" s="46">
        <v>1</v>
      </c>
      <c r="K2527" s="46">
        <v>2</v>
      </c>
      <c r="L2527" s="136"/>
      <c r="M2527" s="137" t="s">
        <v>22</v>
      </c>
      <c r="N2527" s="138"/>
      <c r="O2527" s="138"/>
      <c r="P2527" s="138"/>
      <c r="Q2527" s="138"/>
      <c r="R2527" s="138"/>
      <c r="S2527" s="138"/>
      <c r="T2527" s="138"/>
      <c r="U2527" s="138"/>
    </row>
    <row r="2528" spans="1:21" s="26" customFormat="1" ht="15" customHeight="1" x14ac:dyDescent="0.2">
      <c r="A2528" s="32">
        <v>41700.660624999997</v>
      </c>
      <c r="B2528" s="26" t="s">
        <v>16</v>
      </c>
      <c r="C2528" s="26" t="s">
        <v>406</v>
      </c>
      <c r="D2528" s="33">
        <v>41671</v>
      </c>
      <c r="E2528" s="26" t="s">
        <v>4778</v>
      </c>
      <c r="F2528" s="26" t="s">
        <v>1644</v>
      </c>
      <c r="G2528" s="26" t="s">
        <v>26</v>
      </c>
      <c r="H2528" s="26" t="s">
        <v>4779</v>
      </c>
      <c r="I2528" s="26" t="s">
        <v>3001</v>
      </c>
      <c r="J2528" s="46">
        <v>1</v>
      </c>
      <c r="K2528" s="46">
        <v>23</v>
      </c>
      <c r="L2528" s="136"/>
      <c r="M2528" s="137" t="s">
        <v>44</v>
      </c>
      <c r="N2528" s="138"/>
      <c r="O2528" s="138">
        <v>40</v>
      </c>
      <c r="P2528" s="138"/>
      <c r="Q2528" s="138"/>
      <c r="R2528" s="138"/>
      <c r="S2528" s="138"/>
      <c r="T2528" s="138"/>
      <c r="U2528" s="138"/>
    </row>
    <row r="2529" spans="1:21" s="26" customFormat="1" ht="15" customHeight="1" x14ac:dyDescent="0.2">
      <c r="A2529" s="32">
        <v>41700.661886574075</v>
      </c>
      <c r="B2529" s="26" t="s">
        <v>16</v>
      </c>
      <c r="C2529" s="26" t="s">
        <v>406</v>
      </c>
      <c r="D2529" s="33">
        <v>41671</v>
      </c>
      <c r="E2529" s="26" t="s">
        <v>4780</v>
      </c>
      <c r="F2529" s="26" t="s">
        <v>429</v>
      </c>
      <c r="G2529" s="26" t="s">
        <v>26</v>
      </c>
      <c r="H2529" s="26" t="s">
        <v>4785</v>
      </c>
      <c r="I2529" s="26" t="s">
        <v>3001</v>
      </c>
      <c r="J2529" s="46">
        <v>1</v>
      </c>
      <c r="K2529" s="46">
        <v>0</v>
      </c>
      <c r="L2529" s="136"/>
      <c r="M2529" s="137" t="s">
        <v>22</v>
      </c>
      <c r="N2529" s="138"/>
      <c r="O2529" s="138"/>
      <c r="P2529" s="138"/>
      <c r="Q2529" s="138"/>
      <c r="R2529" s="138"/>
      <c r="S2529" s="138"/>
      <c r="T2529" s="138"/>
      <c r="U2529" s="138"/>
    </row>
    <row r="2530" spans="1:21" s="26" customFormat="1" ht="15" customHeight="1" x14ac:dyDescent="0.2">
      <c r="A2530" s="32">
        <v>41700.662233796298</v>
      </c>
      <c r="B2530" s="26" t="s">
        <v>16</v>
      </c>
      <c r="C2530" s="26" t="s">
        <v>406</v>
      </c>
      <c r="D2530" s="33">
        <v>41671</v>
      </c>
      <c r="E2530" s="26" t="s">
        <v>4384</v>
      </c>
      <c r="F2530" s="26" t="s">
        <v>470</v>
      </c>
      <c r="G2530" s="26" t="s">
        <v>26</v>
      </c>
      <c r="H2530" s="26" t="s">
        <v>4802</v>
      </c>
      <c r="I2530" s="26" t="s">
        <v>3001</v>
      </c>
      <c r="J2530" s="46">
        <v>1</v>
      </c>
      <c r="K2530" s="46">
        <v>0</v>
      </c>
      <c r="L2530" s="136"/>
      <c r="M2530" s="137" t="s">
        <v>22</v>
      </c>
      <c r="N2530" s="138"/>
      <c r="O2530" s="138"/>
      <c r="P2530" s="138"/>
      <c r="Q2530" s="138"/>
      <c r="R2530" s="138"/>
      <c r="S2530" s="138"/>
      <c r="T2530" s="138"/>
      <c r="U2530" s="138"/>
    </row>
    <row r="2531" spans="1:21" s="26" customFormat="1" ht="15" customHeight="1" x14ac:dyDescent="0.2">
      <c r="A2531" s="32">
        <v>41700.662893518522</v>
      </c>
      <c r="B2531" s="26" t="s">
        <v>16</v>
      </c>
      <c r="C2531" s="26" t="s">
        <v>406</v>
      </c>
      <c r="D2531" s="33">
        <v>41671</v>
      </c>
      <c r="E2531" s="26" t="s">
        <v>4726</v>
      </c>
      <c r="F2531" s="26" t="s">
        <v>2466</v>
      </c>
      <c r="G2531" s="26" t="s">
        <v>26</v>
      </c>
      <c r="H2531" s="26" t="s">
        <v>4782</v>
      </c>
      <c r="I2531" s="26" t="s">
        <v>2812</v>
      </c>
      <c r="J2531" s="46">
        <v>1</v>
      </c>
      <c r="K2531" s="46">
        <v>2</v>
      </c>
      <c r="L2531" s="136"/>
      <c r="M2531" s="137" t="s">
        <v>44</v>
      </c>
      <c r="N2531" s="138"/>
      <c r="O2531" s="138">
        <v>10</v>
      </c>
      <c r="P2531" s="138"/>
      <c r="Q2531" s="138"/>
      <c r="R2531" s="138"/>
      <c r="S2531" s="138"/>
      <c r="T2531" s="138"/>
      <c r="U2531" s="138"/>
    </row>
    <row r="2532" spans="1:21" s="26" customFormat="1" ht="15" customHeight="1" x14ac:dyDescent="0.2">
      <c r="A2532" s="32">
        <v>41700.663657407407</v>
      </c>
      <c r="B2532" s="26" t="s">
        <v>16</v>
      </c>
      <c r="C2532" s="26" t="s">
        <v>406</v>
      </c>
      <c r="D2532" s="33">
        <v>41671</v>
      </c>
      <c r="E2532" s="26" t="s">
        <v>4803</v>
      </c>
      <c r="F2532" s="26" t="s">
        <v>411</v>
      </c>
      <c r="G2532" s="26" t="s">
        <v>26</v>
      </c>
      <c r="H2532" s="26" t="s">
        <v>4809</v>
      </c>
      <c r="I2532" s="26" t="s">
        <v>3001</v>
      </c>
      <c r="J2532" s="46">
        <v>1</v>
      </c>
      <c r="K2532" s="46">
        <v>6</v>
      </c>
      <c r="L2532" s="136"/>
      <c r="M2532" s="137" t="s">
        <v>44</v>
      </c>
      <c r="N2532" s="138"/>
      <c r="O2532" s="138">
        <v>15</v>
      </c>
      <c r="P2532" s="138"/>
      <c r="Q2532" s="138"/>
      <c r="R2532" s="138"/>
      <c r="S2532" s="138"/>
      <c r="T2532" s="138"/>
      <c r="U2532" s="138"/>
    </row>
    <row r="2533" spans="1:21" s="26" customFormat="1" ht="15" customHeight="1" x14ac:dyDescent="0.2">
      <c r="A2533" s="32">
        <v>41700.664444444446</v>
      </c>
      <c r="B2533" s="26" t="s">
        <v>16</v>
      </c>
      <c r="C2533" s="26" t="s">
        <v>406</v>
      </c>
      <c r="D2533" s="33">
        <v>41671</v>
      </c>
      <c r="E2533" s="26" t="s">
        <v>4784</v>
      </c>
      <c r="F2533" s="26" t="s">
        <v>479</v>
      </c>
      <c r="G2533" s="26" t="s">
        <v>26</v>
      </c>
      <c r="H2533" s="26" t="s">
        <v>4810</v>
      </c>
      <c r="I2533" s="26" t="s">
        <v>3001</v>
      </c>
      <c r="J2533" s="46">
        <v>1</v>
      </c>
      <c r="K2533" s="46">
        <v>0</v>
      </c>
      <c r="L2533" s="136"/>
      <c r="M2533" s="137" t="s">
        <v>22</v>
      </c>
      <c r="N2533" s="138"/>
      <c r="O2533" s="138"/>
      <c r="P2533" s="138"/>
      <c r="Q2533" s="138"/>
      <c r="R2533" s="138"/>
      <c r="S2533" s="138"/>
      <c r="T2533" s="138"/>
      <c r="U2533" s="138"/>
    </row>
    <row r="2534" spans="1:21" s="26" customFormat="1" ht="15" customHeight="1" x14ac:dyDescent="0.2">
      <c r="A2534" s="32">
        <v>41703.43178240741</v>
      </c>
      <c r="B2534" s="26" t="s">
        <v>16</v>
      </c>
      <c r="C2534" s="26" t="s">
        <v>406</v>
      </c>
      <c r="D2534" s="33">
        <v>41671</v>
      </c>
      <c r="E2534" s="26" t="s">
        <v>602</v>
      </c>
      <c r="F2534" s="26" t="s">
        <v>2566</v>
      </c>
      <c r="G2534" s="26" t="s">
        <v>26</v>
      </c>
      <c r="H2534" s="26" t="s">
        <v>4890</v>
      </c>
      <c r="I2534" s="26" t="s">
        <v>3001</v>
      </c>
      <c r="J2534" s="46">
        <v>1</v>
      </c>
      <c r="K2534" s="46">
        <v>26</v>
      </c>
      <c r="L2534" s="136">
        <v>241</v>
      </c>
      <c r="M2534" s="137" t="s">
        <v>22</v>
      </c>
      <c r="N2534" s="138"/>
      <c r="O2534" s="138"/>
      <c r="P2534" s="138"/>
      <c r="Q2534" s="138"/>
      <c r="R2534" s="138"/>
      <c r="S2534" s="138"/>
      <c r="T2534" s="138"/>
      <c r="U2534" s="138"/>
    </row>
    <row r="2535" spans="1:21" s="26" customFormat="1" ht="15" customHeight="1" x14ac:dyDescent="0.2">
      <c r="A2535" s="32">
        <v>41705.725185185183</v>
      </c>
      <c r="B2535" s="26" t="s">
        <v>16</v>
      </c>
      <c r="C2535" s="26" t="s">
        <v>406</v>
      </c>
      <c r="D2535" s="33">
        <v>41640</v>
      </c>
      <c r="E2535" s="26" t="s">
        <v>1863</v>
      </c>
      <c r="F2535" s="26" t="s">
        <v>5031</v>
      </c>
      <c r="G2535" s="26" t="s">
        <v>42</v>
      </c>
      <c r="H2535" s="26" t="s">
        <v>5032</v>
      </c>
      <c r="I2535" s="26" t="s">
        <v>3001</v>
      </c>
      <c r="J2535" s="46">
        <v>1</v>
      </c>
      <c r="K2535" s="46">
        <v>10</v>
      </c>
      <c r="L2535" s="136">
        <v>20</v>
      </c>
      <c r="M2535" s="137" t="s">
        <v>44</v>
      </c>
      <c r="N2535" s="138"/>
      <c r="O2535" s="138">
        <v>25</v>
      </c>
      <c r="P2535" s="138"/>
      <c r="Q2535" s="138"/>
      <c r="R2535" s="138"/>
      <c r="S2535" s="138"/>
      <c r="T2535" s="138"/>
      <c r="U2535" s="138"/>
    </row>
    <row r="2536" spans="1:21" s="26" customFormat="1" ht="15" customHeight="1" x14ac:dyDescent="0.2">
      <c r="A2536" s="32">
        <v>41705.726134259261</v>
      </c>
      <c r="B2536" s="26" t="s">
        <v>16</v>
      </c>
      <c r="C2536" s="26" t="s">
        <v>406</v>
      </c>
      <c r="D2536" s="33">
        <v>41640</v>
      </c>
      <c r="E2536" s="26" t="s">
        <v>5033</v>
      </c>
      <c r="F2536" s="26" t="s">
        <v>5034</v>
      </c>
      <c r="G2536" s="26" t="s">
        <v>20</v>
      </c>
      <c r="H2536" s="26" t="s">
        <v>4737</v>
      </c>
      <c r="I2536" s="26" t="s">
        <v>3001</v>
      </c>
      <c r="J2536" s="46">
        <v>2</v>
      </c>
      <c r="K2536" s="46">
        <v>25</v>
      </c>
      <c r="L2536" s="136">
        <v>100</v>
      </c>
      <c r="M2536" s="137" t="s">
        <v>22</v>
      </c>
      <c r="N2536" s="138"/>
      <c r="O2536" s="138"/>
      <c r="P2536" s="138"/>
      <c r="Q2536" s="138"/>
      <c r="R2536" s="138"/>
      <c r="S2536" s="138"/>
      <c r="T2536" s="138"/>
      <c r="U2536" s="138"/>
    </row>
    <row r="2537" spans="1:21" s="26" customFormat="1" ht="15" customHeight="1" x14ac:dyDescent="0.2">
      <c r="A2537" s="32">
        <v>41730.644918981481</v>
      </c>
      <c r="B2537" s="26" t="s">
        <v>16</v>
      </c>
      <c r="C2537" s="26" t="s">
        <v>406</v>
      </c>
      <c r="D2537" s="33">
        <v>41699</v>
      </c>
      <c r="E2537" s="26" t="s">
        <v>428</v>
      </c>
      <c r="F2537" s="26" t="s">
        <v>423</v>
      </c>
      <c r="G2537" s="26" t="s">
        <v>26</v>
      </c>
      <c r="H2537" s="26" t="s">
        <v>424</v>
      </c>
      <c r="I2537" s="26" t="s">
        <v>3001</v>
      </c>
      <c r="J2537" s="46">
        <v>1</v>
      </c>
      <c r="K2537" s="46">
        <v>2</v>
      </c>
      <c r="L2537" s="136"/>
      <c r="M2537" s="137" t="s">
        <v>44</v>
      </c>
      <c r="N2537" s="138"/>
      <c r="O2537" s="138">
        <v>10</v>
      </c>
      <c r="P2537" s="138"/>
      <c r="Q2537" s="138"/>
      <c r="R2537" s="138"/>
      <c r="S2537" s="138"/>
      <c r="T2537" s="138"/>
      <c r="U2537" s="138"/>
    </row>
    <row r="2538" spans="1:21" s="26" customFormat="1" ht="15" customHeight="1" x14ac:dyDescent="0.2">
      <c r="A2538" s="32">
        <v>41730.64638888889</v>
      </c>
      <c r="B2538" s="26" t="s">
        <v>16</v>
      </c>
      <c r="C2538" s="26" t="s">
        <v>406</v>
      </c>
      <c r="D2538" s="33">
        <v>41699</v>
      </c>
      <c r="E2538" s="26" t="s">
        <v>5469</v>
      </c>
      <c r="F2538" s="26" t="s">
        <v>435</v>
      </c>
      <c r="G2538" s="26" t="s">
        <v>26</v>
      </c>
      <c r="H2538" s="26" t="s">
        <v>5470</v>
      </c>
      <c r="I2538" s="26" t="s">
        <v>3001</v>
      </c>
      <c r="J2538" s="46">
        <v>1</v>
      </c>
      <c r="K2538" s="46">
        <v>14</v>
      </c>
      <c r="L2538" s="136"/>
      <c r="M2538" s="137" t="s">
        <v>44</v>
      </c>
      <c r="N2538" s="138"/>
      <c r="O2538" s="138">
        <v>35</v>
      </c>
      <c r="P2538" s="138"/>
      <c r="Q2538" s="138"/>
      <c r="R2538" s="138"/>
      <c r="S2538" s="138"/>
      <c r="T2538" s="138"/>
      <c r="U2538" s="138"/>
    </row>
    <row r="2539" spans="1:21" s="26" customFormat="1" ht="15" customHeight="1" x14ac:dyDescent="0.2">
      <c r="A2539" s="32">
        <v>41730.649768518517</v>
      </c>
      <c r="B2539" s="26" t="s">
        <v>16</v>
      </c>
      <c r="C2539" s="26" t="s">
        <v>406</v>
      </c>
      <c r="D2539" s="33">
        <v>41699</v>
      </c>
      <c r="E2539" s="26" t="s">
        <v>5471</v>
      </c>
      <c r="F2539" s="26" t="s">
        <v>2456</v>
      </c>
      <c r="G2539" s="26" t="s">
        <v>26</v>
      </c>
      <c r="H2539" s="26" t="s">
        <v>5472</v>
      </c>
      <c r="I2539" s="26" t="s">
        <v>2812</v>
      </c>
      <c r="J2539" s="46">
        <v>1</v>
      </c>
      <c r="K2539" s="46">
        <v>1</v>
      </c>
      <c r="L2539" s="136"/>
      <c r="M2539" s="137" t="s">
        <v>22</v>
      </c>
      <c r="N2539" s="138"/>
      <c r="O2539" s="138"/>
      <c r="P2539" s="138"/>
      <c r="Q2539" s="138"/>
      <c r="R2539" s="138"/>
      <c r="S2539" s="138"/>
      <c r="T2539" s="138"/>
      <c r="U2539" s="138"/>
    </row>
    <row r="2540" spans="1:21" s="26" customFormat="1" ht="15" customHeight="1" x14ac:dyDescent="0.2">
      <c r="A2540" s="32">
        <v>41730.650833333333</v>
      </c>
      <c r="B2540" s="26" t="s">
        <v>16</v>
      </c>
      <c r="C2540" s="26" t="s">
        <v>406</v>
      </c>
      <c r="D2540" s="33">
        <v>41699</v>
      </c>
      <c r="E2540" s="26" t="s">
        <v>5473</v>
      </c>
      <c r="F2540" s="26" t="s">
        <v>429</v>
      </c>
      <c r="G2540" s="26" t="s">
        <v>26</v>
      </c>
      <c r="H2540" s="26" t="s">
        <v>5474</v>
      </c>
      <c r="I2540" s="26" t="s">
        <v>3001</v>
      </c>
      <c r="J2540" s="46">
        <v>1</v>
      </c>
      <c r="K2540" s="46">
        <v>0</v>
      </c>
      <c r="L2540" s="136"/>
      <c r="M2540" s="137" t="s">
        <v>22</v>
      </c>
      <c r="N2540" s="138"/>
      <c r="O2540" s="138"/>
      <c r="P2540" s="138"/>
      <c r="Q2540" s="138"/>
      <c r="R2540" s="138"/>
      <c r="S2540" s="138"/>
      <c r="T2540" s="138"/>
      <c r="U2540" s="138"/>
    </row>
    <row r="2541" spans="1:21" s="26" customFormat="1" ht="15" customHeight="1" x14ac:dyDescent="0.2">
      <c r="A2541" s="32">
        <v>41730.652280092596</v>
      </c>
      <c r="B2541" s="26" t="s">
        <v>16</v>
      </c>
      <c r="C2541" s="26" t="s">
        <v>406</v>
      </c>
      <c r="D2541" s="33">
        <v>41699</v>
      </c>
      <c r="E2541" s="26" t="s">
        <v>5475</v>
      </c>
      <c r="F2541" s="26" t="s">
        <v>2466</v>
      </c>
      <c r="G2541" s="26" t="s">
        <v>26</v>
      </c>
      <c r="H2541" s="26" t="s">
        <v>5476</v>
      </c>
      <c r="I2541" s="26" t="s">
        <v>2812</v>
      </c>
      <c r="J2541" s="46">
        <v>1</v>
      </c>
      <c r="K2541" s="46">
        <v>6</v>
      </c>
      <c r="L2541" s="136"/>
      <c r="M2541" s="137" t="s">
        <v>44</v>
      </c>
      <c r="N2541" s="138"/>
      <c r="O2541" s="138">
        <v>15</v>
      </c>
      <c r="P2541" s="138"/>
      <c r="Q2541" s="138"/>
      <c r="R2541" s="138"/>
      <c r="S2541" s="138"/>
      <c r="T2541" s="138"/>
      <c r="U2541" s="138"/>
    </row>
    <row r="2542" spans="1:21" s="26" customFormat="1" ht="15" customHeight="1" x14ac:dyDescent="0.2">
      <c r="A2542" s="32">
        <v>41730.653217592589</v>
      </c>
      <c r="B2542" s="26" t="s">
        <v>16</v>
      </c>
      <c r="C2542" s="26" t="s">
        <v>406</v>
      </c>
      <c r="D2542" s="33">
        <v>41699</v>
      </c>
      <c r="E2542" s="26" t="s">
        <v>5477</v>
      </c>
      <c r="F2542" s="26" t="s">
        <v>4340</v>
      </c>
      <c r="G2542" s="26" t="s">
        <v>26</v>
      </c>
      <c r="H2542" s="26" t="s">
        <v>5478</v>
      </c>
      <c r="I2542" s="26" t="s">
        <v>3001</v>
      </c>
      <c r="J2542" s="46">
        <v>1</v>
      </c>
      <c r="K2542" s="46">
        <v>0</v>
      </c>
      <c r="L2542" s="136"/>
      <c r="M2542" s="137" t="s">
        <v>22</v>
      </c>
      <c r="N2542" s="138"/>
      <c r="O2542" s="138"/>
      <c r="P2542" s="138"/>
      <c r="Q2542" s="138"/>
      <c r="R2542" s="138"/>
      <c r="S2542" s="138"/>
      <c r="T2542" s="138"/>
      <c r="U2542" s="138"/>
    </row>
    <row r="2543" spans="1:21" s="26" customFormat="1" ht="15" customHeight="1" x14ac:dyDescent="0.2">
      <c r="A2543" s="32">
        <v>41730.654305555552</v>
      </c>
      <c r="B2543" s="26" t="s">
        <v>16</v>
      </c>
      <c r="C2543" s="26" t="s">
        <v>406</v>
      </c>
      <c r="D2543" s="33">
        <v>41699</v>
      </c>
      <c r="E2543" s="26" t="s">
        <v>5479</v>
      </c>
      <c r="F2543" s="26" t="s">
        <v>373</v>
      </c>
      <c r="G2543" s="26" t="s">
        <v>26</v>
      </c>
      <c r="H2543" s="26" t="s">
        <v>5480</v>
      </c>
      <c r="I2543" s="26" t="s">
        <v>3001</v>
      </c>
      <c r="J2543" s="46">
        <v>1</v>
      </c>
      <c r="K2543" s="46">
        <v>2</v>
      </c>
      <c r="L2543" s="136"/>
      <c r="M2543" s="137" t="s">
        <v>22</v>
      </c>
      <c r="N2543" s="138"/>
      <c r="O2543" s="138"/>
      <c r="P2543" s="138"/>
      <c r="Q2543" s="138"/>
      <c r="R2543" s="138"/>
      <c r="S2543" s="138"/>
      <c r="T2543" s="138"/>
      <c r="U2543" s="138"/>
    </row>
    <row r="2544" spans="1:21" s="26" customFormat="1" ht="15" customHeight="1" x14ac:dyDescent="0.2">
      <c r="A2544" s="32">
        <v>41730.655324074076</v>
      </c>
      <c r="B2544" s="26" t="s">
        <v>16</v>
      </c>
      <c r="C2544" s="26" t="s">
        <v>406</v>
      </c>
      <c r="D2544" s="33">
        <v>41699</v>
      </c>
      <c r="E2544" s="26" t="s">
        <v>5481</v>
      </c>
      <c r="F2544" s="26" t="s">
        <v>1639</v>
      </c>
      <c r="G2544" s="26" t="s">
        <v>26</v>
      </c>
      <c r="H2544" s="26" t="s">
        <v>5482</v>
      </c>
      <c r="I2544" s="26" t="s">
        <v>3001</v>
      </c>
      <c r="J2544" s="46">
        <v>1</v>
      </c>
      <c r="K2544" s="46">
        <v>3</v>
      </c>
      <c r="L2544" s="136"/>
      <c r="M2544" s="137" t="s">
        <v>44</v>
      </c>
      <c r="N2544" s="138"/>
      <c r="O2544" s="138">
        <v>10</v>
      </c>
      <c r="P2544" s="138"/>
      <c r="Q2544" s="138"/>
      <c r="R2544" s="138"/>
      <c r="S2544" s="138"/>
      <c r="T2544" s="138"/>
      <c r="U2544" s="138"/>
    </row>
    <row r="2545" spans="1:21" s="26" customFormat="1" ht="15" customHeight="1" x14ac:dyDescent="0.2">
      <c r="A2545" s="32">
        <v>41730.658541666664</v>
      </c>
      <c r="B2545" s="26" t="s">
        <v>16</v>
      </c>
      <c r="C2545" s="26" t="s">
        <v>406</v>
      </c>
      <c r="D2545" s="33">
        <v>41699</v>
      </c>
      <c r="E2545" s="26" t="s">
        <v>5483</v>
      </c>
      <c r="F2545" s="26" t="s">
        <v>5484</v>
      </c>
      <c r="G2545" s="26" t="s">
        <v>26</v>
      </c>
      <c r="H2545" s="26" t="s">
        <v>5485</v>
      </c>
      <c r="I2545" s="26" t="s">
        <v>2812</v>
      </c>
      <c r="J2545" s="46">
        <v>1</v>
      </c>
      <c r="K2545" s="46">
        <v>3</v>
      </c>
      <c r="L2545" s="136"/>
      <c r="M2545" s="137" t="s">
        <v>22</v>
      </c>
      <c r="N2545" s="138"/>
      <c r="O2545" s="138"/>
      <c r="P2545" s="138"/>
      <c r="Q2545" s="138"/>
      <c r="R2545" s="138"/>
      <c r="S2545" s="138"/>
      <c r="T2545" s="138"/>
      <c r="U2545" s="138"/>
    </row>
    <row r="2546" spans="1:21" s="26" customFormat="1" ht="15" customHeight="1" x14ac:dyDescent="0.2">
      <c r="A2546" s="32">
        <v>41730.673819444448</v>
      </c>
      <c r="B2546" s="26" t="s">
        <v>16</v>
      </c>
      <c r="C2546" s="26" t="s">
        <v>406</v>
      </c>
      <c r="D2546" s="33">
        <v>41699</v>
      </c>
      <c r="E2546" s="26" t="s">
        <v>5489</v>
      </c>
      <c r="F2546" s="26" t="s">
        <v>414</v>
      </c>
      <c r="G2546" s="26" t="s">
        <v>26</v>
      </c>
      <c r="H2546" s="26" t="s">
        <v>5490</v>
      </c>
      <c r="I2546" s="26" t="s">
        <v>3001</v>
      </c>
      <c r="J2546" s="46">
        <v>1</v>
      </c>
      <c r="K2546" s="46">
        <v>0</v>
      </c>
      <c r="L2546" s="136"/>
      <c r="M2546" s="137" t="s">
        <v>22</v>
      </c>
      <c r="N2546" s="138"/>
      <c r="O2546" s="138"/>
      <c r="P2546" s="138"/>
      <c r="Q2546" s="138"/>
      <c r="R2546" s="138"/>
      <c r="S2546" s="138"/>
      <c r="T2546" s="138"/>
      <c r="U2546" s="138"/>
    </row>
    <row r="2547" spans="1:21" s="26" customFormat="1" ht="15" customHeight="1" x14ac:dyDescent="0.2">
      <c r="A2547" s="32">
        <v>41730.676759259259</v>
      </c>
      <c r="B2547" s="26" t="s">
        <v>16</v>
      </c>
      <c r="C2547" s="26" t="s">
        <v>406</v>
      </c>
      <c r="D2547" s="33">
        <v>41699</v>
      </c>
      <c r="E2547" s="26" t="s">
        <v>5477</v>
      </c>
      <c r="F2547" s="26" t="s">
        <v>408</v>
      </c>
      <c r="G2547" s="26" t="s">
        <v>26</v>
      </c>
      <c r="H2547" s="26" t="s">
        <v>5491</v>
      </c>
      <c r="I2547" s="26" t="s">
        <v>3001</v>
      </c>
      <c r="J2547" s="46">
        <v>1</v>
      </c>
      <c r="K2547" s="46">
        <v>4</v>
      </c>
      <c r="L2547" s="136"/>
      <c r="M2547" s="137" t="s">
        <v>44</v>
      </c>
      <c r="N2547" s="138"/>
      <c r="O2547" s="138">
        <v>20</v>
      </c>
      <c r="P2547" s="138"/>
      <c r="Q2547" s="138"/>
      <c r="R2547" s="138"/>
      <c r="S2547" s="138"/>
      <c r="T2547" s="138"/>
      <c r="U2547" s="138"/>
    </row>
    <row r="2548" spans="1:21" s="26" customFormat="1" ht="15" customHeight="1" x14ac:dyDescent="0.2">
      <c r="A2548" s="32">
        <v>41730.678576388891</v>
      </c>
      <c r="B2548" s="26" t="s">
        <v>16</v>
      </c>
      <c r="C2548" s="26" t="s">
        <v>406</v>
      </c>
      <c r="D2548" s="33">
        <v>41699</v>
      </c>
      <c r="E2548" s="26" t="s">
        <v>5492</v>
      </c>
      <c r="F2548" s="26" t="s">
        <v>2456</v>
      </c>
      <c r="G2548" s="26" t="s">
        <v>26</v>
      </c>
      <c r="H2548" s="26" t="s">
        <v>5472</v>
      </c>
      <c r="I2548" s="26" t="s">
        <v>2812</v>
      </c>
      <c r="J2548" s="46">
        <v>1</v>
      </c>
      <c r="K2548" s="46">
        <v>2</v>
      </c>
      <c r="L2548" s="136"/>
      <c r="M2548" s="137" t="s">
        <v>44</v>
      </c>
      <c r="N2548" s="138"/>
      <c r="O2548" s="138">
        <v>10</v>
      </c>
      <c r="P2548" s="138"/>
      <c r="Q2548" s="138"/>
      <c r="R2548" s="138"/>
      <c r="S2548" s="138"/>
      <c r="T2548" s="138"/>
      <c r="U2548" s="138"/>
    </row>
    <row r="2549" spans="1:21" s="26" customFormat="1" ht="15" customHeight="1" x14ac:dyDescent="0.2">
      <c r="A2549" s="32">
        <v>41730.679594907408</v>
      </c>
      <c r="B2549" s="26" t="s">
        <v>16</v>
      </c>
      <c r="C2549" s="26" t="s">
        <v>406</v>
      </c>
      <c r="D2549" s="33">
        <v>41699</v>
      </c>
      <c r="E2549" s="26" t="s">
        <v>5493</v>
      </c>
      <c r="F2549" s="26" t="s">
        <v>299</v>
      </c>
      <c r="G2549" s="26" t="s">
        <v>26</v>
      </c>
      <c r="H2549" s="26" t="s">
        <v>5494</v>
      </c>
      <c r="I2549" s="26" t="s">
        <v>2812</v>
      </c>
      <c r="J2549" s="46">
        <v>1</v>
      </c>
      <c r="K2549" s="46">
        <v>0</v>
      </c>
      <c r="L2549" s="136"/>
      <c r="M2549" s="137" t="s">
        <v>22</v>
      </c>
      <c r="N2549" s="138"/>
      <c r="O2549" s="138"/>
      <c r="P2549" s="138"/>
      <c r="Q2549" s="138"/>
      <c r="R2549" s="138"/>
      <c r="S2549" s="138"/>
      <c r="T2549" s="138"/>
      <c r="U2549" s="138"/>
    </row>
    <row r="2550" spans="1:21" s="26" customFormat="1" ht="15" customHeight="1" x14ac:dyDescent="0.2">
      <c r="A2550" s="32">
        <v>41730.680289351854</v>
      </c>
      <c r="B2550" s="26" t="s">
        <v>16</v>
      </c>
      <c r="C2550" s="26" t="s">
        <v>406</v>
      </c>
      <c r="D2550" s="33">
        <v>41699</v>
      </c>
      <c r="E2550" s="26" t="s">
        <v>5495</v>
      </c>
      <c r="F2550" s="26" t="s">
        <v>411</v>
      </c>
      <c r="G2550" s="26" t="s">
        <v>26</v>
      </c>
      <c r="H2550" s="26" t="s">
        <v>5496</v>
      </c>
      <c r="I2550" s="26" t="s">
        <v>3001</v>
      </c>
      <c r="J2550" s="46">
        <v>1</v>
      </c>
      <c r="K2550" s="46">
        <v>3</v>
      </c>
      <c r="L2550" s="136"/>
      <c r="M2550" s="137" t="s">
        <v>44</v>
      </c>
      <c r="N2550" s="138"/>
      <c r="O2550" s="138">
        <v>15</v>
      </c>
      <c r="P2550" s="138"/>
      <c r="Q2550" s="138"/>
      <c r="R2550" s="138"/>
      <c r="S2550" s="138"/>
      <c r="T2550" s="138"/>
      <c r="U2550" s="138"/>
    </row>
    <row r="2551" spans="1:21" s="26" customFormat="1" ht="15" customHeight="1" x14ac:dyDescent="0.2">
      <c r="A2551" s="32">
        <v>41730.681157407409</v>
      </c>
      <c r="B2551" s="26" t="s">
        <v>16</v>
      </c>
      <c r="C2551" s="26" t="s">
        <v>406</v>
      </c>
      <c r="D2551" s="33">
        <v>41699</v>
      </c>
      <c r="E2551" s="26" t="s">
        <v>5489</v>
      </c>
      <c r="F2551" s="26" t="s">
        <v>447</v>
      </c>
      <c r="G2551" s="26" t="s">
        <v>26</v>
      </c>
      <c r="H2551" s="26" t="s">
        <v>5497</v>
      </c>
      <c r="I2551" s="26" t="s">
        <v>3001</v>
      </c>
      <c r="J2551" s="46">
        <v>1</v>
      </c>
      <c r="K2551" s="46">
        <v>11</v>
      </c>
      <c r="L2551" s="136"/>
      <c r="M2551" s="137" t="s">
        <v>44</v>
      </c>
      <c r="N2551" s="138"/>
      <c r="O2551" s="138">
        <v>40</v>
      </c>
      <c r="P2551" s="138"/>
      <c r="Q2551" s="138"/>
      <c r="R2551" s="138"/>
      <c r="S2551" s="138"/>
      <c r="T2551" s="138"/>
      <c r="U2551" s="138"/>
    </row>
    <row r="2552" spans="1:21" s="26" customFormat="1" ht="15" customHeight="1" x14ac:dyDescent="0.2">
      <c r="A2552" s="32">
        <v>41730.682256944441</v>
      </c>
      <c r="B2552" s="26" t="s">
        <v>16</v>
      </c>
      <c r="C2552" s="26" t="s">
        <v>406</v>
      </c>
      <c r="D2552" s="33">
        <v>41699</v>
      </c>
      <c r="E2552" s="26" t="s">
        <v>5475</v>
      </c>
      <c r="F2552" s="26" t="s">
        <v>2466</v>
      </c>
      <c r="G2552" s="26" t="s">
        <v>26</v>
      </c>
      <c r="H2552" s="26" t="s">
        <v>5498</v>
      </c>
      <c r="I2552" s="26" t="s">
        <v>2812</v>
      </c>
      <c r="J2552" s="46">
        <v>1</v>
      </c>
      <c r="K2552" s="46">
        <v>14</v>
      </c>
      <c r="L2552" s="136"/>
      <c r="M2552" s="137" t="s">
        <v>44</v>
      </c>
      <c r="N2552" s="138"/>
      <c r="O2552" s="138">
        <v>35</v>
      </c>
      <c r="P2552" s="138"/>
      <c r="Q2552" s="138"/>
      <c r="R2552" s="138"/>
      <c r="S2552" s="138"/>
      <c r="T2552" s="138"/>
      <c r="U2552" s="138"/>
    </row>
    <row r="2553" spans="1:21" s="26" customFormat="1" ht="15" customHeight="1" x14ac:dyDescent="0.2">
      <c r="A2553" s="32">
        <v>41730.683206018519</v>
      </c>
      <c r="B2553" s="26" t="s">
        <v>16</v>
      </c>
      <c r="C2553" s="26" t="s">
        <v>406</v>
      </c>
      <c r="D2553" s="33">
        <v>41699</v>
      </c>
      <c r="E2553" s="26" t="s">
        <v>5477</v>
      </c>
      <c r="F2553" s="26" t="s">
        <v>113</v>
      </c>
      <c r="G2553" s="26" t="s">
        <v>26</v>
      </c>
      <c r="H2553" s="26" t="s">
        <v>5499</v>
      </c>
      <c r="I2553" s="26" t="s">
        <v>3001</v>
      </c>
      <c r="J2553" s="46">
        <v>1</v>
      </c>
      <c r="K2553" s="46">
        <v>4</v>
      </c>
      <c r="L2553" s="136"/>
      <c r="M2553" s="137" t="s">
        <v>44</v>
      </c>
      <c r="N2553" s="138"/>
      <c r="O2553" s="138">
        <v>20</v>
      </c>
      <c r="P2553" s="138"/>
      <c r="Q2553" s="138"/>
      <c r="R2553" s="138"/>
      <c r="S2553" s="138"/>
      <c r="T2553" s="138"/>
      <c r="U2553" s="138"/>
    </row>
    <row r="2554" spans="1:21" s="26" customFormat="1" ht="15" customHeight="1" x14ac:dyDescent="0.2">
      <c r="A2554" s="32">
        <v>41730.683969907404</v>
      </c>
      <c r="B2554" s="26" t="s">
        <v>16</v>
      </c>
      <c r="C2554" s="26" t="s">
        <v>406</v>
      </c>
      <c r="D2554" s="33">
        <v>41699</v>
      </c>
      <c r="E2554" s="26" t="s">
        <v>5500</v>
      </c>
      <c r="F2554" s="26" t="s">
        <v>373</v>
      </c>
      <c r="G2554" s="26" t="s">
        <v>26</v>
      </c>
      <c r="H2554" s="26" t="s">
        <v>5480</v>
      </c>
      <c r="I2554" s="26" t="s">
        <v>3001</v>
      </c>
      <c r="J2554" s="46">
        <v>1</v>
      </c>
      <c r="K2554" s="46">
        <v>12</v>
      </c>
      <c r="L2554" s="136"/>
      <c r="M2554" s="137" t="s">
        <v>22</v>
      </c>
      <c r="N2554" s="138"/>
      <c r="O2554" s="138"/>
      <c r="P2554" s="138"/>
      <c r="Q2554" s="138"/>
      <c r="R2554" s="138"/>
      <c r="S2554" s="138"/>
      <c r="T2554" s="138"/>
      <c r="U2554" s="138"/>
    </row>
    <row r="2555" spans="1:21" s="26" customFormat="1" ht="15" customHeight="1" x14ac:dyDescent="0.2">
      <c r="A2555" s="32">
        <v>41730.685150462959</v>
      </c>
      <c r="B2555" s="26" t="s">
        <v>16</v>
      </c>
      <c r="C2555" s="26" t="s">
        <v>406</v>
      </c>
      <c r="D2555" s="33">
        <v>41699</v>
      </c>
      <c r="E2555" s="26" t="s">
        <v>5493</v>
      </c>
      <c r="F2555" s="26" t="s">
        <v>423</v>
      </c>
      <c r="G2555" s="26" t="s">
        <v>26</v>
      </c>
      <c r="H2555" s="26" t="s">
        <v>5501</v>
      </c>
      <c r="I2555" s="26" t="s">
        <v>3001</v>
      </c>
      <c r="J2555" s="46">
        <v>1</v>
      </c>
      <c r="K2555" s="46">
        <v>4</v>
      </c>
      <c r="L2555" s="136"/>
      <c r="M2555" s="137" t="s">
        <v>44</v>
      </c>
      <c r="N2555" s="138"/>
      <c r="O2555" s="138">
        <v>10</v>
      </c>
      <c r="P2555" s="138"/>
      <c r="Q2555" s="138"/>
      <c r="R2555" s="138"/>
      <c r="S2555" s="138"/>
      <c r="T2555" s="138"/>
      <c r="U2555" s="138"/>
    </row>
    <row r="2556" spans="1:21" s="26" customFormat="1" ht="15" customHeight="1" x14ac:dyDescent="0.2">
      <c r="A2556" s="32">
        <v>41730.685833333337</v>
      </c>
      <c r="B2556" s="26" t="s">
        <v>16</v>
      </c>
      <c r="C2556" s="26" t="s">
        <v>406</v>
      </c>
      <c r="D2556" s="33">
        <v>41699</v>
      </c>
      <c r="E2556" s="26" t="s">
        <v>5481</v>
      </c>
      <c r="F2556" s="26" t="s">
        <v>414</v>
      </c>
      <c r="G2556" s="26" t="s">
        <v>26</v>
      </c>
      <c r="H2556" s="26" t="s">
        <v>5490</v>
      </c>
      <c r="I2556" s="26" t="s">
        <v>3001</v>
      </c>
      <c r="J2556" s="46">
        <v>1</v>
      </c>
      <c r="K2556" s="46">
        <v>0</v>
      </c>
      <c r="L2556" s="136"/>
      <c r="M2556" s="137" t="s">
        <v>22</v>
      </c>
      <c r="N2556" s="138"/>
      <c r="O2556" s="138"/>
      <c r="P2556" s="138"/>
      <c r="Q2556" s="138"/>
      <c r="R2556" s="138"/>
      <c r="S2556" s="138"/>
      <c r="T2556" s="138"/>
      <c r="U2556" s="138"/>
    </row>
    <row r="2557" spans="1:21" s="26" customFormat="1" ht="15" customHeight="1" x14ac:dyDescent="0.2">
      <c r="A2557" s="32">
        <v>41730.687094907407</v>
      </c>
      <c r="B2557" s="26" t="s">
        <v>16</v>
      </c>
      <c r="C2557" s="26" t="s">
        <v>406</v>
      </c>
      <c r="D2557" s="33">
        <v>41699</v>
      </c>
      <c r="E2557" s="26" t="s">
        <v>3614</v>
      </c>
      <c r="F2557" s="26" t="s">
        <v>2456</v>
      </c>
      <c r="G2557" s="26" t="s">
        <v>26</v>
      </c>
      <c r="H2557" s="26" t="s">
        <v>5472</v>
      </c>
      <c r="I2557" s="26" t="s">
        <v>2812</v>
      </c>
      <c r="J2557" s="46">
        <v>1</v>
      </c>
      <c r="K2557" s="46">
        <v>1</v>
      </c>
      <c r="L2557" s="136"/>
      <c r="M2557" s="137" t="s">
        <v>44</v>
      </c>
      <c r="N2557" s="138"/>
      <c r="O2557" s="138">
        <v>5</v>
      </c>
      <c r="P2557" s="138"/>
      <c r="Q2557" s="138"/>
      <c r="R2557" s="138"/>
      <c r="S2557" s="138"/>
      <c r="T2557" s="138"/>
      <c r="U2557" s="138"/>
    </row>
    <row r="2558" spans="1:21" s="26" customFormat="1" ht="15" customHeight="1" x14ac:dyDescent="0.2">
      <c r="A2558" s="32">
        <v>41730.688587962963</v>
      </c>
      <c r="B2558" s="26" t="s">
        <v>16</v>
      </c>
      <c r="C2558" s="26" t="s">
        <v>406</v>
      </c>
      <c r="D2558" s="33">
        <v>41699</v>
      </c>
      <c r="E2558" s="26" t="s">
        <v>5469</v>
      </c>
      <c r="F2558" s="26" t="s">
        <v>435</v>
      </c>
      <c r="G2558" s="26" t="s">
        <v>26</v>
      </c>
      <c r="H2558" s="26" t="s">
        <v>5502</v>
      </c>
      <c r="I2558" s="26" t="s">
        <v>3001</v>
      </c>
      <c r="J2558" s="46">
        <v>1</v>
      </c>
      <c r="K2558" s="46">
        <v>12</v>
      </c>
      <c r="L2558" s="136"/>
      <c r="M2558" s="137" t="s">
        <v>44</v>
      </c>
      <c r="N2558" s="138"/>
      <c r="O2558" s="138">
        <v>60</v>
      </c>
      <c r="P2558" s="138"/>
      <c r="Q2558" s="138"/>
      <c r="R2558" s="138"/>
      <c r="S2558" s="138"/>
      <c r="T2558" s="138"/>
      <c r="U2558" s="138"/>
    </row>
    <row r="2559" spans="1:21" s="26" customFormat="1" ht="15" customHeight="1" x14ac:dyDescent="0.2">
      <c r="A2559" s="32">
        <v>41730.714201388888</v>
      </c>
      <c r="B2559" s="26" t="s">
        <v>16</v>
      </c>
      <c r="C2559" s="26" t="s">
        <v>406</v>
      </c>
      <c r="D2559" s="33">
        <v>41699</v>
      </c>
      <c r="E2559" s="26" t="s">
        <v>5503</v>
      </c>
      <c r="F2559" s="26" t="s">
        <v>426</v>
      </c>
      <c r="G2559" s="26" t="s">
        <v>26</v>
      </c>
      <c r="H2559" s="26" t="s">
        <v>5504</v>
      </c>
      <c r="I2559" s="26" t="s">
        <v>3001</v>
      </c>
      <c r="J2559" s="46">
        <v>1</v>
      </c>
      <c r="K2559" s="46">
        <v>7</v>
      </c>
      <c r="L2559" s="136"/>
      <c r="M2559" s="137" t="s">
        <v>44</v>
      </c>
      <c r="N2559" s="138"/>
      <c r="O2559" s="138">
        <v>35</v>
      </c>
      <c r="P2559" s="138"/>
      <c r="Q2559" s="138"/>
      <c r="R2559" s="138"/>
      <c r="S2559" s="138"/>
      <c r="T2559" s="138"/>
      <c r="U2559" s="138"/>
    </row>
    <row r="2560" spans="1:21" s="26" customFormat="1" ht="15" customHeight="1" x14ac:dyDescent="0.2">
      <c r="A2560" s="32">
        <v>41730.715844907405</v>
      </c>
      <c r="B2560" s="26" t="s">
        <v>16</v>
      </c>
      <c r="C2560" s="26" t="s">
        <v>406</v>
      </c>
      <c r="D2560" s="33">
        <v>41699</v>
      </c>
      <c r="E2560" s="26" t="s">
        <v>3852</v>
      </c>
      <c r="F2560" s="26" t="s">
        <v>2466</v>
      </c>
      <c r="G2560" s="26" t="s">
        <v>26</v>
      </c>
      <c r="H2560" s="26" t="s">
        <v>5505</v>
      </c>
      <c r="I2560" s="26" t="s">
        <v>3001</v>
      </c>
      <c r="J2560" s="46">
        <v>1</v>
      </c>
      <c r="K2560" s="46">
        <v>3</v>
      </c>
      <c r="L2560" s="136"/>
      <c r="M2560" s="137" t="s">
        <v>44</v>
      </c>
      <c r="N2560" s="138"/>
      <c r="O2560" s="138">
        <v>15</v>
      </c>
      <c r="P2560" s="138"/>
      <c r="Q2560" s="138"/>
      <c r="R2560" s="138"/>
      <c r="S2560" s="138"/>
      <c r="T2560" s="138"/>
      <c r="U2560" s="138"/>
    </row>
    <row r="2561" spans="1:21" s="26" customFormat="1" ht="15" customHeight="1" x14ac:dyDescent="0.2">
      <c r="A2561" s="32">
        <v>41730.716886574075</v>
      </c>
      <c r="B2561" s="26" t="s">
        <v>16</v>
      </c>
      <c r="C2561" s="26" t="s">
        <v>406</v>
      </c>
      <c r="D2561" s="33">
        <v>41699</v>
      </c>
      <c r="E2561" s="26" t="s">
        <v>453</v>
      </c>
      <c r="F2561" s="26" t="s">
        <v>429</v>
      </c>
      <c r="G2561" s="26" t="s">
        <v>26</v>
      </c>
      <c r="H2561" s="26" t="s">
        <v>430</v>
      </c>
      <c r="I2561" s="26" t="s">
        <v>3001</v>
      </c>
      <c r="J2561" s="46">
        <v>1</v>
      </c>
      <c r="K2561" s="46">
        <v>2</v>
      </c>
      <c r="L2561" s="136"/>
      <c r="M2561" s="137" t="s">
        <v>44</v>
      </c>
      <c r="N2561" s="138"/>
      <c r="O2561" s="138">
        <v>10</v>
      </c>
      <c r="P2561" s="138"/>
      <c r="Q2561" s="138"/>
      <c r="R2561" s="138"/>
      <c r="S2561" s="138"/>
      <c r="T2561" s="138"/>
      <c r="U2561" s="138"/>
    </row>
    <row r="2562" spans="1:21" s="26" customFormat="1" ht="15" customHeight="1" x14ac:dyDescent="0.2">
      <c r="A2562" s="32">
        <v>41730.718090277776</v>
      </c>
      <c r="B2562" s="26" t="s">
        <v>16</v>
      </c>
      <c r="C2562" s="26" t="s">
        <v>406</v>
      </c>
      <c r="D2562" s="33">
        <v>41699</v>
      </c>
      <c r="E2562" s="26" t="s">
        <v>3868</v>
      </c>
      <c r="F2562" s="26" t="s">
        <v>113</v>
      </c>
      <c r="G2562" s="26" t="s">
        <v>26</v>
      </c>
      <c r="H2562" s="26" t="s">
        <v>5506</v>
      </c>
      <c r="I2562" s="26" t="s">
        <v>3001</v>
      </c>
      <c r="J2562" s="46">
        <v>1</v>
      </c>
      <c r="K2562" s="46">
        <v>0</v>
      </c>
      <c r="L2562" s="136"/>
      <c r="M2562" s="137" t="s">
        <v>22</v>
      </c>
      <c r="N2562" s="138"/>
      <c r="O2562" s="138"/>
      <c r="P2562" s="138"/>
      <c r="Q2562" s="138"/>
      <c r="R2562" s="138"/>
      <c r="S2562" s="138"/>
      <c r="T2562" s="138"/>
      <c r="U2562" s="138"/>
    </row>
    <row r="2563" spans="1:21" s="26" customFormat="1" ht="15" customHeight="1" x14ac:dyDescent="0.2">
      <c r="A2563" s="32">
        <v>41730.721030092594</v>
      </c>
      <c r="B2563" s="26" t="s">
        <v>16</v>
      </c>
      <c r="C2563" s="26" t="s">
        <v>406</v>
      </c>
      <c r="D2563" s="33">
        <v>41699</v>
      </c>
      <c r="E2563" s="26" t="s">
        <v>3854</v>
      </c>
      <c r="F2563" s="26" t="s">
        <v>4790</v>
      </c>
      <c r="G2563" s="26" t="s">
        <v>26</v>
      </c>
      <c r="H2563" s="26" t="s">
        <v>5507</v>
      </c>
      <c r="I2563" s="26" t="s">
        <v>3001</v>
      </c>
      <c r="J2563" s="46">
        <v>1</v>
      </c>
      <c r="K2563" s="46">
        <v>5</v>
      </c>
      <c r="L2563" s="136"/>
      <c r="M2563" s="137" t="s">
        <v>44</v>
      </c>
      <c r="N2563" s="138"/>
      <c r="O2563" s="138">
        <v>15</v>
      </c>
      <c r="P2563" s="138"/>
      <c r="Q2563" s="138"/>
      <c r="R2563" s="138"/>
      <c r="S2563" s="138"/>
      <c r="T2563" s="138"/>
      <c r="U2563" s="138"/>
    </row>
    <row r="2564" spans="1:21" s="26" customFormat="1" ht="15" customHeight="1" x14ac:dyDescent="0.2">
      <c r="A2564" s="32">
        <v>41730.721747685187</v>
      </c>
      <c r="B2564" s="26" t="s">
        <v>16</v>
      </c>
      <c r="C2564" s="26" t="s">
        <v>406</v>
      </c>
      <c r="D2564" s="33">
        <v>41699</v>
      </c>
      <c r="E2564" s="26" t="s">
        <v>445</v>
      </c>
      <c r="F2564" s="26" t="s">
        <v>420</v>
      </c>
      <c r="G2564" s="26" t="s">
        <v>26</v>
      </c>
      <c r="H2564" s="26" t="s">
        <v>5508</v>
      </c>
      <c r="I2564" s="26" t="s">
        <v>3001</v>
      </c>
      <c r="J2564" s="46">
        <v>1</v>
      </c>
      <c r="K2564" s="46">
        <v>8</v>
      </c>
      <c r="L2564" s="136"/>
      <c r="M2564" s="137" t="s">
        <v>44</v>
      </c>
      <c r="N2564" s="138"/>
      <c r="O2564" s="138">
        <v>40</v>
      </c>
      <c r="P2564" s="138"/>
      <c r="Q2564" s="138"/>
      <c r="R2564" s="138"/>
      <c r="S2564" s="138"/>
      <c r="T2564" s="138"/>
      <c r="U2564" s="138"/>
    </row>
    <row r="2565" spans="1:21" s="26" customFormat="1" ht="15" customHeight="1" x14ac:dyDescent="0.2">
      <c r="A2565" s="32">
        <v>41730.71943287037</v>
      </c>
      <c r="B2565" s="26" t="s">
        <v>16</v>
      </c>
      <c r="C2565" s="26" t="s">
        <v>406</v>
      </c>
      <c r="D2565" s="33">
        <v>41699</v>
      </c>
      <c r="E2565" s="26" t="s">
        <v>5509</v>
      </c>
      <c r="F2565" s="26" t="s">
        <v>2456</v>
      </c>
      <c r="G2565" s="26" t="s">
        <v>26</v>
      </c>
      <c r="H2565" s="26" t="s">
        <v>5510</v>
      </c>
      <c r="I2565" s="26" t="s">
        <v>3001</v>
      </c>
      <c r="J2565" s="46">
        <v>1</v>
      </c>
      <c r="K2565" s="46">
        <v>0</v>
      </c>
      <c r="L2565" s="136"/>
      <c r="M2565" s="137" t="s">
        <v>22</v>
      </c>
      <c r="N2565" s="138"/>
      <c r="O2565" s="138"/>
      <c r="P2565" s="138"/>
      <c r="Q2565" s="138"/>
      <c r="R2565" s="138"/>
      <c r="S2565" s="138"/>
      <c r="T2565" s="138"/>
      <c r="U2565" s="138"/>
    </row>
    <row r="2566" spans="1:21" s="26" customFormat="1" ht="15" customHeight="1" x14ac:dyDescent="0.2">
      <c r="A2566" s="32">
        <v>41730.722731481481</v>
      </c>
      <c r="B2566" s="26" t="s">
        <v>16</v>
      </c>
      <c r="C2566" s="26" t="s">
        <v>406</v>
      </c>
      <c r="D2566" s="33">
        <v>41699</v>
      </c>
      <c r="E2566" s="26" t="s">
        <v>437</v>
      </c>
      <c r="F2566" s="26" t="s">
        <v>1639</v>
      </c>
      <c r="G2566" s="26" t="s">
        <v>26</v>
      </c>
      <c r="H2566" s="26" t="s">
        <v>5514</v>
      </c>
      <c r="I2566" s="26" t="s">
        <v>3001</v>
      </c>
      <c r="J2566" s="46">
        <v>1</v>
      </c>
      <c r="K2566" s="46">
        <v>9</v>
      </c>
      <c r="L2566" s="136"/>
      <c r="M2566" s="137" t="s">
        <v>44</v>
      </c>
      <c r="N2566" s="138"/>
      <c r="O2566" s="138">
        <v>45</v>
      </c>
      <c r="P2566" s="138"/>
      <c r="Q2566" s="138"/>
      <c r="R2566" s="138"/>
      <c r="S2566" s="138"/>
      <c r="T2566" s="138"/>
      <c r="U2566" s="138"/>
    </row>
    <row r="2567" spans="1:21" s="26" customFormat="1" ht="15" customHeight="1" x14ac:dyDescent="0.2">
      <c r="A2567" s="32">
        <v>41732.780312499999</v>
      </c>
      <c r="B2567" s="26" t="s">
        <v>16</v>
      </c>
      <c r="C2567" s="26" t="s">
        <v>406</v>
      </c>
      <c r="D2567" s="33">
        <v>41699</v>
      </c>
      <c r="E2567" s="26" t="s">
        <v>5545</v>
      </c>
      <c r="F2567" s="26" t="s">
        <v>5546</v>
      </c>
      <c r="G2567" s="26" t="s">
        <v>42</v>
      </c>
      <c r="H2567" s="26" t="s">
        <v>5547</v>
      </c>
      <c r="I2567" s="26" t="s">
        <v>3001</v>
      </c>
      <c r="J2567" s="46">
        <v>1</v>
      </c>
      <c r="K2567" s="46">
        <v>10</v>
      </c>
      <c r="L2567" s="136">
        <v>40</v>
      </c>
      <c r="M2567" s="137" t="s">
        <v>44</v>
      </c>
      <c r="N2567" s="138"/>
      <c r="O2567" s="138">
        <v>35</v>
      </c>
      <c r="P2567" s="138"/>
      <c r="Q2567" s="138"/>
      <c r="R2567" s="138"/>
      <c r="S2567" s="138"/>
      <c r="T2567" s="138"/>
      <c r="U2567" s="138"/>
    </row>
    <row r="2568" spans="1:21" s="26" customFormat="1" ht="15" customHeight="1" x14ac:dyDescent="0.2">
      <c r="A2568" s="32">
        <v>41732.78398148148</v>
      </c>
      <c r="B2568" s="26" t="s">
        <v>16</v>
      </c>
      <c r="C2568" s="26" t="s">
        <v>406</v>
      </c>
      <c r="D2568" s="33">
        <v>41699</v>
      </c>
      <c r="E2568" s="26" t="s">
        <v>5548</v>
      </c>
      <c r="F2568" s="26" t="s">
        <v>5549</v>
      </c>
      <c r="G2568" s="26" t="s">
        <v>20</v>
      </c>
      <c r="H2568" s="26" t="s">
        <v>5550</v>
      </c>
      <c r="I2568" s="26" t="s">
        <v>3001</v>
      </c>
      <c r="J2568" s="46">
        <v>1</v>
      </c>
      <c r="K2568" s="46">
        <v>161</v>
      </c>
      <c r="L2568" s="136">
        <v>596</v>
      </c>
      <c r="M2568" s="137" t="s">
        <v>22</v>
      </c>
      <c r="N2568" s="138"/>
      <c r="O2568" s="138"/>
      <c r="P2568" s="138"/>
      <c r="Q2568" s="138"/>
      <c r="R2568" s="138"/>
      <c r="S2568" s="138"/>
      <c r="T2568" s="138"/>
      <c r="U2568" s="138"/>
    </row>
    <row r="2569" spans="1:21" s="26" customFormat="1" ht="15" customHeight="1" x14ac:dyDescent="0.2">
      <c r="A2569" s="32">
        <v>41732.785451388889</v>
      </c>
      <c r="B2569" s="26" t="s">
        <v>16</v>
      </c>
      <c r="C2569" s="26" t="s">
        <v>406</v>
      </c>
      <c r="D2569" s="33">
        <v>41699</v>
      </c>
      <c r="E2569" s="26" t="s">
        <v>5551</v>
      </c>
      <c r="F2569" s="26" t="s">
        <v>5552</v>
      </c>
      <c r="G2569" s="26" t="s">
        <v>20</v>
      </c>
      <c r="H2569" s="26" t="s">
        <v>5553</v>
      </c>
      <c r="I2569" s="26" t="s">
        <v>3001</v>
      </c>
      <c r="J2569" s="46">
        <v>1</v>
      </c>
      <c r="K2569" s="46">
        <v>95</v>
      </c>
      <c r="L2569" s="136">
        <v>190</v>
      </c>
      <c r="M2569" s="137" t="s">
        <v>22</v>
      </c>
      <c r="N2569" s="138"/>
      <c r="O2569" s="138"/>
      <c r="P2569" s="138"/>
      <c r="Q2569" s="138"/>
      <c r="R2569" s="138"/>
      <c r="S2569" s="138"/>
      <c r="T2569" s="138"/>
      <c r="U2569" s="138"/>
    </row>
    <row r="2570" spans="1:21" s="26" customFormat="1" ht="15" customHeight="1" x14ac:dyDescent="0.2">
      <c r="A2570" s="32">
        <v>41732.786550925928</v>
      </c>
      <c r="B2570" s="26" t="s">
        <v>16</v>
      </c>
      <c r="C2570" s="26" t="s">
        <v>406</v>
      </c>
      <c r="D2570" s="33">
        <v>41699</v>
      </c>
      <c r="E2570" s="26" t="s">
        <v>499</v>
      </c>
      <c r="F2570" s="26" t="s">
        <v>5554</v>
      </c>
      <c r="G2570" s="26" t="s">
        <v>20</v>
      </c>
      <c r="I2570" s="26" t="s">
        <v>3001</v>
      </c>
      <c r="J2570" s="46">
        <v>1</v>
      </c>
      <c r="K2570" s="46">
        <v>60</v>
      </c>
      <c r="L2570" s="136">
        <v>120</v>
      </c>
      <c r="M2570" s="137" t="s">
        <v>22</v>
      </c>
      <c r="N2570" s="138"/>
      <c r="O2570" s="138"/>
      <c r="P2570" s="138"/>
      <c r="Q2570" s="138"/>
      <c r="R2570" s="138"/>
      <c r="S2570" s="138"/>
      <c r="T2570" s="138"/>
      <c r="U2570" s="138"/>
    </row>
    <row r="2571" spans="1:21" s="26" customFormat="1" ht="15" customHeight="1" x14ac:dyDescent="0.2">
      <c r="A2571" s="32">
        <v>41732.787743055553</v>
      </c>
      <c r="B2571" s="26" t="s">
        <v>16</v>
      </c>
      <c r="C2571" s="26" t="s">
        <v>406</v>
      </c>
      <c r="D2571" s="33">
        <v>41699</v>
      </c>
      <c r="E2571" s="26" t="s">
        <v>5555</v>
      </c>
      <c r="F2571" s="26" t="s">
        <v>5556</v>
      </c>
      <c r="G2571" s="26" t="s">
        <v>20</v>
      </c>
      <c r="H2571" s="26" t="s">
        <v>5557</v>
      </c>
      <c r="I2571" s="26" t="s">
        <v>3001</v>
      </c>
      <c r="J2571" s="46">
        <v>1</v>
      </c>
      <c r="K2571" s="46">
        <v>77</v>
      </c>
      <c r="L2571" s="136">
        <v>154</v>
      </c>
      <c r="M2571" s="137" t="s">
        <v>22</v>
      </c>
      <c r="N2571" s="138"/>
      <c r="O2571" s="138"/>
      <c r="P2571" s="138"/>
      <c r="Q2571" s="138"/>
      <c r="R2571" s="138"/>
      <c r="S2571" s="138"/>
      <c r="T2571" s="138"/>
      <c r="U2571" s="138"/>
    </row>
    <row r="2572" spans="1:21" s="26" customFormat="1" ht="15" customHeight="1" x14ac:dyDescent="0.2">
      <c r="A2572" s="32">
        <v>41732.788391203707</v>
      </c>
      <c r="B2572" s="26" t="s">
        <v>16</v>
      </c>
      <c r="C2572" s="26" t="s">
        <v>406</v>
      </c>
      <c r="D2572" s="33">
        <v>41699</v>
      </c>
      <c r="E2572" s="26" t="s">
        <v>5558</v>
      </c>
      <c r="F2572" s="26" t="s">
        <v>5559</v>
      </c>
      <c r="G2572" s="26" t="s">
        <v>20</v>
      </c>
      <c r="H2572" s="26" t="s">
        <v>5560</v>
      </c>
      <c r="I2572" s="26" t="s">
        <v>3001</v>
      </c>
      <c r="J2572" s="46">
        <v>1</v>
      </c>
      <c r="K2572" s="46">
        <v>48</v>
      </c>
      <c r="L2572" s="136">
        <v>96</v>
      </c>
      <c r="M2572" s="137" t="s">
        <v>22</v>
      </c>
      <c r="N2572" s="138"/>
      <c r="O2572" s="138"/>
      <c r="P2572" s="138"/>
      <c r="Q2572" s="138"/>
      <c r="R2572" s="138"/>
      <c r="S2572" s="138"/>
      <c r="T2572" s="138"/>
      <c r="U2572" s="138"/>
    </row>
    <row r="2573" spans="1:21" s="26" customFormat="1" ht="15" customHeight="1" x14ac:dyDescent="0.2">
      <c r="A2573" s="32">
        <v>41732.789467592593</v>
      </c>
      <c r="B2573" s="26" t="s">
        <v>16</v>
      </c>
      <c r="C2573" s="26" t="s">
        <v>406</v>
      </c>
      <c r="D2573" s="33">
        <v>41699</v>
      </c>
      <c r="E2573" s="26" t="s">
        <v>5555</v>
      </c>
      <c r="F2573" s="26" t="s">
        <v>5561</v>
      </c>
      <c r="G2573" s="26" t="s">
        <v>20</v>
      </c>
      <c r="H2573" s="26" t="s">
        <v>5562</v>
      </c>
      <c r="I2573" s="26" t="s">
        <v>3001</v>
      </c>
      <c r="J2573" s="46">
        <v>1</v>
      </c>
      <c r="K2573" s="46">
        <v>85</v>
      </c>
      <c r="L2573" s="136">
        <v>170</v>
      </c>
      <c r="M2573" s="137" t="s">
        <v>22</v>
      </c>
      <c r="N2573" s="138"/>
      <c r="O2573" s="138"/>
      <c r="P2573" s="138"/>
      <c r="Q2573" s="138"/>
      <c r="R2573" s="138"/>
      <c r="S2573" s="138"/>
      <c r="T2573" s="138"/>
      <c r="U2573" s="138"/>
    </row>
    <row r="2574" spans="1:21" s="26" customFormat="1" ht="15" customHeight="1" x14ac:dyDescent="0.2">
      <c r="A2574" s="32">
        <v>41732.790312500001</v>
      </c>
      <c r="B2574" s="26" t="s">
        <v>16</v>
      </c>
      <c r="C2574" s="26" t="s">
        <v>406</v>
      </c>
      <c r="D2574" s="33">
        <v>41699</v>
      </c>
      <c r="E2574" s="26" t="s">
        <v>5563</v>
      </c>
      <c r="F2574" s="26" t="s">
        <v>5564</v>
      </c>
      <c r="G2574" s="26" t="s">
        <v>20</v>
      </c>
      <c r="H2574" s="26" t="s">
        <v>3362</v>
      </c>
      <c r="I2574" s="26" t="s">
        <v>3001</v>
      </c>
      <c r="J2574" s="46">
        <v>1</v>
      </c>
      <c r="K2574" s="46">
        <v>180</v>
      </c>
      <c r="L2574" s="136">
        <v>360</v>
      </c>
      <c r="M2574" s="137" t="s">
        <v>22</v>
      </c>
      <c r="N2574" s="138"/>
      <c r="O2574" s="138"/>
      <c r="P2574" s="138"/>
      <c r="Q2574" s="138"/>
      <c r="R2574" s="138"/>
      <c r="S2574" s="138"/>
      <c r="T2574" s="138"/>
      <c r="U2574" s="138"/>
    </row>
    <row r="2575" spans="1:21" s="26" customFormat="1" ht="15" customHeight="1" x14ac:dyDescent="0.2">
      <c r="A2575" s="32">
        <v>41732.791331018518</v>
      </c>
      <c r="B2575" s="26" t="s">
        <v>16</v>
      </c>
      <c r="C2575" s="26" t="s">
        <v>406</v>
      </c>
      <c r="D2575" s="33">
        <v>41699</v>
      </c>
      <c r="E2575" s="26" t="s">
        <v>4119</v>
      </c>
      <c r="F2575" s="26" t="s">
        <v>5565</v>
      </c>
      <c r="G2575" s="26" t="s">
        <v>20</v>
      </c>
      <c r="H2575" s="26" t="s">
        <v>5566</v>
      </c>
      <c r="I2575" s="26" t="s">
        <v>3001</v>
      </c>
      <c r="J2575" s="46">
        <v>1</v>
      </c>
      <c r="K2575" s="46">
        <v>32</v>
      </c>
      <c r="L2575" s="136">
        <v>64</v>
      </c>
      <c r="M2575" s="137" t="s">
        <v>22</v>
      </c>
      <c r="N2575" s="138"/>
      <c r="O2575" s="138"/>
      <c r="P2575" s="138"/>
      <c r="Q2575" s="138"/>
      <c r="R2575" s="138"/>
      <c r="S2575" s="138"/>
      <c r="T2575" s="138"/>
      <c r="U2575" s="138"/>
    </row>
    <row r="2576" spans="1:21" s="26" customFormat="1" ht="15" customHeight="1" x14ac:dyDescent="0.2">
      <c r="A2576" s="32">
        <v>41732.796458333331</v>
      </c>
      <c r="B2576" s="26" t="s">
        <v>16</v>
      </c>
      <c r="C2576" s="26" t="s">
        <v>406</v>
      </c>
      <c r="D2576" s="33">
        <v>41699</v>
      </c>
      <c r="E2576" s="26" t="s">
        <v>5567</v>
      </c>
      <c r="F2576" s="26" t="s">
        <v>5568</v>
      </c>
      <c r="G2576" s="26" t="s">
        <v>20</v>
      </c>
      <c r="H2576" s="26" t="s">
        <v>5569</v>
      </c>
      <c r="I2576" s="26" t="s">
        <v>3001</v>
      </c>
      <c r="J2576" s="46">
        <v>1</v>
      </c>
      <c r="K2576" s="46">
        <v>22</v>
      </c>
      <c r="L2576" s="136">
        <v>44</v>
      </c>
      <c r="M2576" s="137" t="s">
        <v>22</v>
      </c>
      <c r="N2576" s="138"/>
      <c r="O2576" s="138"/>
      <c r="P2576" s="138"/>
      <c r="Q2576" s="138"/>
      <c r="R2576" s="138"/>
      <c r="S2576" s="138"/>
      <c r="T2576" s="138"/>
      <c r="U2576" s="138"/>
    </row>
    <row r="2577" spans="1:25" s="26" customFormat="1" ht="15" customHeight="1" x14ac:dyDescent="0.2">
      <c r="A2577" s="32">
        <v>41732.805787037039</v>
      </c>
      <c r="B2577" s="26" t="s">
        <v>16</v>
      </c>
      <c r="C2577" s="26" t="s">
        <v>406</v>
      </c>
      <c r="D2577" s="33">
        <v>41699</v>
      </c>
      <c r="E2577" s="26" t="s">
        <v>3546</v>
      </c>
      <c r="F2577" s="26" t="s">
        <v>5570</v>
      </c>
      <c r="G2577" s="26" t="s">
        <v>20</v>
      </c>
      <c r="H2577" s="26" t="s">
        <v>5566</v>
      </c>
      <c r="I2577" s="26" t="s">
        <v>3001</v>
      </c>
      <c r="J2577" s="46">
        <v>1</v>
      </c>
      <c r="K2577" s="46">
        <v>86</v>
      </c>
      <c r="L2577" s="136">
        <v>172</v>
      </c>
      <c r="M2577" s="137" t="s">
        <v>22</v>
      </c>
      <c r="N2577" s="138"/>
      <c r="O2577" s="138"/>
      <c r="P2577" s="138"/>
      <c r="Q2577" s="138"/>
      <c r="R2577" s="138"/>
      <c r="S2577" s="138"/>
      <c r="T2577" s="138"/>
      <c r="U2577" s="138"/>
    </row>
    <row r="2578" spans="1:25" s="26" customFormat="1" ht="15" customHeight="1" x14ac:dyDescent="0.2">
      <c r="A2578" s="32">
        <v>41732.80636574074</v>
      </c>
      <c r="B2578" s="26" t="s">
        <v>16</v>
      </c>
      <c r="C2578" s="26" t="s">
        <v>406</v>
      </c>
      <c r="D2578" s="33">
        <v>41699</v>
      </c>
      <c r="E2578" s="26" t="s">
        <v>5571</v>
      </c>
      <c r="F2578" s="26" t="s">
        <v>5572</v>
      </c>
      <c r="G2578" s="26" t="s">
        <v>351</v>
      </c>
      <c r="H2578" s="26" t="s">
        <v>5573</v>
      </c>
      <c r="I2578" s="26" t="s">
        <v>3001</v>
      </c>
      <c r="J2578" s="46">
        <v>1</v>
      </c>
      <c r="K2578" s="46">
        <v>350</v>
      </c>
      <c r="L2578" s="136"/>
      <c r="M2578" s="137" t="s">
        <v>22</v>
      </c>
      <c r="N2578" s="138"/>
      <c r="O2578" s="138"/>
      <c r="P2578" s="138"/>
      <c r="Q2578" s="138"/>
      <c r="R2578" s="138"/>
      <c r="S2578" s="138"/>
      <c r="T2578" s="138"/>
      <c r="U2578" s="138"/>
    </row>
    <row r="2579" spans="1:25" s="26" customFormat="1" ht="15" customHeight="1" x14ac:dyDescent="0.2">
      <c r="A2579" s="93">
        <v>41761.711446759298</v>
      </c>
      <c r="B2579" s="89" t="s">
        <v>16</v>
      </c>
      <c r="C2579" s="52" t="s">
        <v>406</v>
      </c>
      <c r="D2579" s="87" t="s">
        <v>6076</v>
      </c>
      <c r="E2579" s="89" t="s">
        <v>4806</v>
      </c>
      <c r="F2579" s="89" t="s">
        <v>2474</v>
      </c>
      <c r="G2579" s="89" t="s">
        <v>26</v>
      </c>
      <c r="H2579" s="89" t="s">
        <v>6296</v>
      </c>
      <c r="I2579" s="89" t="s">
        <v>3001</v>
      </c>
      <c r="J2579" s="95">
        <v>1</v>
      </c>
      <c r="K2579" s="95">
        <v>5</v>
      </c>
      <c r="L2579" s="149"/>
      <c r="M2579" s="146" t="s">
        <v>44</v>
      </c>
      <c r="N2579" s="149"/>
      <c r="O2579" s="149">
        <v>25</v>
      </c>
      <c r="P2579" s="149"/>
      <c r="Q2579" s="149"/>
      <c r="R2579" s="149"/>
      <c r="S2579" s="149"/>
      <c r="T2579" s="149"/>
      <c r="U2579" s="149"/>
      <c r="V2579" s="89"/>
      <c r="W2579" s="91"/>
      <c r="X2579" s="91"/>
      <c r="Y2579" s="91"/>
    </row>
    <row r="2580" spans="1:25" s="26" customFormat="1" ht="15" customHeight="1" x14ac:dyDescent="0.2">
      <c r="A2580" s="93">
        <v>41761.719189814801</v>
      </c>
      <c r="B2580" s="89" t="s">
        <v>16</v>
      </c>
      <c r="C2580" s="52" t="s">
        <v>406</v>
      </c>
      <c r="D2580" s="87" t="s">
        <v>6076</v>
      </c>
      <c r="E2580" s="89" t="s">
        <v>5481</v>
      </c>
      <c r="F2580" s="89" t="s">
        <v>408</v>
      </c>
      <c r="G2580" s="89" t="s">
        <v>26</v>
      </c>
      <c r="H2580" s="89" t="s">
        <v>6297</v>
      </c>
      <c r="I2580" s="89" t="s">
        <v>3001</v>
      </c>
      <c r="J2580" s="95">
        <v>1</v>
      </c>
      <c r="K2580" s="95">
        <v>11</v>
      </c>
      <c r="L2580" s="149"/>
      <c r="M2580" s="146" t="s">
        <v>44</v>
      </c>
      <c r="N2580" s="149"/>
      <c r="O2580" s="149">
        <v>10</v>
      </c>
      <c r="P2580" s="149"/>
      <c r="Q2580" s="149"/>
      <c r="R2580" s="149"/>
      <c r="S2580" s="149"/>
      <c r="T2580" s="149"/>
      <c r="U2580" s="149"/>
      <c r="V2580" s="89"/>
      <c r="W2580" s="91"/>
      <c r="X2580" s="91"/>
      <c r="Y2580" s="91"/>
    </row>
    <row r="2581" spans="1:25" s="26" customFormat="1" ht="15" customHeight="1" x14ac:dyDescent="0.2">
      <c r="A2581" s="93">
        <v>41761.727858796301</v>
      </c>
      <c r="B2581" s="89" t="s">
        <v>16</v>
      </c>
      <c r="C2581" s="52" t="s">
        <v>406</v>
      </c>
      <c r="D2581" s="87" t="s">
        <v>6076</v>
      </c>
      <c r="E2581" s="89" t="s">
        <v>755</v>
      </c>
      <c r="F2581" s="89" t="s">
        <v>373</v>
      </c>
      <c r="G2581" s="89" t="s">
        <v>26</v>
      </c>
      <c r="H2581" s="89" t="s">
        <v>6298</v>
      </c>
      <c r="I2581" s="89" t="s">
        <v>3001</v>
      </c>
      <c r="J2581" s="95">
        <v>1</v>
      </c>
      <c r="K2581" s="95">
        <v>55</v>
      </c>
      <c r="L2581" s="149"/>
      <c r="M2581" s="146" t="s">
        <v>22</v>
      </c>
      <c r="N2581" s="149"/>
      <c r="O2581" s="149"/>
      <c r="P2581" s="149"/>
      <c r="Q2581" s="149"/>
      <c r="R2581" s="149"/>
      <c r="S2581" s="149"/>
      <c r="T2581" s="149"/>
      <c r="U2581" s="149"/>
      <c r="V2581" s="89"/>
      <c r="W2581" s="91"/>
      <c r="X2581" s="91"/>
      <c r="Y2581" s="91"/>
    </row>
    <row r="2582" spans="1:25" s="26" customFormat="1" ht="15" customHeight="1" x14ac:dyDescent="0.2">
      <c r="A2582" s="93">
        <v>41761.728611111103</v>
      </c>
      <c r="B2582" s="89" t="s">
        <v>16</v>
      </c>
      <c r="C2582" s="52" t="s">
        <v>406</v>
      </c>
      <c r="D2582" s="87" t="s">
        <v>6076</v>
      </c>
      <c r="E2582" s="89" t="s">
        <v>6299</v>
      </c>
      <c r="F2582" s="89" t="s">
        <v>6300</v>
      </c>
      <c r="G2582" s="89" t="s">
        <v>26</v>
      </c>
      <c r="H2582" s="89" t="s">
        <v>6301</v>
      </c>
      <c r="I2582" s="89" t="s">
        <v>3001</v>
      </c>
      <c r="J2582" s="95">
        <v>1</v>
      </c>
      <c r="K2582" s="95">
        <v>47</v>
      </c>
      <c r="L2582" s="149"/>
      <c r="M2582" s="146" t="s">
        <v>44</v>
      </c>
      <c r="N2582" s="149"/>
      <c r="O2582" s="149">
        <v>35</v>
      </c>
      <c r="P2582" s="149"/>
      <c r="Q2582" s="149"/>
      <c r="R2582" s="149"/>
      <c r="S2582" s="149"/>
      <c r="T2582" s="149"/>
      <c r="U2582" s="149"/>
      <c r="V2582" s="89"/>
      <c r="W2582" s="91"/>
      <c r="X2582" s="91"/>
      <c r="Y2582" s="91"/>
    </row>
    <row r="2583" spans="1:25" s="26" customFormat="1" ht="15" customHeight="1" x14ac:dyDescent="0.2">
      <c r="A2583" s="93">
        <v>41761.731481481504</v>
      </c>
      <c r="B2583" s="89" t="s">
        <v>16</v>
      </c>
      <c r="C2583" s="52" t="s">
        <v>406</v>
      </c>
      <c r="D2583" s="87" t="s">
        <v>6076</v>
      </c>
      <c r="E2583" s="89" t="s">
        <v>3614</v>
      </c>
      <c r="F2583" s="89" t="s">
        <v>6302</v>
      </c>
      <c r="G2583" s="89" t="s">
        <v>26</v>
      </c>
      <c r="H2583" s="89" t="s">
        <v>5510</v>
      </c>
      <c r="I2583" s="89" t="s">
        <v>3001</v>
      </c>
      <c r="J2583" s="95">
        <v>1</v>
      </c>
      <c r="K2583" s="95">
        <v>9</v>
      </c>
      <c r="L2583" s="149"/>
      <c r="M2583" s="146" t="s">
        <v>44</v>
      </c>
      <c r="N2583" s="149"/>
      <c r="O2583" s="149">
        <v>25</v>
      </c>
      <c r="P2583" s="149"/>
      <c r="Q2583" s="149"/>
      <c r="R2583" s="149"/>
      <c r="S2583" s="149"/>
      <c r="T2583" s="149"/>
      <c r="U2583" s="149"/>
      <c r="V2583" s="89"/>
      <c r="W2583" s="91"/>
      <c r="X2583" s="91"/>
      <c r="Y2583" s="91"/>
    </row>
    <row r="2584" spans="1:25" s="26" customFormat="1" ht="15" customHeight="1" x14ac:dyDescent="0.2">
      <c r="A2584" s="93">
        <v>41761.759178240703</v>
      </c>
      <c r="B2584" s="89" t="s">
        <v>16</v>
      </c>
      <c r="C2584" s="52" t="s">
        <v>406</v>
      </c>
      <c r="D2584" s="87" t="s">
        <v>6076</v>
      </c>
      <c r="E2584" s="89" t="s">
        <v>5469</v>
      </c>
      <c r="F2584" s="89" t="s">
        <v>435</v>
      </c>
      <c r="G2584" s="89" t="s">
        <v>26</v>
      </c>
      <c r="H2584" s="89" t="s">
        <v>5470</v>
      </c>
      <c r="I2584" s="89" t="s">
        <v>3001</v>
      </c>
      <c r="J2584" s="95">
        <v>1</v>
      </c>
      <c r="K2584" s="95">
        <v>0</v>
      </c>
      <c r="L2584" s="149"/>
      <c r="M2584" s="146" t="s">
        <v>22</v>
      </c>
      <c r="N2584" s="149"/>
      <c r="O2584" s="149"/>
      <c r="P2584" s="149"/>
      <c r="Q2584" s="149"/>
      <c r="R2584" s="149"/>
      <c r="S2584" s="149"/>
      <c r="T2584" s="149"/>
      <c r="U2584" s="149"/>
      <c r="V2584" s="89"/>
      <c r="W2584" s="91"/>
      <c r="X2584" s="91"/>
      <c r="Y2584" s="91"/>
    </row>
    <row r="2585" spans="1:25" s="26" customFormat="1" ht="15" customHeight="1" x14ac:dyDescent="0.2">
      <c r="A2585" s="93">
        <v>41761.760520833297</v>
      </c>
      <c r="B2585" s="89" t="s">
        <v>16</v>
      </c>
      <c r="C2585" s="52" t="s">
        <v>406</v>
      </c>
      <c r="D2585" s="87" t="s">
        <v>6076</v>
      </c>
      <c r="E2585" s="89" t="s">
        <v>5489</v>
      </c>
      <c r="F2585" s="89" t="s">
        <v>447</v>
      </c>
      <c r="G2585" s="89" t="s">
        <v>26</v>
      </c>
      <c r="H2585" s="89" t="s">
        <v>5497</v>
      </c>
      <c r="I2585" s="89" t="s">
        <v>3001</v>
      </c>
      <c r="J2585" s="95">
        <v>1</v>
      </c>
      <c r="K2585" s="95">
        <v>0</v>
      </c>
      <c r="L2585" s="149"/>
      <c r="M2585" s="146" t="s">
        <v>22</v>
      </c>
      <c r="N2585" s="149"/>
      <c r="O2585" s="149"/>
      <c r="P2585" s="149"/>
      <c r="Q2585" s="149"/>
      <c r="R2585" s="149"/>
      <c r="S2585" s="149"/>
      <c r="T2585" s="149"/>
      <c r="U2585" s="149"/>
      <c r="V2585" s="89"/>
      <c r="W2585" s="91"/>
      <c r="X2585" s="91"/>
      <c r="Y2585" s="91"/>
    </row>
    <row r="2586" spans="1:25" s="26" customFormat="1" ht="15" customHeight="1" x14ac:dyDescent="0.2">
      <c r="A2586" s="93">
        <v>41761.761087963001</v>
      </c>
      <c r="B2586" s="89" t="s">
        <v>16</v>
      </c>
      <c r="C2586" s="52" t="s">
        <v>406</v>
      </c>
      <c r="D2586" s="87" t="s">
        <v>6076</v>
      </c>
      <c r="E2586" s="89" t="s">
        <v>5475</v>
      </c>
      <c r="F2586" s="89" t="s">
        <v>2466</v>
      </c>
      <c r="G2586" s="89" t="s">
        <v>26</v>
      </c>
      <c r="H2586" s="89" t="s">
        <v>5505</v>
      </c>
      <c r="I2586" s="89" t="s">
        <v>3001</v>
      </c>
      <c r="J2586" s="95">
        <v>1</v>
      </c>
      <c r="K2586" s="95">
        <v>2</v>
      </c>
      <c r="L2586" s="149"/>
      <c r="M2586" s="146" t="s">
        <v>22</v>
      </c>
      <c r="N2586" s="149"/>
      <c r="O2586" s="149"/>
      <c r="P2586" s="149"/>
      <c r="Q2586" s="149"/>
      <c r="R2586" s="149"/>
      <c r="S2586" s="149"/>
      <c r="T2586" s="149"/>
      <c r="U2586" s="149"/>
      <c r="V2586" s="89"/>
      <c r="W2586" s="91"/>
      <c r="X2586" s="91"/>
      <c r="Y2586" s="91"/>
    </row>
    <row r="2587" spans="1:25" s="26" customFormat="1" ht="15" customHeight="1" x14ac:dyDescent="0.2">
      <c r="A2587" s="93">
        <v>41761.762337963002</v>
      </c>
      <c r="B2587" s="89" t="s">
        <v>16</v>
      </c>
      <c r="C2587" s="52" t="s">
        <v>406</v>
      </c>
      <c r="D2587" s="87" t="s">
        <v>6076</v>
      </c>
      <c r="E2587" s="89" t="s">
        <v>6303</v>
      </c>
      <c r="F2587" s="89" t="s">
        <v>438</v>
      </c>
      <c r="G2587" s="89" t="s">
        <v>26</v>
      </c>
      <c r="H2587" s="89" t="s">
        <v>6304</v>
      </c>
      <c r="I2587" s="89" t="s">
        <v>3001</v>
      </c>
      <c r="J2587" s="95">
        <v>1</v>
      </c>
      <c r="K2587" s="95">
        <v>11</v>
      </c>
      <c r="L2587" s="149"/>
      <c r="M2587" s="146" t="s">
        <v>22</v>
      </c>
      <c r="N2587" s="149"/>
      <c r="O2587" s="149"/>
      <c r="P2587" s="149"/>
      <c r="Q2587" s="149"/>
      <c r="R2587" s="149"/>
      <c r="S2587" s="149"/>
      <c r="T2587" s="149"/>
      <c r="U2587" s="149"/>
      <c r="V2587" s="89"/>
      <c r="W2587" s="91"/>
      <c r="X2587" s="91"/>
      <c r="Y2587" s="91"/>
    </row>
    <row r="2588" spans="1:25" s="26" customFormat="1" ht="15" customHeight="1" x14ac:dyDescent="0.2">
      <c r="A2588" s="93">
        <v>41761.763449074097</v>
      </c>
      <c r="B2588" s="89" t="s">
        <v>16</v>
      </c>
      <c r="C2588" s="52" t="s">
        <v>406</v>
      </c>
      <c r="D2588" s="87" t="s">
        <v>6076</v>
      </c>
      <c r="E2588" s="89" t="s">
        <v>3614</v>
      </c>
      <c r="F2588" s="89" t="s">
        <v>2456</v>
      </c>
      <c r="G2588" s="89" t="s">
        <v>26</v>
      </c>
      <c r="H2588" s="89" t="s">
        <v>6305</v>
      </c>
      <c r="I2588" s="89" t="s">
        <v>3001</v>
      </c>
      <c r="J2588" s="95">
        <v>1</v>
      </c>
      <c r="K2588" s="95">
        <v>3</v>
      </c>
      <c r="L2588" s="149"/>
      <c r="M2588" s="146" t="s">
        <v>22</v>
      </c>
      <c r="N2588" s="149"/>
      <c r="O2588" s="149"/>
      <c r="P2588" s="149"/>
      <c r="Q2588" s="149"/>
      <c r="R2588" s="149"/>
      <c r="S2588" s="149"/>
      <c r="T2588" s="149"/>
      <c r="U2588" s="149"/>
      <c r="V2588" s="89"/>
      <c r="W2588" s="91"/>
      <c r="X2588" s="91"/>
      <c r="Y2588" s="91"/>
    </row>
    <row r="2589" spans="1:25" s="26" customFormat="1" ht="15" customHeight="1" x14ac:dyDescent="0.2">
      <c r="A2589" s="93">
        <v>41761.764120370397</v>
      </c>
      <c r="B2589" s="89" t="s">
        <v>16</v>
      </c>
      <c r="C2589" s="52" t="s">
        <v>406</v>
      </c>
      <c r="D2589" s="87" t="s">
        <v>6076</v>
      </c>
      <c r="E2589" s="89" t="s">
        <v>5469</v>
      </c>
      <c r="F2589" s="89" t="s">
        <v>435</v>
      </c>
      <c r="G2589" s="89" t="s">
        <v>26</v>
      </c>
      <c r="H2589" s="89" t="s">
        <v>5470</v>
      </c>
      <c r="I2589" s="89" t="s">
        <v>3001</v>
      </c>
      <c r="J2589" s="95">
        <v>1</v>
      </c>
      <c r="K2589" s="95">
        <v>28</v>
      </c>
      <c r="L2589" s="149"/>
      <c r="M2589" s="146" t="s">
        <v>44</v>
      </c>
      <c r="N2589" s="149"/>
      <c r="O2589" s="149">
        <v>100</v>
      </c>
      <c r="P2589" s="149"/>
      <c r="Q2589" s="149"/>
      <c r="R2589" s="149"/>
      <c r="S2589" s="149"/>
      <c r="T2589" s="149"/>
      <c r="U2589" s="149"/>
      <c r="V2589" s="89"/>
      <c r="W2589" s="91"/>
      <c r="X2589" s="91"/>
      <c r="Y2589" s="91"/>
    </row>
    <row r="2590" spans="1:25" s="26" customFormat="1" ht="15" customHeight="1" x14ac:dyDescent="0.2">
      <c r="A2590" s="93">
        <v>41761.764872685198</v>
      </c>
      <c r="B2590" s="89" t="s">
        <v>16</v>
      </c>
      <c r="C2590" s="52" t="s">
        <v>406</v>
      </c>
      <c r="D2590" s="87" t="s">
        <v>6076</v>
      </c>
      <c r="E2590" s="89" t="s">
        <v>5503</v>
      </c>
      <c r="F2590" s="89" t="s">
        <v>411</v>
      </c>
      <c r="G2590" s="89" t="s">
        <v>26</v>
      </c>
      <c r="H2590" s="89" t="s">
        <v>5496</v>
      </c>
      <c r="I2590" s="89" t="s">
        <v>3001</v>
      </c>
      <c r="J2590" s="95">
        <v>1</v>
      </c>
      <c r="K2590" s="95">
        <v>5</v>
      </c>
      <c r="L2590" s="149"/>
      <c r="M2590" s="146" t="s">
        <v>44</v>
      </c>
      <c r="N2590" s="149"/>
      <c r="O2590" s="149">
        <v>25</v>
      </c>
      <c r="P2590" s="149"/>
      <c r="Q2590" s="149"/>
      <c r="R2590" s="149"/>
      <c r="S2590" s="149"/>
      <c r="T2590" s="149"/>
      <c r="U2590" s="149"/>
      <c r="V2590" s="89"/>
      <c r="W2590" s="91"/>
      <c r="X2590" s="91"/>
      <c r="Y2590" s="91"/>
    </row>
    <row r="2591" spans="1:25" s="26" customFormat="1" ht="15" customHeight="1" x14ac:dyDescent="0.2">
      <c r="A2591" s="93">
        <v>41761.776875000003</v>
      </c>
      <c r="B2591" s="89" t="s">
        <v>16</v>
      </c>
      <c r="C2591" s="52" t="s">
        <v>406</v>
      </c>
      <c r="D2591" s="87" t="s">
        <v>6076</v>
      </c>
      <c r="E2591" s="89" t="s">
        <v>5475</v>
      </c>
      <c r="F2591" s="89" t="s">
        <v>2466</v>
      </c>
      <c r="G2591" s="89" t="s">
        <v>26</v>
      </c>
      <c r="H2591" s="89" t="s">
        <v>5505</v>
      </c>
      <c r="I2591" s="89" t="s">
        <v>3001</v>
      </c>
      <c r="J2591" s="95">
        <v>1</v>
      </c>
      <c r="K2591" s="95">
        <v>18</v>
      </c>
      <c r="L2591" s="149"/>
      <c r="M2591" s="146" t="s">
        <v>22</v>
      </c>
      <c r="N2591" s="149"/>
      <c r="O2591" s="149"/>
      <c r="P2591" s="149"/>
      <c r="Q2591" s="149"/>
      <c r="R2591" s="149"/>
      <c r="S2591" s="149"/>
      <c r="T2591" s="149"/>
      <c r="U2591" s="149"/>
      <c r="V2591" s="89"/>
      <c r="W2591" s="91"/>
      <c r="X2591" s="91"/>
      <c r="Y2591" s="91"/>
    </row>
    <row r="2592" spans="1:25" s="26" customFormat="1" ht="15" customHeight="1" x14ac:dyDescent="0.2">
      <c r="A2592" s="93">
        <v>41761.777662036999</v>
      </c>
      <c r="B2592" s="89" t="s">
        <v>16</v>
      </c>
      <c r="C2592" s="52" t="s">
        <v>406</v>
      </c>
      <c r="D2592" s="87" t="s">
        <v>6076</v>
      </c>
      <c r="E2592" s="89" t="s">
        <v>6306</v>
      </c>
      <c r="F2592" s="89" t="s">
        <v>408</v>
      </c>
      <c r="G2592" s="89" t="s">
        <v>26</v>
      </c>
      <c r="H2592" s="89" t="s">
        <v>6297</v>
      </c>
      <c r="I2592" s="89" t="s">
        <v>3001</v>
      </c>
      <c r="J2592" s="95">
        <v>1</v>
      </c>
      <c r="K2592" s="95">
        <v>12</v>
      </c>
      <c r="L2592" s="149"/>
      <c r="M2592" s="146" t="s">
        <v>44</v>
      </c>
      <c r="N2592" s="149"/>
      <c r="O2592" s="149">
        <v>25</v>
      </c>
      <c r="P2592" s="149"/>
      <c r="Q2592" s="149"/>
      <c r="R2592" s="149"/>
      <c r="S2592" s="149"/>
      <c r="T2592" s="149"/>
      <c r="U2592" s="149"/>
      <c r="V2592" s="89"/>
      <c r="W2592" s="91"/>
      <c r="X2592" s="91"/>
      <c r="Y2592" s="91"/>
    </row>
    <row r="2593" spans="1:25" s="26" customFormat="1" ht="15" customHeight="1" x14ac:dyDescent="0.2">
      <c r="A2593" s="93">
        <v>41761.778784722199</v>
      </c>
      <c r="B2593" s="89" t="s">
        <v>16</v>
      </c>
      <c r="C2593" s="52" t="s">
        <v>406</v>
      </c>
      <c r="D2593" s="87" t="s">
        <v>6076</v>
      </c>
      <c r="E2593" s="89" t="s">
        <v>5479</v>
      </c>
      <c r="F2593" s="89" t="s">
        <v>488</v>
      </c>
      <c r="G2593" s="89" t="s">
        <v>26</v>
      </c>
      <c r="H2593" s="89" t="s">
        <v>6307</v>
      </c>
      <c r="I2593" s="89" t="s">
        <v>3001</v>
      </c>
      <c r="J2593" s="95">
        <v>1</v>
      </c>
      <c r="K2593" s="95">
        <v>12</v>
      </c>
      <c r="L2593" s="149"/>
      <c r="M2593" s="146" t="s">
        <v>22</v>
      </c>
      <c r="N2593" s="149"/>
      <c r="O2593" s="149"/>
      <c r="P2593" s="149"/>
      <c r="Q2593" s="149"/>
      <c r="R2593" s="149"/>
      <c r="S2593" s="149"/>
      <c r="T2593" s="149"/>
      <c r="U2593" s="149"/>
      <c r="V2593" s="89"/>
      <c r="W2593" s="91"/>
      <c r="X2593" s="91"/>
      <c r="Y2593" s="91"/>
    </row>
    <row r="2594" spans="1:25" s="26" customFormat="1" ht="15" customHeight="1" x14ac:dyDescent="0.2">
      <c r="A2594" s="93">
        <v>41761.779826388898</v>
      </c>
      <c r="B2594" s="89" t="s">
        <v>16</v>
      </c>
      <c r="C2594" s="52" t="s">
        <v>406</v>
      </c>
      <c r="D2594" s="87" t="s">
        <v>6076</v>
      </c>
      <c r="E2594" s="89" t="s">
        <v>6308</v>
      </c>
      <c r="F2594" s="89" t="s">
        <v>432</v>
      </c>
      <c r="G2594" s="89" t="s">
        <v>26</v>
      </c>
      <c r="H2594" s="89" t="s">
        <v>6309</v>
      </c>
      <c r="I2594" s="89" t="s">
        <v>3001</v>
      </c>
      <c r="J2594" s="95">
        <v>1</v>
      </c>
      <c r="K2594" s="95">
        <v>14</v>
      </c>
      <c r="L2594" s="149"/>
      <c r="M2594" s="146" t="s">
        <v>44</v>
      </c>
      <c r="N2594" s="149"/>
      <c r="O2594" s="149">
        <v>35</v>
      </c>
      <c r="P2594" s="149"/>
      <c r="Q2594" s="149"/>
      <c r="R2594" s="149"/>
      <c r="S2594" s="149"/>
      <c r="T2594" s="149"/>
      <c r="U2594" s="149"/>
      <c r="V2594" s="89"/>
      <c r="W2594" s="91"/>
      <c r="X2594" s="91"/>
      <c r="Y2594" s="91"/>
    </row>
    <row r="2595" spans="1:25" s="26" customFormat="1" ht="15" customHeight="1" x14ac:dyDescent="0.2">
      <c r="A2595" s="93">
        <v>41761.780879629601</v>
      </c>
      <c r="B2595" s="89" t="s">
        <v>16</v>
      </c>
      <c r="C2595" s="52" t="s">
        <v>406</v>
      </c>
      <c r="D2595" s="87" t="s">
        <v>6076</v>
      </c>
      <c r="E2595" s="89" t="s">
        <v>5495</v>
      </c>
      <c r="F2595" s="89" t="s">
        <v>4340</v>
      </c>
      <c r="G2595" s="89" t="s">
        <v>26</v>
      </c>
      <c r="H2595" s="89" t="s">
        <v>6310</v>
      </c>
      <c r="I2595" s="89" t="s">
        <v>3001</v>
      </c>
      <c r="J2595" s="95">
        <v>1</v>
      </c>
      <c r="K2595" s="95">
        <v>4</v>
      </c>
      <c r="L2595" s="149"/>
      <c r="M2595" s="146" t="s">
        <v>44</v>
      </c>
      <c r="N2595" s="149"/>
      <c r="O2595" s="149">
        <v>20</v>
      </c>
      <c r="P2595" s="149"/>
      <c r="Q2595" s="149"/>
      <c r="R2595" s="149"/>
      <c r="S2595" s="149"/>
      <c r="T2595" s="149"/>
      <c r="U2595" s="149"/>
      <c r="V2595" s="89"/>
      <c r="W2595" s="91"/>
      <c r="X2595" s="91"/>
      <c r="Y2595" s="91"/>
    </row>
    <row r="2596" spans="1:25" s="26" customFormat="1" ht="15" customHeight="1" x14ac:dyDescent="0.2">
      <c r="A2596" s="93">
        <v>41761.783194444397</v>
      </c>
      <c r="B2596" s="89" t="s">
        <v>16</v>
      </c>
      <c r="C2596" s="52" t="s">
        <v>406</v>
      </c>
      <c r="D2596" s="87" t="s">
        <v>6076</v>
      </c>
      <c r="E2596" s="89" t="s">
        <v>5473</v>
      </c>
      <c r="F2596" s="89" t="s">
        <v>429</v>
      </c>
      <c r="G2596" s="89" t="s">
        <v>26</v>
      </c>
      <c r="H2596" s="89" t="s">
        <v>430</v>
      </c>
      <c r="I2596" s="89" t="s">
        <v>3001</v>
      </c>
      <c r="J2596" s="95">
        <v>1</v>
      </c>
      <c r="K2596" s="95">
        <v>0</v>
      </c>
      <c r="L2596" s="149"/>
      <c r="M2596" s="146" t="s">
        <v>22</v>
      </c>
      <c r="N2596" s="149"/>
      <c r="O2596" s="149"/>
      <c r="P2596" s="149"/>
      <c r="Q2596" s="149"/>
      <c r="R2596" s="149"/>
      <c r="S2596" s="149"/>
      <c r="T2596" s="149"/>
      <c r="U2596" s="149"/>
      <c r="V2596" s="89" t="s">
        <v>6311</v>
      </c>
      <c r="W2596" s="91"/>
      <c r="X2596" s="91"/>
      <c r="Y2596" s="91"/>
    </row>
    <row r="2597" spans="1:25" s="26" customFormat="1" ht="15" customHeight="1" x14ac:dyDescent="0.2">
      <c r="A2597" s="55">
        <v>41763.473472222198</v>
      </c>
      <c r="B2597" s="52" t="s">
        <v>16</v>
      </c>
      <c r="C2597" s="52" t="s">
        <v>406</v>
      </c>
      <c r="D2597" s="88" t="s">
        <v>6076</v>
      </c>
      <c r="E2597" s="52" t="s">
        <v>6316</v>
      </c>
      <c r="F2597" s="52" t="s">
        <v>6317</v>
      </c>
      <c r="G2597" s="52" t="s">
        <v>20</v>
      </c>
      <c r="H2597" s="52" t="s">
        <v>6318</v>
      </c>
      <c r="I2597" s="52" t="s">
        <v>3001</v>
      </c>
      <c r="J2597" s="95">
        <v>2</v>
      </c>
      <c r="K2597" s="95">
        <v>22</v>
      </c>
      <c r="L2597" s="149">
        <v>44</v>
      </c>
      <c r="M2597" s="146" t="s">
        <v>22</v>
      </c>
      <c r="N2597" s="149"/>
      <c r="O2597" s="149"/>
      <c r="P2597" s="149"/>
      <c r="Q2597" s="149"/>
      <c r="R2597" s="149"/>
      <c r="S2597" s="149"/>
      <c r="T2597" s="149"/>
      <c r="U2597" s="149"/>
      <c r="V2597" s="52"/>
    </row>
    <row r="2598" spans="1:25" s="26" customFormat="1" ht="15" customHeight="1" x14ac:dyDescent="0.2">
      <c r="A2598" s="55">
        <v>41763.478252314802</v>
      </c>
      <c r="B2598" s="52" t="s">
        <v>16</v>
      </c>
      <c r="C2598" s="52" t="s">
        <v>406</v>
      </c>
      <c r="D2598" s="88" t="s">
        <v>6076</v>
      </c>
      <c r="E2598" s="89" t="s">
        <v>6319</v>
      </c>
      <c r="F2598" s="89" t="s">
        <v>6320</v>
      </c>
      <c r="G2598" s="52" t="s">
        <v>351</v>
      </c>
      <c r="H2598" s="89" t="s">
        <v>6321</v>
      </c>
      <c r="I2598" s="89" t="s">
        <v>3001</v>
      </c>
      <c r="J2598" s="95">
        <v>2</v>
      </c>
      <c r="K2598" s="95">
        <v>150</v>
      </c>
      <c r="L2598" s="149">
        <v>200</v>
      </c>
      <c r="M2598" s="146" t="s">
        <v>22</v>
      </c>
      <c r="N2598" s="149"/>
      <c r="O2598" s="149"/>
      <c r="P2598" s="149"/>
      <c r="Q2598" s="149"/>
      <c r="R2598" s="149"/>
      <c r="S2598" s="149"/>
      <c r="T2598" s="149"/>
      <c r="U2598" s="149"/>
      <c r="V2598" s="52"/>
    </row>
    <row r="2599" spans="1:25" s="26" customFormat="1" ht="15" customHeight="1" x14ac:dyDescent="0.2">
      <c r="A2599" s="93">
        <v>41763.479456018496</v>
      </c>
      <c r="B2599" s="89" t="s">
        <v>16</v>
      </c>
      <c r="C2599" s="52" t="s">
        <v>406</v>
      </c>
      <c r="D2599" s="87" t="s">
        <v>6076</v>
      </c>
      <c r="E2599" s="89" t="s">
        <v>4793</v>
      </c>
      <c r="F2599" s="89" t="s">
        <v>6322</v>
      </c>
      <c r="G2599" s="89" t="s">
        <v>156</v>
      </c>
      <c r="H2599" s="89" t="s">
        <v>6323</v>
      </c>
      <c r="I2599" s="89" t="s">
        <v>3001</v>
      </c>
      <c r="J2599" s="95">
        <v>1</v>
      </c>
      <c r="K2599" s="95">
        <v>63</v>
      </c>
      <c r="L2599" s="149">
        <v>174</v>
      </c>
      <c r="M2599" s="146" t="s">
        <v>44</v>
      </c>
      <c r="N2599" s="149"/>
      <c r="O2599" s="149">
        <v>315</v>
      </c>
      <c r="P2599" s="149"/>
      <c r="Q2599" s="149"/>
      <c r="R2599" s="149"/>
      <c r="S2599" s="149"/>
      <c r="T2599" s="149"/>
      <c r="U2599" s="149"/>
      <c r="V2599" s="89" t="s">
        <v>6324</v>
      </c>
      <c r="W2599" s="91"/>
      <c r="X2599" s="91"/>
      <c r="Y2599" s="91"/>
    </row>
    <row r="2600" spans="1:25" s="26" customFormat="1" ht="15" customHeight="1" x14ac:dyDescent="0.2">
      <c r="A2600" s="55">
        <v>41763.480127314797</v>
      </c>
      <c r="B2600" s="52" t="s">
        <v>16</v>
      </c>
      <c r="C2600" s="52" t="s">
        <v>406</v>
      </c>
      <c r="D2600" s="88" t="s">
        <v>6076</v>
      </c>
      <c r="E2600" s="89" t="s">
        <v>1863</v>
      </c>
      <c r="F2600" s="89" t="s">
        <v>6325</v>
      </c>
      <c r="G2600" s="52" t="s">
        <v>351</v>
      </c>
      <c r="H2600" s="89" t="s">
        <v>6326</v>
      </c>
      <c r="I2600" s="89" t="s">
        <v>3001</v>
      </c>
      <c r="J2600" s="95">
        <v>1</v>
      </c>
      <c r="K2600" s="95">
        <v>400</v>
      </c>
      <c r="L2600" s="149"/>
      <c r="M2600" s="146" t="s">
        <v>22</v>
      </c>
      <c r="N2600" s="149"/>
      <c r="O2600" s="149"/>
      <c r="P2600" s="149"/>
      <c r="Q2600" s="149"/>
      <c r="R2600" s="149"/>
      <c r="S2600" s="149"/>
      <c r="T2600" s="149"/>
      <c r="U2600" s="149"/>
      <c r="V2600" s="52"/>
    </row>
    <row r="2601" spans="1:25" s="26" customFormat="1" ht="15" customHeight="1" x14ac:dyDescent="0.2">
      <c r="A2601" s="55">
        <v>41763.481145833299</v>
      </c>
      <c r="B2601" s="52" t="s">
        <v>16</v>
      </c>
      <c r="C2601" s="52" t="s">
        <v>406</v>
      </c>
      <c r="D2601" s="88" t="s">
        <v>6076</v>
      </c>
      <c r="E2601" s="52" t="s">
        <v>6327</v>
      </c>
      <c r="F2601" s="52" t="s">
        <v>5549</v>
      </c>
      <c r="G2601" s="52" t="s">
        <v>20</v>
      </c>
      <c r="H2601" s="52" t="s">
        <v>6328</v>
      </c>
      <c r="I2601" s="52" t="s">
        <v>3001</v>
      </c>
      <c r="J2601" s="95">
        <v>2</v>
      </c>
      <c r="K2601" s="95">
        <v>149</v>
      </c>
      <c r="L2601" s="149">
        <v>596</v>
      </c>
      <c r="M2601" s="146" t="s">
        <v>22</v>
      </c>
      <c r="N2601" s="149"/>
      <c r="O2601" s="149"/>
      <c r="P2601" s="149"/>
      <c r="Q2601" s="149"/>
      <c r="R2601" s="149"/>
      <c r="S2601" s="149"/>
      <c r="T2601" s="149"/>
      <c r="U2601" s="149"/>
      <c r="V2601" s="52"/>
    </row>
    <row r="2602" spans="1:25" s="26" customFormat="1" ht="15" customHeight="1" x14ac:dyDescent="0.2">
      <c r="A2602" s="55">
        <v>41763.4819907407</v>
      </c>
      <c r="B2602" s="52" t="s">
        <v>16</v>
      </c>
      <c r="C2602" s="52" t="s">
        <v>406</v>
      </c>
      <c r="D2602" s="88" t="s">
        <v>6076</v>
      </c>
      <c r="E2602" s="52" t="s">
        <v>6327</v>
      </c>
      <c r="F2602" s="52" t="s">
        <v>6329</v>
      </c>
      <c r="G2602" s="52" t="s">
        <v>20</v>
      </c>
      <c r="H2602" s="52" t="s">
        <v>6330</v>
      </c>
      <c r="I2602" s="52" t="s">
        <v>3001</v>
      </c>
      <c r="J2602" s="95">
        <v>1</v>
      </c>
      <c r="K2602" s="95">
        <v>9</v>
      </c>
      <c r="L2602" s="149">
        <v>18</v>
      </c>
      <c r="M2602" s="146" t="s">
        <v>44</v>
      </c>
      <c r="N2602" s="149"/>
      <c r="O2602" s="149">
        <v>15</v>
      </c>
      <c r="P2602" s="149"/>
      <c r="Q2602" s="149"/>
      <c r="R2602" s="149"/>
      <c r="S2602" s="149"/>
      <c r="T2602" s="149"/>
      <c r="U2602" s="149"/>
      <c r="V2602" s="52"/>
    </row>
    <row r="2603" spans="1:25" s="26" customFormat="1" ht="15" customHeight="1" x14ac:dyDescent="0.2">
      <c r="A2603" s="55">
        <v>41763.482673611099</v>
      </c>
      <c r="B2603" s="52" t="s">
        <v>16</v>
      </c>
      <c r="C2603" s="52" t="s">
        <v>406</v>
      </c>
      <c r="D2603" s="88" t="s">
        <v>6076</v>
      </c>
      <c r="E2603" s="52" t="s">
        <v>503</v>
      </c>
      <c r="F2603" s="52" t="s">
        <v>6331</v>
      </c>
      <c r="G2603" s="52" t="s">
        <v>20</v>
      </c>
      <c r="H2603" s="52" t="s">
        <v>6332</v>
      </c>
      <c r="I2603" s="52" t="s">
        <v>3001</v>
      </c>
      <c r="J2603" s="95">
        <v>1</v>
      </c>
      <c r="K2603" s="95">
        <v>20</v>
      </c>
      <c r="L2603" s="149">
        <v>40</v>
      </c>
      <c r="M2603" s="146" t="s">
        <v>22</v>
      </c>
      <c r="N2603" s="149"/>
      <c r="O2603" s="149"/>
      <c r="P2603" s="149"/>
      <c r="Q2603" s="149"/>
      <c r="R2603" s="149"/>
      <c r="S2603" s="149"/>
      <c r="T2603" s="149"/>
      <c r="U2603" s="149"/>
      <c r="V2603" s="52"/>
    </row>
    <row r="2604" spans="1:25" s="26" customFormat="1" ht="15" customHeight="1" x14ac:dyDescent="0.2">
      <c r="A2604" s="93">
        <v>41798.615960648101</v>
      </c>
      <c r="B2604" s="89" t="s">
        <v>38</v>
      </c>
      <c r="C2604" s="52" t="s">
        <v>995</v>
      </c>
      <c r="D2604" s="87" t="s">
        <v>6224</v>
      </c>
      <c r="E2604" s="89" t="s">
        <v>7388</v>
      </c>
      <c r="F2604" s="89" t="s">
        <v>2918</v>
      </c>
      <c r="G2604" s="89" t="s">
        <v>26</v>
      </c>
      <c r="H2604" s="89" t="s">
        <v>7422</v>
      </c>
      <c r="I2604" s="89"/>
      <c r="J2604" s="95">
        <v>1</v>
      </c>
      <c r="K2604" s="95">
        <v>13</v>
      </c>
      <c r="L2604" s="150">
        <v>234</v>
      </c>
      <c r="M2604" s="146" t="s">
        <v>44</v>
      </c>
      <c r="N2604" s="149"/>
      <c r="O2604" s="149">
        <v>30</v>
      </c>
      <c r="P2604" s="149">
        <v>32</v>
      </c>
      <c r="Q2604" s="149"/>
      <c r="R2604" s="149"/>
      <c r="S2604" s="149"/>
      <c r="T2604" s="149"/>
      <c r="U2604" s="149"/>
      <c r="V2604" s="89"/>
      <c r="W2604" s="91"/>
      <c r="X2604" s="91"/>
      <c r="Y2604" s="91"/>
    </row>
    <row r="2605" spans="1:25" s="26" customFormat="1" ht="15" customHeight="1" x14ac:dyDescent="0.2">
      <c r="A2605" s="93">
        <v>41798.6254976852</v>
      </c>
      <c r="B2605" s="89" t="s">
        <v>38</v>
      </c>
      <c r="C2605" s="52" t="s">
        <v>995</v>
      </c>
      <c r="D2605" s="87" t="s">
        <v>6224</v>
      </c>
      <c r="E2605" s="89" t="s">
        <v>7423</v>
      </c>
      <c r="F2605" s="89" t="s">
        <v>1004</v>
      </c>
      <c r="G2605" s="89" t="s">
        <v>26</v>
      </c>
      <c r="H2605" s="89" t="s">
        <v>7424</v>
      </c>
      <c r="I2605" s="89" t="s">
        <v>2812</v>
      </c>
      <c r="J2605" s="95">
        <v>1</v>
      </c>
      <c r="K2605" s="95">
        <v>12</v>
      </c>
      <c r="L2605" s="150">
        <v>60</v>
      </c>
      <c r="M2605" s="146" t="s">
        <v>44</v>
      </c>
      <c r="N2605" s="149"/>
      <c r="O2605" s="149">
        <v>25</v>
      </c>
      <c r="P2605" s="149">
        <v>34</v>
      </c>
      <c r="Q2605" s="149"/>
      <c r="R2605" s="149"/>
      <c r="S2605" s="149"/>
      <c r="T2605" s="149"/>
      <c r="U2605" s="149"/>
      <c r="V2605" s="89"/>
      <c r="W2605" s="91"/>
      <c r="X2605" s="91"/>
      <c r="Y2605" s="91"/>
    </row>
    <row r="2606" spans="1:25" s="26" customFormat="1" ht="15" customHeight="1" x14ac:dyDescent="0.2">
      <c r="A2606" s="93">
        <v>41798.626516203702</v>
      </c>
      <c r="B2606" s="89" t="s">
        <v>38</v>
      </c>
      <c r="C2606" s="52" t="s">
        <v>995</v>
      </c>
      <c r="D2606" s="87" t="s">
        <v>6224</v>
      </c>
      <c r="E2606" s="89" t="s">
        <v>7425</v>
      </c>
      <c r="F2606" s="89" t="s">
        <v>7426</v>
      </c>
      <c r="G2606" s="89" t="s">
        <v>26</v>
      </c>
      <c r="H2606" s="89" t="s">
        <v>7427</v>
      </c>
      <c r="I2606" s="89" t="s">
        <v>3265</v>
      </c>
      <c r="J2606" s="95">
        <v>1</v>
      </c>
      <c r="K2606" s="95">
        <v>14</v>
      </c>
      <c r="L2606" s="150">
        <v>70</v>
      </c>
      <c r="M2606" s="146" t="s">
        <v>44</v>
      </c>
      <c r="N2606" s="149"/>
      <c r="O2606" s="149">
        <v>25</v>
      </c>
      <c r="P2606" s="149">
        <v>29</v>
      </c>
      <c r="Q2606" s="149"/>
      <c r="R2606" s="149"/>
      <c r="S2606" s="149"/>
      <c r="T2606" s="149"/>
      <c r="U2606" s="149"/>
      <c r="V2606" s="89"/>
      <c r="W2606" s="91"/>
      <c r="X2606" s="91"/>
      <c r="Y2606" s="91"/>
    </row>
    <row r="2607" spans="1:25" s="26" customFormat="1" ht="15" customHeight="1" x14ac:dyDescent="0.2">
      <c r="A2607" s="93">
        <v>41798.627824074101</v>
      </c>
      <c r="B2607" s="94" t="s">
        <v>38</v>
      </c>
      <c r="C2607" s="56" t="s">
        <v>995</v>
      </c>
      <c r="D2607" s="87">
        <v>41760</v>
      </c>
      <c r="E2607" s="89" t="s">
        <v>7428</v>
      </c>
      <c r="F2607" s="89" t="s">
        <v>197</v>
      </c>
      <c r="G2607" s="89" t="s">
        <v>26</v>
      </c>
      <c r="H2607" s="94" t="s">
        <v>6791</v>
      </c>
      <c r="I2607" s="89" t="s">
        <v>2986</v>
      </c>
      <c r="J2607" s="95">
        <v>1</v>
      </c>
      <c r="K2607" s="95">
        <v>16</v>
      </c>
      <c r="L2607" s="150">
        <v>240</v>
      </c>
      <c r="M2607" s="146" t="s">
        <v>44</v>
      </c>
      <c r="N2607" s="149"/>
      <c r="O2607" s="149">
        <v>30</v>
      </c>
      <c r="P2607" s="149"/>
      <c r="Q2607" s="149"/>
      <c r="R2607" s="149"/>
      <c r="S2607" s="149"/>
      <c r="T2607" s="149"/>
      <c r="U2607" s="149"/>
      <c r="V2607" s="89"/>
      <c r="W2607" s="91"/>
      <c r="X2607" s="91"/>
      <c r="Y2607" s="91"/>
    </row>
    <row r="2608" spans="1:25" s="26" customFormat="1" ht="15" customHeight="1" x14ac:dyDescent="0.2">
      <c r="A2608" s="93">
        <v>41798.632199074098</v>
      </c>
      <c r="B2608" s="89" t="s">
        <v>38</v>
      </c>
      <c r="C2608" s="52" t="s">
        <v>995</v>
      </c>
      <c r="D2608" s="87" t="s">
        <v>6224</v>
      </c>
      <c r="E2608" s="89" t="s">
        <v>7392</v>
      </c>
      <c r="F2608" s="89" t="s">
        <v>7429</v>
      </c>
      <c r="G2608" s="89" t="s">
        <v>26</v>
      </c>
      <c r="H2608" s="89" t="s">
        <v>7430</v>
      </c>
      <c r="I2608" s="89" t="s">
        <v>2986</v>
      </c>
      <c r="J2608" s="95">
        <v>1</v>
      </c>
      <c r="K2608" s="95">
        <v>4</v>
      </c>
      <c r="L2608" s="150">
        <v>60</v>
      </c>
      <c r="M2608" s="146" t="s">
        <v>44</v>
      </c>
      <c r="N2608" s="149"/>
      <c r="O2608" s="149">
        <v>5</v>
      </c>
      <c r="P2608" s="149">
        <v>12</v>
      </c>
      <c r="Q2608" s="149"/>
      <c r="R2608" s="149"/>
      <c r="S2608" s="149"/>
      <c r="T2608" s="149"/>
      <c r="U2608" s="149"/>
      <c r="V2608" s="89"/>
      <c r="W2608" s="91"/>
      <c r="X2608" s="91"/>
      <c r="Y2608" s="91"/>
    </row>
    <row r="2609" spans="1:25" s="26" customFormat="1" ht="15" customHeight="1" x14ac:dyDescent="0.2">
      <c r="A2609" s="93">
        <v>41798.6336689815</v>
      </c>
      <c r="B2609" s="89" t="s">
        <v>38</v>
      </c>
      <c r="C2609" s="52" t="s">
        <v>995</v>
      </c>
      <c r="D2609" s="87" t="s">
        <v>6224</v>
      </c>
      <c r="E2609" s="89" t="s">
        <v>7393</v>
      </c>
      <c r="F2609" s="89" t="s">
        <v>7431</v>
      </c>
      <c r="G2609" s="89" t="s">
        <v>26</v>
      </c>
      <c r="H2609" s="89" t="s">
        <v>7432</v>
      </c>
      <c r="I2609" s="89" t="s">
        <v>2812</v>
      </c>
      <c r="J2609" s="95">
        <v>1</v>
      </c>
      <c r="K2609" s="95">
        <v>4</v>
      </c>
      <c r="L2609" s="150">
        <v>20</v>
      </c>
      <c r="M2609" s="146" t="s">
        <v>44</v>
      </c>
      <c r="N2609" s="149"/>
      <c r="O2609" s="149"/>
      <c r="P2609" s="149">
        <v>15</v>
      </c>
      <c r="Q2609" s="149"/>
      <c r="R2609" s="149"/>
      <c r="S2609" s="149"/>
      <c r="T2609" s="149"/>
      <c r="U2609" s="149"/>
      <c r="V2609" s="89"/>
      <c r="W2609" s="91"/>
      <c r="X2609" s="91"/>
      <c r="Y2609" s="91"/>
    </row>
    <row r="2610" spans="1:25" s="26" customFormat="1" ht="15" customHeight="1" x14ac:dyDescent="0.2">
      <c r="A2610" s="93">
        <v>41798.635879629597</v>
      </c>
      <c r="B2610" s="89" t="s">
        <v>38</v>
      </c>
      <c r="C2610" s="52" t="s">
        <v>995</v>
      </c>
      <c r="D2610" s="87" t="s">
        <v>6224</v>
      </c>
      <c r="E2610" s="89" t="s">
        <v>7433</v>
      </c>
      <c r="F2610" s="89" t="s">
        <v>1019</v>
      </c>
      <c r="G2610" s="89" t="s">
        <v>26</v>
      </c>
      <c r="H2610" s="89" t="s">
        <v>7434</v>
      </c>
      <c r="I2610" s="89" t="s">
        <v>2986</v>
      </c>
      <c r="J2610" s="95">
        <v>1</v>
      </c>
      <c r="K2610" s="95">
        <v>12</v>
      </c>
      <c r="L2610" s="150">
        <v>216</v>
      </c>
      <c r="M2610" s="146" t="s">
        <v>44</v>
      </c>
      <c r="N2610" s="149"/>
      <c r="O2610" s="149">
        <v>25</v>
      </c>
      <c r="P2610" s="149">
        <v>45</v>
      </c>
      <c r="Q2610" s="149"/>
      <c r="R2610" s="149"/>
      <c r="S2610" s="149"/>
      <c r="T2610" s="149"/>
      <c r="U2610" s="149"/>
      <c r="V2610" s="89"/>
      <c r="W2610" s="91"/>
      <c r="X2610" s="91"/>
      <c r="Y2610" s="91"/>
    </row>
    <row r="2611" spans="1:25" s="26" customFormat="1" ht="15" customHeight="1" x14ac:dyDescent="0.2">
      <c r="A2611" s="93">
        <v>41798.637418981503</v>
      </c>
      <c r="B2611" s="89" t="s">
        <v>38</v>
      </c>
      <c r="C2611" s="52" t="s">
        <v>995</v>
      </c>
      <c r="D2611" s="87" t="s">
        <v>6224</v>
      </c>
      <c r="E2611" s="89" t="s">
        <v>7435</v>
      </c>
      <c r="F2611" s="89" t="s">
        <v>7436</v>
      </c>
      <c r="G2611" s="89" t="s">
        <v>26</v>
      </c>
      <c r="H2611" s="89" t="s">
        <v>7414</v>
      </c>
      <c r="I2611" s="89" t="s">
        <v>4874</v>
      </c>
      <c r="J2611" s="95">
        <v>1</v>
      </c>
      <c r="K2611" s="95">
        <v>2</v>
      </c>
      <c r="L2611" s="150">
        <v>30</v>
      </c>
      <c r="M2611" s="146" t="s">
        <v>44</v>
      </c>
      <c r="N2611" s="149"/>
      <c r="O2611" s="149">
        <v>5</v>
      </c>
      <c r="P2611" s="149"/>
      <c r="Q2611" s="149"/>
      <c r="R2611" s="149"/>
      <c r="S2611" s="149"/>
      <c r="T2611" s="149"/>
      <c r="U2611" s="149"/>
      <c r="V2611" s="89"/>
      <c r="W2611" s="91"/>
      <c r="X2611" s="91"/>
      <c r="Y2611" s="91"/>
    </row>
    <row r="2612" spans="1:25" s="26" customFormat="1" ht="15" customHeight="1" x14ac:dyDescent="0.2">
      <c r="A2612" s="93">
        <v>41798.638981481497</v>
      </c>
      <c r="B2612" s="89" t="s">
        <v>38</v>
      </c>
      <c r="C2612" s="52" t="s">
        <v>995</v>
      </c>
      <c r="D2612" s="87" t="s">
        <v>6224</v>
      </c>
      <c r="E2612" s="89" t="s">
        <v>4432</v>
      </c>
      <c r="F2612" s="89" t="s">
        <v>7437</v>
      </c>
      <c r="G2612" s="89" t="s">
        <v>26</v>
      </c>
      <c r="H2612" s="89" t="s">
        <v>7438</v>
      </c>
      <c r="I2612" s="89" t="s">
        <v>4874</v>
      </c>
      <c r="J2612" s="95">
        <v>1</v>
      </c>
      <c r="K2612" s="95">
        <v>9</v>
      </c>
      <c r="L2612" s="150">
        <v>54</v>
      </c>
      <c r="M2612" s="146" t="s">
        <v>44</v>
      </c>
      <c r="N2612" s="149"/>
      <c r="O2612" s="149">
        <v>15</v>
      </c>
      <c r="P2612" s="149"/>
      <c r="Q2612" s="149"/>
      <c r="R2612" s="149"/>
      <c r="S2612" s="149"/>
      <c r="T2612" s="149"/>
      <c r="U2612" s="149"/>
      <c r="V2612" s="89"/>
      <c r="W2612" s="91"/>
      <c r="X2612" s="91"/>
      <c r="Y2612" s="91"/>
    </row>
    <row r="2613" spans="1:25" s="26" customFormat="1" ht="15" customHeight="1" x14ac:dyDescent="0.2">
      <c r="A2613" s="93">
        <v>41798.640590277799</v>
      </c>
      <c r="B2613" s="89" t="s">
        <v>38</v>
      </c>
      <c r="C2613" s="52" t="s">
        <v>995</v>
      </c>
      <c r="D2613" s="87" t="s">
        <v>6224</v>
      </c>
      <c r="E2613" s="89" t="s">
        <v>1142</v>
      </c>
      <c r="F2613" s="89" t="s">
        <v>4910</v>
      </c>
      <c r="G2613" s="94" t="s">
        <v>26</v>
      </c>
      <c r="H2613" s="89" t="s">
        <v>7439</v>
      </c>
      <c r="I2613" s="89" t="s">
        <v>2812</v>
      </c>
      <c r="J2613" s="95">
        <v>1</v>
      </c>
      <c r="K2613" s="95">
        <v>1</v>
      </c>
      <c r="L2613" s="150">
        <v>15</v>
      </c>
      <c r="M2613" s="146" t="s">
        <v>44</v>
      </c>
      <c r="N2613" s="149"/>
      <c r="O2613" s="149">
        <v>5</v>
      </c>
      <c r="P2613" s="149">
        <v>6</v>
      </c>
      <c r="Q2613" s="149"/>
      <c r="R2613" s="149"/>
      <c r="S2613" s="149"/>
      <c r="T2613" s="149"/>
      <c r="U2613" s="149"/>
      <c r="V2613" s="89"/>
      <c r="W2613" s="91"/>
      <c r="X2613" s="91"/>
      <c r="Y2613" s="91"/>
    </row>
    <row r="2614" spans="1:25" s="26" customFormat="1" ht="15" customHeight="1" x14ac:dyDescent="0.2">
      <c r="A2614" s="93">
        <v>41798.643275463</v>
      </c>
      <c r="B2614" s="89" t="s">
        <v>38</v>
      </c>
      <c r="C2614" s="52" t="s">
        <v>995</v>
      </c>
      <c r="D2614" s="87" t="s">
        <v>6224</v>
      </c>
      <c r="E2614" s="89" t="s">
        <v>1142</v>
      </c>
      <c r="F2614" s="89" t="s">
        <v>1019</v>
      </c>
      <c r="G2614" s="89" t="s">
        <v>26</v>
      </c>
      <c r="H2614" s="89" t="s">
        <v>7440</v>
      </c>
      <c r="I2614" s="89" t="s">
        <v>2986</v>
      </c>
      <c r="J2614" s="95">
        <v>1</v>
      </c>
      <c r="K2614" s="95">
        <v>12</v>
      </c>
      <c r="L2614" s="150">
        <v>216</v>
      </c>
      <c r="M2614" s="146" t="s">
        <v>44</v>
      </c>
      <c r="N2614" s="149"/>
      <c r="O2614" s="149">
        <v>25</v>
      </c>
      <c r="P2614" s="149">
        <v>6</v>
      </c>
      <c r="Q2614" s="149"/>
      <c r="R2614" s="149"/>
      <c r="S2614" s="149"/>
      <c r="T2614" s="149"/>
      <c r="U2614" s="149"/>
      <c r="V2614" s="89"/>
      <c r="W2614" s="91"/>
      <c r="X2614" s="91"/>
      <c r="Y2614" s="91"/>
    </row>
    <row r="2615" spans="1:25" s="26" customFormat="1" ht="15" customHeight="1" x14ac:dyDescent="0.2">
      <c r="A2615" s="93">
        <v>41798.799062500002</v>
      </c>
      <c r="B2615" s="89" t="s">
        <v>16</v>
      </c>
      <c r="C2615" s="52" t="s">
        <v>17</v>
      </c>
      <c r="D2615" s="87" t="s">
        <v>6224</v>
      </c>
      <c r="E2615" s="89" t="s">
        <v>7443</v>
      </c>
      <c r="F2615" s="89" t="s">
        <v>7444</v>
      </c>
      <c r="G2615" s="89" t="s">
        <v>20</v>
      </c>
      <c r="H2615" s="89"/>
      <c r="I2615" s="89" t="s">
        <v>2926</v>
      </c>
      <c r="J2615" s="95">
        <v>2</v>
      </c>
      <c r="K2615" s="95">
        <v>75</v>
      </c>
      <c r="L2615" s="150"/>
      <c r="M2615" s="146" t="s">
        <v>22</v>
      </c>
      <c r="N2615" s="149"/>
      <c r="O2615" s="149"/>
      <c r="P2615" s="149"/>
      <c r="Q2615" s="149"/>
      <c r="R2615" s="149"/>
      <c r="S2615" s="149"/>
      <c r="T2615" s="149"/>
      <c r="U2615" s="149"/>
      <c r="V2615" s="89"/>
      <c r="W2615" s="91"/>
      <c r="X2615" s="91"/>
      <c r="Y2615" s="91"/>
    </row>
    <row r="2616" spans="1:25" s="26" customFormat="1" ht="15" customHeight="1" x14ac:dyDescent="0.2">
      <c r="A2616" s="93">
        <v>41798.800393518497</v>
      </c>
      <c r="B2616" s="89" t="s">
        <v>16</v>
      </c>
      <c r="C2616" s="52" t="s">
        <v>17</v>
      </c>
      <c r="D2616" s="87" t="s">
        <v>6224</v>
      </c>
      <c r="E2616" s="89" t="s">
        <v>7445</v>
      </c>
      <c r="F2616" s="89" t="s">
        <v>7444</v>
      </c>
      <c r="G2616" s="89" t="s">
        <v>20</v>
      </c>
      <c r="H2616" s="89" t="s">
        <v>7446</v>
      </c>
      <c r="I2616" s="89" t="s">
        <v>2926</v>
      </c>
      <c r="J2616" s="95">
        <v>2</v>
      </c>
      <c r="K2616" s="95">
        <v>45</v>
      </c>
      <c r="L2616" s="150"/>
      <c r="M2616" s="146" t="s">
        <v>22</v>
      </c>
      <c r="N2616" s="149"/>
      <c r="O2616" s="149"/>
      <c r="P2616" s="149"/>
      <c r="Q2616" s="149"/>
      <c r="R2616" s="149"/>
      <c r="S2616" s="149"/>
      <c r="T2616" s="149"/>
      <c r="U2616" s="149"/>
      <c r="V2616" s="89"/>
      <c r="W2616" s="91"/>
      <c r="X2616" s="91"/>
      <c r="Y2616" s="91"/>
    </row>
    <row r="2617" spans="1:25" s="26" customFormat="1" ht="15" customHeight="1" x14ac:dyDescent="0.2">
      <c r="A2617" s="93">
        <v>41798.8023032407</v>
      </c>
      <c r="B2617" s="89" t="s">
        <v>16</v>
      </c>
      <c r="C2617" s="52" t="s">
        <v>17</v>
      </c>
      <c r="D2617" s="87" t="s">
        <v>6224</v>
      </c>
      <c r="E2617" s="89" t="s">
        <v>7447</v>
      </c>
      <c r="F2617" s="89" t="s">
        <v>7448</v>
      </c>
      <c r="G2617" s="89" t="s">
        <v>20</v>
      </c>
      <c r="H2617" s="89" t="s">
        <v>7449</v>
      </c>
      <c r="I2617" s="89" t="s">
        <v>2925</v>
      </c>
      <c r="J2617" s="95">
        <v>1</v>
      </c>
      <c r="K2617" s="95">
        <v>12</v>
      </c>
      <c r="L2617" s="150"/>
      <c r="M2617" s="146" t="s">
        <v>22</v>
      </c>
      <c r="N2617" s="149"/>
      <c r="O2617" s="149"/>
      <c r="P2617" s="149"/>
      <c r="Q2617" s="149"/>
      <c r="R2617" s="149"/>
      <c r="S2617" s="149"/>
      <c r="T2617" s="149"/>
      <c r="U2617" s="149"/>
      <c r="V2617" s="89"/>
      <c r="W2617" s="91"/>
      <c r="X2617" s="91"/>
      <c r="Y2617" s="91"/>
    </row>
    <row r="2618" spans="1:25" s="26" customFormat="1" ht="15" customHeight="1" x14ac:dyDescent="0.2">
      <c r="A2618" s="93">
        <v>41798.804097222201</v>
      </c>
      <c r="B2618" s="89" t="s">
        <v>16</v>
      </c>
      <c r="C2618" s="52" t="s">
        <v>17</v>
      </c>
      <c r="D2618" s="87" t="s">
        <v>6224</v>
      </c>
      <c r="E2618" s="89" t="s">
        <v>7450</v>
      </c>
      <c r="F2618" s="89" t="s">
        <v>7451</v>
      </c>
      <c r="G2618" s="89" t="s">
        <v>20</v>
      </c>
      <c r="H2618" s="89" t="s">
        <v>7452</v>
      </c>
      <c r="I2618" s="89" t="s">
        <v>2925</v>
      </c>
      <c r="J2618" s="95">
        <v>2</v>
      </c>
      <c r="K2618" s="95">
        <v>120</v>
      </c>
      <c r="L2618" s="150"/>
      <c r="M2618" s="146" t="s">
        <v>22</v>
      </c>
      <c r="N2618" s="149"/>
      <c r="O2618" s="149"/>
      <c r="P2618" s="149"/>
      <c r="Q2618" s="149"/>
      <c r="R2618" s="149"/>
      <c r="S2618" s="149"/>
      <c r="T2618" s="149"/>
      <c r="U2618" s="149"/>
      <c r="V2618" s="89"/>
      <c r="W2618" s="91"/>
      <c r="X2618" s="91"/>
      <c r="Y2618" s="91"/>
    </row>
    <row r="2619" spans="1:25" s="26" customFormat="1" ht="15" customHeight="1" x14ac:dyDescent="0.2">
      <c r="A2619" s="93">
        <v>41798.868726851899</v>
      </c>
      <c r="B2619" s="89" t="s">
        <v>152</v>
      </c>
      <c r="C2619" s="52" t="s">
        <v>1100</v>
      </c>
      <c r="D2619" s="87" t="s">
        <v>6224</v>
      </c>
      <c r="E2619" s="89" t="s">
        <v>7453</v>
      </c>
      <c r="F2619" s="89" t="s">
        <v>7454</v>
      </c>
      <c r="G2619" s="89" t="s">
        <v>20</v>
      </c>
      <c r="H2619" s="89" t="s">
        <v>7455</v>
      </c>
      <c r="I2619" s="89" t="s">
        <v>2986</v>
      </c>
      <c r="J2619" s="95">
        <v>3</v>
      </c>
      <c r="K2619" s="95">
        <v>75</v>
      </c>
      <c r="L2619" s="150">
        <v>225</v>
      </c>
      <c r="M2619" s="146" t="s">
        <v>22</v>
      </c>
      <c r="N2619" s="149"/>
      <c r="O2619" s="149"/>
      <c r="P2619" s="149"/>
      <c r="Q2619" s="149"/>
      <c r="R2619" s="149"/>
      <c r="S2619" s="149"/>
      <c r="T2619" s="149"/>
      <c r="U2619" s="149"/>
      <c r="V2619" s="89"/>
      <c r="W2619" s="91"/>
      <c r="X2619" s="91"/>
      <c r="Y2619" s="91"/>
    </row>
    <row r="2620" spans="1:25" s="26" customFormat="1" ht="15" customHeight="1" x14ac:dyDescent="0.2">
      <c r="A2620" s="93">
        <v>41798.870266203703</v>
      </c>
      <c r="B2620" s="89" t="s">
        <v>152</v>
      </c>
      <c r="C2620" s="52" t="s">
        <v>1100</v>
      </c>
      <c r="D2620" s="87" t="s">
        <v>6224</v>
      </c>
      <c r="E2620" s="89" t="s">
        <v>7456</v>
      </c>
      <c r="F2620" s="89" t="s">
        <v>7457</v>
      </c>
      <c r="G2620" s="89" t="s">
        <v>20</v>
      </c>
      <c r="H2620" s="89" t="s">
        <v>5688</v>
      </c>
      <c r="I2620" s="89" t="s">
        <v>2986</v>
      </c>
      <c r="J2620" s="95">
        <v>3</v>
      </c>
      <c r="K2620" s="95">
        <v>85</v>
      </c>
      <c r="L2620" s="150">
        <v>255</v>
      </c>
      <c r="M2620" s="146" t="s">
        <v>22</v>
      </c>
      <c r="N2620" s="149"/>
      <c r="O2620" s="149"/>
      <c r="P2620" s="149"/>
      <c r="Q2620" s="149"/>
      <c r="R2620" s="149"/>
      <c r="S2620" s="149"/>
      <c r="T2620" s="149"/>
      <c r="U2620" s="149"/>
      <c r="V2620" s="89"/>
      <c r="W2620" s="91"/>
      <c r="X2620" s="91"/>
      <c r="Y2620" s="91"/>
    </row>
    <row r="2621" spans="1:25" s="26" customFormat="1" ht="15" customHeight="1" x14ac:dyDescent="0.2">
      <c r="A2621" s="93">
        <v>41798.871597222198</v>
      </c>
      <c r="B2621" s="89" t="s">
        <v>152</v>
      </c>
      <c r="C2621" s="52" t="s">
        <v>1100</v>
      </c>
      <c r="D2621" s="87" t="s">
        <v>6224</v>
      </c>
      <c r="E2621" s="89" t="s">
        <v>7367</v>
      </c>
      <c r="F2621" s="89" t="s">
        <v>7458</v>
      </c>
      <c r="G2621" s="89" t="s">
        <v>20</v>
      </c>
      <c r="H2621" s="89" t="s">
        <v>7459</v>
      </c>
      <c r="I2621" s="89" t="s">
        <v>2986</v>
      </c>
      <c r="J2621" s="95">
        <v>3</v>
      </c>
      <c r="K2621" s="95">
        <v>80</v>
      </c>
      <c r="L2621" s="150">
        <v>240</v>
      </c>
      <c r="M2621" s="146" t="s">
        <v>22</v>
      </c>
      <c r="N2621" s="149"/>
      <c r="O2621" s="149"/>
      <c r="P2621" s="149"/>
      <c r="Q2621" s="149"/>
      <c r="R2621" s="149"/>
      <c r="S2621" s="149"/>
      <c r="T2621" s="149"/>
      <c r="U2621" s="149"/>
      <c r="V2621" s="89"/>
      <c r="W2621" s="91"/>
      <c r="X2621" s="91"/>
      <c r="Y2621" s="91"/>
    </row>
    <row r="2622" spans="1:25" s="26" customFormat="1" ht="15" customHeight="1" x14ac:dyDescent="0.2">
      <c r="A2622" s="93">
        <v>41798.873124999998</v>
      </c>
      <c r="B2622" s="89" t="s">
        <v>152</v>
      </c>
      <c r="C2622" s="52" t="s">
        <v>1100</v>
      </c>
      <c r="D2622" s="87" t="s">
        <v>6224</v>
      </c>
      <c r="E2622" s="89" t="s">
        <v>1224</v>
      </c>
      <c r="F2622" s="89" t="s">
        <v>7460</v>
      </c>
      <c r="G2622" s="89" t="s">
        <v>20</v>
      </c>
      <c r="H2622" s="89" t="s">
        <v>7461</v>
      </c>
      <c r="I2622" s="89" t="s">
        <v>2986</v>
      </c>
      <c r="J2622" s="95">
        <v>3</v>
      </c>
      <c r="K2622" s="95">
        <v>28</v>
      </c>
      <c r="L2622" s="150">
        <v>84</v>
      </c>
      <c r="M2622" s="146" t="s">
        <v>22</v>
      </c>
      <c r="N2622" s="149"/>
      <c r="O2622" s="149"/>
      <c r="P2622" s="149"/>
      <c r="Q2622" s="149"/>
      <c r="R2622" s="149"/>
      <c r="S2622" s="149"/>
      <c r="T2622" s="149"/>
      <c r="U2622" s="149"/>
      <c r="V2622" s="89"/>
      <c r="W2622" s="91"/>
      <c r="X2622" s="91"/>
      <c r="Y2622" s="91"/>
    </row>
    <row r="2623" spans="1:25" s="26" customFormat="1" ht="15" customHeight="1" x14ac:dyDescent="0.2">
      <c r="A2623" s="93">
        <v>41798.874050925901</v>
      </c>
      <c r="B2623" s="89" t="s">
        <v>152</v>
      </c>
      <c r="C2623" s="52" t="s">
        <v>1100</v>
      </c>
      <c r="D2623" s="87" t="s">
        <v>6224</v>
      </c>
      <c r="E2623" s="89" t="s">
        <v>3335</v>
      </c>
      <c r="F2623" s="89" t="s">
        <v>7462</v>
      </c>
      <c r="G2623" s="89" t="s">
        <v>20</v>
      </c>
      <c r="H2623" s="89" t="s">
        <v>7463</v>
      </c>
      <c r="I2623" s="89"/>
      <c r="J2623" s="95">
        <v>2</v>
      </c>
      <c r="K2623" s="95">
        <v>90</v>
      </c>
      <c r="L2623" s="150"/>
      <c r="M2623" s="146" t="s">
        <v>22</v>
      </c>
      <c r="N2623" s="149"/>
      <c r="O2623" s="149"/>
      <c r="P2623" s="149"/>
      <c r="Q2623" s="149"/>
      <c r="R2623" s="149"/>
      <c r="S2623" s="149"/>
      <c r="T2623" s="149"/>
      <c r="U2623" s="149"/>
      <c r="V2623" s="89"/>
      <c r="W2623" s="91"/>
      <c r="X2623" s="91"/>
      <c r="Y2623" s="91"/>
    </row>
    <row r="2624" spans="1:25" s="26" customFormat="1" ht="15" customHeight="1" x14ac:dyDescent="0.2">
      <c r="A2624" s="93">
        <v>41798.875509259298</v>
      </c>
      <c r="B2624" s="89" t="s">
        <v>152</v>
      </c>
      <c r="C2624" s="52" t="s">
        <v>1100</v>
      </c>
      <c r="D2624" s="87" t="s">
        <v>6224</v>
      </c>
      <c r="E2624" s="89" t="s">
        <v>7453</v>
      </c>
      <c r="F2624" s="89" t="s">
        <v>7464</v>
      </c>
      <c r="G2624" s="89" t="s">
        <v>20</v>
      </c>
      <c r="H2624" s="89" t="s">
        <v>7465</v>
      </c>
      <c r="I2624" s="89" t="s">
        <v>2986</v>
      </c>
      <c r="J2624" s="95">
        <v>2</v>
      </c>
      <c r="K2624" s="95">
        <v>20</v>
      </c>
      <c r="L2624" s="150"/>
      <c r="M2624" s="146" t="s">
        <v>22</v>
      </c>
      <c r="N2624" s="149"/>
      <c r="O2624" s="149"/>
      <c r="P2624" s="149"/>
      <c r="Q2624" s="149"/>
      <c r="R2624" s="149"/>
      <c r="S2624" s="149"/>
      <c r="T2624" s="149"/>
      <c r="U2624" s="149"/>
      <c r="V2624" s="89"/>
      <c r="W2624" s="91"/>
      <c r="X2624" s="91"/>
      <c r="Y2624" s="91"/>
    </row>
    <row r="2625" spans="1:25" s="26" customFormat="1" ht="15" customHeight="1" x14ac:dyDescent="0.2">
      <c r="A2625" s="93">
        <v>41798.876516203702</v>
      </c>
      <c r="B2625" s="89" t="s">
        <v>152</v>
      </c>
      <c r="C2625" s="52" t="s">
        <v>1100</v>
      </c>
      <c r="D2625" s="87" t="s">
        <v>6224</v>
      </c>
      <c r="E2625" s="89" t="s">
        <v>1224</v>
      </c>
      <c r="F2625" s="89" t="s">
        <v>7466</v>
      </c>
      <c r="G2625" s="89" t="s">
        <v>20</v>
      </c>
      <c r="H2625" s="89" t="s">
        <v>7455</v>
      </c>
      <c r="I2625" s="89" t="s">
        <v>2986</v>
      </c>
      <c r="J2625" s="95">
        <v>3</v>
      </c>
      <c r="K2625" s="95">
        <v>13</v>
      </c>
      <c r="L2625" s="150">
        <v>39</v>
      </c>
      <c r="M2625" s="146" t="s">
        <v>22</v>
      </c>
      <c r="N2625" s="149"/>
      <c r="O2625" s="149"/>
      <c r="P2625" s="149"/>
      <c r="Q2625" s="149"/>
      <c r="R2625" s="149"/>
      <c r="S2625" s="149"/>
      <c r="T2625" s="149"/>
      <c r="U2625" s="149"/>
      <c r="V2625" s="89"/>
      <c r="W2625" s="91"/>
      <c r="X2625" s="91"/>
      <c r="Y2625" s="91"/>
    </row>
    <row r="2626" spans="1:25" s="26" customFormat="1" ht="15" customHeight="1" x14ac:dyDescent="0.2">
      <c r="A2626" s="93">
        <v>41798.877372685201</v>
      </c>
      <c r="B2626" s="89" t="s">
        <v>152</v>
      </c>
      <c r="C2626" s="52" t="s">
        <v>1100</v>
      </c>
      <c r="D2626" s="87" t="s">
        <v>6224</v>
      </c>
      <c r="E2626" s="89" t="s">
        <v>7453</v>
      </c>
      <c r="F2626" s="89" t="s">
        <v>7467</v>
      </c>
      <c r="G2626" s="89" t="s">
        <v>20</v>
      </c>
      <c r="H2626" s="89" t="s">
        <v>7463</v>
      </c>
      <c r="I2626" s="89" t="s">
        <v>2986</v>
      </c>
      <c r="J2626" s="95">
        <v>2</v>
      </c>
      <c r="K2626" s="95">
        <v>48</v>
      </c>
      <c r="L2626" s="150"/>
      <c r="M2626" s="146" t="s">
        <v>22</v>
      </c>
      <c r="N2626" s="149"/>
      <c r="O2626" s="149"/>
      <c r="P2626" s="149"/>
      <c r="Q2626" s="149"/>
      <c r="R2626" s="149"/>
      <c r="S2626" s="149"/>
      <c r="T2626" s="149"/>
      <c r="U2626" s="149"/>
      <c r="V2626" s="89"/>
      <c r="W2626" s="91"/>
      <c r="X2626" s="91"/>
      <c r="Y2626" s="91"/>
    </row>
    <row r="2627" spans="1:25" s="26" customFormat="1" ht="15" customHeight="1" x14ac:dyDescent="0.2">
      <c r="A2627" s="93">
        <v>41799.596620370401</v>
      </c>
      <c r="B2627" s="89" t="s">
        <v>38</v>
      </c>
      <c r="C2627" s="52" t="s">
        <v>39</v>
      </c>
      <c r="D2627" s="87" t="s">
        <v>6224</v>
      </c>
      <c r="E2627" s="89" t="s">
        <v>7468</v>
      </c>
      <c r="F2627" s="89" t="s">
        <v>7469</v>
      </c>
      <c r="G2627" s="89" t="s">
        <v>20</v>
      </c>
      <c r="H2627" s="89"/>
      <c r="I2627" s="89" t="s">
        <v>2986</v>
      </c>
      <c r="J2627" s="95">
        <v>1</v>
      </c>
      <c r="K2627" s="95">
        <v>146</v>
      </c>
      <c r="L2627" s="150">
        <v>760.58</v>
      </c>
      <c r="M2627" s="146" t="s">
        <v>44</v>
      </c>
      <c r="N2627" s="149">
        <v>760.58</v>
      </c>
      <c r="O2627" s="149"/>
      <c r="P2627" s="149"/>
      <c r="Q2627" s="149"/>
      <c r="R2627" s="149"/>
      <c r="S2627" s="149"/>
      <c r="T2627" s="149"/>
      <c r="U2627" s="149"/>
      <c r="V2627" s="89"/>
      <c r="W2627" s="91"/>
      <c r="X2627" s="91"/>
      <c r="Y2627" s="91"/>
    </row>
    <row r="2628" spans="1:25" s="26" customFormat="1" ht="15" customHeight="1" x14ac:dyDescent="0.2">
      <c r="A2628" s="93">
        <v>41799.599780092598</v>
      </c>
      <c r="B2628" s="89" t="s">
        <v>38</v>
      </c>
      <c r="C2628" s="52" t="s">
        <v>39</v>
      </c>
      <c r="D2628" s="87" t="s">
        <v>6224</v>
      </c>
      <c r="E2628" s="89" t="s">
        <v>7470</v>
      </c>
      <c r="F2628" s="89" t="s">
        <v>7471</v>
      </c>
      <c r="G2628" s="89" t="s">
        <v>20</v>
      </c>
      <c r="H2628" s="89" t="s">
        <v>7472</v>
      </c>
      <c r="I2628" s="89" t="s">
        <v>2986</v>
      </c>
      <c r="J2628" s="95">
        <v>1</v>
      </c>
      <c r="K2628" s="95">
        <v>82</v>
      </c>
      <c r="L2628" s="150">
        <v>537</v>
      </c>
      <c r="M2628" s="146" t="s">
        <v>44</v>
      </c>
      <c r="N2628" s="149">
        <v>537</v>
      </c>
      <c r="O2628" s="149"/>
      <c r="P2628" s="149"/>
      <c r="Q2628" s="149"/>
      <c r="R2628" s="149"/>
      <c r="S2628" s="149"/>
      <c r="T2628" s="149"/>
      <c r="U2628" s="149"/>
      <c r="V2628" s="89"/>
      <c r="W2628" s="91"/>
      <c r="X2628" s="91"/>
      <c r="Y2628" s="91"/>
    </row>
    <row r="2629" spans="1:25" s="26" customFormat="1" ht="15" customHeight="1" x14ac:dyDescent="0.2">
      <c r="A2629" s="93">
        <v>41799.9324305556</v>
      </c>
      <c r="B2629" s="94" t="s">
        <v>38</v>
      </c>
      <c r="C2629" s="52" t="s">
        <v>4162</v>
      </c>
      <c r="D2629" s="87" t="s">
        <v>6224</v>
      </c>
      <c r="E2629" s="89" t="s">
        <v>7277</v>
      </c>
      <c r="F2629" s="89" t="s">
        <v>7477</v>
      </c>
      <c r="G2629" s="89" t="s">
        <v>26</v>
      </c>
      <c r="H2629" s="89" t="s">
        <v>7478</v>
      </c>
      <c r="I2629" s="89" t="s">
        <v>2986</v>
      </c>
      <c r="J2629" s="95">
        <v>1</v>
      </c>
      <c r="K2629" s="95">
        <v>4</v>
      </c>
      <c r="L2629" s="150"/>
      <c r="M2629" s="146" t="s">
        <v>44</v>
      </c>
      <c r="N2629" s="149"/>
      <c r="O2629" s="149"/>
      <c r="P2629" s="149"/>
      <c r="Q2629" s="149">
        <v>40</v>
      </c>
      <c r="R2629" s="149"/>
      <c r="S2629" s="149"/>
      <c r="T2629" s="149"/>
      <c r="U2629" s="149"/>
      <c r="V2629" s="89" t="s">
        <v>7479</v>
      </c>
      <c r="W2629" s="91"/>
      <c r="X2629" s="91"/>
      <c r="Y2629" s="91"/>
    </row>
    <row r="2630" spans="1:25" s="26" customFormat="1" ht="15" customHeight="1" x14ac:dyDescent="0.2">
      <c r="A2630" s="93">
        <v>41799.934953703698</v>
      </c>
      <c r="B2630" s="94" t="s">
        <v>38</v>
      </c>
      <c r="C2630" s="52" t="s">
        <v>4162</v>
      </c>
      <c r="D2630" s="87" t="s">
        <v>6224</v>
      </c>
      <c r="E2630" s="89" t="s">
        <v>7480</v>
      </c>
      <c r="F2630" s="89" t="s">
        <v>6995</v>
      </c>
      <c r="G2630" s="89" t="s">
        <v>26</v>
      </c>
      <c r="H2630" s="89" t="s">
        <v>7481</v>
      </c>
      <c r="I2630" s="89" t="s">
        <v>2986</v>
      </c>
      <c r="J2630" s="95">
        <v>2</v>
      </c>
      <c r="K2630" s="95">
        <v>8</v>
      </c>
      <c r="L2630" s="150"/>
      <c r="M2630" s="146" t="s">
        <v>44</v>
      </c>
      <c r="N2630" s="149"/>
      <c r="O2630" s="149"/>
      <c r="P2630" s="149"/>
      <c r="Q2630" s="149">
        <v>40</v>
      </c>
      <c r="R2630" s="149"/>
      <c r="S2630" s="149"/>
      <c r="T2630" s="149"/>
      <c r="U2630" s="149"/>
      <c r="V2630" s="89" t="s">
        <v>7482</v>
      </c>
      <c r="W2630" s="91"/>
      <c r="X2630" s="91"/>
      <c r="Y2630" s="91"/>
    </row>
    <row r="2631" spans="1:25" s="26" customFormat="1" ht="15" customHeight="1" x14ac:dyDescent="0.2">
      <c r="A2631" s="93">
        <v>41800.560011574104</v>
      </c>
      <c r="B2631" s="89" t="s">
        <v>16</v>
      </c>
      <c r="C2631" s="52" t="s">
        <v>406</v>
      </c>
      <c r="D2631" s="87" t="s">
        <v>6224</v>
      </c>
      <c r="E2631" s="89" t="s">
        <v>4803</v>
      </c>
      <c r="F2631" s="89" t="s">
        <v>429</v>
      </c>
      <c r="G2631" s="89" t="s">
        <v>26</v>
      </c>
      <c r="H2631" s="89" t="s">
        <v>7501</v>
      </c>
      <c r="I2631" s="89" t="s">
        <v>3001</v>
      </c>
      <c r="J2631" s="95">
        <v>1</v>
      </c>
      <c r="K2631" s="95">
        <v>0</v>
      </c>
      <c r="L2631" s="150"/>
      <c r="M2631" s="146" t="s">
        <v>22</v>
      </c>
      <c r="N2631" s="149"/>
      <c r="O2631" s="149"/>
      <c r="P2631" s="149"/>
      <c r="Q2631" s="149"/>
      <c r="R2631" s="149"/>
      <c r="S2631" s="149"/>
      <c r="T2631" s="149"/>
      <c r="U2631" s="149"/>
      <c r="V2631" s="89"/>
      <c r="W2631" s="91"/>
      <c r="X2631" s="91"/>
      <c r="Y2631" s="91"/>
    </row>
    <row r="2632" spans="1:25" s="26" customFormat="1" ht="15" customHeight="1" x14ac:dyDescent="0.2">
      <c r="A2632" s="93">
        <v>41800.560810185198</v>
      </c>
      <c r="B2632" s="89" t="s">
        <v>16</v>
      </c>
      <c r="C2632" s="52" t="s">
        <v>406</v>
      </c>
      <c r="D2632" s="87" t="s">
        <v>6224</v>
      </c>
      <c r="E2632" s="89" t="s">
        <v>7502</v>
      </c>
      <c r="F2632" s="89" t="s">
        <v>470</v>
      </c>
      <c r="G2632" s="89" t="s">
        <v>26</v>
      </c>
      <c r="H2632" s="89" t="s">
        <v>4802</v>
      </c>
      <c r="I2632" s="89" t="s">
        <v>3001</v>
      </c>
      <c r="J2632" s="95">
        <v>1</v>
      </c>
      <c r="K2632" s="95">
        <v>2</v>
      </c>
      <c r="L2632" s="150"/>
      <c r="M2632" s="146" t="s">
        <v>22</v>
      </c>
      <c r="N2632" s="149"/>
      <c r="O2632" s="149"/>
      <c r="P2632" s="149"/>
      <c r="Q2632" s="149"/>
      <c r="R2632" s="149"/>
      <c r="S2632" s="149"/>
      <c r="T2632" s="149"/>
      <c r="U2632" s="149"/>
      <c r="V2632" s="89"/>
      <c r="W2632" s="91"/>
      <c r="X2632" s="91"/>
      <c r="Y2632" s="91"/>
    </row>
    <row r="2633" spans="1:25" s="26" customFormat="1" ht="15" customHeight="1" x14ac:dyDescent="0.2">
      <c r="A2633" s="93">
        <v>41800.561493055597</v>
      </c>
      <c r="B2633" s="89" t="s">
        <v>16</v>
      </c>
      <c r="C2633" s="52" t="s">
        <v>406</v>
      </c>
      <c r="D2633" s="87" t="s">
        <v>6224</v>
      </c>
      <c r="E2633" s="89" t="s">
        <v>4784</v>
      </c>
      <c r="F2633" s="89" t="s">
        <v>438</v>
      </c>
      <c r="G2633" s="89" t="s">
        <v>26</v>
      </c>
      <c r="H2633" s="89" t="s">
        <v>7503</v>
      </c>
      <c r="I2633" s="89" t="s">
        <v>3001</v>
      </c>
      <c r="J2633" s="95">
        <v>1</v>
      </c>
      <c r="K2633" s="95">
        <v>3</v>
      </c>
      <c r="L2633" s="150"/>
      <c r="M2633" s="146" t="s">
        <v>22</v>
      </c>
      <c r="N2633" s="149"/>
      <c r="O2633" s="149"/>
      <c r="P2633" s="149"/>
      <c r="Q2633" s="149"/>
      <c r="R2633" s="149"/>
      <c r="S2633" s="149"/>
      <c r="T2633" s="149"/>
      <c r="U2633" s="149"/>
      <c r="V2633" s="89"/>
      <c r="W2633" s="91"/>
      <c r="X2633" s="91"/>
      <c r="Y2633" s="91"/>
    </row>
    <row r="2634" spans="1:25" s="26" customFormat="1" ht="15" customHeight="1" x14ac:dyDescent="0.2">
      <c r="A2634" s="93">
        <v>41800.5622337963</v>
      </c>
      <c r="B2634" s="89" t="s">
        <v>16</v>
      </c>
      <c r="C2634" s="52" t="s">
        <v>406</v>
      </c>
      <c r="D2634" s="87" t="s">
        <v>6224</v>
      </c>
      <c r="E2634" s="89" t="s">
        <v>4793</v>
      </c>
      <c r="F2634" s="89" t="s">
        <v>7504</v>
      </c>
      <c r="G2634" s="89" t="s">
        <v>26</v>
      </c>
      <c r="H2634" s="89" t="s">
        <v>7505</v>
      </c>
      <c r="I2634" s="89" t="s">
        <v>3001</v>
      </c>
      <c r="J2634" s="95">
        <v>1</v>
      </c>
      <c r="K2634" s="95">
        <v>35</v>
      </c>
      <c r="L2634" s="150"/>
      <c r="M2634" s="146" t="s">
        <v>22</v>
      </c>
      <c r="N2634" s="149"/>
      <c r="O2634" s="149"/>
      <c r="P2634" s="149"/>
      <c r="Q2634" s="149"/>
      <c r="R2634" s="149"/>
      <c r="S2634" s="149"/>
      <c r="T2634" s="149"/>
      <c r="U2634" s="149"/>
      <c r="V2634" s="89"/>
      <c r="W2634" s="91"/>
      <c r="X2634" s="91"/>
      <c r="Y2634" s="91"/>
    </row>
    <row r="2635" spans="1:25" s="26" customFormat="1" ht="15" customHeight="1" x14ac:dyDescent="0.2">
      <c r="A2635" s="93">
        <v>41800.562777777799</v>
      </c>
      <c r="B2635" s="89" t="s">
        <v>16</v>
      </c>
      <c r="C2635" s="52" t="s">
        <v>406</v>
      </c>
      <c r="D2635" s="87" t="s">
        <v>6224</v>
      </c>
      <c r="E2635" s="89" t="s">
        <v>5380</v>
      </c>
      <c r="F2635" s="89" t="s">
        <v>299</v>
      </c>
      <c r="G2635" s="89" t="s">
        <v>26</v>
      </c>
      <c r="H2635" s="89" t="s">
        <v>4786</v>
      </c>
      <c r="I2635" s="89" t="s">
        <v>3001</v>
      </c>
      <c r="J2635" s="95">
        <v>1</v>
      </c>
      <c r="K2635" s="95">
        <v>0</v>
      </c>
      <c r="L2635" s="150"/>
      <c r="M2635" s="146" t="s">
        <v>22</v>
      </c>
      <c r="N2635" s="149"/>
      <c r="O2635" s="149"/>
      <c r="P2635" s="149"/>
      <c r="Q2635" s="149"/>
      <c r="R2635" s="149"/>
      <c r="S2635" s="149"/>
      <c r="T2635" s="149"/>
      <c r="U2635" s="149"/>
      <c r="V2635" s="89"/>
      <c r="W2635" s="91"/>
      <c r="X2635" s="91"/>
      <c r="Y2635" s="91"/>
    </row>
    <row r="2636" spans="1:25" s="26" customFormat="1" ht="15" customHeight="1" x14ac:dyDescent="0.2">
      <c r="A2636" s="93">
        <v>41800.563472222202</v>
      </c>
      <c r="B2636" s="89" t="s">
        <v>16</v>
      </c>
      <c r="C2636" s="52" t="s">
        <v>406</v>
      </c>
      <c r="D2636" s="87" t="s">
        <v>6224</v>
      </c>
      <c r="E2636" s="89" t="s">
        <v>639</v>
      </c>
      <c r="F2636" s="89" t="s">
        <v>1644</v>
      </c>
      <c r="G2636" s="89" t="s">
        <v>26</v>
      </c>
      <c r="H2636" s="89" t="s">
        <v>4779</v>
      </c>
      <c r="I2636" s="89" t="s">
        <v>3001</v>
      </c>
      <c r="J2636" s="95">
        <v>1</v>
      </c>
      <c r="K2636" s="95">
        <v>10</v>
      </c>
      <c r="L2636" s="150"/>
      <c r="M2636" s="146" t="s">
        <v>44</v>
      </c>
      <c r="N2636" s="149"/>
      <c r="O2636" s="149">
        <v>50</v>
      </c>
      <c r="P2636" s="149"/>
      <c r="Q2636" s="149"/>
      <c r="R2636" s="149"/>
      <c r="S2636" s="149"/>
      <c r="T2636" s="149"/>
      <c r="U2636" s="149"/>
      <c r="V2636" s="89"/>
      <c r="W2636" s="91"/>
      <c r="X2636" s="91"/>
      <c r="Y2636" s="91"/>
    </row>
    <row r="2637" spans="1:25" s="26" customFormat="1" ht="15" customHeight="1" x14ac:dyDescent="0.2">
      <c r="A2637" s="93">
        <v>41800.564687500002</v>
      </c>
      <c r="B2637" s="89" t="s">
        <v>16</v>
      </c>
      <c r="C2637" s="52" t="s">
        <v>406</v>
      </c>
      <c r="D2637" s="87" t="s">
        <v>6224</v>
      </c>
      <c r="E2637" s="89" t="s">
        <v>4384</v>
      </c>
      <c r="F2637" s="89" t="s">
        <v>423</v>
      </c>
      <c r="G2637" s="89" t="s">
        <v>26</v>
      </c>
      <c r="H2637" s="89" t="s">
        <v>1641</v>
      </c>
      <c r="I2637" s="89" t="s">
        <v>3001</v>
      </c>
      <c r="J2637" s="95">
        <v>1</v>
      </c>
      <c r="K2637" s="95">
        <v>0</v>
      </c>
      <c r="L2637" s="150"/>
      <c r="M2637" s="146" t="s">
        <v>22</v>
      </c>
      <c r="N2637" s="149"/>
      <c r="O2637" s="149"/>
      <c r="P2637" s="149"/>
      <c r="Q2637" s="149"/>
      <c r="R2637" s="149"/>
      <c r="S2637" s="149"/>
      <c r="T2637" s="149"/>
      <c r="U2637" s="149"/>
      <c r="V2637" s="89"/>
      <c r="W2637" s="91"/>
      <c r="X2637" s="91"/>
      <c r="Y2637" s="91"/>
    </row>
    <row r="2638" spans="1:25" s="26" customFormat="1" ht="15" customHeight="1" x14ac:dyDescent="0.2">
      <c r="A2638" s="93">
        <v>41800.565358796302</v>
      </c>
      <c r="B2638" s="89" t="s">
        <v>16</v>
      </c>
      <c r="C2638" s="52" t="s">
        <v>406</v>
      </c>
      <c r="D2638" s="87" t="s">
        <v>6224</v>
      </c>
      <c r="E2638" s="89" t="s">
        <v>4726</v>
      </c>
      <c r="F2638" s="89" t="s">
        <v>2466</v>
      </c>
      <c r="G2638" s="89" t="s">
        <v>26</v>
      </c>
      <c r="H2638" s="89" t="s">
        <v>7506</v>
      </c>
      <c r="I2638" s="89" t="s">
        <v>3001</v>
      </c>
      <c r="J2638" s="95">
        <v>1</v>
      </c>
      <c r="K2638" s="95">
        <v>5</v>
      </c>
      <c r="L2638" s="150"/>
      <c r="M2638" s="146" t="s">
        <v>44</v>
      </c>
      <c r="N2638" s="149"/>
      <c r="O2638" s="149">
        <v>25</v>
      </c>
      <c r="P2638" s="149"/>
      <c r="Q2638" s="149"/>
      <c r="R2638" s="149"/>
      <c r="S2638" s="149"/>
      <c r="T2638" s="149"/>
      <c r="U2638" s="149"/>
      <c r="V2638" s="89"/>
      <c r="W2638" s="91"/>
      <c r="X2638" s="91"/>
      <c r="Y2638" s="91"/>
    </row>
    <row r="2639" spans="1:25" s="26" customFormat="1" ht="15" customHeight="1" x14ac:dyDescent="0.2">
      <c r="A2639" s="93">
        <v>41800.566053240698</v>
      </c>
      <c r="B2639" s="89" t="s">
        <v>16</v>
      </c>
      <c r="C2639" s="52" t="s">
        <v>406</v>
      </c>
      <c r="D2639" s="87" t="s">
        <v>6224</v>
      </c>
      <c r="E2639" s="89" t="s">
        <v>7507</v>
      </c>
      <c r="F2639" s="89" t="s">
        <v>113</v>
      </c>
      <c r="G2639" s="89" t="s">
        <v>26</v>
      </c>
      <c r="H2639" s="89" t="s">
        <v>7508</v>
      </c>
      <c r="I2639" s="89" t="s">
        <v>3001</v>
      </c>
      <c r="J2639" s="95">
        <v>1</v>
      </c>
      <c r="K2639" s="95">
        <v>1</v>
      </c>
      <c r="L2639" s="150"/>
      <c r="M2639" s="146" t="s">
        <v>44</v>
      </c>
      <c r="N2639" s="149"/>
      <c r="O2639" s="149">
        <v>5</v>
      </c>
      <c r="P2639" s="149"/>
      <c r="Q2639" s="149"/>
      <c r="R2639" s="149"/>
      <c r="S2639" s="149"/>
      <c r="T2639" s="149"/>
      <c r="U2639" s="149"/>
      <c r="V2639" s="89"/>
      <c r="W2639" s="91"/>
      <c r="X2639" s="91"/>
      <c r="Y2639" s="91"/>
    </row>
    <row r="2640" spans="1:25" s="26" customFormat="1" ht="15" customHeight="1" x14ac:dyDescent="0.2">
      <c r="A2640" s="93">
        <v>41800.567152777803</v>
      </c>
      <c r="B2640" s="89" t="s">
        <v>16</v>
      </c>
      <c r="C2640" s="52" t="s">
        <v>406</v>
      </c>
      <c r="D2640" s="87" t="s">
        <v>6224</v>
      </c>
      <c r="E2640" s="89" t="s">
        <v>4784</v>
      </c>
      <c r="F2640" s="89" t="s">
        <v>426</v>
      </c>
      <c r="G2640" s="89" t="s">
        <v>26</v>
      </c>
      <c r="H2640" s="89" t="s">
        <v>7509</v>
      </c>
      <c r="I2640" s="89" t="s">
        <v>3001</v>
      </c>
      <c r="J2640" s="95">
        <v>1</v>
      </c>
      <c r="K2640" s="95">
        <v>0</v>
      </c>
      <c r="L2640" s="150"/>
      <c r="M2640" s="146" t="s">
        <v>22</v>
      </c>
      <c r="N2640" s="149"/>
      <c r="O2640" s="149"/>
      <c r="P2640" s="149"/>
      <c r="Q2640" s="149"/>
      <c r="R2640" s="149"/>
      <c r="S2640" s="149"/>
      <c r="T2640" s="149"/>
      <c r="U2640" s="149"/>
      <c r="V2640" s="89"/>
      <c r="W2640" s="91"/>
      <c r="X2640" s="91"/>
      <c r="Y2640" s="91"/>
    </row>
    <row r="2641" spans="1:25" s="26" customFormat="1" ht="15" customHeight="1" x14ac:dyDescent="0.2">
      <c r="A2641" s="93">
        <v>41800.567754629599</v>
      </c>
      <c r="B2641" s="89" t="s">
        <v>16</v>
      </c>
      <c r="C2641" s="52" t="s">
        <v>406</v>
      </c>
      <c r="D2641" s="87" t="s">
        <v>6224</v>
      </c>
      <c r="E2641" s="89" t="s">
        <v>4792</v>
      </c>
      <c r="F2641" s="89" t="s">
        <v>299</v>
      </c>
      <c r="G2641" s="89" t="s">
        <v>26</v>
      </c>
      <c r="H2641" s="89" t="s">
        <v>7510</v>
      </c>
      <c r="I2641" s="89" t="s">
        <v>3001</v>
      </c>
      <c r="J2641" s="95">
        <v>1</v>
      </c>
      <c r="K2641" s="95">
        <v>4</v>
      </c>
      <c r="L2641" s="150"/>
      <c r="M2641" s="146" t="s">
        <v>44</v>
      </c>
      <c r="N2641" s="149"/>
      <c r="O2641" s="149">
        <v>10</v>
      </c>
      <c r="P2641" s="149"/>
      <c r="Q2641" s="149"/>
      <c r="R2641" s="149"/>
      <c r="S2641" s="149"/>
      <c r="T2641" s="149"/>
      <c r="U2641" s="149"/>
      <c r="V2641" s="89"/>
      <c r="W2641" s="91"/>
      <c r="X2641" s="91"/>
      <c r="Y2641" s="91"/>
    </row>
    <row r="2642" spans="1:25" s="26" customFormat="1" ht="15" customHeight="1" x14ac:dyDescent="0.2">
      <c r="A2642" s="93">
        <v>41800.568761574097</v>
      </c>
      <c r="B2642" s="89" t="s">
        <v>16</v>
      </c>
      <c r="C2642" s="52" t="s">
        <v>406</v>
      </c>
      <c r="D2642" s="87" t="s">
        <v>6224</v>
      </c>
      <c r="E2642" s="89" t="s">
        <v>4738</v>
      </c>
      <c r="F2642" s="89" t="s">
        <v>7511</v>
      </c>
      <c r="G2642" s="89" t="s">
        <v>156</v>
      </c>
      <c r="H2642" s="89" t="s">
        <v>7512</v>
      </c>
      <c r="I2642" s="89" t="s">
        <v>3001</v>
      </c>
      <c r="J2642" s="95">
        <v>1</v>
      </c>
      <c r="K2642" s="95">
        <v>15</v>
      </c>
      <c r="L2642" s="150"/>
      <c r="M2642" s="146" t="s">
        <v>44</v>
      </c>
      <c r="N2642" s="149"/>
      <c r="O2642" s="149">
        <v>75</v>
      </c>
      <c r="P2642" s="149"/>
      <c r="Q2642" s="149"/>
      <c r="R2642" s="149"/>
      <c r="S2642" s="149"/>
      <c r="T2642" s="149"/>
      <c r="U2642" s="149"/>
      <c r="V2642" s="89"/>
      <c r="W2642" s="91"/>
      <c r="X2642" s="91"/>
      <c r="Y2642" s="91"/>
    </row>
    <row r="2643" spans="1:25" s="26" customFormat="1" ht="15" customHeight="1" x14ac:dyDescent="0.2">
      <c r="A2643" s="93">
        <v>41800.569745370398</v>
      </c>
      <c r="B2643" s="89" t="s">
        <v>16</v>
      </c>
      <c r="C2643" s="52" t="s">
        <v>406</v>
      </c>
      <c r="D2643" s="87" t="s">
        <v>6224</v>
      </c>
      <c r="E2643" s="89" t="s">
        <v>2386</v>
      </c>
      <c r="F2643" s="89" t="s">
        <v>2456</v>
      </c>
      <c r="G2643" s="89" t="s">
        <v>26</v>
      </c>
      <c r="H2643" s="89" t="s">
        <v>4794</v>
      </c>
      <c r="I2643" s="89" t="s">
        <v>3001</v>
      </c>
      <c r="J2643" s="95">
        <v>1</v>
      </c>
      <c r="K2643" s="95">
        <v>0</v>
      </c>
      <c r="L2643" s="150"/>
      <c r="M2643" s="146" t="s">
        <v>22</v>
      </c>
      <c r="N2643" s="149"/>
      <c r="O2643" s="149"/>
      <c r="P2643" s="149"/>
      <c r="Q2643" s="149"/>
      <c r="R2643" s="149"/>
      <c r="S2643" s="149"/>
      <c r="T2643" s="149"/>
      <c r="U2643" s="149"/>
      <c r="V2643" s="89"/>
      <c r="W2643" s="91"/>
      <c r="X2643" s="91"/>
      <c r="Y2643" s="91"/>
    </row>
    <row r="2644" spans="1:25" s="26" customFormat="1" ht="15" customHeight="1" x14ac:dyDescent="0.2">
      <c r="A2644" s="93">
        <v>41800.570185185199</v>
      </c>
      <c r="B2644" s="89" t="s">
        <v>16</v>
      </c>
      <c r="C2644" s="52" t="s">
        <v>406</v>
      </c>
      <c r="D2644" s="87" t="s">
        <v>6224</v>
      </c>
      <c r="E2644" s="89" t="s">
        <v>639</v>
      </c>
      <c r="F2644" s="89" t="s">
        <v>411</v>
      </c>
      <c r="G2644" s="89" t="s">
        <v>26</v>
      </c>
      <c r="H2644" s="89" t="s">
        <v>4809</v>
      </c>
      <c r="I2644" s="89" t="s">
        <v>3001</v>
      </c>
      <c r="J2644" s="95">
        <v>1</v>
      </c>
      <c r="K2644" s="95">
        <v>0</v>
      </c>
      <c r="L2644" s="150"/>
      <c r="M2644" s="146" t="s">
        <v>22</v>
      </c>
      <c r="N2644" s="149"/>
      <c r="O2644" s="149"/>
      <c r="P2644" s="149"/>
      <c r="Q2644" s="149"/>
      <c r="R2644" s="149"/>
      <c r="S2644" s="149"/>
      <c r="T2644" s="149"/>
      <c r="U2644" s="149"/>
      <c r="V2644" s="89"/>
      <c r="W2644" s="91"/>
      <c r="X2644" s="91"/>
      <c r="Y2644" s="91"/>
    </row>
    <row r="2645" spans="1:25" s="26" customFormat="1" ht="15" customHeight="1" x14ac:dyDescent="0.2">
      <c r="A2645" s="93">
        <v>41800.571099537003</v>
      </c>
      <c r="B2645" s="89" t="s">
        <v>16</v>
      </c>
      <c r="C2645" s="52" t="s">
        <v>406</v>
      </c>
      <c r="D2645" s="87" t="s">
        <v>6224</v>
      </c>
      <c r="E2645" s="89" t="s">
        <v>7513</v>
      </c>
      <c r="F2645" s="89" t="s">
        <v>2466</v>
      </c>
      <c r="G2645" s="89" t="s">
        <v>26</v>
      </c>
      <c r="H2645" s="89" t="s">
        <v>7506</v>
      </c>
      <c r="I2645" s="89" t="s">
        <v>3001</v>
      </c>
      <c r="J2645" s="95">
        <v>1</v>
      </c>
      <c r="K2645" s="95">
        <v>4</v>
      </c>
      <c r="L2645" s="150"/>
      <c r="M2645" s="146" t="s">
        <v>44</v>
      </c>
      <c r="N2645" s="149"/>
      <c r="O2645" s="149">
        <v>20</v>
      </c>
      <c r="P2645" s="149"/>
      <c r="Q2645" s="149"/>
      <c r="R2645" s="149"/>
      <c r="S2645" s="149"/>
      <c r="T2645" s="149"/>
      <c r="U2645" s="149"/>
      <c r="V2645" s="89"/>
      <c r="W2645" s="91"/>
      <c r="X2645" s="91"/>
      <c r="Y2645" s="91"/>
    </row>
    <row r="2646" spans="1:25" s="26" customFormat="1" ht="15" customHeight="1" x14ac:dyDescent="0.2">
      <c r="A2646" s="93">
        <v>41800.571655092601</v>
      </c>
      <c r="B2646" s="89" t="s">
        <v>16</v>
      </c>
      <c r="C2646" s="52" t="s">
        <v>406</v>
      </c>
      <c r="D2646" s="87" t="s">
        <v>6224</v>
      </c>
      <c r="E2646" s="89" t="s">
        <v>7514</v>
      </c>
      <c r="F2646" s="89" t="s">
        <v>7515</v>
      </c>
      <c r="G2646" s="89" t="s">
        <v>26</v>
      </c>
      <c r="H2646" s="89" t="s">
        <v>4777</v>
      </c>
      <c r="I2646" s="89" t="s">
        <v>3001</v>
      </c>
      <c r="J2646" s="95">
        <v>1</v>
      </c>
      <c r="K2646" s="95">
        <v>0</v>
      </c>
      <c r="L2646" s="150"/>
      <c r="M2646" s="146" t="s">
        <v>22</v>
      </c>
      <c r="N2646" s="149"/>
      <c r="O2646" s="149"/>
      <c r="P2646" s="149"/>
      <c r="Q2646" s="149"/>
      <c r="R2646" s="149"/>
      <c r="S2646" s="149"/>
      <c r="T2646" s="149"/>
      <c r="U2646" s="149"/>
      <c r="V2646" s="89"/>
      <c r="W2646" s="91"/>
      <c r="X2646" s="91"/>
      <c r="Y2646" s="91"/>
    </row>
    <row r="2647" spans="1:25" s="26" customFormat="1" ht="15" customHeight="1" x14ac:dyDescent="0.2">
      <c r="A2647" s="93">
        <v>41800.573379629597</v>
      </c>
      <c r="B2647" s="89" t="s">
        <v>16</v>
      </c>
      <c r="C2647" s="52" t="s">
        <v>406</v>
      </c>
      <c r="D2647" s="87" t="s">
        <v>6224</v>
      </c>
      <c r="E2647" s="89" t="s">
        <v>7516</v>
      </c>
      <c r="F2647" s="89" t="s">
        <v>373</v>
      </c>
      <c r="G2647" s="89" t="s">
        <v>26</v>
      </c>
      <c r="H2647" s="89" t="s">
        <v>7517</v>
      </c>
      <c r="I2647" s="89" t="s">
        <v>3001</v>
      </c>
      <c r="J2647" s="95">
        <v>1</v>
      </c>
      <c r="K2647" s="95">
        <v>15</v>
      </c>
      <c r="L2647" s="150"/>
      <c r="M2647" s="146" t="s">
        <v>22</v>
      </c>
      <c r="N2647" s="149"/>
      <c r="O2647" s="149"/>
      <c r="P2647" s="149"/>
      <c r="Q2647" s="149"/>
      <c r="R2647" s="149"/>
      <c r="S2647" s="149"/>
      <c r="T2647" s="149"/>
      <c r="U2647" s="149"/>
      <c r="V2647" s="89"/>
      <c r="W2647" s="91"/>
      <c r="X2647" s="91"/>
      <c r="Y2647" s="91"/>
    </row>
    <row r="2648" spans="1:25" s="26" customFormat="1" ht="15" customHeight="1" x14ac:dyDescent="0.2">
      <c r="A2648" s="93">
        <v>41800.574016203696</v>
      </c>
      <c r="B2648" s="89" t="s">
        <v>16</v>
      </c>
      <c r="C2648" s="52" t="s">
        <v>406</v>
      </c>
      <c r="D2648" s="87" t="s">
        <v>6224</v>
      </c>
      <c r="E2648" s="89" t="s">
        <v>7518</v>
      </c>
      <c r="F2648" s="89" t="s">
        <v>7519</v>
      </c>
      <c r="G2648" s="89" t="s">
        <v>26</v>
      </c>
      <c r="H2648" s="89" t="s">
        <v>7520</v>
      </c>
      <c r="I2648" s="89" t="s">
        <v>3001</v>
      </c>
      <c r="J2648" s="95">
        <v>1</v>
      </c>
      <c r="K2648" s="95">
        <v>0</v>
      </c>
      <c r="L2648" s="150"/>
      <c r="M2648" s="146" t="s">
        <v>22</v>
      </c>
      <c r="N2648" s="149"/>
      <c r="O2648" s="149"/>
      <c r="P2648" s="149"/>
      <c r="Q2648" s="149"/>
      <c r="R2648" s="149"/>
      <c r="S2648" s="149"/>
      <c r="T2648" s="149"/>
      <c r="U2648" s="149"/>
      <c r="V2648" s="89" t="s">
        <v>7521</v>
      </c>
      <c r="W2648" s="91"/>
      <c r="X2648" s="91"/>
      <c r="Y2648" s="91"/>
    </row>
    <row r="2649" spans="1:25" s="26" customFormat="1" ht="15" customHeight="1" x14ac:dyDescent="0.2">
      <c r="A2649" s="93">
        <v>41800.575231481504</v>
      </c>
      <c r="B2649" s="89" t="s">
        <v>16</v>
      </c>
      <c r="C2649" s="52" t="s">
        <v>406</v>
      </c>
      <c r="D2649" s="87" t="s">
        <v>6224</v>
      </c>
      <c r="E2649" s="89" t="s">
        <v>4776</v>
      </c>
      <c r="F2649" s="89" t="s">
        <v>7522</v>
      </c>
      <c r="G2649" s="89" t="s">
        <v>26</v>
      </c>
      <c r="H2649" s="89" t="s">
        <v>7523</v>
      </c>
      <c r="I2649" s="89" t="s">
        <v>3001</v>
      </c>
      <c r="J2649" s="95">
        <v>1</v>
      </c>
      <c r="K2649" s="95">
        <v>10</v>
      </c>
      <c r="L2649" s="150"/>
      <c r="M2649" s="146" t="s">
        <v>44</v>
      </c>
      <c r="N2649" s="149"/>
      <c r="O2649" s="149">
        <v>25</v>
      </c>
      <c r="P2649" s="149"/>
      <c r="Q2649" s="149"/>
      <c r="R2649" s="149"/>
      <c r="S2649" s="149"/>
      <c r="T2649" s="149"/>
      <c r="U2649" s="149"/>
      <c r="V2649" s="89"/>
      <c r="W2649" s="91"/>
      <c r="X2649" s="91"/>
      <c r="Y2649" s="91"/>
    </row>
    <row r="2650" spans="1:25" s="26" customFormat="1" ht="15" customHeight="1" x14ac:dyDescent="0.2">
      <c r="A2650" s="93">
        <v>41800.575914351801</v>
      </c>
      <c r="B2650" s="89" t="s">
        <v>16</v>
      </c>
      <c r="C2650" s="52" t="s">
        <v>406</v>
      </c>
      <c r="D2650" s="87" t="s">
        <v>6224</v>
      </c>
      <c r="E2650" s="89" t="s">
        <v>613</v>
      </c>
      <c r="F2650" s="89" t="s">
        <v>4798</v>
      </c>
      <c r="G2650" s="89" t="s">
        <v>26</v>
      </c>
      <c r="H2650" s="89" t="s">
        <v>4799</v>
      </c>
      <c r="I2650" s="89" t="s">
        <v>3001</v>
      </c>
      <c r="J2650" s="95">
        <v>1</v>
      </c>
      <c r="K2650" s="95">
        <v>6</v>
      </c>
      <c r="L2650" s="150"/>
      <c r="M2650" s="146" t="s">
        <v>44</v>
      </c>
      <c r="N2650" s="149"/>
      <c r="O2650" s="149">
        <v>20</v>
      </c>
      <c r="P2650" s="149"/>
      <c r="Q2650" s="149"/>
      <c r="R2650" s="149"/>
      <c r="S2650" s="149"/>
      <c r="T2650" s="149"/>
      <c r="U2650" s="149"/>
      <c r="V2650" s="89"/>
      <c r="W2650" s="91"/>
      <c r="X2650" s="91"/>
      <c r="Y2650" s="91"/>
    </row>
    <row r="2651" spans="1:25" s="26" customFormat="1" ht="15" customHeight="1" x14ac:dyDescent="0.2">
      <c r="A2651" s="93">
        <v>41800.576412037</v>
      </c>
      <c r="B2651" s="89" t="s">
        <v>16</v>
      </c>
      <c r="C2651" s="52" t="s">
        <v>406</v>
      </c>
      <c r="D2651" s="87" t="s">
        <v>6224</v>
      </c>
      <c r="E2651" s="89" t="s">
        <v>7524</v>
      </c>
      <c r="F2651" s="89" t="s">
        <v>299</v>
      </c>
      <c r="G2651" s="89" t="s">
        <v>26</v>
      </c>
      <c r="H2651" s="89" t="s">
        <v>7510</v>
      </c>
      <c r="I2651" s="89" t="s">
        <v>3001</v>
      </c>
      <c r="J2651" s="95">
        <v>1</v>
      </c>
      <c r="K2651" s="95">
        <v>0</v>
      </c>
      <c r="L2651" s="150"/>
      <c r="M2651" s="146" t="s">
        <v>22</v>
      </c>
      <c r="N2651" s="149"/>
      <c r="O2651" s="149"/>
      <c r="P2651" s="149"/>
      <c r="Q2651" s="149"/>
      <c r="R2651" s="149"/>
      <c r="S2651" s="149"/>
      <c r="T2651" s="149"/>
      <c r="U2651" s="149"/>
      <c r="V2651" s="89"/>
      <c r="W2651" s="91"/>
      <c r="X2651" s="91"/>
      <c r="Y2651" s="91"/>
    </row>
    <row r="2652" spans="1:25" s="26" customFormat="1" ht="15" customHeight="1" x14ac:dyDescent="0.2">
      <c r="A2652" s="37">
        <v>41498.3433449074</v>
      </c>
      <c r="B2652" s="26" t="s">
        <v>152</v>
      </c>
      <c r="C2652" s="26" t="s">
        <v>1196</v>
      </c>
      <c r="D2652" s="33">
        <v>41456</v>
      </c>
      <c r="E2652" s="26" t="s">
        <v>1197</v>
      </c>
      <c r="F2652" s="26" t="s">
        <v>1198</v>
      </c>
      <c r="G2652" s="26" t="s">
        <v>26</v>
      </c>
      <c r="H2652" s="26" t="s">
        <v>1199</v>
      </c>
      <c r="J2652" s="115">
        <v>1</v>
      </c>
      <c r="K2652" s="115">
        <v>10</v>
      </c>
      <c r="L2652" s="136">
        <v>580</v>
      </c>
      <c r="M2652" s="137" t="s">
        <v>22</v>
      </c>
      <c r="N2652" s="138"/>
      <c r="O2652" s="138"/>
      <c r="P2652" s="138"/>
      <c r="Q2652" s="138"/>
      <c r="R2652" s="138"/>
      <c r="S2652" s="138"/>
      <c r="T2652" s="138"/>
      <c r="U2652" s="138">
        <v>107</v>
      </c>
    </row>
    <row r="2653" spans="1:25" s="26" customFormat="1" ht="15" customHeight="1" x14ac:dyDescent="0.2">
      <c r="A2653" s="37">
        <v>41498.3461805556</v>
      </c>
      <c r="B2653" s="26" t="s">
        <v>152</v>
      </c>
      <c r="C2653" s="26" t="s">
        <v>1196</v>
      </c>
      <c r="D2653" s="33">
        <v>41456</v>
      </c>
      <c r="E2653" s="26" t="s">
        <v>1200</v>
      </c>
      <c r="F2653" s="26" t="s">
        <v>1201</v>
      </c>
      <c r="G2653" s="26" t="s">
        <v>26</v>
      </c>
      <c r="H2653" s="26" t="s">
        <v>1202</v>
      </c>
      <c r="J2653" s="115">
        <v>1</v>
      </c>
      <c r="K2653" s="115">
        <v>16</v>
      </c>
      <c r="L2653" s="136">
        <v>1535</v>
      </c>
      <c r="M2653" s="137" t="s">
        <v>22</v>
      </c>
      <c r="N2653" s="138"/>
      <c r="O2653" s="138"/>
      <c r="P2653" s="138"/>
      <c r="Q2653" s="138"/>
      <c r="R2653" s="138"/>
      <c r="S2653" s="138"/>
      <c r="T2653" s="138"/>
      <c r="U2653" s="138">
        <v>125</v>
      </c>
    </row>
    <row r="2654" spans="1:25" s="26" customFormat="1" ht="15" customHeight="1" x14ac:dyDescent="0.2">
      <c r="A2654" s="37">
        <v>41498.350208333301</v>
      </c>
      <c r="B2654" s="26" t="s">
        <v>152</v>
      </c>
      <c r="C2654" s="26" t="s">
        <v>1196</v>
      </c>
      <c r="D2654" s="33">
        <v>41456</v>
      </c>
      <c r="E2654" s="26" t="s">
        <v>1203</v>
      </c>
      <c r="F2654" s="26" t="s">
        <v>1204</v>
      </c>
      <c r="G2654" s="26" t="s">
        <v>26</v>
      </c>
      <c r="H2654" s="26" t="s">
        <v>1205</v>
      </c>
      <c r="J2654" s="115">
        <v>1</v>
      </c>
      <c r="K2654" s="115">
        <v>12</v>
      </c>
      <c r="L2654" s="136"/>
      <c r="M2654" s="137" t="s">
        <v>22</v>
      </c>
      <c r="N2654" s="138"/>
      <c r="O2654" s="138"/>
      <c r="P2654" s="138"/>
      <c r="Q2654" s="138"/>
      <c r="R2654" s="138"/>
      <c r="S2654" s="138"/>
      <c r="T2654" s="138"/>
      <c r="U2654" s="138"/>
    </row>
    <row r="2655" spans="1:25" s="26" customFormat="1" ht="15" customHeight="1" x14ac:dyDescent="0.2">
      <c r="A2655" s="37">
        <v>41498.351643518501</v>
      </c>
      <c r="B2655" s="26" t="s">
        <v>152</v>
      </c>
      <c r="C2655" s="26" t="s">
        <v>1196</v>
      </c>
      <c r="D2655" s="33">
        <v>41456</v>
      </c>
      <c r="E2655" s="26" t="s">
        <v>1206</v>
      </c>
      <c r="F2655" s="26" t="s">
        <v>1207</v>
      </c>
      <c r="G2655" s="26" t="s">
        <v>26</v>
      </c>
      <c r="H2655" s="26" t="s">
        <v>1208</v>
      </c>
      <c r="J2655" s="115">
        <v>1</v>
      </c>
      <c r="K2655" s="115">
        <v>6</v>
      </c>
      <c r="L2655" s="136">
        <v>50</v>
      </c>
      <c r="M2655" s="137" t="s">
        <v>22</v>
      </c>
      <c r="N2655" s="138"/>
      <c r="O2655" s="138"/>
      <c r="P2655" s="138"/>
      <c r="Q2655" s="138"/>
      <c r="R2655" s="138"/>
      <c r="S2655" s="138"/>
      <c r="T2655" s="138"/>
      <c r="U2655" s="138">
        <v>42</v>
      </c>
    </row>
    <row r="2656" spans="1:25" s="26" customFormat="1" ht="15" customHeight="1" x14ac:dyDescent="0.2">
      <c r="A2656" s="37">
        <v>41498.3596875</v>
      </c>
      <c r="B2656" s="26" t="s">
        <v>152</v>
      </c>
      <c r="C2656" s="26" t="s">
        <v>1196</v>
      </c>
      <c r="D2656" s="33">
        <v>41456</v>
      </c>
      <c r="E2656" s="26" t="s">
        <v>1209</v>
      </c>
      <c r="F2656" s="26" t="s">
        <v>1210</v>
      </c>
      <c r="G2656" s="26" t="s">
        <v>26</v>
      </c>
      <c r="H2656" s="26" t="s">
        <v>1211</v>
      </c>
      <c r="J2656" s="115">
        <v>1</v>
      </c>
      <c r="K2656" s="115">
        <v>98</v>
      </c>
      <c r="L2656" s="136"/>
      <c r="M2656" s="137" t="s">
        <v>44</v>
      </c>
      <c r="N2656" s="138"/>
      <c r="O2656" s="138">
        <v>70</v>
      </c>
      <c r="P2656" s="138"/>
      <c r="Q2656" s="138"/>
      <c r="R2656" s="138"/>
      <c r="S2656" s="138"/>
      <c r="T2656" s="138"/>
      <c r="U2656" s="138"/>
    </row>
    <row r="2657" spans="1:22" s="26" customFormat="1" ht="15" customHeight="1" x14ac:dyDescent="0.2">
      <c r="A2657" s="37">
        <v>41498.364837963003</v>
      </c>
      <c r="B2657" s="26" t="s">
        <v>152</v>
      </c>
      <c r="C2657" s="26" t="s">
        <v>1196</v>
      </c>
      <c r="D2657" s="33">
        <v>41456</v>
      </c>
      <c r="E2657" s="26" t="s">
        <v>1212</v>
      </c>
      <c r="F2657" s="26" t="s">
        <v>1213</v>
      </c>
      <c r="G2657" s="26" t="s">
        <v>26</v>
      </c>
      <c r="H2657" s="26" t="s">
        <v>1214</v>
      </c>
      <c r="J2657" s="115">
        <v>1</v>
      </c>
      <c r="K2657" s="115">
        <v>14</v>
      </c>
      <c r="L2657" s="136"/>
      <c r="M2657" s="137" t="s">
        <v>44</v>
      </c>
      <c r="N2657" s="138"/>
      <c r="O2657" s="138">
        <v>35</v>
      </c>
      <c r="P2657" s="138">
        <v>12</v>
      </c>
      <c r="Q2657" s="138"/>
      <c r="R2657" s="138"/>
      <c r="S2657" s="138"/>
      <c r="T2657" s="138"/>
      <c r="U2657" s="138"/>
    </row>
    <row r="2658" spans="1:22" s="26" customFormat="1" ht="15" customHeight="1" x14ac:dyDescent="0.2">
      <c r="A2658" s="37">
        <v>41498.366412037001</v>
      </c>
      <c r="B2658" s="26" t="s">
        <v>152</v>
      </c>
      <c r="C2658" s="26" t="s">
        <v>1196</v>
      </c>
      <c r="D2658" s="33">
        <v>41456</v>
      </c>
      <c r="E2658" s="26" t="s">
        <v>1215</v>
      </c>
      <c r="F2658" s="26" t="s">
        <v>1216</v>
      </c>
      <c r="G2658" s="26" t="s">
        <v>26</v>
      </c>
      <c r="H2658" s="26" t="s">
        <v>1217</v>
      </c>
      <c r="J2658" s="115">
        <v>1</v>
      </c>
      <c r="K2658" s="115">
        <v>7</v>
      </c>
      <c r="L2658" s="136"/>
      <c r="M2658" s="137" t="s">
        <v>22</v>
      </c>
      <c r="N2658" s="138"/>
      <c r="O2658" s="138"/>
      <c r="P2658" s="138"/>
      <c r="Q2658" s="138"/>
      <c r="R2658" s="138"/>
      <c r="S2658" s="138"/>
      <c r="T2658" s="138"/>
      <c r="U2658" s="138"/>
    </row>
    <row r="2659" spans="1:22" s="26" customFormat="1" ht="15" customHeight="1" x14ac:dyDescent="0.2">
      <c r="A2659" s="37">
        <v>41498.367766203701</v>
      </c>
      <c r="B2659" s="26" t="s">
        <v>152</v>
      </c>
      <c r="C2659" s="26" t="s">
        <v>1196</v>
      </c>
      <c r="D2659" s="33">
        <v>41456</v>
      </c>
      <c r="E2659" s="26" t="s">
        <v>1218</v>
      </c>
      <c r="F2659" s="26" t="s">
        <v>1219</v>
      </c>
      <c r="G2659" s="26" t="s">
        <v>26</v>
      </c>
      <c r="H2659" s="26" t="s">
        <v>1220</v>
      </c>
      <c r="J2659" s="115">
        <v>2</v>
      </c>
      <c r="K2659" s="115">
        <v>17</v>
      </c>
      <c r="L2659" s="136"/>
      <c r="M2659" s="137" t="s">
        <v>44</v>
      </c>
      <c r="N2659" s="138"/>
      <c r="O2659" s="138">
        <v>5</v>
      </c>
      <c r="P2659" s="138"/>
      <c r="Q2659" s="138"/>
      <c r="R2659" s="138"/>
      <c r="S2659" s="138"/>
      <c r="T2659" s="138"/>
      <c r="U2659" s="138"/>
    </row>
    <row r="2660" spans="1:22" s="26" customFormat="1" ht="15" customHeight="1" x14ac:dyDescent="0.2">
      <c r="A2660" s="37">
        <v>41498.369328703702</v>
      </c>
      <c r="B2660" s="26" t="s">
        <v>152</v>
      </c>
      <c r="C2660" s="26" t="s">
        <v>1196</v>
      </c>
      <c r="D2660" s="33">
        <v>41456</v>
      </c>
      <c r="E2660" s="26" t="s">
        <v>1221</v>
      </c>
      <c r="F2660" s="26" t="s">
        <v>1222</v>
      </c>
      <c r="G2660" s="26" t="s">
        <v>20</v>
      </c>
      <c r="H2660" s="26" t="s">
        <v>1223</v>
      </c>
      <c r="J2660" s="115">
        <v>2</v>
      </c>
      <c r="K2660" s="115">
        <v>27</v>
      </c>
      <c r="L2660" s="136"/>
      <c r="M2660" s="137" t="s">
        <v>22</v>
      </c>
      <c r="N2660" s="138"/>
      <c r="O2660" s="138"/>
      <c r="P2660" s="138"/>
      <c r="Q2660" s="138"/>
      <c r="R2660" s="138"/>
      <c r="S2660" s="138"/>
      <c r="T2660" s="138"/>
      <c r="U2660" s="138"/>
    </row>
    <row r="2661" spans="1:22" s="26" customFormat="1" ht="15" customHeight="1" x14ac:dyDescent="0.2">
      <c r="A2661" s="37">
        <v>41498.371180555601</v>
      </c>
      <c r="B2661" s="26" t="s">
        <v>152</v>
      </c>
      <c r="C2661" s="26" t="s">
        <v>1196</v>
      </c>
      <c r="D2661" s="33">
        <v>41456</v>
      </c>
      <c r="E2661" s="26" t="s">
        <v>1224</v>
      </c>
      <c r="F2661" s="26" t="s">
        <v>1225</v>
      </c>
      <c r="G2661" s="26" t="s">
        <v>42</v>
      </c>
      <c r="J2661" s="115">
        <v>1</v>
      </c>
      <c r="K2661" s="115">
        <v>94</v>
      </c>
      <c r="L2661" s="136">
        <v>100</v>
      </c>
      <c r="M2661" s="137" t="s">
        <v>22</v>
      </c>
      <c r="N2661" s="138"/>
      <c r="O2661" s="138"/>
      <c r="P2661" s="138"/>
      <c r="Q2661" s="138"/>
      <c r="R2661" s="138"/>
      <c r="S2661" s="138"/>
      <c r="T2661" s="138"/>
      <c r="U2661" s="138"/>
    </row>
    <row r="2662" spans="1:22" s="26" customFormat="1" ht="15" customHeight="1" x14ac:dyDescent="0.2">
      <c r="A2662" s="37">
        <v>41498.372407407398</v>
      </c>
      <c r="B2662" s="26" t="s">
        <v>152</v>
      </c>
      <c r="C2662" s="26" t="s">
        <v>1196</v>
      </c>
      <c r="D2662" s="33">
        <v>41456</v>
      </c>
      <c r="E2662" s="26" t="s">
        <v>1226</v>
      </c>
      <c r="F2662" s="26" t="s">
        <v>1227</v>
      </c>
      <c r="G2662" s="26" t="s">
        <v>351</v>
      </c>
      <c r="H2662" s="26" t="s">
        <v>1228</v>
      </c>
      <c r="J2662" s="115">
        <v>2</v>
      </c>
      <c r="K2662" s="115">
        <v>52</v>
      </c>
      <c r="L2662" s="136"/>
      <c r="M2662" s="137" t="s">
        <v>22</v>
      </c>
      <c r="N2662" s="138"/>
      <c r="O2662" s="138"/>
      <c r="P2662" s="138"/>
      <c r="Q2662" s="138"/>
      <c r="R2662" s="138"/>
      <c r="S2662" s="138"/>
      <c r="T2662" s="138"/>
      <c r="U2662" s="138"/>
    </row>
    <row r="2663" spans="1:22" s="26" customFormat="1" ht="15" customHeight="1" x14ac:dyDescent="0.2">
      <c r="A2663" s="37">
        <v>41498.373252314799</v>
      </c>
      <c r="B2663" s="26" t="s">
        <v>152</v>
      </c>
      <c r="C2663" s="26" t="s">
        <v>1196</v>
      </c>
      <c r="D2663" s="33">
        <v>41456</v>
      </c>
      <c r="E2663" s="26" t="s">
        <v>1229</v>
      </c>
      <c r="F2663" s="26" t="s">
        <v>1230</v>
      </c>
      <c r="G2663" s="26" t="s">
        <v>351</v>
      </c>
      <c r="H2663" s="26" t="s">
        <v>1231</v>
      </c>
      <c r="J2663" s="115">
        <v>2</v>
      </c>
      <c r="K2663" s="115">
        <v>103</v>
      </c>
      <c r="L2663" s="136"/>
      <c r="M2663" s="137"/>
      <c r="N2663" s="138"/>
      <c r="O2663" s="138"/>
      <c r="P2663" s="138"/>
      <c r="Q2663" s="138"/>
      <c r="R2663" s="138"/>
      <c r="S2663" s="138"/>
      <c r="T2663" s="138"/>
      <c r="U2663" s="138"/>
    </row>
    <row r="2664" spans="1:22" s="26" customFormat="1" ht="15" customHeight="1" x14ac:dyDescent="0.2">
      <c r="A2664" s="37">
        <v>41498.378865740699</v>
      </c>
      <c r="B2664" s="26" t="s">
        <v>152</v>
      </c>
      <c r="C2664" s="26" t="s">
        <v>1196</v>
      </c>
      <c r="D2664" s="33">
        <v>41456</v>
      </c>
      <c r="E2664" s="26" t="s">
        <v>1232</v>
      </c>
      <c r="F2664" s="26" t="s">
        <v>1233</v>
      </c>
      <c r="G2664" s="26" t="s">
        <v>351</v>
      </c>
      <c r="H2664" s="26" t="s">
        <v>1234</v>
      </c>
      <c r="J2664" s="115">
        <v>1</v>
      </c>
      <c r="K2664" s="115">
        <v>53</v>
      </c>
      <c r="L2664" s="136"/>
      <c r="M2664" s="137" t="s">
        <v>22</v>
      </c>
      <c r="N2664" s="138"/>
      <c r="O2664" s="138"/>
      <c r="P2664" s="138"/>
      <c r="Q2664" s="138"/>
      <c r="R2664" s="138"/>
      <c r="S2664" s="138"/>
      <c r="T2664" s="138"/>
      <c r="U2664" s="138"/>
    </row>
    <row r="2665" spans="1:22" s="26" customFormat="1" ht="15" customHeight="1" x14ac:dyDescent="0.2">
      <c r="A2665" s="37">
        <v>41498.380393518499</v>
      </c>
      <c r="B2665" s="26" t="s">
        <v>152</v>
      </c>
      <c r="C2665" s="26" t="s">
        <v>1196</v>
      </c>
      <c r="D2665" s="33">
        <v>41456</v>
      </c>
      <c r="E2665" s="26" t="s">
        <v>1226</v>
      </c>
      <c r="F2665" s="26" t="s">
        <v>1235</v>
      </c>
      <c r="G2665" s="26" t="s">
        <v>351</v>
      </c>
      <c r="H2665" s="26" t="s">
        <v>1236</v>
      </c>
      <c r="J2665" s="115">
        <v>1</v>
      </c>
      <c r="K2665" s="115">
        <v>59</v>
      </c>
      <c r="L2665" s="136"/>
      <c r="M2665" s="137" t="s">
        <v>22</v>
      </c>
      <c r="N2665" s="138"/>
      <c r="O2665" s="138"/>
      <c r="P2665" s="138"/>
      <c r="Q2665" s="138"/>
      <c r="R2665" s="138"/>
      <c r="S2665" s="138"/>
      <c r="T2665" s="138"/>
      <c r="U2665" s="138"/>
    </row>
    <row r="2666" spans="1:22" s="26" customFormat="1" ht="15" customHeight="1" x14ac:dyDescent="0.2">
      <c r="A2666" s="37">
        <v>41498.381759259297</v>
      </c>
      <c r="B2666" s="26" t="s">
        <v>152</v>
      </c>
      <c r="C2666" s="26" t="s">
        <v>1196</v>
      </c>
      <c r="D2666" s="33">
        <v>41456</v>
      </c>
      <c r="E2666" s="26" t="s">
        <v>1237</v>
      </c>
      <c r="F2666" s="26" t="s">
        <v>1238</v>
      </c>
      <c r="G2666" s="26" t="s">
        <v>351</v>
      </c>
      <c r="J2666" s="115">
        <v>2</v>
      </c>
      <c r="K2666" s="115">
        <v>41</v>
      </c>
      <c r="L2666" s="136">
        <v>120</v>
      </c>
      <c r="M2666" s="137" t="s">
        <v>22</v>
      </c>
      <c r="N2666" s="138"/>
      <c r="O2666" s="138"/>
      <c r="P2666" s="138"/>
      <c r="Q2666" s="138"/>
      <c r="R2666" s="138"/>
      <c r="S2666" s="138"/>
      <c r="T2666" s="138"/>
      <c r="U2666" s="138"/>
    </row>
    <row r="2667" spans="1:22" s="26" customFormat="1" ht="15" customHeight="1" x14ac:dyDescent="0.2">
      <c r="A2667" s="37">
        <v>41498.384756944397</v>
      </c>
      <c r="B2667" s="26" t="s">
        <v>152</v>
      </c>
      <c r="C2667" s="26" t="s">
        <v>1196</v>
      </c>
      <c r="D2667" s="33">
        <v>41456</v>
      </c>
      <c r="E2667" s="26" t="s">
        <v>1239</v>
      </c>
      <c r="F2667" s="26" t="s">
        <v>1240</v>
      </c>
      <c r="G2667" s="26" t="s">
        <v>42</v>
      </c>
      <c r="J2667" s="115">
        <v>1</v>
      </c>
      <c r="K2667" s="115">
        <v>16</v>
      </c>
      <c r="L2667" s="136"/>
      <c r="M2667" s="137" t="s">
        <v>22</v>
      </c>
      <c r="N2667" s="138"/>
      <c r="O2667" s="138"/>
      <c r="P2667" s="138"/>
      <c r="Q2667" s="138"/>
      <c r="R2667" s="138"/>
      <c r="S2667" s="138"/>
      <c r="T2667" s="138"/>
      <c r="U2667" s="138"/>
    </row>
    <row r="2668" spans="1:22" s="26" customFormat="1" ht="15" customHeight="1" x14ac:dyDescent="0.2">
      <c r="A2668" s="37">
        <v>41498.3858680556</v>
      </c>
      <c r="B2668" s="26" t="s">
        <v>152</v>
      </c>
      <c r="C2668" s="26" t="s">
        <v>1196</v>
      </c>
      <c r="D2668" s="33">
        <v>41456</v>
      </c>
      <c r="E2668" s="26" t="s">
        <v>1241</v>
      </c>
      <c r="F2668" s="26" t="s">
        <v>1242</v>
      </c>
      <c r="G2668" s="26" t="s">
        <v>60</v>
      </c>
      <c r="H2668" s="26" t="s">
        <v>1243</v>
      </c>
      <c r="J2668" s="115">
        <v>2</v>
      </c>
      <c r="K2668" s="115">
        <v>35</v>
      </c>
      <c r="L2668" s="136"/>
      <c r="M2668" s="137" t="s">
        <v>22</v>
      </c>
      <c r="N2668" s="138"/>
      <c r="O2668" s="138"/>
      <c r="P2668" s="138"/>
      <c r="Q2668" s="138"/>
      <c r="R2668" s="138"/>
      <c r="S2668" s="138"/>
      <c r="T2668" s="138"/>
      <c r="U2668" s="138"/>
    </row>
    <row r="2669" spans="1:22" s="26" customFormat="1" ht="15" customHeight="1" x14ac:dyDescent="0.2">
      <c r="A2669" s="37">
        <v>41498.386608796303</v>
      </c>
      <c r="B2669" s="26" t="s">
        <v>152</v>
      </c>
      <c r="C2669" s="26" t="s">
        <v>1196</v>
      </c>
      <c r="D2669" s="33">
        <v>41456</v>
      </c>
      <c r="E2669" s="26" t="s">
        <v>1244</v>
      </c>
      <c r="F2669" s="26" t="s">
        <v>1245</v>
      </c>
      <c r="G2669" s="26" t="s">
        <v>60</v>
      </c>
      <c r="H2669" s="26" t="s">
        <v>1246</v>
      </c>
      <c r="J2669" s="115">
        <v>2</v>
      </c>
      <c r="K2669" s="115">
        <v>60</v>
      </c>
      <c r="L2669" s="136"/>
      <c r="M2669" s="137" t="s">
        <v>22</v>
      </c>
      <c r="N2669" s="138"/>
      <c r="O2669" s="138"/>
      <c r="P2669" s="138"/>
      <c r="Q2669" s="138"/>
      <c r="R2669" s="138"/>
      <c r="S2669" s="138"/>
      <c r="T2669" s="138"/>
      <c r="U2669" s="138"/>
    </row>
    <row r="2670" spans="1:22" s="26" customFormat="1" ht="15" customHeight="1" x14ac:dyDescent="0.2">
      <c r="A2670" s="28">
        <v>41526.361770833333</v>
      </c>
      <c r="B2670" s="29" t="s">
        <v>152</v>
      </c>
      <c r="C2670" s="29" t="s">
        <v>1196</v>
      </c>
      <c r="D2670" s="30">
        <v>41487</v>
      </c>
      <c r="E2670" s="29" t="s">
        <v>1834</v>
      </c>
      <c r="F2670" s="29" t="s">
        <v>1201</v>
      </c>
      <c r="G2670" s="39" t="s">
        <v>26</v>
      </c>
      <c r="H2670" s="29" t="s">
        <v>1835</v>
      </c>
      <c r="I2670" s="29"/>
      <c r="J2670" s="116">
        <v>1</v>
      </c>
      <c r="K2670" s="116">
        <v>15</v>
      </c>
      <c r="L2670" s="139">
        <v>100</v>
      </c>
      <c r="M2670" s="140" t="s">
        <v>22</v>
      </c>
      <c r="N2670" s="141"/>
      <c r="O2670" s="141"/>
      <c r="P2670" s="141"/>
      <c r="Q2670" s="141"/>
      <c r="R2670" s="141"/>
      <c r="S2670" s="141"/>
      <c r="T2670" s="141"/>
      <c r="U2670" s="141"/>
      <c r="V2670" s="29"/>
    </row>
    <row r="2671" spans="1:22" s="26" customFormat="1" ht="15" customHeight="1" x14ac:dyDescent="0.2">
      <c r="A2671" s="28">
        <v>41526.363125000003</v>
      </c>
      <c r="B2671" s="29" t="s">
        <v>152</v>
      </c>
      <c r="C2671" s="29" t="s">
        <v>1196</v>
      </c>
      <c r="D2671" s="30">
        <v>41487</v>
      </c>
      <c r="E2671" s="29" t="s">
        <v>1836</v>
      </c>
      <c r="F2671" s="29" t="s">
        <v>1837</v>
      </c>
      <c r="G2671" s="39" t="s">
        <v>26</v>
      </c>
      <c r="H2671" s="29" t="s">
        <v>1838</v>
      </c>
      <c r="I2671" s="29"/>
      <c r="J2671" s="116">
        <v>1</v>
      </c>
      <c r="K2671" s="116">
        <v>9</v>
      </c>
      <c r="L2671" s="139">
        <v>100</v>
      </c>
      <c r="M2671" s="140" t="s">
        <v>22</v>
      </c>
      <c r="N2671" s="141"/>
      <c r="O2671" s="141"/>
      <c r="P2671" s="141"/>
      <c r="Q2671" s="141"/>
      <c r="R2671" s="141"/>
      <c r="S2671" s="141"/>
      <c r="T2671" s="141"/>
      <c r="U2671" s="141">
        <v>434</v>
      </c>
      <c r="V2671" s="29" t="s">
        <v>1839</v>
      </c>
    </row>
    <row r="2672" spans="1:22" s="26" customFormat="1" ht="15" customHeight="1" x14ac:dyDescent="0.2">
      <c r="A2672" s="28">
        <v>41526.364340277774</v>
      </c>
      <c r="B2672" s="29" t="s">
        <v>152</v>
      </c>
      <c r="C2672" s="29" t="s">
        <v>1196</v>
      </c>
      <c r="D2672" s="30">
        <v>41487</v>
      </c>
      <c r="E2672" s="29" t="s">
        <v>1212</v>
      </c>
      <c r="F2672" s="29" t="s">
        <v>1840</v>
      </c>
      <c r="G2672" s="39" t="s">
        <v>26</v>
      </c>
      <c r="H2672" s="29" t="s">
        <v>1841</v>
      </c>
      <c r="I2672" s="29"/>
      <c r="J2672" s="116">
        <v>1</v>
      </c>
      <c r="K2672" s="116">
        <v>27</v>
      </c>
      <c r="L2672" s="139">
        <v>125</v>
      </c>
      <c r="M2672" s="140" t="s">
        <v>44</v>
      </c>
      <c r="N2672" s="141"/>
      <c r="O2672" s="141">
        <v>40</v>
      </c>
      <c r="P2672" s="141">
        <v>49</v>
      </c>
      <c r="Q2672" s="141"/>
      <c r="R2672" s="141"/>
      <c r="S2672" s="141"/>
      <c r="T2672" s="141"/>
      <c r="U2672" s="141"/>
      <c r="V2672" s="29"/>
    </row>
    <row r="2673" spans="1:22" s="26" customFormat="1" ht="15" customHeight="1" x14ac:dyDescent="0.2">
      <c r="A2673" s="28">
        <v>41526.372071759259</v>
      </c>
      <c r="B2673" s="29" t="s">
        <v>152</v>
      </c>
      <c r="C2673" s="29" t="s">
        <v>1196</v>
      </c>
      <c r="D2673" s="30">
        <v>41487</v>
      </c>
      <c r="E2673" s="29" t="s">
        <v>1203</v>
      </c>
      <c r="F2673" s="29" t="s">
        <v>1204</v>
      </c>
      <c r="G2673" s="29" t="s">
        <v>26</v>
      </c>
      <c r="H2673" s="29" t="s">
        <v>1842</v>
      </c>
      <c r="I2673" s="29"/>
      <c r="J2673" s="116">
        <v>1</v>
      </c>
      <c r="K2673" s="116">
        <v>20</v>
      </c>
      <c r="L2673" s="139"/>
      <c r="M2673" s="140" t="s">
        <v>22</v>
      </c>
      <c r="N2673" s="141"/>
      <c r="O2673" s="141"/>
      <c r="P2673" s="141"/>
      <c r="Q2673" s="141"/>
      <c r="R2673" s="141"/>
      <c r="S2673" s="141"/>
      <c r="T2673" s="141"/>
      <c r="U2673" s="141"/>
      <c r="V2673" s="29"/>
    </row>
    <row r="2674" spans="1:22" s="26" customFormat="1" ht="15" customHeight="1" x14ac:dyDescent="0.2">
      <c r="A2674" s="28">
        <v>41526.374537037038</v>
      </c>
      <c r="B2674" s="29" t="s">
        <v>152</v>
      </c>
      <c r="C2674" s="29" t="s">
        <v>1196</v>
      </c>
      <c r="D2674" s="30">
        <v>41487</v>
      </c>
      <c r="E2674" s="29" t="s">
        <v>1212</v>
      </c>
      <c r="F2674" s="29" t="s">
        <v>1843</v>
      </c>
      <c r="G2674" s="29" t="s">
        <v>26</v>
      </c>
      <c r="H2674" s="29" t="s">
        <v>1844</v>
      </c>
      <c r="I2674" s="29"/>
      <c r="J2674" s="116">
        <v>1</v>
      </c>
      <c r="K2674" s="116">
        <v>2</v>
      </c>
      <c r="L2674" s="139"/>
      <c r="M2674" s="140" t="s">
        <v>22</v>
      </c>
      <c r="N2674" s="141"/>
      <c r="O2674" s="141"/>
      <c r="P2674" s="141"/>
      <c r="Q2674" s="141"/>
      <c r="R2674" s="141"/>
      <c r="S2674" s="141"/>
      <c r="T2674" s="141"/>
      <c r="U2674" s="141"/>
      <c r="V2674" s="29"/>
    </row>
    <row r="2675" spans="1:22" s="26" customFormat="1" ht="15" customHeight="1" x14ac:dyDescent="0.2">
      <c r="A2675" s="28">
        <v>41526.37909722222</v>
      </c>
      <c r="B2675" s="29" t="s">
        <v>152</v>
      </c>
      <c r="C2675" s="29" t="s">
        <v>1196</v>
      </c>
      <c r="D2675" s="30">
        <v>41487</v>
      </c>
      <c r="E2675" s="29" t="s">
        <v>1845</v>
      </c>
      <c r="F2675" s="29" t="s">
        <v>1846</v>
      </c>
      <c r="G2675" s="29" t="s">
        <v>26</v>
      </c>
      <c r="H2675" s="29" t="s">
        <v>1847</v>
      </c>
      <c r="I2675" s="29"/>
      <c r="J2675" s="116">
        <v>1</v>
      </c>
      <c r="K2675" s="116">
        <v>27</v>
      </c>
      <c r="L2675" s="139">
        <v>27</v>
      </c>
      <c r="M2675" s="140" t="s">
        <v>44</v>
      </c>
      <c r="N2675" s="141"/>
      <c r="O2675" s="141">
        <v>75</v>
      </c>
      <c r="P2675" s="141"/>
      <c r="Q2675" s="141"/>
      <c r="R2675" s="141"/>
      <c r="S2675" s="141"/>
      <c r="T2675" s="141"/>
      <c r="U2675" s="141"/>
      <c r="V2675" s="29"/>
    </row>
    <row r="2676" spans="1:22" s="26" customFormat="1" ht="15" customHeight="1" x14ac:dyDescent="0.2">
      <c r="A2676" s="28">
        <v>41526.380300925928</v>
      </c>
      <c r="B2676" s="29" t="s">
        <v>152</v>
      </c>
      <c r="C2676" s="29" t="s">
        <v>1196</v>
      </c>
      <c r="D2676" s="30">
        <v>41487</v>
      </c>
      <c r="E2676" s="29" t="s">
        <v>1848</v>
      </c>
      <c r="F2676" s="29" t="s">
        <v>1213</v>
      </c>
      <c r="G2676" s="29" t="s">
        <v>26</v>
      </c>
      <c r="H2676" s="29" t="s">
        <v>1849</v>
      </c>
      <c r="I2676" s="29"/>
      <c r="J2676" s="116">
        <v>1</v>
      </c>
      <c r="K2676" s="116">
        <v>27</v>
      </c>
      <c r="L2676" s="139"/>
      <c r="M2676" s="140" t="s">
        <v>44</v>
      </c>
      <c r="N2676" s="141"/>
      <c r="O2676" s="141">
        <v>15</v>
      </c>
      <c r="P2676" s="141">
        <v>18</v>
      </c>
      <c r="Q2676" s="141"/>
      <c r="R2676" s="141"/>
      <c r="S2676" s="141"/>
      <c r="T2676" s="141"/>
      <c r="U2676" s="141"/>
      <c r="V2676" s="29"/>
    </row>
    <row r="2677" spans="1:22" s="26" customFormat="1" ht="15" customHeight="1" x14ac:dyDescent="0.2">
      <c r="A2677" s="28">
        <v>41526.38208333333</v>
      </c>
      <c r="B2677" s="29" t="s">
        <v>152</v>
      </c>
      <c r="C2677" s="29" t="s">
        <v>1196</v>
      </c>
      <c r="D2677" s="30">
        <v>41487</v>
      </c>
      <c r="E2677" s="29" t="s">
        <v>1850</v>
      </c>
      <c r="F2677" s="29" t="s">
        <v>1851</v>
      </c>
      <c r="G2677" s="29" t="s">
        <v>20</v>
      </c>
      <c r="H2677" s="29" t="s">
        <v>1852</v>
      </c>
      <c r="I2677" s="29"/>
      <c r="J2677" s="116">
        <v>27</v>
      </c>
      <c r="K2677" s="116">
        <v>150</v>
      </c>
      <c r="L2677" s="139">
        <v>402</v>
      </c>
      <c r="M2677" s="140" t="s">
        <v>22</v>
      </c>
      <c r="N2677" s="141"/>
      <c r="O2677" s="141"/>
      <c r="P2677" s="141"/>
      <c r="Q2677" s="141"/>
      <c r="R2677" s="141"/>
      <c r="S2677" s="141"/>
      <c r="T2677" s="141"/>
      <c r="U2677" s="141"/>
      <c r="V2677" s="29"/>
    </row>
    <row r="2678" spans="1:22" s="26" customFormat="1" ht="15" customHeight="1" x14ac:dyDescent="0.2">
      <c r="A2678" s="28">
        <v>41526.394803240742</v>
      </c>
      <c r="B2678" s="29" t="s">
        <v>152</v>
      </c>
      <c r="C2678" s="29" t="s">
        <v>1196</v>
      </c>
      <c r="D2678" s="30">
        <v>41487</v>
      </c>
      <c r="E2678" s="29" t="s">
        <v>1853</v>
      </c>
      <c r="F2678" s="29" t="s">
        <v>1854</v>
      </c>
      <c r="G2678" s="29" t="s">
        <v>20</v>
      </c>
      <c r="H2678" s="29" t="s">
        <v>1855</v>
      </c>
      <c r="I2678" s="29"/>
      <c r="J2678" s="116">
        <v>48</v>
      </c>
      <c r="K2678" s="116">
        <v>207</v>
      </c>
      <c r="L2678" s="139">
        <v>1200</v>
      </c>
      <c r="M2678" s="140" t="s">
        <v>22</v>
      </c>
      <c r="N2678" s="141"/>
      <c r="O2678" s="141"/>
      <c r="P2678" s="141"/>
      <c r="Q2678" s="141"/>
      <c r="R2678" s="141"/>
      <c r="S2678" s="141"/>
      <c r="T2678" s="141"/>
      <c r="U2678" s="141"/>
      <c r="V2678" s="29"/>
    </row>
    <row r="2679" spans="1:22" s="26" customFormat="1" ht="15" customHeight="1" x14ac:dyDescent="0.2">
      <c r="A2679" s="28">
        <v>41526.396643518521</v>
      </c>
      <c r="B2679" s="29" t="s">
        <v>152</v>
      </c>
      <c r="C2679" s="29" t="s">
        <v>1196</v>
      </c>
      <c r="D2679" s="30">
        <v>41487</v>
      </c>
      <c r="E2679" s="29" t="s">
        <v>1856</v>
      </c>
      <c r="F2679" s="29" t="s">
        <v>1857</v>
      </c>
      <c r="G2679" s="29" t="s">
        <v>20</v>
      </c>
      <c r="H2679" s="29" t="s">
        <v>1858</v>
      </c>
      <c r="I2679" s="29"/>
      <c r="J2679" s="116">
        <v>8</v>
      </c>
      <c r="K2679" s="116">
        <v>403</v>
      </c>
      <c r="L2679" s="139">
        <v>120</v>
      </c>
      <c r="M2679" s="140" t="s">
        <v>22</v>
      </c>
      <c r="N2679" s="141"/>
      <c r="O2679" s="141"/>
      <c r="P2679" s="141"/>
      <c r="Q2679" s="141"/>
      <c r="R2679" s="141"/>
      <c r="S2679" s="141"/>
      <c r="T2679" s="141"/>
      <c r="U2679" s="141"/>
      <c r="V2679" s="29"/>
    </row>
    <row r="2680" spans="1:22" s="26" customFormat="1" ht="15" customHeight="1" x14ac:dyDescent="0.2">
      <c r="A2680" s="28">
        <v>41526.397673611114</v>
      </c>
      <c r="B2680" s="29" t="s">
        <v>152</v>
      </c>
      <c r="C2680" s="29" t="s">
        <v>1196</v>
      </c>
      <c r="D2680" s="30">
        <v>41487</v>
      </c>
      <c r="E2680" s="29" t="s">
        <v>1859</v>
      </c>
      <c r="F2680" s="29" t="s">
        <v>1242</v>
      </c>
      <c r="G2680" s="29" t="s">
        <v>42</v>
      </c>
      <c r="H2680" s="29" t="s">
        <v>1844</v>
      </c>
      <c r="I2680" s="29"/>
      <c r="J2680" s="116">
        <v>2</v>
      </c>
      <c r="K2680" s="116">
        <v>24</v>
      </c>
      <c r="L2680" s="139">
        <v>0</v>
      </c>
      <c r="M2680" s="140" t="s">
        <v>22</v>
      </c>
      <c r="N2680" s="141"/>
      <c r="O2680" s="141"/>
      <c r="P2680" s="141"/>
      <c r="Q2680" s="141"/>
      <c r="R2680" s="141"/>
      <c r="S2680" s="141"/>
      <c r="T2680" s="141"/>
      <c r="U2680" s="141"/>
      <c r="V2680" s="29"/>
    </row>
    <row r="2681" spans="1:22" s="26" customFormat="1" ht="15" customHeight="1" x14ac:dyDescent="0.2">
      <c r="A2681" s="28">
        <v>41526.398472222223</v>
      </c>
      <c r="B2681" s="29" t="s">
        <v>152</v>
      </c>
      <c r="C2681" s="29" t="s">
        <v>1196</v>
      </c>
      <c r="D2681" s="30">
        <v>41487</v>
      </c>
      <c r="E2681" s="29" t="s">
        <v>1860</v>
      </c>
      <c r="F2681" s="29" t="s">
        <v>1861</v>
      </c>
      <c r="G2681" s="29" t="s">
        <v>42</v>
      </c>
      <c r="H2681" s="29" t="s">
        <v>1862</v>
      </c>
      <c r="I2681" s="29"/>
      <c r="J2681" s="116">
        <v>3</v>
      </c>
      <c r="K2681" s="116">
        <v>51</v>
      </c>
      <c r="L2681" s="139">
        <v>100</v>
      </c>
      <c r="M2681" s="140" t="s">
        <v>22</v>
      </c>
      <c r="N2681" s="141"/>
      <c r="O2681" s="141"/>
      <c r="P2681" s="141"/>
      <c r="Q2681" s="141"/>
      <c r="R2681" s="141"/>
      <c r="S2681" s="141"/>
      <c r="T2681" s="141"/>
      <c r="U2681" s="141"/>
      <c r="V2681" s="29"/>
    </row>
    <row r="2682" spans="1:22" s="26" customFormat="1" ht="15" customHeight="1" x14ac:dyDescent="0.2">
      <c r="A2682" s="32">
        <v>41554.606053240743</v>
      </c>
      <c r="B2682" s="26" t="s">
        <v>152</v>
      </c>
      <c r="C2682" s="26" t="s">
        <v>1196</v>
      </c>
      <c r="D2682" s="30">
        <v>41518</v>
      </c>
      <c r="E2682" s="26" t="s">
        <v>2499</v>
      </c>
      <c r="F2682" s="26" t="s">
        <v>2500</v>
      </c>
      <c r="G2682" s="26" t="s">
        <v>351</v>
      </c>
      <c r="H2682" s="26" t="s">
        <v>2501</v>
      </c>
      <c r="J2682" s="46">
        <v>8</v>
      </c>
      <c r="K2682" s="46">
        <v>171</v>
      </c>
      <c r="L2682" s="136"/>
      <c r="M2682" s="137" t="s">
        <v>22</v>
      </c>
      <c r="N2682" s="138"/>
      <c r="O2682" s="138"/>
      <c r="P2682" s="138"/>
      <c r="Q2682" s="138"/>
      <c r="R2682" s="138"/>
      <c r="S2682" s="138"/>
      <c r="T2682" s="138"/>
      <c r="U2682" s="138"/>
    </row>
    <row r="2683" spans="1:22" s="26" customFormat="1" ht="15" customHeight="1" x14ac:dyDescent="0.2">
      <c r="A2683" s="32">
        <v>41554.60728009259</v>
      </c>
      <c r="B2683" s="26" t="s">
        <v>152</v>
      </c>
      <c r="C2683" s="26" t="s">
        <v>1196</v>
      </c>
      <c r="D2683" s="30">
        <v>41518</v>
      </c>
      <c r="E2683" s="26" t="s">
        <v>2502</v>
      </c>
      <c r="F2683" s="26" t="s">
        <v>2503</v>
      </c>
      <c r="G2683" s="26" t="s">
        <v>351</v>
      </c>
      <c r="H2683" s="26" t="s">
        <v>2504</v>
      </c>
      <c r="J2683" s="46">
        <v>4</v>
      </c>
      <c r="K2683" s="46">
        <v>221</v>
      </c>
      <c r="L2683" s="136">
        <v>100</v>
      </c>
      <c r="M2683" s="137" t="s">
        <v>22</v>
      </c>
      <c r="N2683" s="138"/>
      <c r="O2683" s="138"/>
      <c r="P2683" s="138"/>
      <c r="Q2683" s="138"/>
      <c r="R2683" s="138"/>
      <c r="S2683" s="138"/>
      <c r="T2683" s="138"/>
      <c r="U2683" s="138"/>
    </row>
    <row r="2684" spans="1:22" s="26" customFormat="1" ht="15" customHeight="1" x14ac:dyDescent="0.2">
      <c r="A2684" s="32">
        <v>41554.622152777774</v>
      </c>
      <c r="B2684" s="26" t="s">
        <v>152</v>
      </c>
      <c r="C2684" s="26" t="s">
        <v>1196</v>
      </c>
      <c r="D2684" s="30">
        <v>41518</v>
      </c>
      <c r="E2684" s="26" t="s">
        <v>2505</v>
      </c>
      <c r="F2684" s="26" t="s">
        <v>2506</v>
      </c>
      <c r="G2684" s="26" t="s">
        <v>351</v>
      </c>
      <c r="H2684" s="26" t="s">
        <v>2507</v>
      </c>
      <c r="J2684" s="115">
        <v>4</v>
      </c>
      <c r="K2684" s="115">
        <v>227</v>
      </c>
      <c r="L2684" s="136">
        <v>100</v>
      </c>
      <c r="M2684" s="137" t="s">
        <v>22</v>
      </c>
      <c r="N2684" s="138"/>
      <c r="O2684" s="138"/>
      <c r="P2684" s="138"/>
      <c r="Q2684" s="138"/>
      <c r="R2684" s="138"/>
      <c r="S2684" s="138"/>
      <c r="T2684" s="138"/>
      <c r="U2684" s="138"/>
    </row>
    <row r="2685" spans="1:22" s="26" customFormat="1" ht="15" customHeight="1" x14ac:dyDescent="0.2">
      <c r="A2685" s="32">
        <v>41554.623229166667</v>
      </c>
      <c r="B2685" s="26" t="s">
        <v>152</v>
      </c>
      <c r="C2685" s="26" t="s">
        <v>1196</v>
      </c>
      <c r="D2685" s="30">
        <v>41518</v>
      </c>
      <c r="E2685" s="26" t="s">
        <v>2508</v>
      </c>
      <c r="F2685" s="26" t="s">
        <v>2509</v>
      </c>
      <c r="G2685" s="26" t="s">
        <v>351</v>
      </c>
      <c r="H2685" s="26" t="s">
        <v>2510</v>
      </c>
      <c r="J2685" s="46">
        <v>1</v>
      </c>
      <c r="K2685" s="46">
        <v>47</v>
      </c>
      <c r="L2685" s="136">
        <v>60</v>
      </c>
      <c r="M2685" s="137" t="s">
        <v>22</v>
      </c>
      <c r="N2685" s="138"/>
      <c r="O2685" s="138"/>
      <c r="P2685" s="138"/>
      <c r="Q2685" s="138"/>
      <c r="R2685" s="138"/>
      <c r="S2685" s="138"/>
      <c r="T2685" s="138"/>
      <c r="U2685" s="138"/>
    </row>
    <row r="2686" spans="1:22" s="26" customFormat="1" ht="15" customHeight="1" x14ac:dyDescent="0.2">
      <c r="A2686" s="32">
        <v>41554.624155092592</v>
      </c>
      <c r="B2686" s="26" t="s">
        <v>152</v>
      </c>
      <c r="C2686" s="26" t="s">
        <v>1196</v>
      </c>
      <c r="D2686" s="30">
        <v>41518</v>
      </c>
      <c r="E2686" s="26" t="s">
        <v>2511</v>
      </c>
      <c r="F2686" s="26" t="s">
        <v>2512</v>
      </c>
      <c r="G2686" s="26" t="s">
        <v>351</v>
      </c>
      <c r="H2686" s="26" t="s">
        <v>2513</v>
      </c>
      <c r="J2686" s="46">
        <v>1</v>
      </c>
      <c r="K2686" s="46">
        <v>43</v>
      </c>
      <c r="L2686" s="136">
        <v>120</v>
      </c>
      <c r="M2686" s="137" t="s">
        <v>22</v>
      </c>
      <c r="N2686" s="138"/>
      <c r="O2686" s="138"/>
      <c r="P2686" s="138"/>
      <c r="Q2686" s="138"/>
      <c r="R2686" s="138"/>
      <c r="S2686" s="138"/>
      <c r="T2686" s="138"/>
      <c r="U2686" s="138"/>
    </row>
    <row r="2687" spans="1:22" s="26" customFormat="1" ht="15" customHeight="1" x14ac:dyDescent="0.2">
      <c r="A2687" s="32">
        <v>41554.625439814816</v>
      </c>
      <c r="B2687" s="26" t="s">
        <v>152</v>
      </c>
      <c r="C2687" s="26" t="s">
        <v>1196</v>
      </c>
      <c r="D2687" s="30">
        <v>41518</v>
      </c>
      <c r="E2687" s="26" t="s">
        <v>2514</v>
      </c>
      <c r="F2687" s="26" t="s">
        <v>2515</v>
      </c>
      <c r="G2687" s="34" t="s">
        <v>351</v>
      </c>
      <c r="H2687" s="34" t="s">
        <v>2516</v>
      </c>
      <c r="I2687" s="34"/>
      <c r="J2687" s="46">
        <v>2</v>
      </c>
      <c r="K2687" s="46">
        <v>84</v>
      </c>
      <c r="L2687" s="136"/>
      <c r="M2687" s="137"/>
      <c r="N2687" s="138"/>
      <c r="O2687" s="138"/>
      <c r="P2687" s="138"/>
      <c r="Q2687" s="138"/>
      <c r="R2687" s="138"/>
      <c r="S2687" s="138"/>
      <c r="T2687" s="138"/>
      <c r="U2687" s="138"/>
    </row>
    <row r="2688" spans="1:22" s="26" customFormat="1" ht="15" customHeight="1" x14ac:dyDescent="0.2">
      <c r="A2688" s="32">
        <v>41554.641435185185</v>
      </c>
      <c r="B2688" s="26" t="s">
        <v>152</v>
      </c>
      <c r="C2688" s="26" t="s">
        <v>1196</v>
      </c>
      <c r="D2688" s="30">
        <v>41518</v>
      </c>
      <c r="E2688" s="26" t="s">
        <v>2517</v>
      </c>
      <c r="F2688" s="26" t="s">
        <v>2518</v>
      </c>
      <c r="G2688" s="26" t="s">
        <v>351</v>
      </c>
      <c r="H2688" s="26" t="s">
        <v>2504</v>
      </c>
      <c r="J2688" s="46">
        <v>1</v>
      </c>
      <c r="K2688" s="46">
        <v>75</v>
      </c>
      <c r="L2688" s="136">
        <v>60</v>
      </c>
      <c r="M2688" s="137" t="s">
        <v>22</v>
      </c>
      <c r="N2688" s="138"/>
      <c r="O2688" s="138"/>
      <c r="P2688" s="138"/>
      <c r="Q2688" s="138"/>
      <c r="R2688" s="138"/>
      <c r="S2688" s="138"/>
      <c r="T2688" s="138"/>
      <c r="U2688" s="138"/>
    </row>
    <row r="2689" spans="1:21" s="26" customFormat="1" ht="15" customHeight="1" x14ac:dyDescent="0.2">
      <c r="A2689" s="32">
        <v>41554.658750000002</v>
      </c>
      <c r="B2689" s="26" t="s">
        <v>152</v>
      </c>
      <c r="C2689" s="26" t="s">
        <v>1196</v>
      </c>
      <c r="D2689" s="30">
        <v>41518</v>
      </c>
      <c r="E2689" s="26" t="s">
        <v>2519</v>
      </c>
      <c r="F2689" s="26" t="s">
        <v>2520</v>
      </c>
      <c r="G2689" s="26" t="s">
        <v>351</v>
      </c>
      <c r="H2689" s="26" t="s">
        <v>2521</v>
      </c>
      <c r="J2689" s="46">
        <v>2</v>
      </c>
      <c r="K2689" s="46">
        <v>68</v>
      </c>
      <c r="L2689" s="136">
        <v>60</v>
      </c>
      <c r="M2689" s="137" t="s">
        <v>22</v>
      </c>
      <c r="N2689" s="138"/>
      <c r="O2689" s="138"/>
      <c r="P2689" s="138"/>
      <c r="Q2689" s="138"/>
      <c r="R2689" s="138"/>
      <c r="S2689" s="138"/>
      <c r="T2689" s="138"/>
      <c r="U2689" s="138"/>
    </row>
    <row r="2690" spans="1:21" s="26" customFormat="1" ht="15" customHeight="1" x14ac:dyDescent="0.2">
      <c r="A2690" s="32">
        <v>41554.661111111112</v>
      </c>
      <c r="B2690" s="26" t="s">
        <v>152</v>
      </c>
      <c r="C2690" s="26" t="s">
        <v>1196</v>
      </c>
      <c r="D2690" s="30">
        <v>41518</v>
      </c>
      <c r="E2690" s="26" t="s">
        <v>2522</v>
      </c>
      <c r="F2690" s="26" t="s">
        <v>2523</v>
      </c>
      <c r="G2690" s="26" t="s">
        <v>351</v>
      </c>
      <c r="J2690" s="46">
        <v>1</v>
      </c>
      <c r="K2690" s="46">
        <v>42</v>
      </c>
      <c r="L2690" s="136">
        <v>60</v>
      </c>
      <c r="M2690" s="137" t="s">
        <v>22</v>
      </c>
      <c r="N2690" s="138"/>
      <c r="O2690" s="138"/>
      <c r="P2690" s="138"/>
      <c r="Q2690" s="138"/>
      <c r="R2690" s="138"/>
      <c r="S2690" s="138"/>
      <c r="T2690" s="138"/>
      <c r="U2690" s="138"/>
    </row>
    <row r="2691" spans="1:21" s="26" customFormat="1" ht="15" customHeight="1" x14ac:dyDescent="0.2">
      <c r="A2691" s="32">
        <v>41554.66302083333</v>
      </c>
      <c r="B2691" s="26" t="s">
        <v>152</v>
      </c>
      <c r="C2691" s="26" t="s">
        <v>1196</v>
      </c>
      <c r="D2691" s="30">
        <v>41518</v>
      </c>
      <c r="E2691" s="26" t="s">
        <v>2524</v>
      </c>
      <c r="F2691" s="26" t="s">
        <v>2525</v>
      </c>
      <c r="G2691" s="26" t="s">
        <v>351</v>
      </c>
      <c r="H2691" s="26" t="s">
        <v>1236</v>
      </c>
      <c r="J2691" s="46">
        <v>1</v>
      </c>
      <c r="K2691" s="46">
        <v>96</v>
      </c>
      <c r="L2691" s="136"/>
      <c r="M2691" s="137" t="s">
        <v>22</v>
      </c>
      <c r="N2691" s="138"/>
      <c r="O2691" s="138"/>
      <c r="P2691" s="138"/>
      <c r="Q2691" s="138"/>
      <c r="R2691" s="138"/>
      <c r="S2691" s="138"/>
      <c r="T2691" s="138"/>
      <c r="U2691" s="138"/>
    </row>
    <row r="2692" spans="1:21" s="26" customFormat="1" ht="15" customHeight="1" x14ac:dyDescent="0.2">
      <c r="A2692" s="32">
        <v>41554.665706018517</v>
      </c>
      <c r="B2692" s="26" t="s">
        <v>152</v>
      </c>
      <c r="C2692" s="26" t="s">
        <v>1196</v>
      </c>
      <c r="D2692" s="30">
        <v>41518</v>
      </c>
      <c r="E2692" s="26" t="s">
        <v>2526</v>
      </c>
      <c r="F2692" s="26" t="s">
        <v>2527</v>
      </c>
      <c r="G2692" s="26" t="s">
        <v>351</v>
      </c>
      <c r="H2692" s="26" t="s">
        <v>2504</v>
      </c>
      <c r="J2692" s="46">
        <v>4</v>
      </c>
      <c r="K2692" s="46">
        <v>330</v>
      </c>
      <c r="L2692" s="136"/>
      <c r="M2692" s="137" t="s">
        <v>22</v>
      </c>
      <c r="N2692" s="138"/>
      <c r="O2692" s="138"/>
      <c r="P2692" s="138"/>
      <c r="Q2692" s="138"/>
      <c r="R2692" s="138"/>
      <c r="S2692" s="138"/>
      <c r="T2692" s="138"/>
      <c r="U2692" s="138"/>
    </row>
    <row r="2693" spans="1:21" s="26" customFormat="1" ht="15" customHeight="1" x14ac:dyDescent="0.2">
      <c r="A2693" s="32">
        <v>41554.667453703703</v>
      </c>
      <c r="B2693" s="26" t="s">
        <v>152</v>
      </c>
      <c r="C2693" s="26" t="s">
        <v>1196</v>
      </c>
      <c r="D2693" s="30">
        <v>41518</v>
      </c>
      <c r="E2693" s="26" t="s">
        <v>2528</v>
      </c>
      <c r="F2693" s="26" t="s">
        <v>2529</v>
      </c>
      <c r="G2693" s="26" t="s">
        <v>351</v>
      </c>
      <c r="H2693" s="26" t="s">
        <v>2504</v>
      </c>
      <c r="J2693" s="46">
        <v>4</v>
      </c>
      <c r="K2693" s="46">
        <v>375</v>
      </c>
      <c r="L2693" s="136">
        <v>100</v>
      </c>
      <c r="M2693" s="137" t="s">
        <v>22</v>
      </c>
      <c r="N2693" s="138"/>
      <c r="O2693" s="138"/>
      <c r="P2693" s="138"/>
      <c r="Q2693" s="138"/>
      <c r="R2693" s="138"/>
      <c r="S2693" s="138"/>
      <c r="T2693" s="138"/>
      <c r="U2693" s="138"/>
    </row>
    <row r="2694" spans="1:21" s="26" customFormat="1" ht="15" customHeight="1" x14ac:dyDescent="0.2">
      <c r="A2694" s="32">
        <v>41554.668402777781</v>
      </c>
      <c r="B2694" s="26" t="s">
        <v>152</v>
      </c>
      <c r="C2694" s="26" t="s">
        <v>1196</v>
      </c>
      <c r="D2694" s="30">
        <v>41518</v>
      </c>
      <c r="E2694" s="26" t="s">
        <v>2530</v>
      </c>
      <c r="F2694" s="26" t="s">
        <v>2531</v>
      </c>
      <c r="G2694" s="26" t="s">
        <v>351</v>
      </c>
      <c r="H2694" s="26" t="s">
        <v>2532</v>
      </c>
      <c r="J2694" s="46">
        <v>1</v>
      </c>
      <c r="K2694" s="46">
        <v>60</v>
      </c>
      <c r="L2694" s="136"/>
      <c r="M2694" s="137" t="s">
        <v>22</v>
      </c>
      <c r="N2694" s="138"/>
      <c r="O2694" s="138"/>
      <c r="P2694" s="138"/>
      <c r="Q2694" s="138"/>
      <c r="R2694" s="138"/>
      <c r="S2694" s="138"/>
      <c r="T2694" s="138"/>
      <c r="U2694" s="138"/>
    </row>
    <row r="2695" spans="1:21" s="26" customFormat="1" ht="15" customHeight="1" x14ac:dyDescent="0.2">
      <c r="A2695" s="32">
        <v>41554.669710648152</v>
      </c>
      <c r="B2695" s="26" t="s">
        <v>152</v>
      </c>
      <c r="C2695" s="26" t="s">
        <v>1196</v>
      </c>
      <c r="D2695" s="30">
        <v>41518</v>
      </c>
      <c r="E2695" s="26" t="s">
        <v>2533</v>
      </c>
      <c r="F2695" s="26" t="s">
        <v>2534</v>
      </c>
      <c r="G2695" s="26" t="s">
        <v>351</v>
      </c>
      <c r="H2695" s="26" t="s">
        <v>2535</v>
      </c>
      <c r="J2695" s="46">
        <v>1</v>
      </c>
      <c r="K2695" s="46">
        <v>58</v>
      </c>
      <c r="L2695" s="136">
        <v>60</v>
      </c>
      <c r="M2695" s="137" t="s">
        <v>22</v>
      </c>
      <c r="N2695" s="138"/>
      <c r="O2695" s="138"/>
      <c r="P2695" s="138"/>
      <c r="Q2695" s="138"/>
      <c r="R2695" s="138"/>
      <c r="S2695" s="138"/>
      <c r="T2695" s="138"/>
      <c r="U2695" s="138"/>
    </row>
    <row r="2696" spans="1:21" s="26" customFormat="1" ht="15" customHeight="1" x14ac:dyDescent="0.2">
      <c r="A2696" s="32">
        <v>41554.6721875</v>
      </c>
      <c r="B2696" s="26" t="s">
        <v>152</v>
      </c>
      <c r="C2696" s="26" t="s">
        <v>1196</v>
      </c>
      <c r="D2696" s="30">
        <v>41518</v>
      </c>
      <c r="E2696" s="26" t="s">
        <v>2536</v>
      </c>
      <c r="F2696" s="26" t="s">
        <v>2537</v>
      </c>
      <c r="G2696" s="26" t="s">
        <v>351</v>
      </c>
      <c r="H2696" s="26" t="s">
        <v>2538</v>
      </c>
      <c r="J2696" s="46">
        <v>2</v>
      </c>
      <c r="K2696" s="46">
        <v>48</v>
      </c>
      <c r="L2696" s="136">
        <v>60</v>
      </c>
      <c r="M2696" s="137"/>
      <c r="N2696" s="138"/>
      <c r="O2696" s="138"/>
      <c r="P2696" s="138"/>
      <c r="Q2696" s="138"/>
      <c r="R2696" s="138"/>
      <c r="S2696" s="138"/>
      <c r="T2696" s="138"/>
      <c r="U2696" s="138"/>
    </row>
    <row r="2697" spans="1:21" s="26" customFormat="1" ht="15" customHeight="1" x14ac:dyDescent="0.2">
      <c r="A2697" s="32">
        <v>41554.673622685186</v>
      </c>
      <c r="B2697" s="26" t="s">
        <v>152</v>
      </c>
      <c r="C2697" s="26" t="s">
        <v>1196</v>
      </c>
      <c r="D2697" s="30">
        <v>41518</v>
      </c>
      <c r="E2697" s="26" t="s">
        <v>2539</v>
      </c>
      <c r="F2697" s="26" t="s">
        <v>2540</v>
      </c>
      <c r="G2697" s="26" t="s">
        <v>351</v>
      </c>
      <c r="H2697" s="26" t="s">
        <v>2541</v>
      </c>
      <c r="J2697" s="46">
        <v>1</v>
      </c>
      <c r="K2697" s="46">
        <v>81</v>
      </c>
      <c r="L2697" s="136">
        <v>60</v>
      </c>
      <c r="M2697" s="137" t="s">
        <v>22</v>
      </c>
      <c r="N2697" s="138"/>
      <c r="O2697" s="138"/>
      <c r="P2697" s="138"/>
      <c r="Q2697" s="138"/>
      <c r="R2697" s="138"/>
      <c r="S2697" s="138"/>
      <c r="T2697" s="138"/>
      <c r="U2697" s="138"/>
    </row>
    <row r="2698" spans="1:21" s="26" customFormat="1" ht="15" customHeight="1" x14ac:dyDescent="0.2">
      <c r="A2698" s="32">
        <v>41554.674502314818</v>
      </c>
      <c r="B2698" s="26" t="s">
        <v>152</v>
      </c>
      <c r="C2698" s="26" t="s">
        <v>1196</v>
      </c>
      <c r="D2698" s="30">
        <v>41518</v>
      </c>
      <c r="E2698" s="26" t="s">
        <v>2542</v>
      </c>
      <c r="F2698" s="26" t="s">
        <v>2543</v>
      </c>
      <c r="G2698" s="26" t="s">
        <v>351</v>
      </c>
      <c r="H2698" s="26" t="s">
        <v>2504</v>
      </c>
      <c r="J2698" s="46">
        <v>1</v>
      </c>
      <c r="K2698" s="46">
        <v>140</v>
      </c>
      <c r="L2698" s="136">
        <v>60</v>
      </c>
      <c r="M2698" s="137" t="s">
        <v>22</v>
      </c>
      <c r="N2698" s="138"/>
      <c r="O2698" s="138"/>
      <c r="P2698" s="138"/>
      <c r="Q2698" s="138"/>
      <c r="R2698" s="138"/>
      <c r="S2698" s="138"/>
      <c r="T2698" s="138"/>
      <c r="U2698" s="138"/>
    </row>
    <row r="2699" spans="1:21" s="26" customFormat="1" ht="15" customHeight="1" x14ac:dyDescent="0.2">
      <c r="A2699" s="32">
        <v>41554.675185185188</v>
      </c>
      <c r="B2699" s="26" t="s">
        <v>152</v>
      </c>
      <c r="C2699" s="26" t="s">
        <v>1196</v>
      </c>
      <c r="D2699" s="30">
        <v>41518</v>
      </c>
      <c r="E2699" s="26" t="s">
        <v>2544</v>
      </c>
      <c r="F2699" s="26" t="s">
        <v>2545</v>
      </c>
      <c r="G2699" s="26" t="s">
        <v>351</v>
      </c>
      <c r="H2699" s="26" t="s">
        <v>2535</v>
      </c>
      <c r="J2699" s="46">
        <v>2</v>
      </c>
      <c r="K2699" s="46">
        <v>135</v>
      </c>
      <c r="L2699" s="136">
        <v>60</v>
      </c>
      <c r="M2699" s="137" t="s">
        <v>22</v>
      </c>
      <c r="N2699" s="138"/>
      <c r="O2699" s="138"/>
      <c r="P2699" s="138"/>
      <c r="Q2699" s="138"/>
      <c r="R2699" s="138"/>
      <c r="S2699" s="138"/>
      <c r="T2699" s="138"/>
      <c r="U2699" s="138"/>
    </row>
    <row r="2700" spans="1:21" s="26" customFormat="1" ht="15" customHeight="1" x14ac:dyDescent="0.2">
      <c r="A2700" s="32">
        <v>41554.679097222222</v>
      </c>
      <c r="B2700" s="26" t="s">
        <v>152</v>
      </c>
      <c r="C2700" s="26" t="s">
        <v>1196</v>
      </c>
      <c r="D2700" s="30">
        <v>41518</v>
      </c>
      <c r="E2700" s="26" t="s">
        <v>1237</v>
      </c>
      <c r="F2700" s="26" t="s">
        <v>2546</v>
      </c>
      <c r="G2700" s="26" t="s">
        <v>20</v>
      </c>
      <c r="H2700" s="26" t="s">
        <v>2547</v>
      </c>
      <c r="J2700" s="46">
        <v>6</v>
      </c>
      <c r="K2700" s="46">
        <v>97</v>
      </c>
      <c r="L2700" s="136">
        <v>255</v>
      </c>
      <c r="M2700" s="137" t="s">
        <v>22</v>
      </c>
      <c r="N2700" s="138"/>
      <c r="O2700" s="138"/>
      <c r="P2700" s="138"/>
      <c r="Q2700" s="138"/>
      <c r="R2700" s="138"/>
      <c r="S2700" s="138"/>
      <c r="T2700" s="138"/>
      <c r="U2700" s="138"/>
    </row>
    <row r="2701" spans="1:21" s="26" customFormat="1" ht="15" customHeight="1" x14ac:dyDescent="0.2">
      <c r="A2701" s="32">
        <v>41554.680115740739</v>
      </c>
      <c r="B2701" s="26" t="s">
        <v>152</v>
      </c>
      <c r="C2701" s="26" t="s">
        <v>1196</v>
      </c>
      <c r="D2701" s="30">
        <v>41518</v>
      </c>
      <c r="E2701" s="26" t="s">
        <v>2548</v>
      </c>
      <c r="F2701" s="26" t="s">
        <v>2549</v>
      </c>
      <c r="G2701" s="26" t="s">
        <v>20</v>
      </c>
      <c r="H2701" s="26" t="s">
        <v>2550</v>
      </c>
      <c r="J2701" s="46">
        <v>2</v>
      </c>
      <c r="K2701" s="46">
        <v>29</v>
      </c>
      <c r="L2701" s="136">
        <v>54</v>
      </c>
      <c r="M2701" s="137" t="s">
        <v>22</v>
      </c>
      <c r="N2701" s="138"/>
      <c r="O2701" s="138"/>
      <c r="P2701" s="138"/>
      <c r="Q2701" s="138"/>
      <c r="R2701" s="138"/>
      <c r="S2701" s="138"/>
      <c r="T2701" s="138"/>
      <c r="U2701" s="138"/>
    </row>
    <row r="2702" spans="1:21" s="26" customFormat="1" ht="15" customHeight="1" x14ac:dyDescent="0.2">
      <c r="A2702" s="32">
        <v>41554.681157407409</v>
      </c>
      <c r="B2702" s="26" t="s">
        <v>152</v>
      </c>
      <c r="C2702" s="26" t="s">
        <v>1196</v>
      </c>
      <c r="D2702" s="30">
        <v>41518</v>
      </c>
      <c r="E2702" s="26" t="s">
        <v>2551</v>
      </c>
      <c r="F2702" s="26" t="s">
        <v>2552</v>
      </c>
      <c r="G2702" s="26" t="s">
        <v>20</v>
      </c>
      <c r="H2702" s="26" t="s">
        <v>2553</v>
      </c>
      <c r="J2702" s="46">
        <v>1</v>
      </c>
      <c r="K2702" s="46">
        <v>29</v>
      </c>
      <c r="L2702" s="136">
        <v>54</v>
      </c>
      <c r="M2702" s="137"/>
      <c r="N2702" s="138"/>
      <c r="O2702" s="138"/>
      <c r="P2702" s="138"/>
      <c r="Q2702" s="138"/>
      <c r="R2702" s="138"/>
      <c r="S2702" s="138"/>
      <c r="T2702" s="138"/>
      <c r="U2702" s="138"/>
    </row>
    <row r="2703" spans="1:21" s="26" customFormat="1" ht="15" customHeight="1" x14ac:dyDescent="0.2">
      <c r="A2703" s="32">
        <v>41554.681979166664</v>
      </c>
      <c r="B2703" s="26" t="s">
        <v>152</v>
      </c>
      <c r="C2703" s="26" t="s">
        <v>1196</v>
      </c>
      <c r="D2703" s="30">
        <v>41518</v>
      </c>
      <c r="E2703" s="26" t="s">
        <v>1226</v>
      </c>
      <c r="F2703" s="26" t="s">
        <v>2554</v>
      </c>
      <c r="G2703" s="26" t="s">
        <v>20</v>
      </c>
      <c r="H2703" s="26" t="s">
        <v>2555</v>
      </c>
      <c r="J2703" s="46">
        <v>3</v>
      </c>
      <c r="K2703" s="46">
        <v>26</v>
      </c>
      <c r="L2703" s="136">
        <v>36</v>
      </c>
      <c r="M2703" s="137" t="s">
        <v>22</v>
      </c>
      <c r="N2703" s="138"/>
      <c r="O2703" s="138"/>
      <c r="P2703" s="138"/>
      <c r="Q2703" s="138"/>
      <c r="R2703" s="138"/>
      <c r="S2703" s="138"/>
      <c r="T2703" s="138"/>
      <c r="U2703" s="138"/>
    </row>
    <row r="2704" spans="1:21" s="26" customFormat="1" ht="15" customHeight="1" x14ac:dyDescent="0.2">
      <c r="A2704" s="32">
        <v>41556.356504629628</v>
      </c>
      <c r="B2704" s="26" t="s">
        <v>152</v>
      </c>
      <c r="C2704" s="26" t="s">
        <v>1196</v>
      </c>
      <c r="D2704" s="30">
        <v>41518</v>
      </c>
      <c r="E2704" s="26" t="s">
        <v>2586</v>
      </c>
      <c r="F2704" s="26" t="s">
        <v>2587</v>
      </c>
      <c r="G2704" s="26" t="s">
        <v>42</v>
      </c>
      <c r="H2704" s="26" t="s">
        <v>2588</v>
      </c>
      <c r="J2704" s="46">
        <v>1</v>
      </c>
      <c r="K2704" s="46">
        <v>6</v>
      </c>
      <c r="L2704" s="136"/>
      <c r="M2704" s="137" t="s">
        <v>22</v>
      </c>
      <c r="N2704" s="138"/>
      <c r="O2704" s="138"/>
      <c r="P2704" s="138"/>
      <c r="Q2704" s="138"/>
      <c r="R2704" s="138"/>
      <c r="S2704" s="138"/>
      <c r="T2704" s="138"/>
      <c r="U2704" s="138"/>
    </row>
    <row r="2705" spans="1:27" s="26" customFormat="1" ht="15" customHeight="1" x14ac:dyDescent="0.2">
      <c r="A2705" s="32">
        <v>41556.359363425923</v>
      </c>
      <c r="B2705" s="26" t="s">
        <v>152</v>
      </c>
      <c r="C2705" s="26" t="s">
        <v>1196</v>
      </c>
      <c r="D2705" s="30">
        <v>41518</v>
      </c>
      <c r="E2705" s="26" t="s">
        <v>2589</v>
      </c>
      <c r="F2705" s="26" t="s">
        <v>1201</v>
      </c>
      <c r="G2705" s="26" t="s">
        <v>156</v>
      </c>
      <c r="H2705" s="26" t="s">
        <v>2590</v>
      </c>
      <c r="J2705" s="46">
        <v>1</v>
      </c>
      <c r="K2705" s="46">
        <v>16</v>
      </c>
      <c r="L2705" s="136"/>
      <c r="M2705" s="137" t="s">
        <v>22</v>
      </c>
      <c r="N2705" s="138"/>
      <c r="O2705" s="138"/>
      <c r="P2705" s="138"/>
      <c r="Q2705" s="138"/>
      <c r="R2705" s="138"/>
      <c r="S2705" s="138"/>
      <c r="T2705" s="138"/>
      <c r="U2705" s="138"/>
    </row>
    <row r="2706" spans="1:27" s="26" customFormat="1" ht="15" customHeight="1" x14ac:dyDescent="0.2">
      <c r="A2706" s="32">
        <v>41556.360034722224</v>
      </c>
      <c r="B2706" s="26" t="s">
        <v>152</v>
      </c>
      <c r="C2706" s="26" t="s">
        <v>1196</v>
      </c>
      <c r="D2706" s="30">
        <v>41518</v>
      </c>
      <c r="E2706" s="26" t="s">
        <v>2591</v>
      </c>
      <c r="F2706" s="26" t="s">
        <v>1204</v>
      </c>
      <c r="G2706" s="26" t="s">
        <v>26</v>
      </c>
      <c r="H2706" s="26" t="s">
        <v>2592</v>
      </c>
      <c r="J2706" s="46">
        <v>1</v>
      </c>
      <c r="K2706" s="46">
        <v>15</v>
      </c>
      <c r="L2706" s="136"/>
      <c r="M2706" s="137" t="s">
        <v>22</v>
      </c>
      <c r="N2706" s="138"/>
      <c r="O2706" s="138"/>
      <c r="P2706" s="138"/>
      <c r="Q2706" s="138"/>
      <c r="R2706" s="138"/>
      <c r="S2706" s="138"/>
      <c r="T2706" s="138"/>
      <c r="U2706" s="138"/>
    </row>
    <row r="2707" spans="1:27" s="26" customFormat="1" ht="15" customHeight="1" x14ac:dyDescent="0.2">
      <c r="A2707" s="32">
        <v>41556.360752314817</v>
      </c>
      <c r="B2707" s="26" t="s">
        <v>152</v>
      </c>
      <c r="C2707" s="26" t="s">
        <v>1196</v>
      </c>
      <c r="D2707" s="30">
        <v>41518</v>
      </c>
      <c r="E2707" s="26" t="s">
        <v>2593</v>
      </c>
      <c r="F2707" s="26" t="s">
        <v>1843</v>
      </c>
      <c r="G2707" s="26" t="s">
        <v>26</v>
      </c>
      <c r="H2707" s="26" t="s">
        <v>1844</v>
      </c>
      <c r="J2707" s="46">
        <v>1</v>
      </c>
      <c r="K2707" s="46">
        <v>0</v>
      </c>
      <c r="L2707" s="136"/>
      <c r="M2707" s="137" t="s">
        <v>22</v>
      </c>
      <c r="N2707" s="138"/>
      <c r="O2707" s="138"/>
      <c r="P2707" s="138"/>
      <c r="Q2707" s="138"/>
      <c r="R2707" s="138"/>
      <c r="S2707" s="138"/>
      <c r="T2707" s="138"/>
      <c r="U2707" s="138"/>
    </row>
    <row r="2708" spans="1:27" s="26" customFormat="1" ht="15" customHeight="1" x14ac:dyDescent="0.2">
      <c r="A2708" s="32">
        <v>41556.361770833333</v>
      </c>
      <c r="B2708" s="26" t="s">
        <v>152</v>
      </c>
      <c r="C2708" s="26" t="s">
        <v>1196</v>
      </c>
      <c r="D2708" s="30">
        <v>41518</v>
      </c>
      <c r="E2708" s="26" t="s">
        <v>2594</v>
      </c>
      <c r="F2708" s="26" t="s">
        <v>1846</v>
      </c>
      <c r="G2708" s="26" t="s">
        <v>26</v>
      </c>
      <c r="H2708" s="26" t="s">
        <v>2595</v>
      </c>
      <c r="J2708" s="115">
        <v>1</v>
      </c>
      <c r="K2708" s="115">
        <v>41</v>
      </c>
      <c r="L2708" s="136"/>
      <c r="M2708" s="137" t="s">
        <v>44</v>
      </c>
      <c r="N2708" s="138"/>
      <c r="O2708" s="138">
        <v>65</v>
      </c>
      <c r="P2708" s="138"/>
      <c r="Q2708" s="138"/>
      <c r="R2708" s="138"/>
      <c r="S2708" s="138"/>
      <c r="T2708" s="138"/>
      <c r="U2708" s="138"/>
    </row>
    <row r="2709" spans="1:27" ht="15" customHeight="1" x14ac:dyDescent="0.2">
      <c r="A2709" s="32">
        <v>41556.355636574073</v>
      </c>
      <c r="B2709" s="26" t="s">
        <v>152</v>
      </c>
      <c r="C2709" s="26" t="s">
        <v>1196</v>
      </c>
      <c r="D2709" s="30">
        <v>41518</v>
      </c>
      <c r="E2709" s="26" t="s">
        <v>2076</v>
      </c>
      <c r="F2709" s="26" t="s">
        <v>1861</v>
      </c>
      <c r="G2709" s="26" t="s">
        <v>42</v>
      </c>
      <c r="H2709" s="26" t="s">
        <v>2596</v>
      </c>
      <c r="I2709" s="26"/>
      <c r="J2709" s="46">
        <v>4</v>
      </c>
      <c r="K2709" s="46">
        <v>60</v>
      </c>
      <c r="L2709" s="136"/>
      <c r="M2709" s="137" t="s">
        <v>22</v>
      </c>
      <c r="V2709" s="26"/>
      <c r="W2709" s="26"/>
      <c r="X2709" s="26"/>
      <c r="Y2709" s="26"/>
      <c r="Z2709" s="26"/>
      <c r="AA2709" s="26"/>
    </row>
    <row r="2710" spans="1:27" s="26" customFormat="1" ht="15" customHeight="1" x14ac:dyDescent="0.2">
      <c r="A2710" s="32">
        <v>41556.363958333335</v>
      </c>
      <c r="B2710" s="26" t="s">
        <v>152</v>
      </c>
      <c r="C2710" s="26" t="s">
        <v>1196</v>
      </c>
      <c r="D2710" s="30">
        <v>41518</v>
      </c>
      <c r="E2710" s="26" t="s">
        <v>2597</v>
      </c>
      <c r="F2710" s="26" t="s">
        <v>2598</v>
      </c>
      <c r="G2710" s="26" t="s">
        <v>156</v>
      </c>
      <c r="H2710" s="26" t="s">
        <v>2599</v>
      </c>
      <c r="J2710" s="46">
        <v>1</v>
      </c>
      <c r="K2710" s="46">
        <v>32</v>
      </c>
      <c r="L2710" s="136">
        <v>734</v>
      </c>
      <c r="M2710" s="137" t="s">
        <v>22</v>
      </c>
      <c r="N2710" s="138"/>
      <c r="O2710" s="138"/>
      <c r="P2710" s="138"/>
      <c r="Q2710" s="138"/>
      <c r="R2710" s="138"/>
      <c r="S2710" s="138"/>
      <c r="T2710" s="138"/>
      <c r="U2710" s="138">
        <v>456</v>
      </c>
    </row>
    <row r="2711" spans="1:27" s="26" customFormat="1" ht="15" customHeight="1" x14ac:dyDescent="0.2">
      <c r="A2711" s="32">
        <v>41556.36278935185</v>
      </c>
      <c r="B2711" s="26" t="s">
        <v>152</v>
      </c>
      <c r="C2711" s="26" t="s">
        <v>1196</v>
      </c>
      <c r="D2711" s="30">
        <v>41518</v>
      </c>
      <c r="E2711" s="26" t="s">
        <v>2600</v>
      </c>
      <c r="F2711" s="34" t="s">
        <v>2257</v>
      </c>
      <c r="G2711" s="26" t="s">
        <v>156</v>
      </c>
      <c r="H2711" s="26" t="s">
        <v>2601</v>
      </c>
      <c r="J2711" s="46">
        <v>1</v>
      </c>
      <c r="K2711" s="46">
        <v>4</v>
      </c>
      <c r="L2711" s="136"/>
      <c r="M2711" s="137" t="s">
        <v>22</v>
      </c>
      <c r="N2711" s="138"/>
      <c r="O2711" s="138"/>
      <c r="P2711" s="138"/>
      <c r="Q2711" s="138"/>
      <c r="R2711" s="138"/>
      <c r="S2711" s="138"/>
      <c r="T2711" s="138"/>
      <c r="U2711" s="138"/>
    </row>
    <row r="2712" spans="1:27" s="26" customFormat="1" ht="15" customHeight="1" x14ac:dyDescent="0.2">
      <c r="A2712" s="48">
        <v>41613.453738425902</v>
      </c>
      <c r="B2712" s="49" t="s">
        <v>152</v>
      </c>
      <c r="C2712" s="50" t="s">
        <v>1196</v>
      </c>
      <c r="D2712" s="67">
        <v>41579</v>
      </c>
      <c r="E2712" s="50" t="s">
        <v>1212</v>
      </c>
      <c r="F2712" s="50" t="s">
        <v>3260</v>
      </c>
      <c r="G2712" s="49" t="s">
        <v>26</v>
      </c>
      <c r="H2712" s="50" t="s">
        <v>3261</v>
      </c>
      <c r="I2712" s="50" t="s">
        <v>2812</v>
      </c>
      <c r="J2712" s="117">
        <v>1</v>
      </c>
      <c r="K2712" s="117">
        <v>0</v>
      </c>
      <c r="L2712" s="142"/>
      <c r="M2712" s="143" t="s">
        <v>22</v>
      </c>
      <c r="N2712" s="144"/>
      <c r="O2712" s="144"/>
      <c r="P2712" s="144"/>
      <c r="Q2712" s="144"/>
      <c r="R2712" s="144"/>
      <c r="S2712" s="144"/>
      <c r="T2712" s="144"/>
      <c r="U2712" s="144"/>
      <c r="V2712" s="50"/>
    </row>
    <row r="2713" spans="1:27" s="26" customFormat="1" ht="15" customHeight="1" x14ac:dyDescent="0.2">
      <c r="A2713" s="48">
        <v>41613.456354166701</v>
      </c>
      <c r="B2713" s="49" t="s">
        <v>152</v>
      </c>
      <c r="C2713" s="50" t="s">
        <v>1196</v>
      </c>
      <c r="D2713" s="67">
        <v>41579</v>
      </c>
      <c r="E2713" s="50" t="s">
        <v>3262</v>
      </c>
      <c r="F2713" s="50" t="s">
        <v>3263</v>
      </c>
      <c r="G2713" s="49" t="s">
        <v>26</v>
      </c>
      <c r="H2713" s="50" t="s">
        <v>3264</v>
      </c>
      <c r="I2713" s="50" t="s">
        <v>3265</v>
      </c>
      <c r="J2713" s="117">
        <v>1</v>
      </c>
      <c r="K2713" s="117">
        <v>3</v>
      </c>
      <c r="L2713" s="142">
        <v>114</v>
      </c>
      <c r="M2713" s="143" t="s">
        <v>22</v>
      </c>
      <c r="N2713" s="144"/>
      <c r="O2713" s="144"/>
      <c r="P2713" s="144"/>
      <c r="Q2713" s="144"/>
      <c r="R2713" s="144"/>
      <c r="S2713" s="144"/>
      <c r="T2713" s="144"/>
      <c r="U2713" s="144">
        <v>90</v>
      </c>
      <c r="V2713" s="50"/>
    </row>
    <row r="2714" spans="1:27" s="26" customFormat="1" ht="15" customHeight="1" x14ac:dyDescent="0.2">
      <c r="A2714" s="48">
        <v>41613.457233796304</v>
      </c>
      <c r="B2714" s="49" t="s">
        <v>152</v>
      </c>
      <c r="C2714" s="50" t="s">
        <v>1196</v>
      </c>
      <c r="D2714" s="67">
        <v>41579</v>
      </c>
      <c r="E2714" s="50" t="s">
        <v>1869</v>
      </c>
      <c r="F2714" s="50" t="s">
        <v>2808</v>
      </c>
      <c r="G2714" s="49" t="s">
        <v>26</v>
      </c>
      <c r="H2714" s="50" t="s">
        <v>3266</v>
      </c>
      <c r="I2714" s="50" t="s">
        <v>3265</v>
      </c>
      <c r="J2714" s="117">
        <v>1</v>
      </c>
      <c r="K2714" s="117">
        <v>5</v>
      </c>
      <c r="L2714" s="142"/>
      <c r="M2714" s="143" t="s">
        <v>22</v>
      </c>
      <c r="N2714" s="144"/>
      <c r="O2714" s="144"/>
      <c r="P2714" s="144"/>
      <c r="Q2714" s="144"/>
      <c r="R2714" s="144"/>
      <c r="S2714" s="144"/>
      <c r="T2714" s="144"/>
      <c r="U2714" s="144"/>
      <c r="V2714" s="50"/>
    </row>
    <row r="2715" spans="1:27" s="26" customFormat="1" ht="15" customHeight="1" x14ac:dyDescent="0.2">
      <c r="A2715" s="48">
        <v>41613.458344907398</v>
      </c>
      <c r="B2715" s="49" t="s">
        <v>152</v>
      </c>
      <c r="C2715" s="50" t="s">
        <v>1196</v>
      </c>
      <c r="D2715" s="67">
        <v>41579</v>
      </c>
      <c r="E2715" s="50" t="s">
        <v>3267</v>
      </c>
      <c r="F2715" s="50" t="s">
        <v>1245</v>
      </c>
      <c r="G2715" s="49" t="s">
        <v>26</v>
      </c>
      <c r="H2715" s="50" t="s">
        <v>3268</v>
      </c>
      <c r="I2715" s="50" t="s">
        <v>2986</v>
      </c>
      <c r="J2715" s="117">
        <v>5</v>
      </c>
      <c r="K2715" s="117">
        <v>150</v>
      </c>
      <c r="L2715" s="142">
        <v>1180</v>
      </c>
      <c r="M2715" s="143" t="s">
        <v>22</v>
      </c>
      <c r="N2715" s="144"/>
      <c r="O2715" s="144"/>
      <c r="P2715" s="144"/>
      <c r="Q2715" s="144"/>
      <c r="R2715" s="144"/>
      <c r="S2715" s="144"/>
      <c r="T2715" s="144"/>
      <c r="U2715" s="144"/>
      <c r="V2715" s="50"/>
    </row>
    <row r="2716" spans="1:27" s="26" customFormat="1" ht="15" customHeight="1" x14ac:dyDescent="0.2">
      <c r="A2716" s="48">
        <v>41613.4609837963</v>
      </c>
      <c r="B2716" s="49" t="s">
        <v>152</v>
      </c>
      <c r="C2716" s="50" t="s">
        <v>1196</v>
      </c>
      <c r="D2716" s="67">
        <v>41579</v>
      </c>
      <c r="E2716" s="50" t="s">
        <v>2827</v>
      </c>
      <c r="F2716" s="50" t="s">
        <v>3269</v>
      </c>
      <c r="G2716" s="49" t="s">
        <v>26</v>
      </c>
      <c r="H2716" s="50" t="s">
        <v>3270</v>
      </c>
      <c r="I2716" s="50" t="s">
        <v>3271</v>
      </c>
      <c r="J2716" s="117">
        <v>2</v>
      </c>
      <c r="K2716" s="117">
        <v>7</v>
      </c>
      <c r="L2716" s="142"/>
      <c r="M2716" s="143" t="s">
        <v>22</v>
      </c>
      <c r="N2716" s="144"/>
      <c r="O2716" s="144"/>
      <c r="P2716" s="144"/>
      <c r="Q2716" s="144"/>
      <c r="R2716" s="144"/>
      <c r="S2716" s="144"/>
      <c r="T2716" s="144"/>
      <c r="U2716" s="144"/>
      <c r="V2716" s="50"/>
    </row>
    <row r="2717" spans="1:27" s="26" customFormat="1" ht="15" customHeight="1" x14ac:dyDescent="0.2">
      <c r="A2717" s="48">
        <v>41613.463576388902</v>
      </c>
      <c r="B2717" s="49" t="s">
        <v>152</v>
      </c>
      <c r="C2717" s="50" t="s">
        <v>1196</v>
      </c>
      <c r="D2717" s="67">
        <v>41579</v>
      </c>
      <c r="E2717" s="50" t="s">
        <v>2594</v>
      </c>
      <c r="F2717" s="50" t="s">
        <v>3263</v>
      </c>
      <c r="G2717" s="49" t="s">
        <v>26</v>
      </c>
      <c r="H2717" s="50" t="s">
        <v>3272</v>
      </c>
      <c r="I2717" s="50" t="s">
        <v>3265</v>
      </c>
      <c r="J2717" s="117">
        <v>1</v>
      </c>
      <c r="K2717" s="117">
        <v>2</v>
      </c>
      <c r="L2717" s="142">
        <v>76</v>
      </c>
      <c r="M2717" s="143" t="s">
        <v>44</v>
      </c>
      <c r="N2717" s="144"/>
      <c r="O2717" s="144">
        <v>5</v>
      </c>
      <c r="P2717" s="144"/>
      <c r="Q2717" s="144"/>
      <c r="R2717" s="144"/>
      <c r="S2717" s="144"/>
      <c r="T2717" s="144"/>
      <c r="U2717" s="144">
        <v>60</v>
      </c>
      <c r="V2717" s="50"/>
    </row>
    <row r="2718" spans="1:27" s="26" customFormat="1" ht="15" customHeight="1" x14ac:dyDescent="0.2">
      <c r="A2718" s="48">
        <v>41613.467453703699</v>
      </c>
      <c r="B2718" s="49" t="s">
        <v>152</v>
      </c>
      <c r="C2718" s="50" t="s">
        <v>1196</v>
      </c>
      <c r="D2718" s="67">
        <v>41579</v>
      </c>
      <c r="E2718" s="50" t="s">
        <v>1241</v>
      </c>
      <c r="F2718" s="50" t="s">
        <v>3273</v>
      </c>
      <c r="G2718" s="49" t="s">
        <v>20</v>
      </c>
      <c r="H2718" s="50" t="s">
        <v>3274</v>
      </c>
      <c r="I2718" s="50" t="s">
        <v>2986</v>
      </c>
      <c r="J2718" s="117">
        <v>9</v>
      </c>
      <c r="K2718" s="117">
        <v>110</v>
      </c>
      <c r="L2718" s="142">
        <v>270</v>
      </c>
      <c r="M2718" s="143" t="s">
        <v>22</v>
      </c>
      <c r="N2718" s="144"/>
      <c r="O2718" s="144"/>
      <c r="P2718" s="144"/>
      <c r="Q2718" s="144"/>
      <c r="R2718" s="144"/>
      <c r="S2718" s="144"/>
      <c r="T2718" s="144"/>
      <c r="U2718" s="144"/>
      <c r="V2718" s="50"/>
    </row>
    <row r="2719" spans="1:27" s="26" customFormat="1" ht="15" customHeight="1" x14ac:dyDescent="0.2">
      <c r="A2719" s="48">
        <v>41613.562430555598</v>
      </c>
      <c r="B2719" s="49" t="s">
        <v>152</v>
      </c>
      <c r="C2719" s="50" t="s">
        <v>1196</v>
      </c>
      <c r="D2719" s="67">
        <v>41579</v>
      </c>
      <c r="E2719" s="50" t="s">
        <v>2860</v>
      </c>
      <c r="F2719" s="50" t="s">
        <v>3280</v>
      </c>
      <c r="G2719" s="49" t="s">
        <v>20</v>
      </c>
      <c r="H2719" s="50" t="s">
        <v>3281</v>
      </c>
      <c r="I2719" s="50" t="s">
        <v>3282</v>
      </c>
      <c r="J2719" s="117">
        <v>9</v>
      </c>
      <c r="K2719" s="117">
        <v>78</v>
      </c>
      <c r="L2719" s="142">
        <v>189</v>
      </c>
      <c r="M2719" s="143" t="s">
        <v>22</v>
      </c>
      <c r="N2719" s="144"/>
      <c r="O2719" s="144"/>
      <c r="P2719" s="144"/>
      <c r="Q2719" s="144"/>
      <c r="R2719" s="144"/>
      <c r="S2719" s="144"/>
      <c r="T2719" s="144"/>
      <c r="U2719" s="144"/>
      <c r="V2719" s="50"/>
    </row>
    <row r="2720" spans="1:27" s="26" customFormat="1" ht="15" customHeight="1" x14ac:dyDescent="0.2">
      <c r="A2720" s="48">
        <v>41613.564560185201</v>
      </c>
      <c r="B2720" s="49" t="s">
        <v>152</v>
      </c>
      <c r="C2720" s="50" t="s">
        <v>1196</v>
      </c>
      <c r="D2720" s="67">
        <v>41579</v>
      </c>
      <c r="E2720" s="50" t="s">
        <v>3283</v>
      </c>
      <c r="F2720" s="50" t="s">
        <v>3284</v>
      </c>
      <c r="G2720" s="49" t="s">
        <v>351</v>
      </c>
      <c r="H2720" s="50" t="s">
        <v>3285</v>
      </c>
      <c r="I2720" s="50" t="s">
        <v>2812</v>
      </c>
      <c r="J2720" s="117"/>
      <c r="K2720" s="117">
        <v>750</v>
      </c>
      <c r="L2720" s="142"/>
      <c r="M2720" s="143" t="s">
        <v>22</v>
      </c>
      <c r="N2720" s="144"/>
      <c r="O2720" s="144"/>
      <c r="P2720" s="144"/>
      <c r="Q2720" s="144"/>
      <c r="R2720" s="144"/>
      <c r="S2720" s="144"/>
      <c r="T2720" s="144"/>
      <c r="U2720" s="144"/>
      <c r="V2720" s="50"/>
    </row>
    <row r="2721" spans="1:22" s="26" customFormat="1" ht="15" customHeight="1" x14ac:dyDescent="0.2">
      <c r="A2721" s="48">
        <v>41613.565775463001</v>
      </c>
      <c r="B2721" s="49" t="s">
        <v>152</v>
      </c>
      <c r="C2721" s="50" t="s">
        <v>1196</v>
      </c>
      <c r="D2721" s="67">
        <v>41579</v>
      </c>
      <c r="E2721" s="50" t="s">
        <v>2790</v>
      </c>
      <c r="F2721" s="51" t="s">
        <v>3699</v>
      </c>
      <c r="G2721" s="49" t="s">
        <v>351</v>
      </c>
      <c r="H2721" s="50" t="s">
        <v>3286</v>
      </c>
      <c r="I2721" s="50" t="s">
        <v>2986</v>
      </c>
      <c r="J2721" s="117">
        <v>4</v>
      </c>
      <c r="K2721" s="117">
        <v>307</v>
      </c>
      <c r="L2721" s="142">
        <v>60</v>
      </c>
      <c r="M2721" s="143" t="s">
        <v>22</v>
      </c>
      <c r="N2721" s="144"/>
      <c r="O2721" s="144"/>
      <c r="P2721" s="144"/>
      <c r="Q2721" s="144"/>
      <c r="R2721" s="144"/>
      <c r="S2721" s="144"/>
      <c r="T2721" s="144"/>
      <c r="U2721" s="144"/>
      <c r="V2721" s="50"/>
    </row>
    <row r="2722" spans="1:22" s="26" customFormat="1" ht="15" customHeight="1" x14ac:dyDescent="0.2">
      <c r="A2722" s="48">
        <v>41613.567071759302</v>
      </c>
      <c r="B2722" s="49" t="s">
        <v>152</v>
      </c>
      <c r="C2722" s="50" t="s">
        <v>1196</v>
      </c>
      <c r="D2722" s="67">
        <v>41579</v>
      </c>
      <c r="E2722" s="50" t="s">
        <v>1221</v>
      </c>
      <c r="F2722" s="50" t="s">
        <v>3288</v>
      </c>
      <c r="G2722" s="49" t="s">
        <v>351</v>
      </c>
      <c r="H2722" s="50" t="s">
        <v>3289</v>
      </c>
      <c r="I2722" s="50" t="s">
        <v>2986</v>
      </c>
      <c r="J2722" s="117">
        <v>1</v>
      </c>
      <c r="K2722" s="117">
        <v>29</v>
      </c>
      <c r="L2722" s="142">
        <v>60</v>
      </c>
      <c r="M2722" s="143" t="s">
        <v>22</v>
      </c>
      <c r="N2722" s="144"/>
      <c r="O2722" s="144"/>
      <c r="P2722" s="144"/>
      <c r="Q2722" s="144"/>
      <c r="R2722" s="144"/>
      <c r="S2722" s="144"/>
      <c r="T2722" s="144"/>
      <c r="U2722" s="144"/>
      <c r="V2722" s="50"/>
    </row>
    <row r="2723" spans="1:22" s="26" customFormat="1" ht="15" customHeight="1" x14ac:dyDescent="0.2">
      <c r="A2723" s="48">
        <v>41613.5687847222</v>
      </c>
      <c r="B2723" s="49" t="s">
        <v>152</v>
      </c>
      <c r="C2723" s="50" t="s">
        <v>1196</v>
      </c>
      <c r="D2723" s="67">
        <v>41579</v>
      </c>
      <c r="E2723" s="50" t="s">
        <v>3292</v>
      </c>
      <c r="F2723" s="50" t="s">
        <v>3293</v>
      </c>
      <c r="G2723" s="49" t="s">
        <v>351</v>
      </c>
      <c r="H2723" s="50" t="s">
        <v>2858</v>
      </c>
      <c r="I2723" s="50" t="s">
        <v>2986</v>
      </c>
      <c r="J2723" s="117">
        <v>1</v>
      </c>
      <c r="K2723" s="117">
        <v>158</v>
      </c>
      <c r="L2723" s="142">
        <v>60</v>
      </c>
      <c r="M2723" s="143" t="s">
        <v>22</v>
      </c>
      <c r="N2723" s="144"/>
      <c r="O2723" s="144"/>
      <c r="P2723" s="144"/>
      <c r="Q2723" s="144"/>
      <c r="R2723" s="144"/>
      <c r="S2723" s="144"/>
      <c r="T2723" s="144"/>
      <c r="U2723" s="144"/>
      <c r="V2723" s="50"/>
    </row>
    <row r="2724" spans="1:22" s="26" customFormat="1" ht="15" customHeight="1" x14ac:dyDescent="0.2">
      <c r="A2724" s="48">
        <v>41613.570243055598</v>
      </c>
      <c r="B2724" s="49" t="s">
        <v>152</v>
      </c>
      <c r="C2724" s="50" t="s">
        <v>1196</v>
      </c>
      <c r="D2724" s="67">
        <v>41579</v>
      </c>
      <c r="E2724" s="50" t="s">
        <v>3295</v>
      </c>
      <c r="F2724" s="50" t="s">
        <v>3296</v>
      </c>
      <c r="G2724" s="49" t="s">
        <v>351</v>
      </c>
      <c r="H2724" s="50" t="s">
        <v>3297</v>
      </c>
      <c r="I2724" s="50" t="s">
        <v>2986</v>
      </c>
      <c r="J2724" s="117">
        <v>4</v>
      </c>
      <c r="K2724" s="117">
        <v>537</v>
      </c>
      <c r="L2724" s="142">
        <v>60</v>
      </c>
      <c r="M2724" s="143" t="s">
        <v>22</v>
      </c>
      <c r="N2724" s="144"/>
      <c r="O2724" s="144"/>
      <c r="P2724" s="144"/>
      <c r="Q2724" s="144"/>
      <c r="R2724" s="144"/>
      <c r="S2724" s="144"/>
      <c r="T2724" s="144"/>
      <c r="U2724" s="144"/>
      <c r="V2724" s="50"/>
    </row>
    <row r="2725" spans="1:22" s="26" customFormat="1" ht="15" customHeight="1" x14ac:dyDescent="0.2">
      <c r="A2725" s="48">
        <v>41613.5718865741</v>
      </c>
      <c r="B2725" s="49" t="s">
        <v>152</v>
      </c>
      <c r="C2725" s="50" t="s">
        <v>1196</v>
      </c>
      <c r="D2725" s="67">
        <v>41579</v>
      </c>
      <c r="E2725" s="50" t="s">
        <v>3302</v>
      </c>
      <c r="F2725" s="50" t="s">
        <v>3303</v>
      </c>
      <c r="G2725" s="49" t="s">
        <v>351</v>
      </c>
      <c r="H2725" s="50" t="s">
        <v>3304</v>
      </c>
      <c r="I2725" s="50" t="s">
        <v>3305</v>
      </c>
      <c r="J2725" s="117">
        <v>1</v>
      </c>
      <c r="K2725" s="117">
        <v>9</v>
      </c>
      <c r="L2725" s="142">
        <v>60</v>
      </c>
      <c r="M2725" s="143" t="s">
        <v>22</v>
      </c>
      <c r="N2725" s="144"/>
      <c r="O2725" s="144"/>
      <c r="P2725" s="144"/>
      <c r="Q2725" s="144"/>
      <c r="R2725" s="144"/>
      <c r="S2725" s="144"/>
      <c r="T2725" s="144"/>
      <c r="U2725" s="144"/>
      <c r="V2725" s="50"/>
    </row>
    <row r="2726" spans="1:22" s="26" customFormat="1" ht="15" customHeight="1" x14ac:dyDescent="0.2">
      <c r="A2726" s="48">
        <v>41613.572905092602</v>
      </c>
      <c r="B2726" s="49" t="s">
        <v>152</v>
      </c>
      <c r="C2726" s="50" t="s">
        <v>1196</v>
      </c>
      <c r="D2726" s="67">
        <v>41579</v>
      </c>
      <c r="E2726" s="50" t="s">
        <v>1237</v>
      </c>
      <c r="F2726" s="50" t="s">
        <v>3309</v>
      </c>
      <c r="G2726" s="49" t="s">
        <v>351</v>
      </c>
      <c r="H2726" s="50">
        <v>60</v>
      </c>
      <c r="I2726" s="50" t="s">
        <v>2986</v>
      </c>
      <c r="J2726" s="117">
        <v>1</v>
      </c>
      <c r="K2726" s="117">
        <v>9</v>
      </c>
      <c r="L2726" s="142">
        <v>60</v>
      </c>
      <c r="M2726" s="143" t="s">
        <v>22</v>
      </c>
      <c r="N2726" s="144"/>
      <c r="O2726" s="144"/>
      <c r="P2726" s="144"/>
      <c r="Q2726" s="144"/>
      <c r="R2726" s="144"/>
      <c r="S2726" s="144"/>
      <c r="T2726" s="144"/>
      <c r="U2726" s="144"/>
      <c r="V2726" s="50"/>
    </row>
    <row r="2727" spans="1:22" s="26" customFormat="1" ht="15" customHeight="1" x14ac:dyDescent="0.2">
      <c r="A2727" s="48">
        <v>41613.573946759301</v>
      </c>
      <c r="B2727" s="49" t="s">
        <v>152</v>
      </c>
      <c r="C2727" s="50" t="s">
        <v>1196</v>
      </c>
      <c r="D2727" s="67">
        <v>41579</v>
      </c>
      <c r="E2727" s="50" t="s">
        <v>1241</v>
      </c>
      <c r="F2727" s="50" t="s">
        <v>3310</v>
      </c>
      <c r="G2727" s="49" t="s">
        <v>351</v>
      </c>
      <c r="H2727" s="50" t="s">
        <v>3311</v>
      </c>
      <c r="I2727" s="50" t="s">
        <v>2986</v>
      </c>
      <c r="J2727" s="117">
        <v>1</v>
      </c>
      <c r="K2727" s="117">
        <v>18</v>
      </c>
      <c r="L2727" s="142">
        <v>60</v>
      </c>
      <c r="M2727" s="143" t="s">
        <v>22</v>
      </c>
      <c r="N2727" s="144"/>
      <c r="O2727" s="144"/>
      <c r="P2727" s="144"/>
      <c r="Q2727" s="144"/>
      <c r="R2727" s="144"/>
      <c r="S2727" s="144"/>
      <c r="T2727" s="144"/>
      <c r="U2727" s="144"/>
      <c r="V2727" s="50"/>
    </row>
    <row r="2728" spans="1:22" s="26" customFormat="1" ht="15" customHeight="1" x14ac:dyDescent="0.2">
      <c r="A2728" s="48">
        <v>41613.5753819444</v>
      </c>
      <c r="B2728" s="49" t="s">
        <v>152</v>
      </c>
      <c r="C2728" s="50" t="s">
        <v>1196</v>
      </c>
      <c r="D2728" s="67">
        <v>41579</v>
      </c>
      <c r="E2728" s="50" t="s">
        <v>2533</v>
      </c>
      <c r="F2728" s="50" t="s">
        <v>3315</v>
      </c>
      <c r="G2728" s="49" t="s">
        <v>351</v>
      </c>
      <c r="H2728" s="50" t="s">
        <v>3316</v>
      </c>
      <c r="I2728" s="50" t="s">
        <v>2986</v>
      </c>
      <c r="J2728" s="117">
        <v>1</v>
      </c>
      <c r="K2728" s="117">
        <v>43</v>
      </c>
      <c r="L2728" s="142">
        <v>60</v>
      </c>
      <c r="M2728" s="143" t="s">
        <v>22</v>
      </c>
      <c r="N2728" s="144"/>
      <c r="O2728" s="144"/>
      <c r="P2728" s="144"/>
      <c r="Q2728" s="144"/>
      <c r="R2728" s="144"/>
      <c r="S2728" s="144"/>
      <c r="T2728" s="144"/>
      <c r="U2728" s="144"/>
      <c r="V2728" s="50"/>
    </row>
    <row r="2729" spans="1:22" s="26" customFormat="1" ht="15" customHeight="1" x14ac:dyDescent="0.2">
      <c r="A2729" s="48">
        <v>41613.578518518501</v>
      </c>
      <c r="B2729" s="49" t="s">
        <v>152</v>
      </c>
      <c r="C2729" s="50" t="s">
        <v>1196</v>
      </c>
      <c r="D2729" s="67">
        <v>41579</v>
      </c>
      <c r="E2729" s="50" t="s">
        <v>3295</v>
      </c>
      <c r="F2729" s="50" t="s">
        <v>3319</v>
      </c>
      <c r="G2729" s="49" t="s">
        <v>351</v>
      </c>
      <c r="H2729" s="50" t="s">
        <v>3320</v>
      </c>
      <c r="I2729" s="50" t="s">
        <v>2986</v>
      </c>
      <c r="J2729" s="117">
        <v>2</v>
      </c>
      <c r="K2729" s="117">
        <v>193</v>
      </c>
      <c r="L2729" s="142">
        <v>60</v>
      </c>
      <c r="M2729" s="143" t="s">
        <v>22</v>
      </c>
      <c r="N2729" s="144"/>
      <c r="O2729" s="144"/>
      <c r="P2729" s="144"/>
      <c r="Q2729" s="144"/>
      <c r="R2729" s="144"/>
      <c r="S2729" s="144"/>
      <c r="T2729" s="144"/>
      <c r="U2729" s="144"/>
      <c r="V2729" s="50"/>
    </row>
    <row r="2730" spans="1:22" s="26" customFormat="1" ht="15" customHeight="1" x14ac:dyDescent="0.2">
      <c r="A2730" s="48">
        <v>41613.579722222203</v>
      </c>
      <c r="B2730" s="49" t="s">
        <v>152</v>
      </c>
      <c r="C2730" s="50" t="s">
        <v>1196</v>
      </c>
      <c r="D2730" s="67">
        <v>41579</v>
      </c>
      <c r="E2730" s="50" t="s">
        <v>706</v>
      </c>
      <c r="F2730" s="50" t="s">
        <v>3321</v>
      </c>
      <c r="G2730" s="49" t="s">
        <v>351</v>
      </c>
      <c r="H2730" s="50" t="s">
        <v>2859</v>
      </c>
      <c r="I2730" s="50" t="s">
        <v>2986</v>
      </c>
      <c r="J2730" s="117">
        <v>2</v>
      </c>
      <c r="K2730" s="117">
        <v>88</v>
      </c>
      <c r="L2730" s="142"/>
      <c r="M2730" s="143" t="s">
        <v>22</v>
      </c>
      <c r="N2730" s="144"/>
      <c r="O2730" s="144"/>
      <c r="P2730" s="144"/>
      <c r="Q2730" s="144"/>
      <c r="R2730" s="144"/>
      <c r="S2730" s="144"/>
      <c r="T2730" s="144"/>
      <c r="U2730" s="144"/>
      <c r="V2730" s="50"/>
    </row>
    <row r="2731" spans="1:22" s="26" customFormat="1" ht="15" customHeight="1" x14ac:dyDescent="0.2">
      <c r="A2731" s="48">
        <v>41613.583032407398</v>
      </c>
      <c r="B2731" s="49" t="s">
        <v>152</v>
      </c>
      <c r="C2731" s="50" t="s">
        <v>1196</v>
      </c>
      <c r="D2731" s="67">
        <v>41579</v>
      </c>
      <c r="E2731" s="50" t="s">
        <v>3322</v>
      </c>
      <c r="F2731" s="50" t="s">
        <v>3323</v>
      </c>
      <c r="G2731" s="49" t="s">
        <v>351</v>
      </c>
      <c r="H2731" s="50" t="s">
        <v>3324</v>
      </c>
      <c r="I2731" s="50" t="s">
        <v>2986</v>
      </c>
      <c r="J2731" s="117">
        <v>1</v>
      </c>
      <c r="K2731" s="117">
        <v>74</v>
      </c>
      <c r="L2731" s="142">
        <v>60</v>
      </c>
      <c r="M2731" s="143" t="s">
        <v>22</v>
      </c>
      <c r="N2731" s="144"/>
      <c r="O2731" s="144"/>
      <c r="P2731" s="144"/>
      <c r="Q2731" s="144"/>
      <c r="R2731" s="144"/>
      <c r="S2731" s="144"/>
      <c r="T2731" s="144"/>
      <c r="U2731" s="144"/>
      <c r="V2731" s="50"/>
    </row>
    <row r="2732" spans="1:22" s="26" customFormat="1" ht="15" customHeight="1" x14ac:dyDescent="0.2">
      <c r="A2732" s="48">
        <v>41613.584664351802</v>
      </c>
      <c r="B2732" s="49" t="s">
        <v>152</v>
      </c>
      <c r="C2732" s="50" t="s">
        <v>1196</v>
      </c>
      <c r="D2732" s="67">
        <v>41579</v>
      </c>
      <c r="E2732" s="50" t="s">
        <v>1237</v>
      </c>
      <c r="F2732" s="50" t="s">
        <v>3325</v>
      </c>
      <c r="G2732" s="49" t="s">
        <v>351</v>
      </c>
      <c r="H2732" s="50" t="s">
        <v>3326</v>
      </c>
      <c r="I2732" s="50" t="s">
        <v>2986</v>
      </c>
      <c r="J2732" s="117">
        <v>1</v>
      </c>
      <c r="K2732" s="117">
        <v>96</v>
      </c>
      <c r="L2732" s="142">
        <v>60</v>
      </c>
      <c r="M2732" s="143" t="s">
        <v>22</v>
      </c>
      <c r="N2732" s="144"/>
      <c r="O2732" s="144"/>
      <c r="P2732" s="144"/>
      <c r="Q2732" s="144"/>
      <c r="R2732" s="144"/>
      <c r="S2732" s="144"/>
      <c r="T2732" s="144"/>
      <c r="U2732" s="144"/>
      <c r="V2732" s="50"/>
    </row>
    <row r="2733" spans="1:22" s="26" customFormat="1" ht="15" customHeight="1" x14ac:dyDescent="0.2">
      <c r="A2733" s="48">
        <v>41613.5867939815</v>
      </c>
      <c r="B2733" s="49" t="s">
        <v>152</v>
      </c>
      <c r="C2733" s="50" t="s">
        <v>1196</v>
      </c>
      <c r="D2733" s="67">
        <v>41579</v>
      </c>
      <c r="E2733" s="50" t="s">
        <v>3327</v>
      </c>
      <c r="F2733" s="50" t="s">
        <v>3328</v>
      </c>
      <c r="G2733" s="49" t="s">
        <v>351</v>
      </c>
      <c r="H2733" s="50" t="s">
        <v>2857</v>
      </c>
      <c r="I2733" s="50" t="s">
        <v>2986</v>
      </c>
      <c r="J2733" s="117">
        <v>1</v>
      </c>
      <c r="K2733" s="117">
        <v>37</v>
      </c>
      <c r="L2733" s="142">
        <v>60</v>
      </c>
      <c r="M2733" s="143" t="s">
        <v>22</v>
      </c>
      <c r="N2733" s="144"/>
      <c r="O2733" s="144"/>
      <c r="P2733" s="144"/>
      <c r="Q2733" s="144"/>
      <c r="R2733" s="144"/>
      <c r="S2733" s="144"/>
      <c r="T2733" s="144"/>
      <c r="U2733" s="144"/>
      <c r="V2733" s="50"/>
    </row>
    <row r="2734" spans="1:22" s="26" customFormat="1" ht="15" customHeight="1" x14ac:dyDescent="0.2">
      <c r="A2734" s="48">
        <v>41613.589699074102</v>
      </c>
      <c r="B2734" s="49" t="s">
        <v>152</v>
      </c>
      <c r="C2734" s="50" t="s">
        <v>1196</v>
      </c>
      <c r="D2734" s="67">
        <v>41579</v>
      </c>
      <c r="E2734" s="50" t="s">
        <v>3329</v>
      </c>
      <c r="F2734" s="50" t="s">
        <v>3330</v>
      </c>
      <c r="G2734" s="49" t="s">
        <v>351</v>
      </c>
      <c r="H2734" s="50" t="s">
        <v>3331</v>
      </c>
      <c r="I2734" s="50" t="s">
        <v>2986</v>
      </c>
      <c r="J2734" s="117">
        <v>5</v>
      </c>
      <c r="K2734" s="117">
        <v>206</v>
      </c>
      <c r="L2734" s="142">
        <v>60</v>
      </c>
      <c r="M2734" s="143" t="s">
        <v>22</v>
      </c>
      <c r="N2734" s="144"/>
      <c r="O2734" s="144"/>
      <c r="P2734" s="144"/>
      <c r="Q2734" s="144"/>
      <c r="R2734" s="144"/>
      <c r="S2734" s="144"/>
      <c r="T2734" s="144"/>
      <c r="U2734" s="144"/>
      <c r="V2734" s="50"/>
    </row>
    <row r="2735" spans="1:22" s="26" customFormat="1" ht="15" customHeight="1" x14ac:dyDescent="0.2">
      <c r="A2735" s="48">
        <v>41613.590856481504</v>
      </c>
      <c r="B2735" s="49" t="s">
        <v>152</v>
      </c>
      <c r="C2735" s="50" t="s">
        <v>1196</v>
      </c>
      <c r="D2735" s="67">
        <v>41579</v>
      </c>
      <c r="E2735" s="50" t="s">
        <v>3332</v>
      </c>
      <c r="F2735" s="50" t="s">
        <v>3333</v>
      </c>
      <c r="G2735" s="49" t="s">
        <v>351</v>
      </c>
      <c r="H2735" s="50" t="s">
        <v>3334</v>
      </c>
      <c r="I2735" s="50" t="s">
        <v>2925</v>
      </c>
      <c r="J2735" s="117">
        <v>1</v>
      </c>
      <c r="K2735" s="117">
        <v>16</v>
      </c>
      <c r="L2735" s="142"/>
      <c r="M2735" s="143" t="s">
        <v>22</v>
      </c>
      <c r="N2735" s="144"/>
      <c r="O2735" s="144"/>
      <c r="P2735" s="144"/>
      <c r="Q2735" s="144"/>
      <c r="R2735" s="144"/>
      <c r="S2735" s="144"/>
      <c r="T2735" s="144"/>
      <c r="U2735" s="144"/>
      <c r="V2735" s="50"/>
    </row>
    <row r="2736" spans="1:22" s="26" customFormat="1" ht="15" customHeight="1" x14ac:dyDescent="0.2">
      <c r="A2736" s="48">
        <v>41613.592164351801</v>
      </c>
      <c r="B2736" s="49" t="s">
        <v>152</v>
      </c>
      <c r="C2736" s="50" t="s">
        <v>1196</v>
      </c>
      <c r="D2736" s="67">
        <v>41579</v>
      </c>
      <c r="E2736" s="50" t="s">
        <v>3335</v>
      </c>
      <c r="F2736" s="50" t="s">
        <v>3336</v>
      </c>
      <c r="G2736" s="49" t="s">
        <v>351</v>
      </c>
      <c r="H2736" s="50" t="s">
        <v>3337</v>
      </c>
      <c r="I2736" s="50" t="s">
        <v>2925</v>
      </c>
      <c r="J2736" s="117">
        <v>1</v>
      </c>
      <c r="K2736" s="117">
        <v>30</v>
      </c>
      <c r="L2736" s="142"/>
      <c r="M2736" s="143" t="s">
        <v>22</v>
      </c>
      <c r="N2736" s="144"/>
      <c r="O2736" s="144"/>
      <c r="P2736" s="144"/>
      <c r="Q2736" s="144"/>
      <c r="R2736" s="144"/>
      <c r="S2736" s="144"/>
      <c r="T2736" s="144"/>
      <c r="U2736" s="144"/>
      <c r="V2736" s="50"/>
    </row>
    <row r="2737" spans="1:22" s="26" customFormat="1" ht="15" customHeight="1" x14ac:dyDescent="0.2">
      <c r="A2737" s="48">
        <v>41613.593182870398</v>
      </c>
      <c r="B2737" s="49" t="s">
        <v>152</v>
      </c>
      <c r="C2737" s="50" t="s">
        <v>1196</v>
      </c>
      <c r="D2737" s="67">
        <v>41579</v>
      </c>
      <c r="E2737" s="50" t="s">
        <v>3262</v>
      </c>
      <c r="F2737" s="50" t="s">
        <v>3338</v>
      </c>
      <c r="G2737" s="49" t="s">
        <v>42</v>
      </c>
      <c r="H2737" s="50" t="s">
        <v>3339</v>
      </c>
      <c r="I2737" s="50" t="s">
        <v>2986</v>
      </c>
      <c r="J2737" s="117">
        <v>2</v>
      </c>
      <c r="K2737" s="117">
        <v>10</v>
      </c>
      <c r="L2737" s="142">
        <v>330</v>
      </c>
      <c r="M2737" s="143" t="s">
        <v>22</v>
      </c>
      <c r="N2737" s="144"/>
      <c r="O2737" s="144"/>
      <c r="P2737" s="144"/>
      <c r="Q2737" s="144"/>
      <c r="R2737" s="144"/>
      <c r="S2737" s="144"/>
      <c r="T2737" s="144"/>
      <c r="U2737" s="144"/>
      <c r="V2737" s="50"/>
    </row>
    <row r="2738" spans="1:22" s="26" customFormat="1" ht="15" customHeight="1" x14ac:dyDescent="0.2">
      <c r="A2738" s="48">
        <v>41613.594409722202</v>
      </c>
      <c r="B2738" s="49" t="s">
        <v>152</v>
      </c>
      <c r="C2738" s="50" t="s">
        <v>1196</v>
      </c>
      <c r="D2738" s="67">
        <v>41579</v>
      </c>
      <c r="E2738" s="50" t="s">
        <v>3262</v>
      </c>
      <c r="F2738" s="50" t="s">
        <v>3340</v>
      </c>
      <c r="G2738" s="49" t="s">
        <v>42</v>
      </c>
      <c r="H2738" s="50" t="s">
        <v>3341</v>
      </c>
      <c r="I2738" s="50" t="s">
        <v>2812</v>
      </c>
      <c r="J2738" s="117">
        <v>2</v>
      </c>
      <c r="K2738" s="117">
        <v>11</v>
      </c>
      <c r="L2738" s="142">
        <v>35</v>
      </c>
      <c r="M2738" s="143" t="s">
        <v>22</v>
      </c>
      <c r="N2738" s="144"/>
      <c r="O2738" s="144"/>
      <c r="P2738" s="144"/>
      <c r="Q2738" s="144"/>
      <c r="R2738" s="144"/>
      <c r="S2738" s="144"/>
      <c r="T2738" s="144"/>
      <c r="U2738" s="144"/>
      <c r="V2738" s="50"/>
    </row>
    <row r="2739" spans="1:22" s="26" customFormat="1" ht="15" customHeight="1" x14ac:dyDescent="0.2">
      <c r="A2739" s="48">
        <v>41613.5950115741</v>
      </c>
      <c r="B2739" s="49" t="s">
        <v>152</v>
      </c>
      <c r="C2739" s="50" t="s">
        <v>1196</v>
      </c>
      <c r="D2739" s="67">
        <v>41579</v>
      </c>
      <c r="E2739" s="50" t="s">
        <v>1949</v>
      </c>
      <c r="F2739" s="50" t="s">
        <v>3342</v>
      </c>
      <c r="G2739" s="49" t="s">
        <v>60</v>
      </c>
      <c r="H2739" s="50"/>
      <c r="I2739" s="50" t="s">
        <v>2925</v>
      </c>
      <c r="J2739" s="117">
        <v>3</v>
      </c>
      <c r="K2739" s="117">
        <v>52</v>
      </c>
      <c r="L2739" s="142"/>
      <c r="M2739" s="143" t="s">
        <v>22</v>
      </c>
      <c r="N2739" s="144"/>
      <c r="O2739" s="144"/>
      <c r="P2739" s="144"/>
      <c r="Q2739" s="144"/>
      <c r="R2739" s="144"/>
      <c r="S2739" s="144"/>
      <c r="T2739" s="144"/>
      <c r="U2739" s="144"/>
      <c r="V2739" s="50"/>
    </row>
    <row r="2740" spans="1:22" s="26" customFormat="1" ht="15" customHeight="1" x14ac:dyDescent="0.2">
      <c r="A2740" s="32">
        <v>41647.358472222222</v>
      </c>
      <c r="B2740" s="26" t="s">
        <v>152</v>
      </c>
      <c r="C2740" s="26" t="s">
        <v>1196</v>
      </c>
      <c r="D2740" s="68">
        <v>41609</v>
      </c>
      <c r="E2740" s="26" t="s">
        <v>1848</v>
      </c>
      <c r="F2740" s="26" t="s">
        <v>4015</v>
      </c>
      <c r="G2740" s="26" t="s">
        <v>26</v>
      </c>
      <c r="H2740" s="26" t="s">
        <v>4016</v>
      </c>
      <c r="I2740" s="26" t="s">
        <v>2812</v>
      </c>
      <c r="J2740" s="46">
        <v>1</v>
      </c>
      <c r="K2740" s="46">
        <v>14</v>
      </c>
      <c r="L2740" s="136"/>
      <c r="M2740" s="137" t="s">
        <v>44</v>
      </c>
      <c r="N2740" s="138"/>
      <c r="O2740" s="138">
        <v>35</v>
      </c>
      <c r="P2740" s="138"/>
      <c r="Q2740" s="138"/>
      <c r="R2740" s="138"/>
      <c r="S2740" s="138"/>
      <c r="T2740" s="138"/>
      <c r="U2740" s="138"/>
    </row>
    <row r="2741" spans="1:22" s="26" customFormat="1" ht="15" customHeight="1" x14ac:dyDescent="0.2">
      <c r="A2741" s="32">
        <v>41647.361446759256</v>
      </c>
      <c r="B2741" s="26" t="s">
        <v>152</v>
      </c>
      <c r="C2741" s="26" t="s">
        <v>1196</v>
      </c>
      <c r="D2741" s="68">
        <v>41609</v>
      </c>
      <c r="E2741" s="26" t="s">
        <v>1212</v>
      </c>
      <c r="F2741" s="26" t="s">
        <v>4017</v>
      </c>
      <c r="G2741" s="26" t="s">
        <v>156</v>
      </c>
      <c r="H2741" s="26" t="s">
        <v>4018</v>
      </c>
      <c r="I2741" s="26" t="s">
        <v>2986</v>
      </c>
      <c r="J2741" s="46">
        <v>0</v>
      </c>
      <c r="K2741" s="46">
        <v>0</v>
      </c>
      <c r="L2741" s="136"/>
      <c r="M2741" s="137" t="s">
        <v>22</v>
      </c>
      <c r="N2741" s="138"/>
      <c r="O2741" s="138"/>
      <c r="P2741" s="138"/>
      <c r="Q2741" s="138"/>
      <c r="R2741" s="138"/>
      <c r="S2741" s="138"/>
      <c r="T2741" s="138"/>
      <c r="U2741" s="138"/>
      <c r="V2741" s="26" t="s">
        <v>4019</v>
      </c>
    </row>
    <row r="2742" spans="1:22" s="26" customFormat="1" ht="15" customHeight="1" x14ac:dyDescent="0.2">
      <c r="A2742" s="32">
        <v>41647.362974537034</v>
      </c>
      <c r="B2742" s="26" t="s">
        <v>152</v>
      </c>
      <c r="C2742" s="26" t="s">
        <v>1196</v>
      </c>
      <c r="D2742" s="68">
        <v>41609</v>
      </c>
      <c r="E2742" s="26" t="s">
        <v>4020</v>
      </c>
      <c r="F2742" s="26" t="s">
        <v>4021</v>
      </c>
      <c r="G2742" s="26" t="s">
        <v>26</v>
      </c>
      <c r="H2742" s="26" t="s">
        <v>4022</v>
      </c>
      <c r="I2742" s="26" t="s">
        <v>2986</v>
      </c>
      <c r="J2742" s="46">
        <v>1</v>
      </c>
      <c r="K2742" s="46">
        <v>18</v>
      </c>
      <c r="L2742" s="136">
        <v>38</v>
      </c>
      <c r="M2742" s="137" t="s">
        <v>22</v>
      </c>
      <c r="N2742" s="138"/>
      <c r="O2742" s="138"/>
      <c r="P2742" s="138"/>
      <c r="Q2742" s="138"/>
      <c r="R2742" s="138"/>
      <c r="S2742" s="138"/>
      <c r="T2742" s="138"/>
      <c r="U2742" s="138"/>
    </row>
    <row r="2743" spans="1:22" s="26" customFormat="1" ht="15" customHeight="1" x14ac:dyDescent="0.2">
      <c r="A2743" s="32">
        <v>41647.364027777781</v>
      </c>
      <c r="B2743" s="26" t="s">
        <v>152</v>
      </c>
      <c r="C2743" s="26" t="s">
        <v>1196</v>
      </c>
      <c r="D2743" s="68">
        <v>41609</v>
      </c>
      <c r="E2743" s="26" t="s">
        <v>4023</v>
      </c>
      <c r="F2743" s="26" t="s">
        <v>4024</v>
      </c>
      <c r="G2743" s="26" t="s">
        <v>26</v>
      </c>
      <c r="H2743" s="26" t="s">
        <v>4025</v>
      </c>
      <c r="I2743" s="26" t="s">
        <v>2986</v>
      </c>
      <c r="J2743" s="46">
        <v>3</v>
      </c>
      <c r="K2743" s="46">
        <v>34</v>
      </c>
      <c r="L2743" s="136">
        <v>635</v>
      </c>
      <c r="M2743" s="137" t="s">
        <v>22</v>
      </c>
      <c r="N2743" s="138"/>
      <c r="O2743" s="138"/>
      <c r="P2743" s="138"/>
      <c r="Q2743" s="138"/>
      <c r="R2743" s="138"/>
      <c r="S2743" s="138"/>
      <c r="T2743" s="138"/>
      <c r="U2743" s="138"/>
    </row>
    <row r="2744" spans="1:22" s="26" customFormat="1" ht="15" customHeight="1" x14ac:dyDescent="0.2">
      <c r="A2744" s="32">
        <v>41647.364687499998</v>
      </c>
      <c r="B2744" s="26" t="s">
        <v>152</v>
      </c>
      <c r="C2744" s="26" t="s">
        <v>1196</v>
      </c>
      <c r="D2744" s="68">
        <v>41609</v>
      </c>
      <c r="E2744" s="26" t="s">
        <v>1212</v>
      </c>
      <c r="F2744" s="26" t="s">
        <v>1843</v>
      </c>
      <c r="G2744" s="26" t="s">
        <v>26</v>
      </c>
      <c r="H2744" s="26" t="s">
        <v>4026</v>
      </c>
      <c r="I2744" s="26" t="s">
        <v>2986</v>
      </c>
      <c r="J2744" s="46">
        <v>1</v>
      </c>
      <c r="K2744" s="46">
        <v>0</v>
      </c>
      <c r="L2744" s="136"/>
      <c r="M2744" s="137" t="s">
        <v>22</v>
      </c>
      <c r="N2744" s="138"/>
      <c r="O2744" s="138"/>
      <c r="P2744" s="138"/>
      <c r="Q2744" s="138"/>
      <c r="R2744" s="138"/>
      <c r="S2744" s="138"/>
      <c r="T2744" s="138"/>
      <c r="U2744" s="138"/>
    </row>
    <row r="2745" spans="1:22" s="26" customFormat="1" ht="15" customHeight="1" x14ac:dyDescent="0.2">
      <c r="A2745" s="32">
        <v>41647.365659722222</v>
      </c>
      <c r="B2745" s="26" t="s">
        <v>152</v>
      </c>
      <c r="C2745" s="26" t="s">
        <v>1196</v>
      </c>
      <c r="D2745" s="68">
        <v>41609</v>
      </c>
      <c r="E2745" s="26" t="s">
        <v>4027</v>
      </c>
      <c r="F2745" s="26" t="s">
        <v>4028</v>
      </c>
      <c r="G2745" s="26" t="s">
        <v>26</v>
      </c>
      <c r="H2745" s="26" t="s">
        <v>4029</v>
      </c>
      <c r="I2745" s="26" t="s">
        <v>2812</v>
      </c>
      <c r="J2745" s="46">
        <v>1</v>
      </c>
      <c r="K2745" s="46">
        <v>19</v>
      </c>
      <c r="L2745" s="136"/>
      <c r="M2745" s="137" t="s">
        <v>44</v>
      </c>
      <c r="N2745" s="138"/>
      <c r="O2745" s="138">
        <v>140</v>
      </c>
      <c r="P2745" s="138"/>
      <c r="Q2745" s="138"/>
      <c r="R2745" s="138"/>
      <c r="S2745" s="138"/>
      <c r="T2745" s="138"/>
      <c r="U2745" s="138"/>
    </row>
    <row r="2746" spans="1:22" s="26" customFormat="1" ht="15" customHeight="1" x14ac:dyDescent="0.2">
      <c r="A2746" s="32">
        <v>41647.366736111115</v>
      </c>
      <c r="B2746" s="26" t="s">
        <v>152</v>
      </c>
      <c r="C2746" s="26" t="s">
        <v>1196</v>
      </c>
      <c r="D2746" s="68">
        <v>41609</v>
      </c>
      <c r="E2746" s="26" t="s">
        <v>2542</v>
      </c>
      <c r="F2746" s="26" t="s">
        <v>4030</v>
      </c>
      <c r="G2746" s="26" t="s">
        <v>20</v>
      </c>
      <c r="H2746" s="26" t="s">
        <v>4031</v>
      </c>
      <c r="I2746" s="26" t="s">
        <v>2986</v>
      </c>
      <c r="J2746" s="46">
        <v>4</v>
      </c>
      <c r="K2746" s="46">
        <v>176</v>
      </c>
      <c r="L2746" s="136">
        <v>60</v>
      </c>
      <c r="M2746" s="137" t="s">
        <v>22</v>
      </c>
      <c r="N2746" s="138"/>
      <c r="O2746" s="138"/>
      <c r="P2746" s="138"/>
      <c r="Q2746" s="138"/>
      <c r="R2746" s="138"/>
      <c r="S2746" s="138"/>
      <c r="T2746" s="138"/>
      <c r="U2746" s="138"/>
    </row>
    <row r="2747" spans="1:22" s="26" customFormat="1" ht="15" customHeight="1" x14ac:dyDescent="0.2">
      <c r="A2747" s="32">
        <v>41647.372499999998</v>
      </c>
      <c r="B2747" s="26" t="s">
        <v>152</v>
      </c>
      <c r="C2747" s="26" t="s">
        <v>1196</v>
      </c>
      <c r="D2747" s="68">
        <v>41609</v>
      </c>
      <c r="E2747" s="26" t="s">
        <v>1226</v>
      </c>
      <c r="F2747" s="26" t="s">
        <v>4032</v>
      </c>
      <c r="G2747" s="26" t="s">
        <v>20</v>
      </c>
      <c r="H2747" s="26" t="s">
        <v>4031</v>
      </c>
      <c r="J2747" s="46">
        <v>3</v>
      </c>
      <c r="K2747" s="46">
        <v>121</v>
      </c>
      <c r="L2747" s="136">
        <v>60</v>
      </c>
      <c r="M2747" s="137" t="s">
        <v>22</v>
      </c>
      <c r="N2747" s="138"/>
      <c r="O2747" s="138"/>
      <c r="P2747" s="138"/>
      <c r="Q2747" s="138"/>
      <c r="R2747" s="138"/>
      <c r="S2747" s="138"/>
      <c r="T2747" s="138"/>
      <c r="U2747" s="138"/>
    </row>
    <row r="2748" spans="1:22" s="26" customFormat="1" ht="15" customHeight="1" x14ac:dyDescent="0.2">
      <c r="A2748" s="32">
        <v>41647.380740740744</v>
      </c>
      <c r="B2748" s="26" t="s">
        <v>152</v>
      </c>
      <c r="C2748" s="26" t="s">
        <v>1196</v>
      </c>
      <c r="D2748" s="68">
        <v>41609</v>
      </c>
      <c r="E2748" s="26" t="s">
        <v>2524</v>
      </c>
      <c r="F2748" s="26" t="s">
        <v>4033</v>
      </c>
      <c r="G2748" s="26" t="s">
        <v>20</v>
      </c>
      <c r="H2748" s="26" t="s">
        <v>4031</v>
      </c>
      <c r="I2748" s="26" t="s">
        <v>2986</v>
      </c>
      <c r="J2748" s="46">
        <v>2</v>
      </c>
      <c r="K2748" s="46">
        <v>75</v>
      </c>
      <c r="L2748" s="136">
        <v>60</v>
      </c>
      <c r="M2748" s="137" t="s">
        <v>22</v>
      </c>
      <c r="N2748" s="138"/>
      <c r="O2748" s="138"/>
      <c r="P2748" s="138"/>
      <c r="Q2748" s="138"/>
      <c r="R2748" s="138"/>
      <c r="S2748" s="138"/>
      <c r="T2748" s="138"/>
      <c r="U2748" s="138"/>
    </row>
    <row r="2749" spans="1:22" s="26" customFormat="1" ht="15" customHeight="1" x14ac:dyDescent="0.2">
      <c r="A2749" s="32">
        <v>41647.3825</v>
      </c>
      <c r="B2749" s="26" t="s">
        <v>152</v>
      </c>
      <c r="C2749" s="26" t="s">
        <v>1196</v>
      </c>
      <c r="D2749" s="68">
        <v>41609</v>
      </c>
      <c r="E2749" s="26" t="s">
        <v>4034</v>
      </c>
      <c r="F2749" s="26" t="s">
        <v>4035</v>
      </c>
      <c r="G2749" s="26" t="s">
        <v>20</v>
      </c>
      <c r="H2749" s="26" t="s">
        <v>4036</v>
      </c>
      <c r="I2749" s="26" t="s">
        <v>2986</v>
      </c>
      <c r="J2749" s="46">
        <v>4</v>
      </c>
      <c r="K2749" s="46">
        <v>332</v>
      </c>
      <c r="L2749" s="136">
        <v>60</v>
      </c>
      <c r="M2749" s="137" t="s">
        <v>22</v>
      </c>
      <c r="N2749" s="138"/>
      <c r="O2749" s="138"/>
      <c r="P2749" s="138"/>
      <c r="Q2749" s="138"/>
      <c r="R2749" s="138"/>
      <c r="S2749" s="138"/>
      <c r="T2749" s="138"/>
      <c r="U2749" s="138"/>
    </row>
    <row r="2750" spans="1:22" s="26" customFormat="1" ht="15" customHeight="1" x14ac:dyDescent="0.2">
      <c r="A2750" s="32">
        <v>41647.386064814818</v>
      </c>
      <c r="B2750" s="26" t="s">
        <v>152</v>
      </c>
      <c r="C2750" s="26" t="s">
        <v>1196</v>
      </c>
      <c r="D2750" s="68">
        <v>41609</v>
      </c>
      <c r="E2750" s="26" t="s">
        <v>2542</v>
      </c>
      <c r="F2750" s="26" t="s">
        <v>4037</v>
      </c>
      <c r="G2750" s="26" t="s">
        <v>20</v>
      </c>
      <c r="H2750" s="26" t="s">
        <v>4038</v>
      </c>
      <c r="I2750" s="26" t="s">
        <v>2986</v>
      </c>
      <c r="J2750" s="46">
        <v>2</v>
      </c>
      <c r="K2750" s="46">
        <v>193</v>
      </c>
      <c r="L2750" s="136">
        <v>60</v>
      </c>
      <c r="M2750" s="137" t="s">
        <v>22</v>
      </c>
      <c r="N2750" s="138"/>
      <c r="O2750" s="138"/>
      <c r="P2750" s="138"/>
      <c r="Q2750" s="138"/>
      <c r="R2750" s="138"/>
      <c r="S2750" s="138"/>
      <c r="T2750" s="138"/>
      <c r="U2750" s="138"/>
    </row>
    <row r="2751" spans="1:22" s="26" customFormat="1" ht="15" customHeight="1" x14ac:dyDescent="0.2">
      <c r="A2751" s="32">
        <v>41647.386979166666</v>
      </c>
      <c r="B2751" s="26" t="s">
        <v>152</v>
      </c>
      <c r="C2751" s="26" t="s">
        <v>1196</v>
      </c>
      <c r="D2751" s="68">
        <v>41609</v>
      </c>
      <c r="E2751" s="26" t="s">
        <v>4039</v>
      </c>
      <c r="F2751" s="26" t="s">
        <v>4040</v>
      </c>
      <c r="G2751" s="26" t="s">
        <v>20</v>
      </c>
      <c r="I2751" s="26" t="s">
        <v>2986</v>
      </c>
      <c r="J2751" s="46">
        <v>1</v>
      </c>
      <c r="K2751" s="46">
        <v>600</v>
      </c>
      <c r="L2751" s="136"/>
      <c r="M2751" s="137" t="s">
        <v>22</v>
      </c>
      <c r="N2751" s="138"/>
      <c r="O2751" s="138"/>
      <c r="P2751" s="138"/>
      <c r="Q2751" s="138"/>
      <c r="R2751" s="138"/>
      <c r="S2751" s="138"/>
      <c r="T2751" s="138"/>
      <c r="U2751" s="138"/>
    </row>
    <row r="2752" spans="1:22" s="26" customFormat="1" ht="15" customHeight="1" x14ac:dyDescent="0.2">
      <c r="A2752" s="32">
        <v>41647.387858796297</v>
      </c>
      <c r="B2752" s="26" t="s">
        <v>152</v>
      </c>
      <c r="C2752" s="26" t="s">
        <v>1196</v>
      </c>
      <c r="D2752" s="68">
        <v>41609</v>
      </c>
      <c r="E2752" s="26" t="s">
        <v>4041</v>
      </c>
      <c r="F2752" s="26" t="s">
        <v>1861</v>
      </c>
      <c r="G2752" s="26" t="s">
        <v>42</v>
      </c>
      <c r="H2752" s="26" t="s">
        <v>4042</v>
      </c>
      <c r="I2752" s="26" t="s">
        <v>2925</v>
      </c>
      <c r="J2752" s="46">
        <v>1</v>
      </c>
      <c r="K2752" s="46">
        <v>18</v>
      </c>
      <c r="L2752" s="136">
        <v>160</v>
      </c>
      <c r="M2752" s="137" t="s">
        <v>22</v>
      </c>
      <c r="N2752" s="138"/>
      <c r="O2752" s="138"/>
      <c r="P2752" s="138"/>
      <c r="Q2752" s="138"/>
      <c r="R2752" s="138"/>
      <c r="S2752" s="138"/>
      <c r="T2752" s="138"/>
      <c r="U2752" s="138"/>
    </row>
    <row r="2753" spans="1:25" s="26" customFormat="1" ht="15" customHeight="1" x14ac:dyDescent="0.2">
      <c r="A2753" s="55">
        <v>41680.398229166698</v>
      </c>
      <c r="B2753" s="52" t="s">
        <v>152</v>
      </c>
      <c r="C2753" s="52" t="s">
        <v>1196</v>
      </c>
      <c r="D2753" s="69">
        <v>41640</v>
      </c>
      <c r="E2753" s="52" t="s">
        <v>1212</v>
      </c>
      <c r="F2753" s="52" t="s">
        <v>4015</v>
      </c>
      <c r="G2753" s="52" t="s">
        <v>26</v>
      </c>
      <c r="H2753" s="52" t="s">
        <v>4465</v>
      </c>
      <c r="I2753" s="52" t="s">
        <v>2812</v>
      </c>
      <c r="J2753" s="95">
        <v>1</v>
      </c>
      <c r="K2753" s="118">
        <v>12</v>
      </c>
      <c r="L2753" s="148"/>
      <c r="M2753" s="146" t="s">
        <v>44</v>
      </c>
      <c r="N2753" s="147"/>
      <c r="O2753" s="147">
        <v>25</v>
      </c>
      <c r="P2753" s="147"/>
      <c r="Q2753" s="147"/>
      <c r="R2753" s="147"/>
      <c r="S2753" s="147"/>
      <c r="T2753" s="147"/>
      <c r="U2753" s="149"/>
      <c r="V2753" s="52"/>
      <c r="W2753" s="52"/>
      <c r="X2753" s="52"/>
      <c r="Y2753" s="52"/>
    </row>
    <row r="2754" spans="1:25" s="26" customFormat="1" ht="15" customHeight="1" x14ac:dyDescent="0.2">
      <c r="A2754" s="55">
        <v>41680.399375000001</v>
      </c>
      <c r="B2754" s="52" t="s">
        <v>152</v>
      </c>
      <c r="C2754" s="52" t="s">
        <v>1196</v>
      </c>
      <c r="D2754" s="69">
        <v>41640</v>
      </c>
      <c r="E2754" s="52" t="s">
        <v>1212</v>
      </c>
      <c r="F2754" s="52" t="s">
        <v>1843</v>
      </c>
      <c r="G2754" s="52" t="s">
        <v>26</v>
      </c>
      <c r="H2754" s="52" t="s">
        <v>4466</v>
      </c>
      <c r="I2754" s="52" t="s">
        <v>2812</v>
      </c>
      <c r="J2754" s="95">
        <v>1</v>
      </c>
      <c r="K2754" s="118">
        <v>5</v>
      </c>
      <c r="L2754" s="148"/>
      <c r="M2754" s="146" t="s">
        <v>22</v>
      </c>
      <c r="N2754" s="147"/>
      <c r="O2754" s="147"/>
      <c r="P2754" s="147"/>
      <c r="Q2754" s="147"/>
      <c r="R2754" s="147"/>
      <c r="S2754" s="147"/>
      <c r="T2754" s="147"/>
      <c r="U2754" s="149"/>
      <c r="V2754" s="52"/>
      <c r="W2754" s="52"/>
      <c r="X2754" s="52"/>
      <c r="Y2754" s="52"/>
    </row>
    <row r="2755" spans="1:25" s="26" customFormat="1" ht="15" customHeight="1" x14ac:dyDescent="0.2">
      <c r="A2755" s="55">
        <v>41680.402395833298</v>
      </c>
      <c r="B2755" s="52" t="s">
        <v>152</v>
      </c>
      <c r="C2755" s="52" t="s">
        <v>1196</v>
      </c>
      <c r="D2755" s="69">
        <v>41640</v>
      </c>
      <c r="E2755" s="52" t="s">
        <v>4467</v>
      </c>
      <c r="F2755" s="52" t="s">
        <v>4468</v>
      </c>
      <c r="G2755" s="52" t="s">
        <v>26</v>
      </c>
      <c r="H2755" s="52" t="s">
        <v>4469</v>
      </c>
      <c r="I2755" s="52" t="s">
        <v>2986</v>
      </c>
      <c r="J2755" s="95">
        <v>2</v>
      </c>
      <c r="K2755" s="118">
        <v>13</v>
      </c>
      <c r="L2755" s="148">
        <v>440</v>
      </c>
      <c r="M2755" s="146" t="s">
        <v>44</v>
      </c>
      <c r="N2755" s="147"/>
      <c r="O2755" s="147"/>
      <c r="P2755" s="147"/>
      <c r="Q2755" s="147"/>
      <c r="R2755" s="147"/>
      <c r="S2755" s="147">
        <v>123</v>
      </c>
      <c r="T2755" s="138"/>
      <c r="U2755" s="149">
        <v>217</v>
      </c>
      <c r="V2755" s="124" t="s">
        <v>4470</v>
      </c>
      <c r="W2755" s="52"/>
      <c r="X2755" s="52"/>
      <c r="Y2755" s="52"/>
    </row>
    <row r="2756" spans="1:25" s="26" customFormat="1" ht="15" customHeight="1" x14ac:dyDescent="0.2">
      <c r="A2756" s="55">
        <v>41680.404016203698</v>
      </c>
      <c r="B2756" s="52" t="s">
        <v>152</v>
      </c>
      <c r="C2756" s="52" t="s">
        <v>1196</v>
      </c>
      <c r="D2756" s="69">
        <v>41640</v>
      </c>
      <c r="E2756" s="52" t="s">
        <v>1203</v>
      </c>
      <c r="F2756" s="52" t="s">
        <v>1204</v>
      </c>
      <c r="G2756" s="52" t="s">
        <v>26</v>
      </c>
      <c r="H2756" s="52" t="s">
        <v>4471</v>
      </c>
      <c r="I2756" s="52" t="s">
        <v>2812</v>
      </c>
      <c r="J2756" s="95">
        <v>1</v>
      </c>
      <c r="K2756" s="118">
        <v>9</v>
      </c>
      <c r="L2756" s="148"/>
      <c r="M2756" s="146" t="s">
        <v>22</v>
      </c>
      <c r="N2756" s="147"/>
      <c r="O2756" s="147"/>
      <c r="P2756" s="147"/>
      <c r="Q2756" s="147"/>
      <c r="R2756" s="147"/>
      <c r="S2756" s="147"/>
      <c r="T2756" s="147"/>
      <c r="U2756" s="149"/>
      <c r="V2756" s="52"/>
      <c r="W2756" s="52"/>
      <c r="X2756" s="52"/>
      <c r="Y2756" s="52"/>
    </row>
    <row r="2757" spans="1:25" s="26" customFormat="1" ht="15" customHeight="1" x14ac:dyDescent="0.2">
      <c r="A2757" s="55">
        <v>41680.407268518502</v>
      </c>
      <c r="B2757" s="52" t="s">
        <v>152</v>
      </c>
      <c r="C2757" s="52" t="s">
        <v>1196</v>
      </c>
      <c r="D2757" s="69">
        <v>41640</v>
      </c>
      <c r="E2757" s="52" t="s">
        <v>1215</v>
      </c>
      <c r="F2757" s="52" t="s">
        <v>4472</v>
      </c>
      <c r="G2757" s="56" t="s">
        <v>26</v>
      </c>
      <c r="H2757" s="56" t="s">
        <v>4473</v>
      </c>
      <c r="I2757" s="52" t="s">
        <v>4474</v>
      </c>
      <c r="J2757" s="95">
        <v>1</v>
      </c>
      <c r="K2757" s="118">
        <v>3</v>
      </c>
      <c r="L2757" s="148"/>
      <c r="M2757" s="146" t="s">
        <v>22</v>
      </c>
      <c r="N2757" s="147"/>
      <c r="O2757" s="147"/>
      <c r="P2757" s="147"/>
      <c r="Q2757" s="147"/>
      <c r="R2757" s="147"/>
      <c r="S2757" s="147"/>
      <c r="T2757" s="147"/>
      <c r="U2757" s="149"/>
      <c r="V2757" s="52"/>
      <c r="W2757" s="52"/>
      <c r="X2757" s="52"/>
      <c r="Y2757" s="52"/>
    </row>
    <row r="2758" spans="1:25" s="26" customFormat="1" ht="15" customHeight="1" x14ac:dyDescent="0.2">
      <c r="A2758" s="55">
        <v>41680.409814814797</v>
      </c>
      <c r="B2758" s="52" t="s">
        <v>152</v>
      </c>
      <c r="C2758" s="52" t="s">
        <v>1196</v>
      </c>
      <c r="D2758" s="69">
        <v>41640</v>
      </c>
      <c r="E2758" s="52" t="s">
        <v>4475</v>
      </c>
      <c r="F2758" s="52" t="s">
        <v>4476</v>
      </c>
      <c r="G2758" s="52" t="s">
        <v>26</v>
      </c>
      <c r="H2758" s="52" t="s">
        <v>4477</v>
      </c>
      <c r="I2758" s="52" t="s">
        <v>2925</v>
      </c>
      <c r="J2758" s="95">
        <v>1</v>
      </c>
      <c r="K2758" s="118">
        <v>41</v>
      </c>
      <c r="L2758" s="148">
        <v>75</v>
      </c>
      <c r="M2758" s="146" t="s">
        <v>22</v>
      </c>
      <c r="N2758" s="147"/>
      <c r="O2758" s="147"/>
      <c r="P2758" s="147"/>
      <c r="Q2758" s="147"/>
      <c r="R2758" s="147"/>
      <c r="S2758" s="147"/>
      <c r="T2758" s="147"/>
      <c r="U2758" s="149"/>
      <c r="V2758" s="52"/>
      <c r="W2758" s="52"/>
      <c r="X2758" s="52"/>
      <c r="Y2758" s="52"/>
    </row>
    <row r="2759" spans="1:25" s="26" customFormat="1" ht="15" customHeight="1" x14ac:dyDescent="0.2">
      <c r="A2759" s="55">
        <v>41680.409918981502</v>
      </c>
      <c r="B2759" s="52" t="s">
        <v>152</v>
      </c>
      <c r="C2759" s="52" t="s">
        <v>1196</v>
      </c>
      <c r="D2759" s="69">
        <v>41640</v>
      </c>
      <c r="E2759" s="52" t="s">
        <v>4475</v>
      </c>
      <c r="F2759" s="52" t="s">
        <v>4476</v>
      </c>
      <c r="G2759" s="52" t="s">
        <v>26</v>
      </c>
      <c r="H2759" s="52" t="s">
        <v>4477</v>
      </c>
      <c r="I2759" s="52" t="s">
        <v>2925</v>
      </c>
      <c r="J2759" s="95">
        <v>1</v>
      </c>
      <c r="K2759" s="118">
        <v>41</v>
      </c>
      <c r="L2759" s="148">
        <v>75</v>
      </c>
      <c r="M2759" s="146" t="s">
        <v>22</v>
      </c>
      <c r="N2759" s="147"/>
      <c r="O2759" s="147"/>
      <c r="P2759" s="147"/>
      <c r="Q2759" s="147"/>
      <c r="R2759" s="147"/>
      <c r="S2759" s="147"/>
      <c r="T2759" s="147"/>
      <c r="U2759" s="149"/>
      <c r="V2759" s="52"/>
      <c r="W2759" s="52"/>
      <c r="X2759" s="52"/>
      <c r="Y2759" s="52"/>
    </row>
    <row r="2760" spans="1:25" s="26" customFormat="1" ht="15" customHeight="1" x14ac:dyDescent="0.2">
      <c r="A2760" s="55">
        <v>41680.412361111099</v>
      </c>
      <c r="B2760" s="52" t="s">
        <v>152</v>
      </c>
      <c r="C2760" s="52" t="s">
        <v>1196</v>
      </c>
      <c r="D2760" s="69">
        <v>41640</v>
      </c>
      <c r="E2760" s="52" t="s">
        <v>1212</v>
      </c>
      <c r="F2760" s="52" t="s">
        <v>4478</v>
      </c>
      <c r="G2760" s="52" t="s">
        <v>26</v>
      </c>
      <c r="H2760" s="52" t="s">
        <v>4479</v>
      </c>
      <c r="I2760" s="52" t="s">
        <v>2812</v>
      </c>
      <c r="J2760" s="95">
        <v>1</v>
      </c>
      <c r="K2760" s="118">
        <v>28</v>
      </c>
      <c r="L2760" s="148">
        <v>240</v>
      </c>
      <c r="M2760" s="146" t="s">
        <v>44</v>
      </c>
      <c r="N2760" s="147"/>
      <c r="O2760" s="147">
        <v>50</v>
      </c>
      <c r="P2760" s="147">
        <v>55</v>
      </c>
      <c r="Q2760" s="147"/>
      <c r="R2760" s="147"/>
      <c r="S2760" s="147"/>
      <c r="T2760" s="147"/>
      <c r="U2760" s="149"/>
      <c r="V2760" s="52"/>
      <c r="W2760" s="52"/>
      <c r="X2760" s="52"/>
      <c r="Y2760" s="52"/>
    </row>
    <row r="2761" spans="1:25" s="26" customFormat="1" ht="15" customHeight="1" x14ac:dyDescent="0.2">
      <c r="A2761" s="55">
        <v>41680.414629629602</v>
      </c>
      <c r="B2761" s="52" t="s">
        <v>152</v>
      </c>
      <c r="C2761" s="52" t="s">
        <v>1196</v>
      </c>
      <c r="D2761" s="69">
        <v>41640</v>
      </c>
      <c r="E2761" s="52" t="s">
        <v>2594</v>
      </c>
      <c r="F2761" s="52" t="s">
        <v>4480</v>
      </c>
      <c r="G2761" s="52" t="s">
        <v>26</v>
      </c>
      <c r="H2761" s="52" t="s">
        <v>4481</v>
      </c>
      <c r="I2761" s="52" t="s">
        <v>3265</v>
      </c>
      <c r="J2761" s="95">
        <v>1</v>
      </c>
      <c r="K2761" s="118">
        <v>11</v>
      </c>
      <c r="L2761" s="148">
        <v>1020</v>
      </c>
      <c r="M2761" s="146" t="s">
        <v>44</v>
      </c>
      <c r="N2761" s="147"/>
      <c r="O2761" s="147">
        <v>25</v>
      </c>
      <c r="P2761" s="147"/>
      <c r="Q2761" s="147"/>
      <c r="R2761" s="147"/>
      <c r="S2761" s="147">
        <v>145</v>
      </c>
      <c r="T2761" s="147"/>
      <c r="U2761" s="149">
        <v>825</v>
      </c>
      <c r="V2761" s="56" t="s">
        <v>4532</v>
      </c>
      <c r="W2761" s="52"/>
      <c r="X2761" s="52"/>
      <c r="Y2761" s="52"/>
    </row>
    <row r="2762" spans="1:25" s="26" customFormat="1" ht="15" customHeight="1" x14ac:dyDescent="0.2">
      <c r="A2762" s="55">
        <v>41680.418472222198</v>
      </c>
      <c r="B2762" s="52" t="s">
        <v>152</v>
      </c>
      <c r="C2762" s="52" t="s">
        <v>1196</v>
      </c>
      <c r="D2762" s="69">
        <v>41640</v>
      </c>
      <c r="E2762" s="52" t="s">
        <v>1212</v>
      </c>
      <c r="F2762" s="52" t="s">
        <v>4482</v>
      </c>
      <c r="G2762" s="52" t="s">
        <v>26</v>
      </c>
      <c r="H2762" s="52"/>
      <c r="I2762" s="52" t="s">
        <v>4483</v>
      </c>
      <c r="J2762" s="95">
        <v>1</v>
      </c>
      <c r="K2762" s="118">
        <v>6</v>
      </c>
      <c r="L2762" s="148">
        <v>210</v>
      </c>
      <c r="M2762" s="146" t="s">
        <v>44</v>
      </c>
      <c r="N2762" s="147"/>
      <c r="O2762" s="147">
        <v>10</v>
      </c>
      <c r="P2762" s="147"/>
      <c r="Q2762" s="147"/>
      <c r="R2762" s="147"/>
      <c r="S2762" s="147"/>
      <c r="T2762" s="147"/>
      <c r="U2762" s="149"/>
      <c r="V2762" s="52"/>
      <c r="W2762" s="52"/>
      <c r="X2762" s="52"/>
      <c r="Y2762" s="52"/>
    </row>
    <row r="2763" spans="1:25" s="26" customFormat="1" ht="15" customHeight="1" x14ac:dyDescent="0.2">
      <c r="A2763" s="55">
        <v>41680.4206134259</v>
      </c>
      <c r="B2763" s="52" t="s">
        <v>152</v>
      </c>
      <c r="C2763" s="52" t="s">
        <v>1196</v>
      </c>
      <c r="D2763" s="69">
        <v>41640</v>
      </c>
      <c r="E2763" s="52" t="s">
        <v>2551</v>
      </c>
      <c r="F2763" s="52" t="s">
        <v>4484</v>
      </c>
      <c r="G2763" s="52" t="s">
        <v>351</v>
      </c>
      <c r="H2763" s="52" t="s">
        <v>4031</v>
      </c>
      <c r="I2763" s="52" t="s">
        <v>2986</v>
      </c>
      <c r="J2763" s="95">
        <v>3</v>
      </c>
      <c r="K2763" s="118">
        <v>656</v>
      </c>
      <c r="L2763" s="148">
        <v>300</v>
      </c>
      <c r="M2763" s="146" t="s">
        <v>22</v>
      </c>
      <c r="N2763" s="147"/>
      <c r="O2763" s="147"/>
      <c r="P2763" s="147"/>
      <c r="Q2763" s="147"/>
      <c r="R2763" s="147"/>
      <c r="S2763" s="147"/>
      <c r="T2763" s="147"/>
      <c r="U2763" s="149"/>
      <c r="V2763" s="52"/>
      <c r="W2763" s="52"/>
      <c r="X2763" s="52"/>
      <c r="Y2763" s="52"/>
    </row>
    <row r="2764" spans="1:25" s="26" customFormat="1" ht="15" customHeight="1" x14ac:dyDescent="0.2">
      <c r="A2764" s="55">
        <v>41680.421956018501</v>
      </c>
      <c r="B2764" s="52" t="s">
        <v>152</v>
      </c>
      <c r="C2764" s="52" t="s">
        <v>1196</v>
      </c>
      <c r="D2764" s="69">
        <v>41640</v>
      </c>
      <c r="E2764" s="52" t="s">
        <v>4485</v>
      </c>
      <c r="F2764" s="52" t="s">
        <v>4486</v>
      </c>
      <c r="G2764" s="52" t="s">
        <v>351</v>
      </c>
      <c r="H2764" s="52" t="s">
        <v>4487</v>
      </c>
      <c r="I2764" s="52" t="s">
        <v>2986</v>
      </c>
      <c r="J2764" s="95">
        <v>2</v>
      </c>
      <c r="K2764" s="118">
        <v>93</v>
      </c>
      <c r="L2764" s="148">
        <v>60</v>
      </c>
      <c r="M2764" s="146" t="s">
        <v>22</v>
      </c>
      <c r="N2764" s="147"/>
      <c r="O2764" s="147"/>
      <c r="P2764" s="147"/>
      <c r="Q2764" s="147"/>
      <c r="R2764" s="147"/>
      <c r="S2764" s="147"/>
      <c r="T2764" s="147"/>
      <c r="U2764" s="149"/>
      <c r="V2764" s="52"/>
      <c r="W2764" s="52"/>
      <c r="X2764" s="52"/>
      <c r="Y2764" s="52"/>
    </row>
    <row r="2765" spans="1:25" s="26" customFormat="1" ht="15" customHeight="1" x14ac:dyDescent="0.2">
      <c r="A2765" s="55">
        <v>41680.424386574101</v>
      </c>
      <c r="B2765" s="52" t="s">
        <v>152</v>
      </c>
      <c r="C2765" s="52" t="s">
        <v>1196</v>
      </c>
      <c r="D2765" s="69">
        <v>41640</v>
      </c>
      <c r="E2765" s="52" t="s">
        <v>4488</v>
      </c>
      <c r="F2765" s="52" t="s">
        <v>4489</v>
      </c>
      <c r="G2765" s="52" t="s">
        <v>351</v>
      </c>
      <c r="H2765" s="52" t="s">
        <v>4490</v>
      </c>
      <c r="I2765" s="52" t="s">
        <v>2986</v>
      </c>
      <c r="J2765" s="95">
        <v>1</v>
      </c>
      <c r="K2765" s="118">
        <v>90</v>
      </c>
      <c r="L2765" s="148">
        <v>60</v>
      </c>
      <c r="M2765" s="146" t="s">
        <v>22</v>
      </c>
      <c r="N2765" s="147"/>
      <c r="O2765" s="147"/>
      <c r="P2765" s="147"/>
      <c r="Q2765" s="147"/>
      <c r="R2765" s="147"/>
      <c r="S2765" s="147"/>
      <c r="T2765" s="147"/>
      <c r="U2765" s="149"/>
      <c r="V2765" s="52"/>
      <c r="W2765" s="52"/>
      <c r="X2765" s="52"/>
      <c r="Y2765" s="52"/>
    </row>
    <row r="2766" spans="1:25" s="26" customFormat="1" ht="15" customHeight="1" x14ac:dyDescent="0.2">
      <c r="A2766" s="55">
        <v>41680.429259259297</v>
      </c>
      <c r="B2766" s="52" t="s">
        <v>152</v>
      </c>
      <c r="C2766" s="52" t="s">
        <v>1196</v>
      </c>
      <c r="D2766" s="69">
        <v>41640</v>
      </c>
      <c r="E2766" s="52" t="s">
        <v>1244</v>
      </c>
      <c r="F2766" s="52" t="s">
        <v>4491</v>
      </c>
      <c r="G2766" s="52" t="s">
        <v>351</v>
      </c>
      <c r="H2766" s="52" t="s">
        <v>4492</v>
      </c>
      <c r="I2766" s="52" t="s">
        <v>2986</v>
      </c>
      <c r="J2766" s="95">
        <v>4</v>
      </c>
      <c r="K2766" s="118">
        <v>144</v>
      </c>
      <c r="L2766" s="148">
        <v>60</v>
      </c>
      <c r="M2766" s="146" t="s">
        <v>22</v>
      </c>
      <c r="N2766" s="147"/>
      <c r="O2766" s="147"/>
      <c r="P2766" s="147"/>
      <c r="Q2766" s="147"/>
      <c r="R2766" s="147"/>
      <c r="S2766" s="147"/>
      <c r="T2766" s="147"/>
      <c r="U2766" s="149"/>
      <c r="V2766" s="52"/>
      <c r="W2766" s="52"/>
      <c r="X2766" s="52"/>
      <c r="Y2766" s="52"/>
    </row>
    <row r="2767" spans="1:25" s="26" customFormat="1" ht="15" customHeight="1" x14ac:dyDescent="0.2">
      <c r="A2767" s="55">
        <v>41680.431064814802</v>
      </c>
      <c r="B2767" s="52" t="s">
        <v>152</v>
      </c>
      <c r="C2767" s="52" t="s">
        <v>1196</v>
      </c>
      <c r="D2767" s="69">
        <v>41640</v>
      </c>
      <c r="E2767" s="52" t="s">
        <v>4493</v>
      </c>
      <c r="F2767" s="52" t="s">
        <v>4494</v>
      </c>
      <c r="G2767" s="52" t="s">
        <v>351</v>
      </c>
      <c r="H2767" s="52"/>
      <c r="I2767" s="52" t="s">
        <v>2986</v>
      </c>
      <c r="J2767" s="95">
        <v>4</v>
      </c>
      <c r="K2767" s="118">
        <v>85</v>
      </c>
      <c r="L2767" s="148">
        <v>60</v>
      </c>
      <c r="M2767" s="146" t="s">
        <v>22</v>
      </c>
      <c r="N2767" s="147"/>
      <c r="O2767" s="147"/>
      <c r="P2767" s="147"/>
      <c r="Q2767" s="147"/>
      <c r="R2767" s="147"/>
      <c r="S2767" s="147"/>
      <c r="T2767" s="147"/>
      <c r="U2767" s="149"/>
      <c r="V2767" s="52"/>
      <c r="W2767" s="52"/>
      <c r="X2767" s="52"/>
      <c r="Y2767" s="52"/>
    </row>
    <row r="2768" spans="1:25" s="26" customFormat="1" ht="15" customHeight="1" x14ac:dyDescent="0.2">
      <c r="A2768" s="55">
        <v>41680.432349536997</v>
      </c>
      <c r="B2768" s="52" t="s">
        <v>152</v>
      </c>
      <c r="C2768" s="52" t="s">
        <v>1196</v>
      </c>
      <c r="D2768" s="69">
        <v>41640</v>
      </c>
      <c r="E2768" s="52" t="s">
        <v>4495</v>
      </c>
      <c r="F2768" s="52" t="s">
        <v>4496</v>
      </c>
      <c r="G2768" s="52" t="s">
        <v>351</v>
      </c>
      <c r="H2768" s="52" t="s">
        <v>4497</v>
      </c>
      <c r="I2768" s="52" t="s">
        <v>2986</v>
      </c>
      <c r="J2768" s="95">
        <v>3</v>
      </c>
      <c r="K2768" s="118">
        <v>249</v>
      </c>
      <c r="L2768" s="148">
        <v>60</v>
      </c>
      <c r="M2768" s="146" t="s">
        <v>22</v>
      </c>
      <c r="N2768" s="147"/>
      <c r="O2768" s="147"/>
      <c r="P2768" s="147"/>
      <c r="Q2768" s="147"/>
      <c r="R2768" s="147"/>
      <c r="S2768" s="147"/>
      <c r="T2768" s="147"/>
      <c r="U2768" s="149"/>
      <c r="V2768" s="52"/>
      <c r="W2768" s="52"/>
      <c r="X2768" s="52"/>
      <c r="Y2768" s="52"/>
    </row>
    <row r="2769" spans="1:27" s="26" customFormat="1" ht="15" customHeight="1" x14ac:dyDescent="0.2">
      <c r="A2769" s="55">
        <v>41680.433715277803</v>
      </c>
      <c r="B2769" s="52" t="s">
        <v>152</v>
      </c>
      <c r="C2769" s="52" t="s">
        <v>1196</v>
      </c>
      <c r="D2769" s="69">
        <v>41640</v>
      </c>
      <c r="E2769" s="52" t="s">
        <v>4498</v>
      </c>
      <c r="F2769" s="52" t="s">
        <v>4499</v>
      </c>
      <c r="G2769" s="52" t="s">
        <v>42</v>
      </c>
      <c r="H2769" s="52" t="s">
        <v>4500</v>
      </c>
      <c r="I2769" s="52" t="s">
        <v>2812</v>
      </c>
      <c r="J2769" s="95">
        <v>1</v>
      </c>
      <c r="K2769" s="118">
        <v>10</v>
      </c>
      <c r="L2769" s="148"/>
      <c r="M2769" s="146" t="s">
        <v>22</v>
      </c>
      <c r="N2769" s="147"/>
      <c r="O2769" s="147"/>
      <c r="P2769" s="147"/>
      <c r="Q2769" s="147"/>
      <c r="R2769" s="147"/>
      <c r="S2769" s="147"/>
      <c r="T2769" s="147"/>
      <c r="U2769" s="149"/>
      <c r="V2769" s="52"/>
      <c r="W2769" s="52"/>
      <c r="X2769" s="52"/>
      <c r="Y2769" s="52"/>
    </row>
    <row r="2770" spans="1:27" s="26" customFormat="1" ht="15" customHeight="1" x14ac:dyDescent="0.2">
      <c r="A2770" s="55">
        <v>41680.436412037001</v>
      </c>
      <c r="B2770" s="52" t="s">
        <v>152</v>
      </c>
      <c r="C2770" s="52" t="s">
        <v>1196</v>
      </c>
      <c r="D2770" s="69">
        <v>41640</v>
      </c>
      <c r="E2770" s="52" t="s">
        <v>4501</v>
      </c>
      <c r="F2770" s="52" t="s">
        <v>4502</v>
      </c>
      <c r="G2770" s="52" t="s">
        <v>42</v>
      </c>
      <c r="H2770" s="52" t="s">
        <v>4503</v>
      </c>
      <c r="I2770" s="52" t="s">
        <v>2986</v>
      </c>
      <c r="J2770" s="95">
        <v>1</v>
      </c>
      <c r="K2770" s="118">
        <v>300</v>
      </c>
      <c r="L2770" s="148"/>
      <c r="M2770" s="146" t="s">
        <v>22</v>
      </c>
      <c r="N2770" s="147"/>
      <c r="O2770" s="147"/>
      <c r="P2770" s="147"/>
      <c r="Q2770" s="147"/>
      <c r="R2770" s="147"/>
      <c r="S2770" s="147"/>
      <c r="T2770" s="147"/>
      <c r="U2770" s="149"/>
      <c r="V2770" s="52"/>
      <c r="W2770" s="52"/>
      <c r="X2770" s="52"/>
      <c r="Y2770" s="52"/>
    </row>
    <row r="2771" spans="1:27" s="26" customFormat="1" ht="15" customHeight="1" x14ac:dyDescent="0.2">
      <c r="A2771" s="55">
        <v>41680.4371875</v>
      </c>
      <c r="B2771" s="52" t="s">
        <v>152</v>
      </c>
      <c r="C2771" s="52" t="s">
        <v>1196</v>
      </c>
      <c r="D2771" s="69">
        <v>41640</v>
      </c>
      <c r="E2771" s="52" t="s">
        <v>1949</v>
      </c>
      <c r="F2771" s="52" t="s">
        <v>1242</v>
      </c>
      <c r="G2771" s="52" t="s">
        <v>60</v>
      </c>
      <c r="H2771" s="52" t="s">
        <v>4504</v>
      </c>
      <c r="I2771" s="52" t="s">
        <v>2925</v>
      </c>
      <c r="J2771" s="95">
        <v>2</v>
      </c>
      <c r="K2771" s="118">
        <v>99</v>
      </c>
      <c r="L2771" s="148"/>
      <c r="M2771" s="146" t="s">
        <v>22</v>
      </c>
      <c r="N2771" s="147"/>
      <c r="O2771" s="147"/>
      <c r="P2771" s="147"/>
      <c r="Q2771" s="147"/>
      <c r="R2771" s="147"/>
      <c r="S2771" s="147"/>
      <c r="T2771" s="147"/>
      <c r="U2771" s="149"/>
      <c r="V2771" s="52"/>
      <c r="W2771" s="52"/>
      <c r="X2771" s="52"/>
      <c r="Y2771" s="52"/>
    </row>
    <row r="2772" spans="1:27" s="26" customFormat="1" ht="15" customHeight="1" x14ac:dyDescent="0.2">
      <c r="A2772" s="32">
        <v>41708.492418981485</v>
      </c>
      <c r="B2772" s="26" t="s">
        <v>152</v>
      </c>
      <c r="C2772" s="26" t="s">
        <v>1196</v>
      </c>
      <c r="D2772" s="33">
        <v>41671</v>
      </c>
      <c r="E2772" s="26" t="s">
        <v>1212</v>
      </c>
      <c r="F2772" s="26" t="s">
        <v>5068</v>
      </c>
      <c r="G2772" s="26" t="s">
        <v>26</v>
      </c>
      <c r="H2772" s="26" t="s">
        <v>5069</v>
      </c>
      <c r="I2772" s="26" t="s">
        <v>2812</v>
      </c>
      <c r="J2772" s="46">
        <v>1</v>
      </c>
      <c r="K2772" s="46">
        <v>21</v>
      </c>
      <c r="L2772" s="136"/>
      <c r="M2772" s="137" t="s">
        <v>44</v>
      </c>
      <c r="N2772" s="138"/>
      <c r="O2772" s="138">
        <v>150</v>
      </c>
      <c r="P2772" s="138">
        <v>49</v>
      </c>
      <c r="Q2772" s="138"/>
      <c r="R2772" s="138"/>
      <c r="S2772" s="138"/>
      <c r="T2772" s="138"/>
      <c r="U2772" s="138"/>
    </row>
    <row r="2773" spans="1:27" s="26" customFormat="1" ht="15" customHeight="1" x14ac:dyDescent="0.2">
      <c r="A2773" s="32">
        <v>41708.49359953704</v>
      </c>
      <c r="B2773" s="26" t="s">
        <v>152</v>
      </c>
      <c r="C2773" s="26" t="s">
        <v>1196</v>
      </c>
      <c r="D2773" s="33">
        <v>41671</v>
      </c>
      <c r="E2773" s="26" t="s">
        <v>5070</v>
      </c>
      <c r="F2773" s="26" t="s">
        <v>1843</v>
      </c>
      <c r="G2773" s="26" t="s">
        <v>26</v>
      </c>
      <c r="H2773" s="26" t="s">
        <v>5071</v>
      </c>
      <c r="I2773" s="26" t="s">
        <v>2812</v>
      </c>
      <c r="J2773" s="46">
        <v>1</v>
      </c>
      <c r="K2773" s="46">
        <v>11</v>
      </c>
      <c r="L2773" s="136">
        <v>25</v>
      </c>
      <c r="M2773" s="137" t="s">
        <v>22</v>
      </c>
      <c r="N2773" s="138"/>
      <c r="O2773" s="138"/>
      <c r="P2773" s="138"/>
      <c r="Q2773" s="138"/>
      <c r="R2773" s="138"/>
      <c r="S2773" s="138"/>
      <c r="T2773" s="138"/>
      <c r="U2773" s="138"/>
    </row>
    <row r="2774" spans="1:27" s="26" customFormat="1" ht="15" customHeight="1" x14ac:dyDescent="0.2">
      <c r="A2774" s="32">
        <v>41708.509050925924</v>
      </c>
      <c r="B2774" s="26" t="s">
        <v>152</v>
      </c>
      <c r="C2774" s="26" t="s">
        <v>1196</v>
      </c>
      <c r="D2774" s="33">
        <v>41671</v>
      </c>
      <c r="E2774" s="26" t="s">
        <v>4023</v>
      </c>
      <c r="F2774" s="26" t="s">
        <v>5072</v>
      </c>
      <c r="G2774" s="26" t="s">
        <v>26</v>
      </c>
      <c r="H2774" s="26" t="s">
        <v>5073</v>
      </c>
      <c r="I2774" s="26" t="s">
        <v>2986</v>
      </c>
      <c r="J2774" s="46">
        <v>1</v>
      </c>
      <c r="K2774" s="46">
        <v>6</v>
      </c>
      <c r="L2774" s="136"/>
      <c r="M2774" s="137" t="s">
        <v>22</v>
      </c>
      <c r="N2774" s="138"/>
      <c r="O2774" s="138"/>
      <c r="P2774" s="138"/>
      <c r="Q2774" s="138"/>
      <c r="R2774" s="138"/>
      <c r="S2774" s="138"/>
      <c r="T2774" s="138"/>
      <c r="U2774" s="138"/>
    </row>
    <row r="2775" spans="1:27" ht="15" customHeight="1" x14ac:dyDescent="0.2">
      <c r="A2775" s="32">
        <v>41708.509918981479</v>
      </c>
      <c r="B2775" s="26" t="s">
        <v>152</v>
      </c>
      <c r="C2775" s="26" t="s">
        <v>1196</v>
      </c>
      <c r="D2775" s="33">
        <v>41671</v>
      </c>
      <c r="E2775" s="26" t="s">
        <v>5074</v>
      </c>
      <c r="F2775" s="26" t="s">
        <v>4472</v>
      </c>
      <c r="G2775" s="26" t="s">
        <v>26</v>
      </c>
      <c r="H2775" s="26"/>
      <c r="I2775" s="26" t="s">
        <v>2812</v>
      </c>
      <c r="J2775" s="46">
        <v>1</v>
      </c>
      <c r="K2775" s="46">
        <v>3</v>
      </c>
      <c r="L2775" s="136"/>
      <c r="M2775" s="137" t="s">
        <v>22</v>
      </c>
      <c r="V2775" s="26"/>
      <c r="W2775" s="26"/>
      <c r="X2775" s="26"/>
      <c r="Y2775" s="26"/>
      <c r="Z2775" s="26"/>
      <c r="AA2775" s="26"/>
    </row>
    <row r="2776" spans="1:27" ht="15" customHeight="1" x14ac:dyDescent="0.2">
      <c r="A2776" s="32">
        <v>41708.520138888889</v>
      </c>
      <c r="B2776" s="26" t="s">
        <v>152</v>
      </c>
      <c r="C2776" s="26" t="s">
        <v>1196</v>
      </c>
      <c r="D2776" s="33">
        <v>41671</v>
      </c>
      <c r="E2776" s="26" t="s">
        <v>4023</v>
      </c>
      <c r="F2776" s="26" t="s">
        <v>5075</v>
      </c>
      <c r="G2776" s="26" t="s">
        <v>26</v>
      </c>
      <c r="H2776" s="26" t="s">
        <v>5076</v>
      </c>
      <c r="I2776" s="26" t="s">
        <v>2986</v>
      </c>
      <c r="J2776" s="46">
        <v>1</v>
      </c>
      <c r="K2776" s="46">
        <v>10</v>
      </c>
      <c r="L2776" s="136">
        <v>90</v>
      </c>
      <c r="M2776" s="137" t="s">
        <v>44</v>
      </c>
      <c r="O2776" s="138">
        <v>5</v>
      </c>
      <c r="P2776" s="138">
        <v>55</v>
      </c>
      <c r="V2776" s="26"/>
      <c r="W2776" s="26"/>
      <c r="X2776" s="26"/>
      <c r="Y2776" s="26"/>
      <c r="Z2776" s="26"/>
      <c r="AA2776" s="26"/>
    </row>
    <row r="2777" spans="1:27" ht="15" customHeight="1" x14ac:dyDescent="0.2">
      <c r="A2777" s="32">
        <v>41708.522094907406</v>
      </c>
      <c r="B2777" s="26" t="s">
        <v>152</v>
      </c>
      <c r="C2777" s="26" t="s">
        <v>1196</v>
      </c>
      <c r="D2777" s="33">
        <v>41671</v>
      </c>
      <c r="E2777" s="26" t="s">
        <v>5077</v>
      </c>
      <c r="F2777" s="26" t="s">
        <v>5078</v>
      </c>
      <c r="G2777" s="26" t="s">
        <v>26</v>
      </c>
      <c r="H2777" s="26" t="s">
        <v>5079</v>
      </c>
      <c r="I2777" s="26" t="s">
        <v>3265</v>
      </c>
      <c r="J2777" s="46">
        <v>1</v>
      </c>
      <c r="K2777" s="46">
        <v>20</v>
      </c>
      <c r="L2777" s="136"/>
      <c r="M2777" s="137" t="s">
        <v>44</v>
      </c>
      <c r="O2777" s="138">
        <v>20</v>
      </c>
      <c r="S2777" s="138">
        <v>252</v>
      </c>
      <c r="T2777" s="163">
        <v>50</v>
      </c>
      <c r="U2777" s="138">
        <v>303</v>
      </c>
      <c r="V2777" s="34" t="s">
        <v>5151</v>
      </c>
      <c r="W2777" s="26"/>
      <c r="X2777" s="26"/>
      <c r="Y2777" s="26"/>
      <c r="Z2777" s="26"/>
      <c r="AA2777" s="26"/>
    </row>
    <row r="2778" spans="1:27" ht="15" customHeight="1" x14ac:dyDescent="0.2">
      <c r="A2778" s="32">
        <v>41708.524189814816</v>
      </c>
      <c r="B2778" s="26" t="s">
        <v>152</v>
      </c>
      <c r="C2778" s="26" t="s">
        <v>1196</v>
      </c>
      <c r="D2778" s="33">
        <v>41671</v>
      </c>
      <c r="E2778" s="26" t="s">
        <v>5080</v>
      </c>
      <c r="F2778" s="26" t="s">
        <v>5081</v>
      </c>
      <c r="G2778" s="26" t="s">
        <v>351</v>
      </c>
      <c r="H2778" s="26" t="s">
        <v>4031</v>
      </c>
      <c r="I2778" s="26" t="s">
        <v>2986</v>
      </c>
      <c r="J2778" s="46">
        <v>12</v>
      </c>
      <c r="K2778" s="46">
        <v>450</v>
      </c>
      <c r="L2778" s="136">
        <v>400</v>
      </c>
      <c r="M2778" s="137" t="s">
        <v>22</v>
      </c>
      <c r="V2778" s="26"/>
      <c r="W2778" s="26"/>
      <c r="X2778" s="26"/>
      <c r="Y2778" s="26"/>
      <c r="Z2778" s="26"/>
      <c r="AA2778" s="26"/>
    </row>
    <row r="2779" spans="1:27" ht="15" customHeight="1" x14ac:dyDescent="0.2">
      <c r="A2779" s="32">
        <v>41708.525613425925</v>
      </c>
      <c r="B2779" s="26" t="s">
        <v>152</v>
      </c>
      <c r="C2779" s="26" t="s">
        <v>1196</v>
      </c>
      <c r="D2779" s="33">
        <v>41671</v>
      </c>
      <c r="E2779" s="26" t="s">
        <v>2530</v>
      </c>
      <c r="F2779" s="26" t="s">
        <v>5082</v>
      </c>
      <c r="G2779" s="26" t="s">
        <v>351</v>
      </c>
      <c r="H2779" s="26" t="s">
        <v>5083</v>
      </c>
      <c r="I2779" s="26" t="s">
        <v>2986</v>
      </c>
      <c r="J2779" s="46">
        <v>2</v>
      </c>
      <c r="K2779" s="46">
        <v>84</v>
      </c>
      <c r="L2779" s="136">
        <v>60</v>
      </c>
      <c r="M2779" s="137" t="s">
        <v>22</v>
      </c>
      <c r="V2779" s="26"/>
      <c r="W2779" s="26"/>
      <c r="X2779" s="26"/>
      <c r="Y2779" s="26"/>
      <c r="Z2779" s="26"/>
      <c r="AA2779" s="26"/>
    </row>
    <row r="2780" spans="1:27" ht="15" customHeight="1" x14ac:dyDescent="0.2">
      <c r="A2780" s="32">
        <v>41708.528981481482</v>
      </c>
      <c r="B2780" s="26" t="s">
        <v>152</v>
      </c>
      <c r="C2780" s="26" t="s">
        <v>1196</v>
      </c>
      <c r="D2780" s="33">
        <v>41671</v>
      </c>
      <c r="E2780" s="26" t="s">
        <v>5084</v>
      </c>
      <c r="F2780" s="26" t="s">
        <v>5085</v>
      </c>
      <c r="G2780" s="26" t="s">
        <v>351</v>
      </c>
      <c r="H2780" s="26" t="s">
        <v>2857</v>
      </c>
      <c r="I2780" s="26" t="s">
        <v>2986</v>
      </c>
      <c r="J2780" s="46">
        <v>1</v>
      </c>
      <c r="K2780" s="46">
        <v>68</v>
      </c>
      <c r="L2780" s="136">
        <v>60</v>
      </c>
      <c r="M2780" s="137" t="s">
        <v>22</v>
      </c>
      <c r="V2780" s="26"/>
      <c r="W2780" s="26"/>
      <c r="X2780" s="26"/>
      <c r="Y2780" s="26"/>
      <c r="Z2780" s="26"/>
      <c r="AA2780" s="26"/>
    </row>
    <row r="2781" spans="1:27" s="26" customFormat="1" ht="15" customHeight="1" x14ac:dyDescent="0.2">
      <c r="A2781" s="32">
        <v>41708.531631944446</v>
      </c>
      <c r="B2781" s="26" t="s">
        <v>152</v>
      </c>
      <c r="C2781" s="26" t="s">
        <v>1196</v>
      </c>
      <c r="D2781" s="33">
        <v>41671</v>
      </c>
      <c r="E2781" s="26" t="s">
        <v>2860</v>
      </c>
      <c r="F2781" s="26" t="s">
        <v>5086</v>
      </c>
      <c r="G2781" s="26" t="s">
        <v>351</v>
      </c>
      <c r="H2781" s="34" t="s">
        <v>5087</v>
      </c>
      <c r="I2781" s="26" t="s">
        <v>2986</v>
      </c>
      <c r="J2781" s="46">
        <v>4</v>
      </c>
      <c r="K2781" s="46">
        <v>155</v>
      </c>
      <c r="L2781" s="136">
        <v>60</v>
      </c>
      <c r="M2781" s="137" t="s">
        <v>22</v>
      </c>
      <c r="N2781" s="138"/>
      <c r="O2781" s="138"/>
      <c r="P2781" s="138"/>
      <c r="Q2781" s="138"/>
      <c r="R2781" s="138"/>
      <c r="S2781" s="138"/>
      <c r="T2781" s="138"/>
      <c r="U2781" s="138"/>
    </row>
    <row r="2782" spans="1:27" s="26" customFormat="1" ht="15" customHeight="1" x14ac:dyDescent="0.2">
      <c r="A2782" s="32">
        <v>41708.533055555556</v>
      </c>
      <c r="B2782" s="26" t="s">
        <v>152</v>
      </c>
      <c r="C2782" s="26" t="s">
        <v>1196</v>
      </c>
      <c r="D2782" s="33">
        <v>41671</v>
      </c>
      <c r="E2782" s="26" t="s">
        <v>5088</v>
      </c>
      <c r="F2782" s="26" t="s">
        <v>5089</v>
      </c>
      <c r="G2782" s="26" t="s">
        <v>351</v>
      </c>
      <c r="I2782" s="26" t="s">
        <v>2986</v>
      </c>
      <c r="J2782" s="46">
        <v>2</v>
      </c>
      <c r="K2782" s="46">
        <v>54</v>
      </c>
      <c r="L2782" s="136">
        <v>60</v>
      </c>
      <c r="M2782" s="137" t="s">
        <v>22</v>
      </c>
      <c r="N2782" s="138"/>
      <c r="O2782" s="138"/>
      <c r="P2782" s="138"/>
      <c r="Q2782" s="138"/>
      <c r="R2782" s="138"/>
      <c r="S2782" s="138"/>
      <c r="T2782" s="138"/>
      <c r="U2782" s="138"/>
    </row>
    <row r="2783" spans="1:27" s="26" customFormat="1" ht="15" customHeight="1" x14ac:dyDescent="0.2">
      <c r="A2783" s="32">
        <v>41708.536689814813</v>
      </c>
      <c r="B2783" s="26" t="s">
        <v>152</v>
      </c>
      <c r="C2783" s="26" t="s">
        <v>1196</v>
      </c>
      <c r="D2783" s="33">
        <v>41671</v>
      </c>
      <c r="E2783" s="26" t="s">
        <v>2530</v>
      </c>
      <c r="F2783" s="26" t="s">
        <v>5090</v>
      </c>
      <c r="G2783" s="26" t="s">
        <v>351</v>
      </c>
      <c r="H2783" s="26" t="s">
        <v>5091</v>
      </c>
      <c r="I2783" s="26" t="s">
        <v>2986</v>
      </c>
      <c r="J2783" s="46">
        <v>2</v>
      </c>
      <c r="K2783" s="46">
        <v>54</v>
      </c>
      <c r="L2783" s="136">
        <v>60</v>
      </c>
      <c r="M2783" s="137" t="s">
        <v>22</v>
      </c>
      <c r="N2783" s="138"/>
      <c r="O2783" s="138"/>
      <c r="P2783" s="138"/>
      <c r="Q2783" s="138"/>
      <c r="R2783" s="138"/>
      <c r="S2783" s="138"/>
      <c r="T2783" s="138"/>
      <c r="U2783" s="138"/>
    </row>
    <row r="2784" spans="1:27" s="26" customFormat="1" ht="15" customHeight="1" x14ac:dyDescent="0.2">
      <c r="A2784" s="32">
        <v>41708.537870370368</v>
      </c>
      <c r="B2784" s="26" t="s">
        <v>152</v>
      </c>
      <c r="C2784" s="26" t="s">
        <v>1196</v>
      </c>
      <c r="D2784" s="33">
        <v>41671</v>
      </c>
      <c r="E2784" s="26" t="s">
        <v>1226</v>
      </c>
      <c r="F2784" s="26" t="s">
        <v>5092</v>
      </c>
      <c r="G2784" s="26" t="s">
        <v>351</v>
      </c>
      <c r="H2784" s="26" t="s">
        <v>5093</v>
      </c>
      <c r="I2784" s="26" t="s">
        <v>2986</v>
      </c>
      <c r="J2784" s="46">
        <v>1</v>
      </c>
      <c r="K2784" s="46">
        <v>75</v>
      </c>
      <c r="L2784" s="136">
        <v>60</v>
      </c>
      <c r="M2784" s="137" t="s">
        <v>22</v>
      </c>
      <c r="N2784" s="138"/>
      <c r="O2784" s="138"/>
      <c r="P2784" s="138"/>
      <c r="Q2784" s="138"/>
      <c r="R2784" s="138"/>
      <c r="S2784" s="138"/>
      <c r="T2784" s="138"/>
      <c r="U2784" s="138"/>
    </row>
    <row r="2785" spans="1:27" s="26" customFormat="1" ht="15" customHeight="1" x14ac:dyDescent="0.2">
      <c r="A2785" s="32">
        <v>41708.539895833332</v>
      </c>
      <c r="B2785" s="26" t="s">
        <v>152</v>
      </c>
      <c r="C2785" s="26" t="s">
        <v>1196</v>
      </c>
      <c r="D2785" s="33">
        <v>41671</v>
      </c>
      <c r="E2785" s="26" t="s">
        <v>2860</v>
      </c>
      <c r="F2785" s="26" t="s">
        <v>5094</v>
      </c>
      <c r="G2785" s="26" t="s">
        <v>351</v>
      </c>
      <c r="H2785" s="26" t="s">
        <v>5095</v>
      </c>
      <c r="I2785" s="26" t="s">
        <v>2986</v>
      </c>
      <c r="J2785" s="46">
        <v>6</v>
      </c>
      <c r="K2785" s="46">
        <v>429</v>
      </c>
      <c r="L2785" s="136">
        <v>180</v>
      </c>
      <c r="M2785" s="137" t="s">
        <v>22</v>
      </c>
      <c r="N2785" s="138"/>
      <c r="O2785" s="138"/>
      <c r="P2785" s="138"/>
      <c r="Q2785" s="138"/>
      <c r="R2785" s="138"/>
      <c r="S2785" s="138"/>
      <c r="T2785" s="138"/>
      <c r="U2785" s="138"/>
    </row>
    <row r="2786" spans="1:27" s="26" customFormat="1" ht="15" customHeight="1" x14ac:dyDescent="0.2">
      <c r="A2786" s="32">
        <v>41708.541886574072</v>
      </c>
      <c r="B2786" s="26" t="s">
        <v>152</v>
      </c>
      <c r="C2786" s="26" t="s">
        <v>1196</v>
      </c>
      <c r="D2786" s="33">
        <v>41671</v>
      </c>
      <c r="E2786" s="26" t="s">
        <v>5096</v>
      </c>
      <c r="F2786" s="26" t="s">
        <v>5097</v>
      </c>
      <c r="G2786" s="26" t="s">
        <v>351</v>
      </c>
      <c r="H2786" s="26" t="s">
        <v>2857</v>
      </c>
      <c r="I2786" s="26" t="s">
        <v>2986</v>
      </c>
      <c r="J2786" s="46">
        <v>4</v>
      </c>
      <c r="K2786" s="46">
        <v>164</v>
      </c>
      <c r="L2786" s="136">
        <v>60</v>
      </c>
      <c r="M2786" s="137" t="s">
        <v>22</v>
      </c>
      <c r="N2786" s="138"/>
      <c r="O2786" s="138"/>
      <c r="P2786" s="138"/>
      <c r="Q2786" s="138"/>
      <c r="R2786" s="138"/>
      <c r="S2786" s="138"/>
      <c r="T2786" s="138"/>
      <c r="U2786" s="138"/>
    </row>
    <row r="2787" spans="1:27" s="26" customFormat="1" ht="15" customHeight="1" x14ac:dyDescent="0.2">
      <c r="A2787" s="32">
        <v>41708.548125000001</v>
      </c>
      <c r="B2787" s="26" t="s">
        <v>152</v>
      </c>
      <c r="C2787" s="26" t="s">
        <v>1196</v>
      </c>
      <c r="D2787" s="33">
        <v>41671</v>
      </c>
      <c r="E2787" s="26" t="s">
        <v>5098</v>
      </c>
      <c r="F2787" s="26" t="s">
        <v>5099</v>
      </c>
      <c r="G2787" s="26" t="s">
        <v>351</v>
      </c>
      <c r="H2787" s="26" t="s">
        <v>4492</v>
      </c>
      <c r="I2787" s="26" t="s">
        <v>2986</v>
      </c>
      <c r="J2787" s="46">
        <v>1</v>
      </c>
      <c r="K2787" s="46">
        <v>68</v>
      </c>
      <c r="L2787" s="136">
        <v>60</v>
      </c>
      <c r="M2787" s="137" t="s">
        <v>22</v>
      </c>
      <c r="N2787" s="138"/>
      <c r="O2787" s="138"/>
      <c r="P2787" s="138"/>
      <c r="Q2787" s="138"/>
      <c r="R2787" s="138"/>
      <c r="S2787" s="138"/>
      <c r="T2787" s="138"/>
      <c r="U2787" s="138"/>
    </row>
    <row r="2788" spans="1:27" s="26" customFormat="1" ht="15" customHeight="1" x14ac:dyDescent="0.2">
      <c r="A2788" s="32">
        <v>41708.549849537034</v>
      </c>
      <c r="B2788" s="26" t="s">
        <v>152</v>
      </c>
      <c r="C2788" s="26" t="s">
        <v>1196</v>
      </c>
      <c r="D2788" s="33">
        <v>41671</v>
      </c>
      <c r="E2788" s="26" t="s">
        <v>5100</v>
      </c>
      <c r="F2788" s="26" t="s">
        <v>5101</v>
      </c>
      <c r="G2788" s="26" t="s">
        <v>351</v>
      </c>
      <c r="H2788" s="26" t="s">
        <v>5102</v>
      </c>
      <c r="I2788" s="26" t="s">
        <v>2986</v>
      </c>
      <c r="J2788" s="46">
        <v>1</v>
      </c>
      <c r="K2788" s="46">
        <v>273</v>
      </c>
      <c r="L2788" s="136">
        <v>60</v>
      </c>
      <c r="M2788" s="137" t="s">
        <v>22</v>
      </c>
      <c r="N2788" s="138"/>
      <c r="O2788" s="138"/>
      <c r="P2788" s="138"/>
      <c r="Q2788" s="138"/>
      <c r="R2788" s="138"/>
      <c r="S2788" s="138"/>
      <c r="T2788" s="138"/>
      <c r="U2788" s="138"/>
    </row>
    <row r="2789" spans="1:27" s="26" customFormat="1" ht="15" customHeight="1" x14ac:dyDescent="0.2">
      <c r="A2789" s="32">
        <v>41708.551724537036</v>
      </c>
      <c r="B2789" s="26" t="s">
        <v>152</v>
      </c>
      <c r="C2789" s="26" t="s">
        <v>1196</v>
      </c>
      <c r="D2789" s="33">
        <v>41671</v>
      </c>
      <c r="E2789" s="26" t="s">
        <v>2530</v>
      </c>
      <c r="F2789" s="26" t="s">
        <v>1242</v>
      </c>
      <c r="G2789" s="26" t="s">
        <v>60</v>
      </c>
      <c r="H2789" s="26" t="s">
        <v>5103</v>
      </c>
      <c r="I2789" s="26" t="s">
        <v>2925</v>
      </c>
      <c r="J2789" s="46">
        <v>2</v>
      </c>
      <c r="K2789" s="46">
        <v>38</v>
      </c>
      <c r="L2789" s="136"/>
      <c r="M2789" s="137" t="s">
        <v>22</v>
      </c>
      <c r="N2789" s="138"/>
      <c r="O2789" s="138"/>
      <c r="P2789" s="138"/>
      <c r="Q2789" s="138"/>
      <c r="R2789" s="138"/>
      <c r="S2789" s="138"/>
      <c r="T2789" s="138"/>
      <c r="U2789" s="138"/>
    </row>
    <row r="2790" spans="1:27" s="26" customFormat="1" ht="15" customHeight="1" x14ac:dyDescent="0.2">
      <c r="A2790" s="32">
        <v>41708.553101851852</v>
      </c>
      <c r="B2790" s="26" t="s">
        <v>152</v>
      </c>
      <c r="C2790" s="26" t="s">
        <v>1196</v>
      </c>
      <c r="D2790" s="33">
        <v>41671</v>
      </c>
      <c r="E2790" s="26" t="s">
        <v>5104</v>
      </c>
      <c r="F2790" s="26" t="s">
        <v>5105</v>
      </c>
      <c r="G2790" s="26" t="s">
        <v>42</v>
      </c>
      <c r="H2790" s="26" t="s">
        <v>5106</v>
      </c>
      <c r="I2790" s="26" t="s">
        <v>2925</v>
      </c>
      <c r="J2790" s="46">
        <v>1</v>
      </c>
      <c r="K2790" s="46">
        <v>22</v>
      </c>
      <c r="L2790" s="136"/>
      <c r="M2790" s="137" t="s">
        <v>22</v>
      </c>
      <c r="N2790" s="138"/>
      <c r="O2790" s="138"/>
      <c r="P2790" s="138"/>
      <c r="Q2790" s="138"/>
      <c r="R2790" s="138"/>
      <c r="S2790" s="138"/>
      <c r="T2790" s="138"/>
      <c r="U2790" s="138"/>
    </row>
    <row r="2791" spans="1:27" s="26" customFormat="1" ht="15" customHeight="1" x14ac:dyDescent="0.2">
      <c r="A2791" s="32">
        <v>41737.618773148148</v>
      </c>
      <c r="B2791" s="26" t="s">
        <v>152</v>
      </c>
      <c r="C2791" s="26" t="s">
        <v>1196</v>
      </c>
      <c r="D2791" s="33">
        <v>41699</v>
      </c>
      <c r="E2791" s="26" t="s">
        <v>1212</v>
      </c>
      <c r="F2791" s="26" t="s">
        <v>1843</v>
      </c>
      <c r="G2791" s="26" t="s">
        <v>26</v>
      </c>
      <c r="H2791" s="26" t="s">
        <v>5782</v>
      </c>
      <c r="I2791" s="26" t="s">
        <v>2812</v>
      </c>
      <c r="J2791" s="46">
        <v>1</v>
      </c>
      <c r="K2791" s="46">
        <v>11</v>
      </c>
      <c r="L2791" s="136"/>
      <c r="M2791" s="137" t="s">
        <v>22</v>
      </c>
      <c r="N2791" s="138"/>
      <c r="O2791" s="138"/>
      <c r="P2791" s="138"/>
      <c r="Q2791" s="138"/>
      <c r="R2791" s="138"/>
      <c r="S2791" s="138"/>
      <c r="T2791" s="138"/>
      <c r="U2791" s="138"/>
    </row>
    <row r="2792" spans="1:27" s="26" customFormat="1" ht="15" customHeight="1" x14ac:dyDescent="0.2">
      <c r="A2792" s="32">
        <v>41738.588622685187</v>
      </c>
      <c r="B2792" s="26" t="s">
        <v>152</v>
      </c>
      <c r="C2792" s="26" t="s">
        <v>1196</v>
      </c>
      <c r="D2792" s="33">
        <v>41699</v>
      </c>
      <c r="E2792" s="26" t="s">
        <v>1212</v>
      </c>
      <c r="F2792" s="26" t="s">
        <v>5798</v>
      </c>
      <c r="G2792" s="26" t="s">
        <v>26</v>
      </c>
      <c r="H2792" s="26" t="s">
        <v>5799</v>
      </c>
      <c r="I2792" s="26" t="s">
        <v>2812</v>
      </c>
      <c r="J2792" s="46">
        <v>1</v>
      </c>
      <c r="K2792" s="46">
        <v>11</v>
      </c>
      <c r="L2792" s="136">
        <v>290</v>
      </c>
      <c r="M2792" s="137" t="s">
        <v>44</v>
      </c>
      <c r="N2792" s="138"/>
      <c r="O2792" s="138">
        <v>30</v>
      </c>
      <c r="P2792" s="138">
        <v>58</v>
      </c>
      <c r="Q2792" s="138"/>
      <c r="R2792" s="138"/>
      <c r="S2792" s="138"/>
      <c r="T2792" s="138"/>
      <c r="U2792" s="138"/>
    </row>
    <row r="2793" spans="1:27" ht="15" customHeight="1" x14ac:dyDescent="0.2">
      <c r="A2793" s="32">
        <v>41738.591064814813</v>
      </c>
      <c r="B2793" s="26" t="s">
        <v>152</v>
      </c>
      <c r="C2793" s="26" t="s">
        <v>1196</v>
      </c>
      <c r="D2793" s="33">
        <v>41699</v>
      </c>
      <c r="E2793" s="26" t="s">
        <v>5074</v>
      </c>
      <c r="F2793" s="26" t="s">
        <v>4472</v>
      </c>
      <c r="G2793" s="26" t="s">
        <v>26</v>
      </c>
      <c r="H2793" s="26" t="s">
        <v>5800</v>
      </c>
      <c r="I2793" s="26" t="s">
        <v>2986</v>
      </c>
      <c r="J2793" s="46">
        <v>1</v>
      </c>
      <c r="K2793" s="46">
        <v>3</v>
      </c>
      <c r="L2793" s="136"/>
      <c r="M2793" s="137" t="s">
        <v>22</v>
      </c>
      <c r="V2793" s="26"/>
      <c r="W2793" s="26"/>
      <c r="X2793" s="26"/>
      <c r="Y2793" s="26"/>
      <c r="Z2793" s="26"/>
      <c r="AA2793" s="26"/>
    </row>
    <row r="2794" spans="1:27" s="26" customFormat="1" ht="15" customHeight="1" x14ac:dyDescent="0.2">
      <c r="A2794" s="32">
        <v>41738.591689814813</v>
      </c>
      <c r="B2794" s="26" t="s">
        <v>152</v>
      </c>
      <c r="C2794" s="26" t="s">
        <v>1196</v>
      </c>
      <c r="D2794" s="33">
        <v>41699</v>
      </c>
      <c r="E2794" s="26" t="s">
        <v>1212</v>
      </c>
      <c r="F2794" s="26" t="s">
        <v>5801</v>
      </c>
      <c r="G2794" s="26" t="s">
        <v>26</v>
      </c>
      <c r="I2794" s="26" t="s">
        <v>2812</v>
      </c>
      <c r="J2794" s="46">
        <v>1</v>
      </c>
      <c r="K2794" s="46">
        <v>8</v>
      </c>
      <c r="L2794" s="136">
        <v>80</v>
      </c>
      <c r="M2794" s="137" t="s">
        <v>22</v>
      </c>
      <c r="N2794" s="138"/>
      <c r="O2794" s="138"/>
      <c r="P2794" s="138"/>
      <c r="Q2794" s="138"/>
      <c r="R2794" s="138"/>
      <c r="S2794" s="138"/>
      <c r="T2794" s="138"/>
      <c r="U2794" s="138"/>
    </row>
    <row r="2795" spans="1:27" s="26" customFormat="1" ht="15" customHeight="1" x14ac:dyDescent="0.2">
      <c r="A2795" s="32">
        <v>41738.594502314816</v>
      </c>
      <c r="B2795" s="26" t="s">
        <v>152</v>
      </c>
      <c r="C2795" s="26" t="s">
        <v>1196</v>
      </c>
      <c r="D2795" s="33">
        <v>41699</v>
      </c>
      <c r="E2795" s="26" t="s">
        <v>2594</v>
      </c>
      <c r="F2795" s="26" t="s">
        <v>5802</v>
      </c>
      <c r="G2795" s="26" t="s">
        <v>26</v>
      </c>
      <c r="J2795" s="46">
        <v>1</v>
      </c>
      <c r="K2795" s="46">
        <v>7</v>
      </c>
      <c r="L2795" s="136"/>
      <c r="M2795" s="137" t="s">
        <v>44</v>
      </c>
      <c r="N2795" s="138"/>
      <c r="O2795" s="138">
        <v>65</v>
      </c>
      <c r="P2795" s="138">
        <v>45</v>
      </c>
      <c r="Q2795" s="138"/>
      <c r="R2795" s="138"/>
      <c r="S2795" s="138"/>
      <c r="T2795" s="138"/>
      <c r="U2795" s="138"/>
    </row>
    <row r="2796" spans="1:27" s="26" customFormat="1" ht="15" customHeight="1" x14ac:dyDescent="0.2">
      <c r="A2796" s="32">
        <v>41738.595254629632</v>
      </c>
      <c r="B2796" s="26" t="s">
        <v>152</v>
      </c>
      <c r="C2796" s="26" t="s">
        <v>1196</v>
      </c>
      <c r="D2796" s="33">
        <v>41699</v>
      </c>
      <c r="E2796" s="26" t="s">
        <v>2533</v>
      </c>
      <c r="F2796" s="26" t="s">
        <v>4472</v>
      </c>
      <c r="G2796" s="26" t="s">
        <v>26</v>
      </c>
      <c r="H2796" s="26" t="s">
        <v>5800</v>
      </c>
      <c r="I2796" s="26" t="s">
        <v>2986</v>
      </c>
      <c r="J2796" s="46">
        <v>1</v>
      </c>
      <c r="K2796" s="46">
        <v>3</v>
      </c>
      <c r="L2796" s="136"/>
      <c r="M2796" s="137" t="s">
        <v>22</v>
      </c>
      <c r="N2796" s="138"/>
      <c r="O2796" s="138"/>
      <c r="P2796" s="138"/>
      <c r="Q2796" s="138"/>
      <c r="R2796" s="138"/>
      <c r="S2796" s="138"/>
      <c r="T2796" s="138"/>
      <c r="U2796" s="138"/>
    </row>
    <row r="2797" spans="1:27" s="26" customFormat="1" ht="15" customHeight="1" x14ac:dyDescent="0.2">
      <c r="A2797" s="32">
        <v>41738.596018518518</v>
      </c>
      <c r="B2797" s="26" t="s">
        <v>152</v>
      </c>
      <c r="C2797" s="26" t="s">
        <v>1196</v>
      </c>
      <c r="D2797" s="33">
        <v>41699</v>
      </c>
      <c r="E2797" s="26" t="s">
        <v>2594</v>
      </c>
      <c r="F2797" s="26" t="s">
        <v>5803</v>
      </c>
      <c r="G2797" s="26" t="s">
        <v>26</v>
      </c>
      <c r="H2797" s="26" t="s">
        <v>5804</v>
      </c>
      <c r="I2797" s="26" t="s">
        <v>2812</v>
      </c>
      <c r="J2797" s="46">
        <v>2</v>
      </c>
      <c r="K2797" s="46">
        <v>5</v>
      </c>
      <c r="L2797" s="136"/>
      <c r="M2797" s="137" t="s">
        <v>22</v>
      </c>
      <c r="N2797" s="138"/>
      <c r="O2797" s="138"/>
      <c r="P2797" s="138"/>
      <c r="Q2797" s="138"/>
      <c r="R2797" s="138"/>
      <c r="S2797" s="138"/>
      <c r="T2797" s="138"/>
      <c r="U2797" s="138"/>
    </row>
    <row r="2798" spans="1:27" s="26" customFormat="1" ht="15" customHeight="1" x14ac:dyDescent="0.2">
      <c r="A2798" s="32">
        <v>41738.599351851852</v>
      </c>
      <c r="B2798" s="26" t="s">
        <v>152</v>
      </c>
      <c r="C2798" s="26" t="s">
        <v>1196</v>
      </c>
      <c r="D2798" s="33">
        <v>41699</v>
      </c>
      <c r="E2798" s="26" t="s">
        <v>5805</v>
      </c>
      <c r="F2798" s="26" t="s">
        <v>5806</v>
      </c>
      <c r="G2798" s="26" t="s">
        <v>26</v>
      </c>
      <c r="H2798" s="26" t="s">
        <v>5807</v>
      </c>
      <c r="I2798" s="26" t="s">
        <v>2986</v>
      </c>
      <c r="J2798" s="46">
        <v>1</v>
      </c>
      <c r="K2798" s="46">
        <v>17</v>
      </c>
      <c r="L2798" s="136"/>
      <c r="M2798" s="137" t="s">
        <v>22</v>
      </c>
      <c r="N2798" s="138"/>
      <c r="O2798" s="138"/>
      <c r="P2798" s="138"/>
      <c r="Q2798" s="138"/>
      <c r="R2798" s="138"/>
      <c r="S2798" s="138"/>
      <c r="T2798" s="138"/>
      <c r="U2798" s="138"/>
    </row>
    <row r="2799" spans="1:27" ht="15" customHeight="1" x14ac:dyDescent="0.2">
      <c r="A2799" s="32">
        <v>41738.602060185185</v>
      </c>
      <c r="B2799" s="26" t="s">
        <v>152</v>
      </c>
      <c r="C2799" s="26" t="s">
        <v>1196</v>
      </c>
      <c r="D2799" s="33">
        <v>41699</v>
      </c>
      <c r="E2799" s="26" t="s">
        <v>1212</v>
      </c>
      <c r="F2799" s="26" t="s">
        <v>5808</v>
      </c>
      <c r="G2799" s="26" t="s">
        <v>26</v>
      </c>
      <c r="H2799" s="26" t="s">
        <v>5809</v>
      </c>
      <c r="I2799" s="26" t="s">
        <v>2986</v>
      </c>
      <c r="J2799" s="46">
        <v>1</v>
      </c>
      <c r="K2799" s="46">
        <v>14</v>
      </c>
      <c r="L2799" s="136"/>
      <c r="M2799" s="137" t="s">
        <v>44</v>
      </c>
      <c r="O2799" s="138">
        <v>15</v>
      </c>
      <c r="P2799" s="138">
        <v>52</v>
      </c>
      <c r="S2799" s="138">
        <v>116</v>
      </c>
      <c r="U2799" s="138">
        <v>124</v>
      </c>
      <c r="V2799" s="26"/>
      <c r="W2799" s="26"/>
      <c r="X2799" s="26"/>
      <c r="Y2799" s="26"/>
      <c r="Z2799" s="26"/>
      <c r="AA2799" s="26"/>
    </row>
    <row r="2800" spans="1:27" s="26" customFormat="1" ht="15" customHeight="1" x14ac:dyDescent="0.2">
      <c r="A2800" s="32">
        <v>41738.609907407408</v>
      </c>
      <c r="B2800" s="26" t="s">
        <v>152</v>
      </c>
      <c r="C2800" s="26" t="s">
        <v>1196</v>
      </c>
      <c r="D2800" s="33">
        <v>41699</v>
      </c>
      <c r="E2800" s="26" t="s">
        <v>5820</v>
      </c>
      <c r="F2800" s="26" t="s">
        <v>5821</v>
      </c>
      <c r="G2800" s="26" t="s">
        <v>26</v>
      </c>
      <c r="H2800" s="26" t="s">
        <v>5822</v>
      </c>
      <c r="J2800" s="46">
        <v>3</v>
      </c>
      <c r="K2800" s="46">
        <v>71</v>
      </c>
      <c r="L2800" s="136">
        <v>670</v>
      </c>
      <c r="M2800" s="137" t="s">
        <v>22</v>
      </c>
      <c r="N2800" s="138"/>
      <c r="O2800" s="138"/>
      <c r="P2800" s="138"/>
      <c r="Q2800" s="138"/>
      <c r="R2800" s="138"/>
      <c r="S2800" s="138"/>
      <c r="T2800" s="138"/>
      <c r="U2800" s="138"/>
    </row>
    <row r="2801" spans="1:25" s="26" customFormat="1" ht="15" customHeight="1" x14ac:dyDescent="0.2">
      <c r="A2801" s="32">
        <v>41738.611620370371</v>
      </c>
      <c r="B2801" s="26" t="s">
        <v>152</v>
      </c>
      <c r="C2801" s="26" t="s">
        <v>1196</v>
      </c>
      <c r="D2801" s="33">
        <v>41699</v>
      </c>
      <c r="E2801" s="26" t="s">
        <v>2551</v>
      </c>
      <c r="F2801" s="26" t="s">
        <v>5823</v>
      </c>
      <c r="G2801" s="26" t="s">
        <v>20</v>
      </c>
      <c r="H2801" s="26" t="s">
        <v>5824</v>
      </c>
      <c r="I2801" s="26" t="s">
        <v>2986</v>
      </c>
      <c r="J2801" s="46">
        <v>8</v>
      </c>
      <c r="K2801" s="46">
        <v>613</v>
      </c>
      <c r="L2801" s="136">
        <v>200</v>
      </c>
      <c r="M2801" s="137" t="s">
        <v>22</v>
      </c>
      <c r="N2801" s="138"/>
      <c r="O2801" s="138"/>
      <c r="P2801" s="138"/>
      <c r="Q2801" s="138"/>
      <c r="R2801" s="138"/>
      <c r="S2801" s="138"/>
      <c r="T2801" s="138"/>
      <c r="U2801" s="138"/>
    </row>
    <row r="2802" spans="1:25" s="26" customFormat="1" ht="15" customHeight="1" x14ac:dyDescent="0.2">
      <c r="A2802" s="32">
        <v>41738.616574074076</v>
      </c>
      <c r="B2802" s="26" t="s">
        <v>152</v>
      </c>
      <c r="C2802" s="26" t="s">
        <v>1196</v>
      </c>
      <c r="D2802" s="33">
        <v>41699</v>
      </c>
      <c r="E2802" s="26" t="s">
        <v>2542</v>
      </c>
      <c r="F2802" s="26" t="s">
        <v>5825</v>
      </c>
      <c r="G2802" s="26" t="s">
        <v>20</v>
      </c>
      <c r="H2802" s="26" t="s">
        <v>2535</v>
      </c>
      <c r="I2802" s="26" t="s">
        <v>2986</v>
      </c>
      <c r="J2802" s="46">
        <v>5</v>
      </c>
      <c r="K2802" s="46">
        <v>371</v>
      </c>
      <c r="L2802" s="136">
        <v>100</v>
      </c>
      <c r="M2802" s="137" t="s">
        <v>22</v>
      </c>
      <c r="N2802" s="138"/>
      <c r="O2802" s="138"/>
      <c r="P2802" s="138"/>
      <c r="Q2802" s="138"/>
      <c r="R2802" s="138"/>
      <c r="S2802" s="138"/>
      <c r="T2802" s="138"/>
      <c r="U2802" s="138"/>
    </row>
    <row r="2803" spans="1:25" s="26" customFormat="1" ht="15" customHeight="1" x14ac:dyDescent="0.2">
      <c r="A2803" s="32">
        <v>41738.619837962964</v>
      </c>
      <c r="B2803" s="26" t="s">
        <v>152</v>
      </c>
      <c r="C2803" s="26" t="s">
        <v>1196</v>
      </c>
      <c r="D2803" s="33">
        <v>41699</v>
      </c>
      <c r="E2803" s="26" t="s">
        <v>1237</v>
      </c>
      <c r="F2803" s="26" t="s">
        <v>5826</v>
      </c>
      <c r="G2803" s="26" t="s">
        <v>20</v>
      </c>
      <c r="H2803" s="26" t="s">
        <v>5827</v>
      </c>
      <c r="I2803" s="26" t="s">
        <v>2986</v>
      </c>
      <c r="J2803" s="46">
        <v>1</v>
      </c>
      <c r="K2803" s="46">
        <v>61</v>
      </c>
      <c r="L2803" s="136"/>
      <c r="M2803" s="137" t="s">
        <v>22</v>
      </c>
      <c r="N2803" s="138"/>
      <c r="O2803" s="138"/>
      <c r="P2803" s="138"/>
      <c r="Q2803" s="138"/>
      <c r="R2803" s="138"/>
      <c r="S2803" s="138"/>
      <c r="T2803" s="138"/>
      <c r="U2803" s="138"/>
    </row>
    <row r="2804" spans="1:25" s="26" customFormat="1" ht="15" customHeight="1" x14ac:dyDescent="0.2">
      <c r="A2804" s="32">
        <v>41738.621793981481</v>
      </c>
      <c r="B2804" s="26" t="s">
        <v>152</v>
      </c>
      <c r="C2804" s="26" t="s">
        <v>1196</v>
      </c>
      <c r="D2804" s="33">
        <v>41699</v>
      </c>
      <c r="E2804" s="26" t="s">
        <v>1237</v>
      </c>
      <c r="F2804" s="26" t="s">
        <v>5828</v>
      </c>
      <c r="G2804" s="26" t="s">
        <v>20</v>
      </c>
      <c r="H2804" s="26" t="s">
        <v>5824</v>
      </c>
      <c r="I2804" s="26" t="s">
        <v>2986</v>
      </c>
      <c r="J2804" s="46">
        <v>2</v>
      </c>
      <c r="K2804" s="46">
        <v>193</v>
      </c>
      <c r="L2804" s="136">
        <v>60</v>
      </c>
      <c r="M2804" s="137" t="s">
        <v>22</v>
      </c>
      <c r="N2804" s="138"/>
      <c r="O2804" s="138"/>
      <c r="P2804" s="138"/>
      <c r="Q2804" s="138"/>
      <c r="R2804" s="138"/>
      <c r="S2804" s="138"/>
      <c r="T2804" s="138"/>
      <c r="U2804" s="138"/>
    </row>
    <row r="2805" spans="1:25" s="26" customFormat="1" ht="15" customHeight="1" x14ac:dyDescent="0.2">
      <c r="A2805" s="32">
        <v>41738.6249537037</v>
      </c>
      <c r="B2805" s="26" t="s">
        <v>152</v>
      </c>
      <c r="C2805" s="26" t="s">
        <v>1196</v>
      </c>
      <c r="D2805" s="33">
        <v>41699</v>
      </c>
      <c r="E2805" s="26" t="s">
        <v>5096</v>
      </c>
      <c r="F2805" s="26" t="s">
        <v>5829</v>
      </c>
      <c r="G2805" s="26" t="s">
        <v>20</v>
      </c>
      <c r="H2805" s="26" t="s">
        <v>5824</v>
      </c>
      <c r="I2805" s="26" t="s">
        <v>2986</v>
      </c>
      <c r="J2805" s="46">
        <v>4</v>
      </c>
      <c r="K2805" s="46">
        <v>222</v>
      </c>
      <c r="L2805" s="136">
        <v>100</v>
      </c>
      <c r="M2805" s="137" t="s">
        <v>22</v>
      </c>
      <c r="N2805" s="138"/>
      <c r="O2805" s="138"/>
      <c r="P2805" s="138"/>
      <c r="Q2805" s="138"/>
      <c r="R2805" s="138"/>
      <c r="S2805" s="138"/>
      <c r="T2805" s="138"/>
      <c r="U2805" s="138"/>
    </row>
    <row r="2806" spans="1:25" s="26" customFormat="1" ht="15" customHeight="1" x14ac:dyDescent="0.2">
      <c r="A2806" s="32">
        <v>41738.625821759262</v>
      </c>
      <c r="B2806" s="26" t="s">
        <v>152</v>
      </c>
      <c r="C2806" s="26" t="s">
        <v>1196</v>
      </c>
      <c r="D2806" s="33">
        <v>41699</v>
      </c>
      <c r="E2806" s="26" t="s">
        <v>1237</v>
      </c>
      <c r="F2806" s="26" t="s">
        <v>5829</v>
      </c>
      <c r="G2806" s="26" t="s">
        <v>20</v>
      </c>
      <c r="H2806" s="26" t="s">
        <v>5824</v>
      </c>
      <c r="I2806" s="26" t="s">
        <v>2986</v>
      </c>
      <c r="J2806" s="46">
        <v>4</v>
      </c>
      <c r="K2806" s="46">
        <v>220</v>
      </c>
      <c r="L2806" s="136">
        <v>100</v>
      </c>
      <c r="M2806" s="137" t="s">
        <v>22</v>
      </c>
      <c r="N2806" s="138"/>
      <c r="O2806" s="138"/>
      <c r="P2806" s="138"/>
      <c r="Q2806" s="138"/>
      <c r="R2806" s="138"/>
      <c r="S2806" s="138"/>
      <c r="T2806" s="138"/>
      <c r="U2806" s="138"/>
    </row>
    <row r="2807" spans="1:25" s="26" customFormat="1" ht="15" customHeight="1" x14ac:dyDescent="0.2">
      <c r="A2807" s="32">
        <v>41738.627523148149</v>
      </c>
      <c r="B2807" s="26" t="s">
        <v>152</v>
      </c>
      <c r="C2807" s="26" t="s">
        <v>1196</v>
      </c>
      <c r="D2807" s="33">
        <v>41699</v>
      </c>
      <c r="E2807" s="26" t="s">
        <v>2551</v>
      </c>
      <c r="F2807" s="26" t="s">
        <v>5831</v>
      </c>
      <c r="G2807" s="26" t="s">
        <v>20</v>
      </c>
      <c r="H2807" s="26" t="s">
        <v>2535</v>
      </c>
      <c r="I2807" s="26" t="s">
        <v>2986</v>
      </c>
      <c r="J2807" s="46">
        <v>4</v>
      </c>
      <c r="K2807" s="46">
        <v>318</v>
      </c>
      <c r="L2807" s="136">
        <v>100</v>
      </c>
      <c r="M2807" s="137" t="s">
        <v>22</v>
      </c>
      <c r="N2807" s="138"/>
      <c r="O2807" s="138"/>
      <c r="P2807" s="138"/>
      <c r="Q2807" s="138"/>
      <c r="R2807" s="138"/>
      <c r="S2807" s="138"/>
      <c r="T2807" s="138"/>
      <c r="U2807" s="138"/>
    </row>
    <row r="2808" spans="1:25" s="26" customFormat="1" ht="15" customHeight="1" x14ac:dyDescent="0.2">
      <c r="A2808" s="32">
        <v>41738.629444444443</v>
      </c>
      <c r="B2808" s="26" t="s">
        <v>152</v>
      </c>
      <c r="C2808" s="26" t="s">
        <v>1196</v>
      </c>
      <c r="D2808" s="33">
        <v>41699</v>
      </c>
      <c r="E2808" s="26" t="s">
        <v>2860</v>
      </c>
      <c r="F2808" s="26" t="s">
        <v>5832</v>
      </c>
      <c r="G2808" s="26" t="s">
        <v>20</v>
      </c>
      <c r="H2808" s="26" t="s">
        <v>5833</v>
      </c>
      <c r="I2808" s="26" t="s">
        <v>2986</v>
      </c>
      <c r="J2808" s="46">
        <v>6</v>
      </c>
      <c r="K2808" s="46">
        <v>155</v>
      </c>
      <c r="L2808" s="136"/>
      <c r="M2808" s="137" t="s">
        <v>22</v>
      </c>
      <c r="N2808" s="138"/>
      <c r="O2808" s="138"/>
      <c r="P2808" s="138"/>
      <c r="Q2808" s="138"/>
      <c r="R2808" s="138"/>
      <c r="S2808" s="138"/>
      <c r="T2808" s="138"/>
      <c r="U2808" s="138"/>
    </row>
    <row r="2809" spans="1:25" s="26" customFormat="1" ht="15" customHeight="1" x14ac:dyDescent="0.2">
      <c r="A2809" s="32">
        <v>41738.630682870367</v>
      </c>
      <c r="B2809" s="26" t="s">
        <v>152</v>
      </c>
      <c r="C2809" s="26" t="s">
        <v>1196</v>
      </c>
      <c r="D2809" s="33">
        <v>41699</v>
      </c>
      <c r="E2809" s="26" t="s">
        <v>1237</v>
      </c>
      <c r="F2809" s="26" t="s">
        <v>5834</v>
      </c>
      <c r="G2809" s="26" t="s">
        <v>20</v>
      </c>
      <c r="H2809" s="26" t="s">
        <v>2535</v>
      </c>
      <c r="I2809" s="26" t="s">
        <v>2986</v>
      </c>
      <c r="J2809" s="46">
        <v>1</v>
      </c>
      <c r="K2809" s="46">
        <v>88</v>
      </c>
      <c r="L2809" s="136">
        <v>60</v>
      </c>
      <c r="M2809" s="137" t="s">
        <v>22</v>
      </c>
      <c r="N2809" s="138"/>
      <c r="O2809" s="138"/>
      <c r="P2809" s="138"/>
      <c r="Q2809" s="138"/>
      <c r="R2809" s="138"/>
      <c r="S2809" s="138"/>
      <c r="T2809" s="138"/>
      <c r="U2809" s="138"/>
    </row>
    <row r="2810" spans="1:25" s="26" customFormat="1" ht="15" customHeight="1" x14ac:dyDescent="0.2">
      <c r="A2810" s="32">
        <v>41738.632800925923</v>
      </c>
      <c r="B2810" s="26" t="s">
        <v>152</v>
      </c>
      <c r="C2810" s="26" t="s">
        <v>1196</v>
      </c>
      <c r="D2810" s="33">
        <v>41699</v>
      </c>
      <c r="E2810" s="26" t="s">
        <v>5096</v>
      </c>
      <c r="F2810" s="26" t="s">
        <v>5835</v>
      </c>
      <c r="G2810" s="26" t="s">
        <v>20</v>
      </c>
      <c r="H2810" s="26" t="s">
        <v>5836</v>
      </c>
      <c r="I2810" s="26" t="s">
        <v>2986</v>
      </c>
      <c r="J2810" s="46">
        <v>2</v>
      </c>
      <c r="K2810" s="46">
        <v>104</v>
      </c>
      <c r="L2810" s="136">
        <v>60</v>
      </c>
      <c r="M2810" s="137" t="s">
        <v>22</v>
      </c>
      <c r="N2810" s="138"/>
      <c r="O2810" s="138"/>
      <c r="P2810" s="138"/>
      <c r="Q2810" s="138"/>
      <c r="R2810" s="138"/>
      <c r="S2810" s="138"/>
      <c r="T2810" s="138"/>
      <c r="U2810" s="138"/>
    </row>
    <row r="2811" spans="1:25" s="26" customFormat="1" ht="15" customHeight="1" x14ac:dyDescent="0.2">
      <c r="A2811" s="32">
        <v>41738.634502314817</v>
      </c>
      <c r="B2811" s="26" t="s">
        <v>152</v>
      </c>
      <c r="C2811" s="26" t="s">
        <v>1196</v>
      </c>
      <c r="D2811" s="33">
        <v>41699</v>
      </c>
      <c r="E2811" s="26" t="s">
        <v>2551</v>
      </c>
      <c r="F2811" s="26" t="s">
        <v>5837</v>
      </c>
      <c r="G2811" s="26" t="s">
        <v>20</v>
      </c>
      <c r="H2811" s="26" t="s">
        <v>5838</v>
      </c>
      <c r="I2811" s="26" t="s">
        <v>2986</v>
      </c>
      <c r="J2811" s="46">
        <v>10</v>
      </c>
      <c r="K2811" s="46">
        <v>330</v>
      </c>
      <c r="L2811" s="136">
        <v>60</v>
      </c>
      <c r="M2811" s="137" t="s">
        <v>22</v>
      </c>
      <c r="N2811" s="138"/>
      <c r="O2811" s="138"/>
      <c r="P2811" s="138"/>
      <c r="Q2811" s="138"/>
      <c r="R2811" s="138"/>
      <c r="S2811" s="138"/>
      <c r="T2811" s="138"/>
      <c r="U2811" s="138"/>
    </row>
    <row r="2812" spans="1:25" s="26" customFormat="1" ht="15" customHeight="1" x14ac:dyDescent="0.2">
      <c r="A2812" s="32">
        <v>41738.636886574073</v>
      </c>
      <c r="B2812" s="26" t="s">
        <v>152</v>
      </c>
      <c r="C2812" s="26" t="s">
        <v>1196</v>
      </c>
      <c r="D2812" s="33">
        <v>41699</v>
      </c>
      <c r="E2812" s="26" t="s">
        <v>5839</v>
      </c>
      <c r="F2812" s="26" t="s">
        <v>5840</v>
      </c>
      <c r="G2812" s="26" t="s">
        <v>20</v>
      </c>
      <c r="I2812" s="26" t="s">
        <v>2986</v>
      </c>
      <c r="J2812" s="46">
        <v>1</v>
      </c>
      <c r="K2812" s="46">
        <v>43</v>
      </c>
      <c r="L2812" s="136">
        <v>114</v>
      </c>
      <c r="M2812" s="137" t="s">
        <v>22</v>
      </c>
      <c r="N2812" s="138"/>
      <c r="O2812" s="138"/>
      <c r="P2812" s="138"/>
      <c r="Q2812" s="138"/>
      <c r="R2812" s="138"/>
      <c r="S2812" s="138"/>
      <c r="T2812" s="138"/>
      <c r="U2812" s="138"/>
    </row>
    <row r="2813" spans="1:25" s="26" customFormat="1" ht="15" customHeight="1" x14ac:dyDescent="0.2">
      <c r="A2813" s="93">
        <v>41768.350057870397</v>
      </c>
      <c r="B2813" s="89" t="s">
        <v>152</v>
      </c>
      <c r="C2813" s="52" t="s">
        <v>1196</v>
      </c>
      <c r="D2813" s="87" t="s">
        <v>6076</v>
      </c>
      <c r="E2813" s="89" t="s">
        <v>1203</v>
      </c>
      <c r="F2813" s="89" t="s">
        <v>1204</v>
      </c>
      <c r="G2813" s="89" t="s">
        <v>26</v>
      </c>
      <c r="H2813" s="89" t="s">
        <v>6519</v>
      </c>
      <c r="I2813" s="89"/>
      <c r="J2813" s="95"/>
      <c r="K2813" s="95"/>
      <c r="L2813" s="149"/>
      <c r="M2813" s="146"/>
      <c r="N2813" s="149"/>
      <c r="O2813" s="149"/>
      <c r="P2813" s="149"/>
      <c r="Q2813" s="149"/>
      <c r="R2813" s="149"/>
      <c r="S2813" s="149"/>
      <c r="T2813" s="149"/>
      <c r="U2813" s="149"/>
      <c r="V2813" s="89"/>
      <c r="W2813" s="91"/>
      <c r="X2813" s="91"/>
      <c r="Y2813" s="91"/>
    </row>
    <row r="2814" spans="1:25" s="26" customFormat="1" ht="15" customHeight="1" x14ac:dyDescent="0.2">
      <c r="A2814" s="93">
        <v>41768.351724537002</v>
      </c>
      <c r="B2814" s="89" t="s">
        <v>152</v>
      </c>
      <c r="C2814" s="52" t="s">
        <v>1196</v>
      </c>
      <c r="D2814" s="87" t="s">
        <v>6076</v>
      </c>
      <c r="E2814" s="89" t="s">
        <v>1212</v>
      </c>
      <c r="F2814" s="89"/>
      <c r="G2814" s="89" t="s">
        <v>26</v>
      </c>
      <c r="H2814" s="89" t="s">
        <v>6520</v>
      </c>
      <c r="I2814" s="89" t="s">
        <v>2812</v>
      </c>
      <c r="J2814" s="95">
        <v>1</v>
      </c>
      <c r="K2814" s="95">
        <v>0</v>
      </c>
      <c r="L2814" s="149"/>
      <c r="M2814" s="146" t="s">
        <v>22</v>
      </c>
      <c r="N2814" s="149"/>
      <c r="O2814" s="149"/>
      <c r="P2814" s="149"/>
      <c r="Q2814" s="149"/>
      <c r="R2814" s="149"/>
      <c r="S2814" s="149"/>
      <c r="T2814" s="149"/>
      <c r="U2814" s="149"/>
      <c r="V2814" s="89"/>
      <c r="W2814" s="91"/>
      <c r="X2814" s="91"/>
      <c r="Y2814" s="91"/>
    </row>
    <row r="2815" spans="1:25" s="26" customFormat="1" ht="15" customHeight="1" x14ac:dyDescent="0.2">
      <c r="A2815" s="93">
        <v>41768.352546296301</v>
      </c>
      <c r="B2815" s="89" t="s">
        <v>152</v>
      </c>
      <c r="C2815" s="52" t="s">
        <v>1196</v>
      </c>
      <c r="D2815" s="87" t="s">
        <v>6076</v>
      </c>
      <c r="E2815" s="89" t="s">
        <v>6521</v>
      </c>
      <c r="F2815" s="89" t="s">
        <v>5803</v>
      </c>
      <c r="G2815" s="89" t="s">
        <v>26</v>
      </c>
      <c r="H2815" s="89" t="s">
        <v>6522</v>
      </c>
      <c r="I2815" s="89" t="s">
        <v>2812</v>
      </c>
      <c r="J2815" s="95">
        <v>3</v>
      </c>
      <c r="K2815" s="95">
        <v>8</v>
      </c>
      <c r="L2815" s="149"/>
      <c r="M2815" s="146" t="s">
        <v>22</v>
      </c>
      <c r="N2815" s="149"/>
      <c r="O2815" s="149"/>
      <c r="P2815" s="149"/>
      <c r="Q2815" s="149"/>
      <c r="R2815" s="149"/>
      <c r="S2815" s="149"/>
      <c r="T2815" s="149"/>
      <c r="U2815" s="149"/>
      <c r="V2815" s="89"/>
      <c r="W2815" s="91"/>
      <c r="X2815" s="91"/>
      <c r="Y2815" s="91"/>
    </row>
    <row r="2816" spans="1:25" s="26" customFormat="1" ht="15" customHeight="1" x14ac:dyDescent="0.2">
      <c r="A2816" s="93">
        <v>41768.353310185201</v>
      </c>
      <c r="B2816" s="89" t="s">
        <v>152</v>
      </c>
      <c r="C2816" s="52" t="s">
        <v>1196</v>
      </c>
      <c r="D2816" s="87" t="s">
        <v>6076</v>
      </c>
      <c r="E2816" s="89" t="s">
        <v>1244</v>
      </c>
      <c r="F2816" s="89" t="s">
        <v>5798</v>
      </c>
      <c r="G2816" s="89" t="s">
        <v>26</v>
      </c>
      <c r="H2816" s="89" t="s">
        <v>6523</v>
      </c>
      <c r="I2816" s="89" t="s">
        <v>2812</v>
      </c>
      <c r="J2816" s="95">
        <v>1</v>
      </c>
      <c r="K2816" s="95">
        <v>7</v>
      </c>
      <c r="L2816" s="149">
        <v>150</v>
      </c>
      <c r="M2816" s="146" t="s">
        <v>22</v>
      </c>
      <c r="N2816" s="149"/>
      <c r="O2816" s="149"/>
      <c r="P2816" s="149"/>
      <c r="Q2816" s="149"/>
      <c r="R2816" s="149"/>
      <c r="S2816" s="149"/>
      <c r="T2816" s="149"/>
      <c r="U2816" s="149"/>
      <c r="V2816" s="89"/>
      <c r="W2816" s="91"/>
      <c r="X2816" s="91"/>
      <c r="Y2816" s="91"/>
    </row>
    <row r="2817" spans="1:27" s="26" customFormat="1" ht="15" customHeight="1" x14ac:dyDescent="0.2">
      <c r="A2817" s="93">
        <v>41768.353842592602</v>
      </c>
      <c r="B2817" s="89" t="s">
        <v>152</v>
      </c>
      <c r="C2817" s="52" t="s">
        <v>1196</v>
      </c>
      <c r="D2817" s="87" t="s">
        <v>6076</v>
      </c>
      <c r="E2817" s="89" t="s">
        <v>5074</v>
      </c>
      <c r="F2817" s="89" t="s">
        <v>4472</v>
      </c>
      <c r="G2817" s="89" t="s">
        <v>26</v>
      </c>
      <c r="H2817" s="89"/>
      <c r="I2817" s="89" t="s">
        <v>2986</v>
      </c>
      <c r="J2817" s="95">
        <v>1</v>
      </c>
      <c r="K2817" s="95">
        <v>3</v>
      </c>
      <c r="L2817" s="149"/>
      <c r="M2817" s="146" t="s">
        <v>22</v>
      </c>
      <c r="N2817" s="149"/>
      <c r="O2817" s="149"/>
      <c r="P2817" s="149"/>
      <c r="Q2817" s="149"/>
      <c r="R2817" s="149"/>
      <c r="S2817" s="149"/>
      <c r="T2817" s="149"/>
      <c r="U2817" s="149"/>
      <c r="V2817" s="89"/>
      <c r="W2817" s="91"/>
      <c r="X2817" s="91"/>
      <c r="Y2817" s="91"/>
    </row>
    <row r="2818" spans="1:27" s="26" customFormat="1" ht="15" customHeight="1" x14ac:dyDescent="0.2">
      <c r="A2818" s="93">
        <v>41768.355451388903</v>
      </c>
      <c r="B2818" s="89" t="s">
        <v>152</v>
      </c>
      <c r="C2818" s="52" t="s">
        <v>1196</v>
      </c>
      <c r="D2818" s="87" t="s">
        <v>6076</v>
      </c>
      <c r="E2818" s="89" t="s">
        <v>6524</v>
      </c>
      <c r="F2818" s="89" t="s">
        <v>6525</v>
      </c>
      <c r="G2818" s="89" t="s">
        <v>26</v>
      </c>
      <c r="H2818" s="89" t="s">
        <v>6526</v>
      </c>
      <c r="I2818" s="89" t="s">
        <v>6527</v>
      </c>
      <c r="J2818" s="95">
        <v>1</v>
      </c>
      <c r="K2818" s="95">
        <v>9</v>
      </c>
      <c r="L2818" s="149"/>
      <c r="M2818" s="146" t="s">
        <v>22</v>
      </c>
      <c r="N2818" s="149"/>
      <c r="O2818" s="149"/>
      <c r="P2818" s="149"/>
      <c r="Q2818" s="149"/>
      <c r="R2818" s="149"/>
      <c r="S2818" s="149"/>
      <c r="T2818" s="149"/>
      <c r="U2818" s="149"/>
      <c r="V2818" s="89"/>
      <c r="W2818" s="91"/>
      <c r="X2818" s="91"/>
      <c r="Y2818" s="91"/>
    </row>
    <row r="2819" spans="1:27" s="26" customFormat="1" ht="15" customHeight="1" x14ac:dyDescent="0.2">
      <c r="A2819" s="93">
        <v>41768.356331018498</v>
      </c>
      <c r="B2819" s="89" t="s">
        <v>152</v>
      </c>
      <c r="C2819" s="52" t="s">
        <v>1196</v>
      </c>
      <c r="D2819" s="87" t="s">
        <v>6076</v>
      </c>
      <c r="E2819" s="89" t="s">
        <v>1212</v>
      </c>
      <c r="F2819" s="89" t="s">
        <v>6528</v>
      </c>
      <c r="G2819" s="89" t="s">
        <v>26</v>
      </c>
      <c r="H2819" s="89" t="s">
        <v>6529</v>
      </c>
      <c r="I2819" s="89" t="s">
        <v>2812</v>
      </c>
      <c r="J2819" s="95">
        <v>1</v>
      </c>
      <c r="K2819" s="95">
        <v>6</v>
      </c>
      <c r="L2819" s="149">
        <v>120</v>
      </c>
      <c r="M2819" s="146" t="s">
        <v>44</v>
      </c>
      <c r="N2819" s="149"/>
      <c r="O2819" s="149">
        <v>5</v>
      </c>
      <c r="P2819" s="149">
        <v>66</v>
      </c>
      <c r="Q2819" s="149"/>
      <c r="R2819" s="149"/>
      <c r="S2819" s="149"/>
      <c r="T2819" s="149"/>
      <c r="U2819" s="149"/>
      <c r="V2819" s="89"/>
      <c r="W2819" s="91"/>
      <c r="X2819" s="91"/>
      <c r="Y2819" s="91"/>
    </row>
    <row r="2820" spans="1:27" s="26" customFormat="1" ht="15" customHeight="1" x14ac:dyDescent="0.2">
      <c r="A2820" s="93">
        <v>41768.3580671296</v>
      </c>
      <c r="B2820" s="89" t="s">
        <v>152</v>
      </c>
      <c r="C2820" s="52" t="s">
        <v>1196</v>
      </c>
      <c r="D2820" s="87" t="s">
        <v>6076</v>
      </c>
      <c r="E2820" s="89" t="s">
        <v>6524</v>
      </c>
      <c r="F2820" s="89" t="s">
        <v>6530</v>
      </c>
      <c r="G2820" s="89" t="s">
        <v>26</v>
      </c>
      <c r="H2820" s="89" t="s">
        <v>6531</v>
      </c>
      <c r="I2820" s="89" t="s">
        <v>6527</v>
      </c>
      <c r="J2820" s="95">
        <v>1</v>
      </c>
      <c r="K2820" s="95">
        <v>50</v>
      </c>
      <c r="L2820" s="149"/>
      <c r="M2820" s="146" t="s">
        <v>44</v>
      </c>
      <c r="N2820" s="149"/>
      <c r="O2820" s="149">
        <v>35</v>
      </c>
      <c r="P2820" s="149"/>
      <c r="Q2820" s="149"/>
      <c r="R2820" s="149"/>
      <c r="S2820" s="149"/>
      <c r="T2820" s="149"/>
      <c r="U2820" s="149"/>
      <c r="V2820" s="89"/>
      <c r="W2820" s="91"/>
      <c r="X2820" s="91"/>
      <c r="Y2820" s="91"/>
    </row>
    <row r="2821" spans="1:27" s="26" customFormat="1" ht="15" customHeight="1" x14ac:dyDescent="0.2">
      <c r="A2821" s="55">
        <v>41768.358935185199</v>
      </c>
      <c r="B2821" s="52" t="s">
        <v>152</v>
      </c>
      <c r="C2821" s="52" t="s">
        <v>1196</v>
      </c>
      <c r="D2821" s="88" t="s">
        <v>6076</v>
      </c>
      <c r="E2821" s="89" t="s">
        <v>1244</v>
      </c>
      <c r="F2821" s="89" t="s">
        <v>6532</v>
      </c>
      <c r="G2821" s="52" t="s">
        <v>351</v>
      </c>
      <c r="H2821" s="89"/>
      <c r="I2821" s="52" t="s">
        <v>2986</v>
      </c>
      <c r="J2821" s="95">
        <v>4</v>
      </c>
      <c r="K2821" s="95">
        <v>365</v>
      </c>
      <c r="L2821" s="149">
        <v>100</v>
      </c>
      <c r="M2821" s="146" t="s">
        <v>22</v>
      </c>
      <c r="N2821" s="149"/>
      <c r="O2821" s="149"/>
      <c r="P2821" s="149"/>
      <c r="Q2821" s="149"/>
      <c r="R2821" s="149"/>
      <c r="S2821" s="149"/>
      <c r="T2821" s="149"/>
      <c r="U2821" s="149"/>
      <c r="V2821" s="52"/>
    </row>
    <row r="2822" spans="1:27" s="26" customFormat="1" ht="15" customHeight="1" x14ac:dyDescent="0.2">
      <c r="A2822" s="55">
        <v>41768.3597800926</v>
      </c>
      <c r="B2822" s="52" t="s">
        <v>152</v>
      </c>
      <c r="C2822" s="52" t="s">
        <v>1196</v>
      </c>
      <c r="D2822" s="88" t="s">
        <v>6076</v>
      </c>
      <c r="E2822" s="89" t="s">
        <v>5096</v>
      </c>
      <c r="F2822" s="89" t="s">
        <v>6533</v>
      </c>
      <c r="G2822" s="52" t="s">
        <v>351</v>
      </c>
      <c r="H2822" s="89" t="s">
        <v>2535</v>
      </c>
      <c r="I2822" s="52" t="s">
        <v>2986</v>
      </c>
      <c r="J2822" s="95">
        <v>1</v>
      </c>
      <c r="K2822" s="95">
        <v>76</v>
      </c>
      <c r="L2822" s="149">
        <v>60</v>
      </c>
      <c r="M2822" s="146" t="s">
        <v>22</v>
      </c>
      <c r="N2822" s="149"/>
      <c r="O2822" s="149"/>
      <c r="P2822" s="149"/>
      <c r="Q2822" s="149"/>
      <c r="R2822" s="149"/>
      <c r="S2822" s="149"/>
      <c r="T2822" s="149"/>
      <c r="U2822" s="149"/>
      <c r="V2822" s="52"/>
    </row>
    <row r="2823" spans="1:27" s="26" customFormat="1" ht="15" customHeight="1" x14ac:dyDescent="0.2">
      <c r="A2823" s="55">
        <v>41768.360648148198</v>
      </c>
      <c r="B2823" s="52" t="s">
        <v>152</v>
      </c>
      <c r="C2823" s="52" t="s">
        <v>1196</v>
      </c>
      <c r="D2823" s="88" t="s">
        <v>6076</v>
      </c>
      <c r="E2823" s="89" t="s">
        <v>2551</v>
      </c>
      <c r="F2823" s="89" t="s">
        <v>6534</v>
      </c>
      <c r="G2823" s="52" t="s">
        <v>351</v>
      </c>
      <c r="H2823" s="89" t="s">
        <v>2535</v>
      </c>
      <c r="I2823" s="52" t="s">
        <v>2986</v>
      </c>
      <c r="J2823" s="95">
        <v>4</v>
      </c>
      <c r="K2823" s="95">
        <v>450</v>
      </c>
      <c r="L2823" s="149">
        <v>100</v>
      </c>
      <c r="M2823" s="146" t="s">
        <v>22</v>
      </c>
      <c r="N2823" s="149"/>
      <c r="O2823" s="149"/>
      <c r="P2823" s="149"/>
      <c r="Q2823" s="149"/>
      <c r="R2823" s="149"/>
      <c r="S2823" s="149"/>
      <c r="T2823" s="149"/>
      <c r="U2823" s="149"/>
      <c r="V2823" s="52"/>
    </row>
    <row r="2824" spans="1:27" s="26" customFormat="1" ht="15" customHeight="1" x14ac:dyDescent="0.2">
      <c r="A2824" s="55">
        <v>41768.362037036997</v>
      </c>
      <c r="B2824" s="52" t="s">
        <v>152</v>
      </c>
      <c r="C2824" s="52" t="s">
        <v>1196</v>
      </c>
      <c r="D2824" s="88" t="s">
        <v>6076</v>
      </c>
      <c r="E2824" s="89" t="s">
        <v>2860</v>
      </c>
      <c r="F2824" s="89" t="s">
        <v>6535</v>
      </c>
      <c r="G2824" s="52" t="s">
        <v>351</v>
      </c>
      <c r="H2824" s="89" t="s">
        <v>2535</v>
      </c>
      <c r="I2824" s="52" t="s">
        <v>2986</v>
      </c>
      <c r="J2824" s="95">
        <v>4</v>
      </c>
      <c r="K2824" s="95">
        <v>457</v>
      </c>
      <c r="L2824" s="149">
        <v>100</v>
      </c>
      <c r="M2824" s="146" t="s">
        <v>22</v>
      </c>
      <c r="N2824" s="149"/>
      <c r="O2824" s="149"/>
      <c r="P2824" s="149"/>
      <c r="Q2824" s="149"/>
      <c r="R2824" s="149"/>
      <c r="S2824" s="149"/>
      <c r="T2824" s="149"/>
      <c r="U2824" s="149"/>
      <c r="V2824" s="52"/>
    </row>
    <row r="2825" spans="1:27" s="26" customFormat="1" ht="15" customHeight="1" x14ac:dyDescent="0.2">
      <c r="A2825" s="55">
        <v>41768.362916666701</v>
      </c>
      <c r="B2825" s="52" t="s">
        <v>152</v>
      </c>
      <c r="C2825" s="52" t="s">
        <v>1196</v>
      </c>
      <c r="D2825" s="88" t="s">
        <v>6076</v>
      </c>
      <c r="E2825" s="89" t="s">
        <v>1237</v>
      </c>
      <c r="F2825" s="89" t="s">
        <v>6536</v>
      </c>
      <c r="G2825" s="52" t="s">
        <v>351</v>
      </c>
      <c r="H2825" s="89" t="s">
        <v>5093</v>
      </c>
      <c r="I2825" s="52" t="s">
        <v>2986</v>
      </c>
      <c r="J2825" s="95">
        <v>1</v>
      </c>
      <c r="K2825" s="95">
        <v>77</v>
      </c>
      <c r="L2825" s="149">
        <v>100</v>
      </c>
      <c r="M2825" s="146" t="s">
        <v>22</v>
      </c>
      <c r="N2825" s="149"/>
      <c r="O2825" s="149"/>
      <c r="P2825" s="149"/>
      <c r="Q2825" s="149"/>
      <c r="R2825" s="149"/>
      <c r="S2825" s="149"/>
      <c r="T2825" s="149"/>
      <c r="U2825" s="149"/>
      <c r="V2825" s="52"/>
    </row>
    <row r="2826" spans="1:27" s="26" customFormat="1" ht="15" customHeight="1" x14ac:dyDescent="0.2">
      <c r="A2826" s="55">
        <v>41768.364872685197</v>
      </c>
      <c r="B2826" s="52" t="s">
        <v>152</v>
      </c>
      <c r="C2826" s="52" t="s">
        <v>1196</v>
      </c>
      <c r="D2826" s="88" t="s">
        <v>6076</v>
      </c>
      <c r="E2826" s="89" t="s">
        <v>1237</v>
      </c>
      <c r="F2826" s="89" t="s">
        <v>5835</v>
      </c>
      <c r="G2826" s="52" t="s">
        <v>351</v>
      </c>
      <c r="H2826" s="89" t="s">
        <v>5836</v>
      </c>
      <c r="I2826" s="52" t="s">
        <v>2986</v>
      </c>
      <c r="J2826" s="95">
        <v>1</v>
      </c>
      <c r="K2826" s="95">
        <v>89</v>
      </c>
      <c r="L2826" s="149">
        <v>60</v>
      </c>
      <c r="M2826" s="146" t="s">
        <v>22</v>
      </c>
      <c r="N2826" s="149"/>
      <c r="O2826" s="149"/>
      <c r="P2826" s="149"/>
      <c r="Q2826" s="149"/>
      <c r="R2826" s="149"/>
      <c r="S2826" s="149"/>
      <c r="T2826" s="149"/>
      <c r="U2826" s="149"/>
      <c r="V2826" s="52"/>
    </row>
    <row r="2827" spans="1:27" s="26" customFormat="1" ht="15" customHeight="1" x14ac:dyDescent="0.2">
      <c r="A2827" s="55">
        <v>41768.3661111111</v>
      </c>
      <c r="B2827" s="52" t="s">
        <v>152</v>
      </c>
      <c r="C2827" s="52" t="s">
        <v>1196</v>
      </c>
      <c r="D2827" s="88" t="s">
        <v>6076</v>
      </c>
      <c r="E2827" s="89" t="s">
        <v>2551</v>
      </c>
      <c r="F2827" s="89" t="s">
        <v>6537</v>
      </c>
      <c r="G2827" s="52" t="s">
        <v>351</v>
      </c>
      <c r="H2827" s="89" t="s">
        <v>6538</v>
      </c>
      <c r="I2827" s="52" t="s">
        <v>2986</v>
      </c>
      <c r="J2827" s="95">
        <v>8</v>
      </c>
      <c r="K2827" s="95">
        <v>272</v>
      </c>
      <c r="L2827" s="149">
        <v>120</v>
      </c>
      <c r="M2827" s="146" t="s">
        <v>22</v>
      </c>
      <c r="N2827" s="149"/>
      <c r="O2827" s="149"/>
      <c r="P2827" s="149"/>
      <c r="Q2827" s="149"/>
      <c r="R2827" s="149"/>
      <c r="S2827" s="149"/>
      <c r="T2827" s="149"/>
      <c r="U2827" s="149"/>
      <c r="V2827" s="52"/>
    </row>
    <row r="2828" spans="1:27" s="26" customFormat="1" ht="15" customHeight="1" x14ac:dyDescent="0.2">
      <c r="A2828" s="55">
        <v>41768.370266203703</v>
      </c>
      <c r="B2828" s="52" t="s">
        <v>152</v>
      </c>
      <c r="C2828" s="52" t="s">
        <v>1196</v>
      </c>
      <c r="D2828" s="88" t="s">
        <v>6076</v>
      </c>
      <c r="E2828" s="89" t="s">
        <v>6539</v>
      </c>
      <c r="F2828" s="89" t="s">
        <v>6540</v>
      </c>
      <c r="G2828" s="52" t="s">
        <v>351</v>
      </c>
      <c r="H2828" s="89" t="s">
        <v>6541</v>
      </c>
      <c r="I2828" s="52" t="s">
        <v>2986</v>
      </c>
      <c r="J2828" s="95">
        <v>6</v>
      </c>
      <c r="K2828" s="95">
        <v>126</v>
      </c>
      <c r="L2828" s="149">
        <v>120</v>
      </c>
      <c r="M2828" s="146" t="s">
        <v>22</v>
      </c>
      <c r="N2828" s="149"/>
      <c r="O2828" s="149"/>
      <c r="P2828" s="149"/>
      <c r="Q2828" s="149"/>
      <c r="R2828" s="149"/>
      <c r="S2828" s="149"/>
      <c r="T2828" s="149"/>
      <c r="U2828" s="149"/>
      <c r="V2828" s="52"/>
    </row>
    <row r="2829" spans="1:27" s="26" customFormat="1" ht="15" customHeight="1" x14ac:dyDescent="0.2">
      <c r="A2829" s="55">
        <v>41768.370902777802</v>
      </c>
      <c r="B2829" s="52" t="s">
        <v>152</v>
      </c>
      <c r="C2829" s="52" t="s">
        <v>1196</v>
      </c>
      <c r="D2829" s="88" t="s">
        <v>6076</v>
      </c>
      <c r="E2829" s="89" t="s">
        <v>1244</v>
      </c>
      <c r="F2829" s="89" t="s">
        <v>6542</v>
      </c>
      <c r="G2829" s="52" t="s">
        <v>351</v>
      </c>
      <c r="H2829" s="89" t="s">
        <v>2535</v>
      </c>
      <c r="I2829" s="52" t="s">
        <v>2986</v>
      </c>
      <c r="J2829" s="95">
        <v>1</v>
      </c>
      <c r="K2829" s="95">
        <v>36</v>
      </c>
      <c r="L2829" s="149">
        <v>60</v>
      </c>
      <c r="M2829" s="146" t="s">
        <v>22</v>
      </c>
      <c r="N2829" s="149"/>
      <c r="O2829" s="149"/>
      <c r="P2829" s="149"/>
      <c r="Q2829" s="149"/>
      <c r="R2829" s="149"/>
      <c r="S2829" s="149"/>
      <c r="T2829" s="149"/>
      <c r="U2829" s="149"/>
      <c r="V2829" s="52"/>
    </row>
    <row r="2830" spans="1:27" s="26" customFormat="1" ht="15" customHeight="1" x14ac:dyDescent="0.2">
      <c r="A2830" s="55">
        <v>41768.371747685203</v>
      </c>
      <c r="B2830" s="52" t="s">
        <v>152</v>
      </c>
      <c r="C2830" s="52" t="s">
        <v>1196</v>
      </c>
      <c r="D2830" s="88" t="s">
        <v>6076</v>
      </c>
      <c r="E2830" s="89" t="s">
        <v>2860</v>
      </c>
      <c r="F2830" s="89" t="s">
        <v>6543</v>
      </c>
      <c r="G2830" s="52" t="s">
        <v>351</v>
      </c>
      <c r="H2830" s="89" t="s">
        <v>2535</v>
      </c>
      <c r="I2830" s="52" t="s">
        <v>2986</v>
      </c>
      <c r="J2830" s="95">
        <v>1</v>
      </c>
      <c r="K2830" s="95">
        <v>20</v>
      </c>
      <c r="L2830" s="149">
        <v>60</v>
      </c>
      <c r="M2830" s="146" t="s">
        <v>22</v>
      </c>
      <c r="N2830" s="149"/>
      <c r="O2830" s="149"/>
      <c r="P2830" s="149"/>
      <c r="Q2830" s="149"/>
      <c r="R2830" s="149"/>
      <c r="S2830" s="149"/>
      <c r="T2830" s="149"/>
      <c r="U2830" s="149"/>
      <c r="V2830" s="52"/>
    </row>
    <row r="2831" spans="1:27" ht="15" customHeight="1" x14ac:dyDescent="0.2">
      <c r="A2831" s="55">
        <v>41768.375983796301</v>
      </c>
      <c r="B2831" s="52" t="s">
        <v>152</v>
      </c>
      <c r="C2831" s="52" t="s">
        <v>1196</v>
      </c>
      <c r="D2831" s="88" t="s">
        <v>6076</v>
      </c>
      <c r="E2831" s="52" t="s">
        <v>2860</v>
      </c>
      <c r="F2831" s="52" t="s">
        <v>6544</v>
      </c>
      <c r="G2831" s="52" t="s">
        <v>20</v>
      </c>
      <c r="H2831" s="52"/>
      <c r="I2831" s="52" t="s">
        <v>2986</v>
      </c>
      <c r="J2831" s="95">
        <v>1</v>
      </c>
      <c r="K2831" s="95">
        <v>82</v>
      </c>
      <c r="L2831" s="149">
        <v>228</v>
      </c>
      <c r="M2831" s="146" t="s">
        <v>22</v>
      </c>
      <c r="N2831" s="149"/>
      <c r="O2831" s="149"/>
      <c r="P2831" s="149"/>
      <c r="Q2831" s="149"/>
      <c r="R2831" s="149"/>
      <c r="S2831" s="149"/>
      <c r="T2831" s="149"/>
      <c r="U2831" s="149"/>
      <c r="V2831" s="52"/>
      <c r="W2831" s="26"/>
      <c r="X2831" s="26"/>
      <c r="Y2831" s="26"/>
      <c r="Z2831" s="26"/>
      <c r="AA2831" s="26"/>
    </row>
    <row r="2832" spans="1:27" ht="15" customHeight="1" x14ac:dyDescent="0.2">
      <c r="A2832" s="55">
        <v>41768.380416666703</v>
      </c>
      <c r="B2832" s="52" t="s">
        <v>152</v>
      </c>
      <c r="C2832" s="52" t="s">
        <v>1196</v>
      </c>
      <c r="D2832" s="88" t="s">
        <v>6076</v>
      </c>
      <c r="E2832" s="52" t="s">
        <v>6545</v>
      </c>
      <c r="F2832" s="52" t="s">
        <v>6546</v>
      </c>
      <c r="G2832" s="52" t="s">
        <v>20</v>
      </c>
      <c r="H2832" s="52" t="s">
        <v>6547</v>
      </c>
      <c r="I2832" s="52" t="s">
        <v>2986</v>
      </c>
      <c r="J2832" s="95">
        <v>4</v>
      </c>
      <c r="K2832" s="95">
        <v>82</v>
      </c>
      <c r="L2832" s="149">
        <v>228</v>
      </c>
      <c r="M2832" s="146" t="s">
        <v>22</v>
      </c>
      <c r="N2832" s="149"/>
      <c r="O2832" s="149"/>
      <c r="P2832" s="149"/>
      <c r="Q2832" s="149"/>
      <c r="R2832" s="149"/>
      <c r="S2832" s="149"/>
      <c r="T2832" s="149"/>
      <c r="U2832" s="149"/>
      <c r="V2832" s="52"/>
      <c r="W2832" s="26"/>
      <c r="X2832" s="26"/>
      <c r="Y2832" s="26"/>
      <c r="Z2832" s="26"/>
      <c r="AA2832" s="26"/>
    </row>
    <row r="2833" spans="1:27" ht="15" customHeight="1" x14ac:dyDescent="0.2">
      <c r="A2833" s="55">
        <v>41768.386412036998</v>
      </c>
      <c r="B2833" s="52" t="s">
        <v>152</v>
      </c>
      <c r="C2833" s="52" t="s">
        <v>1196</v>
      </c>
      <c r="D2833" s="88" t="s">
        <v>6076</v>
      </c>
      <c r="E2833" s="52" t="s">
        <v>1237</v>
      </c>
      <c r="F2833" s="52" t="s">
        <v>6548</v>
      </c>
      <c r="G2833" s="52" t="s">
        <v>20</v>
      </c>
      <c r="H2833" s="52" t="s">
        <v>6549</v>
      </c>
      <c r="I2833" s="52" t="s">
        <v>2986</v>
      </c>
      <c r="J2833" s="95">
        <v>2</v>
      </c>
      <c r="K2833" s="95">
        <v>19</v>
      </c>
      <c r="L2833" s="149">
        <v>51</v>
      </c>
      <c r="M2833" s="146" t="s">
        <v>22</v>
      </c>
      <c r="N2833" s="149"/>
      <c r="O2833" s="149"/>
      <c r="P2833" s="149"/>
      <c r="Q2833" s="149"/>
      <c r="R2833" s="149"/>
      <c r="S2833" s="149"/>
      <c r="T2833" s="149"/>
      <c r="U2833" s="149"/>
      <c r="V2833" s="52"/>
      <c r="W2833" s="26"/>
      <c r="X2833" s="26"/>
      <c r="Y2833" s="26"/>
      <c r="Z2833" s="26"/>
      <c r="AA2833" s="26"/>
    </row>
    <row r="2834" spans="1:27" ht="15" customHeight="1" x14ac:dyDescent="0.2">
      <c r="A2834" s="55">
        <v>41768.393182870401</v>
      </c>
      <c r="B2834" s="52" t="s">
        <v>152</v>
      </c>
      <c r="C2834" s="52" t="s">
        <v>1196</v>
      </c>
      <c r="D2834" s="88" t="s">
        <v>6076</v>
      </c>
      <c r="E2834" s="52" t="s">
        <v>5096</v>
      </c>
      <c r="F2834" s="52" t="s">
        <v>6550</v>
      </c>
      <c r="G2834" s="52" t="s">
        <v>42</v>
      </c>
      <c r="H2834" s="52" t="s">
        <v>6551</v>
      </c>
      <c r="I2834" s="52" t="s">
        <v>2986</v>
      </c>
      <c r="J2834" s="95">
        <v>3</v>
      </c>
      <c r="K2834" s="95">
        <v>20</v>
      </c>
      <c r="L2834" s="149">
        <v>200</v>
      </c>
      <c r="M2834" s="146" t="s">
        <v>22</v>
      </c>
      <c r="N2834" s="149"/>
      <c r="O2834" s="149"/>
      <c r="P2834" s="149"/>
      <c r="Q2834" s="149"/>
      <c r="R2834" s="149"/>
      <c r="S2834" s="149"/>
      <c r="T2834" s="149"/>
      <c r="U2834" s="149"/>
      <c r="V2834" s="52"/>
      <c r="W2834" s="26"/>
      <c r="X2834" s="26"/>
      <c r="Y2834" s="26"/>
      <c r="Z2834" s="26"/>
      <c r="AA2834" s="26"/>
    </row>
    <row r="2835" spans="1:27" ht="15" customHeight="1" x14ac:dyDescent="0.2">
      <c r="A2835" s="55">
        <v>41768.394166666701</v>
      </c>
      <c r="B2835" s="52" t="s">
        <v>152</v>
      </c>
      <c r="C2835" s="52" t="s">
        <v>1196</v>
      </c>
      <c r="D2835" s="88" t="s">
        <v>6076</v>
      </c>
      <c r="E2835" s="52" t="s">
        <v>6524</v>
      </c>
      <c r="F2835" s="52" t="s">
        <v>6552</v>
      </c>
      <c r="G2835" s="52" t="s">
        <v>60</v>
      </c>
      <c r="H2835" s="52" t="s">
        <v>6553</v>
      </c>
      <c r="I2835" s="52" t="s">
        <v>2986</v>
      </c>
      <c r="J2835" s="95">
        <v>3</v>
      </c>
      <c r="K2835" s="95">
        <v>45</v>
      </c>
      <c r="L2835" s="149">
        <v>450</v>
      </c>
      <c r="M2835" s="146" t="s">
        <v>22</v>
      </c>
      <c r="N2835" s="149"/>
      <c r="O2835" s="149"/>
      <c r="P2835" s="149"/>
      <c r="Q2835" s="149"/>
      <c r="R2835" s="149"/>
      <c r="S2835" s="149"/>
      <c r="T2835" s="149"/>
      <c r="U2835" s="149"/>
      <c r="V2835" s="52"/>
      <c r="W2835" s="26"/>
      <c r="X2835" s="26"/>
      <c r="Y2835" s="26"/>
      <c r="Z2835" s="26"/>
      <c r="AA2835" s="26"/>
    </row>
    <row r="2836" spans="1:27" ht="15" customHeight="1" x14ac:dyDescent="0.2">
      <c r="A2836" s="55">
        <v>41768.395555555602</v>
      </c>
      <c r="B2836" s="52" t="s">
        <v>152</v>
      </c>
      <c r="C2836" s="52" t="s">
        <v>1196</v>
      </c>
      <c r="D2836" s="88" t="s">
        <v>6076</v>
      </c>
      <c r="E2836" s="52" t="s">
        <v>2536</v>
      </c>
      <c r="F2836" s="52" t="s">
        <v>6554</v>
      </c>
      <c r="G2836" s="52" t="s">
        <v>42</v>
      </c>
      <c r="H2836" s="52" t="s">
        <v>6555</v>
      </c>
      <c r="I2836" s="52"/>
      <c r="J2836" s="95">
        <v>1</v>
      </c>
      <c r="K2836" s="95">
        <v>15</v>
      </c>
      <c r="L2836" s="149">
        <v>150</v>
      </c>
      <c r="M2836" s="146" t="s">
        <v>22</v>
      </c>
      <c r="N2836" s="149"/>
      <c r="O2836" s="149"/>
      <c r="P2836" s="149"/>
      <c r="Q2836" s="149"/>
      <c r="R2836" s="149"/>
      <c r="S2836" s="149"/>
      <c r="T2836" s="149"/>
      <c r="U2836" s="149"/>
      <c r="V2836" s="52"/>
      <c r="W2836" s="26"/>
      <c r="X2836" s="26"/>
      <c r="Y2836" s="26"/>
      <c r="Z2836" s="26"/>
      <c r="AA2836" s="26"/>
    </row>
    <row r="2837" spans="1:27" ht="15" customHeight="1" x14ac:dyDescent="0.2">
      <c r="A2837" s="93">
        <v>41768.396342592598</v>
      </c>
      <c r="B2837" s="89" t="s">
        <v>152</v>
      </c>
      <c r="C2837" s="52" t="s">
        <v>1196</v>
      </c>
      <c r="D2837" s="87" t="s">
        <v>6076</v>
      </c>
      <c r="E2837" s="89" t="s">
        <v>4023</v>
      </c>
      <c r="F2837" s="89" t="s">
        <v>6556</v>
      </c>
      <c r="G2837" s="94" t="s">
        <v>26</v>
      </c>
      <c r="H2837" s="89" t="s">
        <v>6555</v>
      </c>
      <c r="I2837" s="89" t="s">
        <v>2986</v>
      </c>
      <c r="J2837" s="95">
        <v>1</v>
      </c>
      <c r="K2837" s="95">
        <v>7</v>
      </c>
      <c r="L2837" s="149">
        <v>100</v>
      </c>
      <c r="M2837" s="146" t="s">
        <v>22</v>
      </c>
      <c r="N2837" s="149"/>
      <c r="O2837" s="149"/>
      <c r="P2837" s="149"/>
      <c r="Q2837" s="149"/>
      <c r="R2837" s="149"/>
      <c r="S2837" s="149"/>
      <c r="T2837" s="149"/>
      <c r="U2837" s="149"/>
      <c r="V2837" s="89"/>
      <c r="Z2837" s="26"/>
      <c r="AA2837" s="26"/>
    </row>
    <row r="2838" spans="1:27" ht="15" customHeight="1" x14ac:dyDescent="0.2">
      <c r="A2838" s="55">
        <v>41768.398969907401</v>
      </c>
      <c r="B2838" s="52" t="s">
        <v>152</v>
      </c>
      <c r="C2838" s="52" t="s">
        <v>1196</v>
      </c>
      <c r="D2838" s="88" t="s">
        <v>6076</v>
      </c>
      <c r="E2838" s="52" t="s">
        <v>6557</v>
      </c>
      <c r="F2838" s="52" t="s">
        <v>6558</v>
      </c>
      <c r="G2838" s="52" t="s">
        <v>42</v>
      </c>
      <c r="H2838" s="52" t="s">
        <v>6559</v>
      </c>
      <c r="I2838" s="52" t="s">
        <v>2986</v>
      </c>
      <c r="J2838" s="95">
        <v>1</v>
      </c>
      <c r="K2838" s="95">
        <v>12</v>
      </c>
      <c r="L2838" s="149">
        <v>120</v>
      </c>
      <c r="M2838" s="146" t="s">
        <v>22</v>
      </c>
      <c r="N2838" s="149"/>
      <c r="O2838" s="149"/>
      <c r="P2838" s="149"/>
      <c r="Q2838" s="149"/>
      <c r="R2838" s="149"/>
      <c r="S2838" s="149"/>
      <c r="T2838" s="149"/>
      <c r="U2838" s="149"/>
      <c r="V2838" s="52"/>
      <c r="W2838" s="26"/>
      <c r="X2838" s="26"/>
      <c r="Y2838" s="26"/>
      <c r="Z2838" s="26"/>
      <c r="AA2838" s="26"/>
    </row>
    <row r="2839" spans="1:27" ht="15" customHeight="1" x14ac:dyDescent="0.2">
      <c r="A2839" s="93">
        <v>41768.401006944398</v>
      </c>
      <c r="B2839" s="89" t="s">
        <v>152</v>
      </c>
      <c r="C2839" s="52" t="s">
        <v>1196</v>
      </c>
      <c r="D2839" s="87" t="s">
        <v>6076</v>
      </c>
      <c r="E2839" s="89" t="s">
        <v>4023</v>
      </c>
      <c r="F2839" s="89" t="s">
        <v>6560</v>
      </c>
      <c r="G2839" s="89" t="s">
        <v>26</v>
      </c>
      <c r="H2839" s="89" t="s">
        <v>6561</v>
      </c>
      <c r="I2839" s="89" t="s">
        <v>2986</v>
      </c>
      <c r="J2839" s="95">
        <v>1</v>
      </c>
      <c r="K2839" s="95">
        <v>4</v>
      </c>
      <c r="L2839" s="149"/>
      <c r="M2839" s="146" t="s">
        <v>22</v>
      </c>
      <c r="N2839" s="149"/>
      <c r="O2839" s="149"/>
      <c r="P2839" s="149"/>
      <c r="Q2839" s="149"/>
      <c r="R2839" s="149"/>
      <c r="S2839" s="149"/>
      <c r="T2839" s="149"/>
      <c r="U2839" s="149"/>
      <c r="V2839" s="89"/>
      <c r="Z2839" s="26"/>
      <c r="AA2839" s="26"/>
    </row>
    <row r="2840" spans="1:27" ht="15" customHeight="1" x14ac:dyDescent="0.2">
      <c r="A2840" s="37">
        <v>41495.472893518498</v>
      </c>
      <c r="B2840" s="26" t="s">
        <v>16</v>
      </c>
      <c r="C2840" s="26" t="s">
        <v>1153</v>
      </c>
      <c r="D2840" s="33">
        <v>41456</v>
      </c>
      <c r="E2840" s="26" t="s">
        <v>1154</v>
      </c>
      <c r="F2840" s="26" t="s">
        <v>1155</v>
      </c>
      <c r="G2840" s="26" t="s">
        <v>26</v>
      </c>
      <c r="H2840" s="26" t="s">
        <v>1156</v>
      </c>
      <c r="I2840" s="26"/>
      <c r="J2840" s="46">
        <v>42</v>
      </c>
      <c r="K2840" s="46">
        <v>275</v>
      </c>
      <c r="L2840" s="136">
        <v>3336</v>
      </c>
      <c r="M2840" s="137" t="s">
        <v>44</v>
      </c>
      <c r="U2840" s="138">
        <v>1000</v>
      </c>
      <c r="V2840" s="26" t="s">
        <v>1157</v>
      </c>
      <c r="W2840" s="26"/>
      <c r="X2840" s="26"/>
      <c r="Y2840" s="26"/>
      <c r="Z2840" s="26"/>
      <c r="AA2840" s="26"/>
    </row>
    <row r="2841" spans="1:27" s="26" customFormat="1" ht="15" customHeight="1" x14ac:dyDescent="0.2">
      <c r="A2841" s="37">
        <v>41495.495300925897</v>
      </c>
      <c r="B2841" s="26" t="s">
        <v>16</v>
      </c>
      <c r="C2841" s="26" t="s">
        <v>1153</v>
      </c>
      <c r="D2841" s="33">
        <v>41456</v>
      </c>
      <c r="E2841" s="26" t="s">
        <v>1158</v>
      </c>
      <c r="F2841" s="26" t="s">
        <v>1159</v>
      </c>
      <c r="G2841" s="26" t="s">
        <v>26</v>
      </c>
      <c r="H2841" s="26" t="s">
        <v>1160</v>
      </c>
      <c r="J2841" s="46">
        <v>1</v>
      </c>
      <c r="K2841" s="46">
        <v>11</v>
      </c>
      <c r="L2841" s="136"/>
      <c r="M2841" s="137" t="s">
        <v>22</v>
      </c>
      <c r="N2841" s="138"/>
      <c r="O2841" s="138"/>
      <c r="P2841" s="138"/>
      <c r="Q2841" s="138"/>
      <c r="R2841" s="138"/>
      <c r="S2841" s="138"/>
      <c r="T2841" s="138"/>
      <c r="U2841" s="138"/>
    </row>
    <row r="2842" spans="1:27" s="26" customFormat="1" ht="15" customHeight="1" x14ac:dyDescent="0.2">
      <c r="A2842" s="28">
        <v>41527.38517361111</v>
      </c>
      <c r="B2842" s="29" t="s">
        <v>16</v>
      </c>
      <c r="C2842" s="29" t="s">
        <v>1153</v>
      </c>
      <c r="D2842" s="30">
        <v>41487</v>
      </c>
      <c r="E2842" s="44">
        <v>41488</v>
      </c>
      <c r="F2842" s="29" t="s">
        <v>1914</v>
      </c>
      <c r="G2842" s="29" t="s">
        <v>26</v>
      </c>
      <c r="H2842" s="29" t="s">
        <v>1915</v>
      </c>
      <c r="I2842" s="29"/>
      <c r="J2842" s="116">
        <v>1</v>
      </c>
      <c r="K2842" s="116">
        <v>16</v>
      </c>
      <c r="L2842" s="139">
        <v>80</v>
      </c>
      <c r="M2842" s="140" t="s">
        <v>22</v>
      </c>
      <c r="N2842" s="141"/>
      <c r="O2842" s="141"/>
      <c r="P2842" s="141"/>
      <c r="Q2842" s="141"/>
      <c r="R2842" s="141"/>
      <c r="S2842" s="141"/>
      <c r="T2842" s="141"/>
      <c r="U2842" s="141"/>
      <c r="V2842" s="29"/>
    </row>
    <row r="2843" spans="1:27" s="26" customFormat="1" ht="15" customHeight="1" x14ac:dyDescent="0.2">
      <c r="A2843" s="28">
        <v>41527.385914351849</v>
      </c>
      <c r="B2843" s="29" t="s">
        <v>16</v>
      </c>
      <c r="C2843" s="29" t="s">
        <v>1153</v>
      </c>
      <c r="D2843" s="30">
        <v>41487</v>
      </c>
      <c r="E2843" s="44">
        <v>41496</v>
      </c>
      <c r="F2843" s="29" t="s">
        <v>575</v>
      </c>
      <c r="G2843" s="29" t="s">
        <v>26</v>
      </c>
      <c r="H2843" s="29"/>
      <c r="I2843" s="29"/>
      <c r="J2843" s="116">
        <v>1</v>
      </c>
      <c r="K2843" s="116">
        <v>20</v>
      </c>
      <c r="L2843" s="139">
        <v>0</v>
      </c>
      <c r="M2843" s="140" t="s">
        <v>22</v>
      </c>
      <c r="N2843" s="141"/>
      <c r="O2843" s="141"/>
      <c r="P2843" s="141"/>
      <c r="Q2843" s="141"/>
      <c r="R2843" s="141"/>
      <c r="S2843" s="141"/>
      <c r="T2843" s="141"/>
      <c r="U2843" s="141"/>
      <c r="V2843" s="29"/>
    </row>
    <row r="2844" spans="1:27" s="26" customFormat="1" ht="15" customHeight="1" x14ac:dyDescent="0.2">
      <c r="A2844" s="28">
        <v>41527.41070601852</v>
      </c>
      <c r="B2844" s="29" t="s">
        <v>16</v>
      </c>
      <c r="C2844" s="29" t="s">
        <v>1153</v>
      </c>
      <c r="D2844" s="30">
        <v>41487</v>
      </c>
      <c r="E2844" s="29" t="s">
        <v>1154</v>
      </c>
      <c r="F2844" s="29" t="s">
        <v>1916</v>
      </c>
      <c r="G2844" s="29" t="s">
        <v>26</v>
      </c>
      <c r="H2844" s="29" t="s">
        <v>1156</v>
      </c>
      <c r="I2844" s="29"/>
      <c r="J2844" s="116">
        <v>62</v>
      </c>
      <c r="K2844" s="116">
        <v>289</v>
      </c>
      <c r="L2844" s="139">
        <v>2961</v>
      </c>
      <c r="M2844" s="140" t="s">
        <v>44</v>
      </c>
      <c r="N2844" s="141"/>
      <c r="O2844" s="141"/>
      <c r="P2844" s="141">
        <v>596</v>
      </c>
      <c r="Q2844" s="141">
        <v>823</v>
      </c>
      <c r="R2844" s="141">
        <v>2593</v>
      </c>
      <c r="S2844" s="141"/>
      <c r="T2844" s="141"/>
      <c r="U2844" s="141">
        <v>1000</v>
      </c>
      <c r="V2844" s="29" t="s">
        <v>1917</v>
      </c>
    </row>
    <row r="2845" spans="1:27" s="26" customFormat="1" ht="15" customHeight="1" x14ac:dyDescent="0.2">
      <c r="A2845" s="32">
        <v>41557.44635416667</v>
      </c>
      <c r="B2845" s="26" t="s">
        <v>16</v>
      </c>
      <c r="C2845" s="26" t="s">
        <v>1153</v>
      </c>
      <c r="D2845" s="30">
        <v>41518</v>
      </c>
      <c r="E2845" s="26" t="s">
        <v>2761</v>
      </c>
      <c r="F2845" s="26" t="s">
        <v>1155</v>
      </c>
      <c r="G2845" s="26" t="s">
        <v>26</v>
      </c>
      <c r="H2845" s="26" t="s">
        <v>2762</v>
      </c>
      <c r="J2845" s="46">
        <v>60</v>
      </c>
      <c r="K2845" s="46">
        <v>195</v>
      </c>
      <c r="L2845" s="136">
        <v>2900</v>
      </c>
      <c r="M2845" s="137" t="s">
        <v>44</v>
      </c>
      <c r="N2845" s="138"/>
      <c r="O2845" s="138"/>
      <c r="P2845" s="138">
        <v>600</v>
      </c>
      <c r="Q2845" s="138">
        <v>1200</v>
      </c>
      <c r="R2845" s="138">
        <v>2500</v>
      </c>
      <c r="S2845" s="138"/>
      <c r="T2845" s="138"/>
      <c r="U2845" s="138">
        <v>800</v>
      </c>
    </row>
    <row r="2846" spans="1:27" s="26" customFormat="1" ht="15" customHeight="1" x14ac:dyDescent="0.2">
      <c r="A2846" s="32">
        <v>41557.416412037041</v>
      </c>
      <c r="B2846" s="26" t="s">
        <v>16</v>
      </c>
      <c r="C2846" s="26" t="s">
        <v>1153</v>
      </c>
      <c r="D2846" s="30">
        <v>41518</v>
      </c>
      <c r="E2846" s="26" t="s">
        <v>2763</v>
      </c>
      <c r="F2846" s="26" t="s">
        <v>283</v>
      </c>
      <c r="G2846" s="26" t="s">
        <v>26</v>
      </c>
      <c r="H2846" s="26" t="s">
        <v>2764</v>
      </c>
      <c r="J2846" s="46">
        <v>1</v>
      </c>
      <c r="K2846" s="46">
        <v>11</v>
      </c>
      <c r="L2846" s="136">
        <v>60</v>
      </c>
      <c r="M2846" s="137" t="s">
        <v>22</v>
      </c>
      <c r="N2846" s="138"/>
      <c r="O2846" s="138"/>
      <c r="P2846" s="138"/>
      <c r="Q2846" s="138"/>
      <c r="R2846" s="138"/>
      <c r="S2846" s="138"/>
      <c r="T2846" s="138"/>
      <c r="U2846" s="138"/>
    </row>
    <row r="2847" spans="1:27" s="26" customFormat="1" ht="15" customHeight="1" x14ac:dyDescent="0.2">
      <c r="A2847" s="32">
        <v>41557.421331018515</v>
      </c>
      <c r="B2847" s="26" t="s">
        <v>16</v>
      </c>
      <c r="C2847" s="26" t="s">
        <v>1153</v>
      </c>
      <c r="D2847" s="30">
        <v>41518</v>
      </c>
      <c r="E2847" s="36">
        <v>41531</v>
      </c>
      <c r="F2847" s="26" t="s">
        <v>575</v>
      </c>
      <c r="G2847" s="26" t="s">
        <v>26</v>
      </c>
      <c r="J2847" s="46">
        <v>1</v>
      </c>
      <c r="K2847" s="46">
        <v>15</v>
      </c>
      <c r="L2847" s="136">
        <v>0</v>
      </c>
      <c r="M2847" s="137" t="s">
        <v>22</v>
      </c>
      <c r="N2847" s="138"/>
      <c r="O2847" s="138"/>
      <c r="P2847" s="138"/>
      <c r="Q2847" s="138"/>
      <c r="R2847" s="138"/>
      <c r="S2847" s="138"/>
      <c r="T2847" s="138"/>
      <c r="U2847" s="138"/>
    </row>
    <row r="2848" spans="1:27" s="26" customFormat="1" ht="15" customHeight="1" x14ac:dyDescent="0.2">
      <c r="A2848" s="32">
        <v>41557.422361111108</v>
      </c>
      <c r="B2848" s="26" t="s">
        <v>16</v>
      </c>
      <c r="C2848" s="26" t="s">
        <v>1153</v>
      </c>
      <c r="D2848" s="30">
        <v>41518</v>
      </c>
      <c r="E2848" s="26" t="s">
        <v>2765</v>
      </c>
      <c r="F2848" s="26" t="s">
        <v>2766</v>
      </c>
      <c r="G2848" s="26" t="s">
        <v>26</v>
      </c>
      <c r="H2848" s="26" t="s">
        <v>2767</v>
      </c>
      <c r="J2848" s="115">
        <v>1</v>
      </c>
      <c r="K2848" s="115">
        <v>10</v>
      </c>
      <c r="L2848" s="136">
        <v>100</v>
      </c>
      <c r="M2848" s="137" t="s">
        <v>22</v>
      </c>
      <c r="N2848" s="138"/>
      <c r="O2848" s="138"/>
      <c r="P2848" s="138"/>
      <c r="Q2848" s="138"/>
      <c r="R2848" s="138"/>
      <c r="S2848" s="138"/>
      <c r="T2848" s="138"/>
      <c r="U2848" s="138"/>
    </row>
    <row r="2849" spans="1:25" s="26" customFormat="1" ht="15" customHeight="1" x14ac:dyDescent="0.2">
      <c r="A2849" s="32">
        <v>41557.423750000002</v>
      </c>
      <c r="B2849" s="26" t="s">
        <v>16</v>
      </c>
      <c r="C2849" s="26" t="s">
        <v>1153</v>
      </c>
      <c r="D2849" s="30">
        <v>41518</v>
      </c>
      <c r="E2849" s="36">
        <v>41545</v>
      </c>
      <c r="F2849" s="34" t="s">
        <v>575</v>
      </c>
      <c r="G2849" s="26" t="s">
        <v>26</v>
      </c>
      <c r="J2849" s="46">
        <v>1</v>
      </c>
      <c r="K2849" s="46">
        <v>7</v>
      </c>
      <c r="L2849" s="136">
        <v>0</v>
      </c>
      <c r="M2849" s="137" t="s">
        <v>22</v>
      </c>
      <c r="N2849" s="138"/>
      <c r="O2849" s="138"/>
      <c r="P2849" s="138"/>
      <c r="Q2849" s="138"/>
      <c r="R2849" s="138"/>
      <c r="S2849" s="138"/>
      <c r="T2849" s="138"/>
      <c r="U2849" s="138"/>
    </row>
    <row r="2850" spans="1:25" s="26" customFormat="1" ht="15" customHeight="1" x14ac:dyDescent="0.2">
      <c r="A2850" s="48">
        <v>41613.3538078704</v>
      </c>
      <c r="B2850" s="49" t="s">
        <v>16</v>
      </c>
      <c r="C2850" s="50" t="s">
        <v>1153</v>
      </c>
      <c r="D2850" s="67">
        <v>41579</v>
      </c>
      <c r="E2850" s="50" t="s">
        <v>3254</v>
      </c>
      <c r="F2850" s="50" t="s">
        <v>3255</v>
      </c>
      <c r="G2850" s="49" t="s">
        <v>26</v>
      </c>
      <c r="H2850" s="50" t="s">
        <v>3256</v>
      </c>
      <c r="I2850" s="50" t="s">
        <v>2986</v>
      </c>
      <c r="J2850" s="117">
        <v>1</v>
      </c>
      <c r="K2850" s="117">
        <v>15</v>
      </c>
      <c r="L2850" s="142">
        <v>60</v>
      </c>
      <c r="M2850" s="143" t="s">
        <v>22</v>
      </c>
      <c r="N2850" s="144"/>
      <c r="O2850" s="144"/>
      <c r="P2850" s="144"/>
      <c r="Q2850" s="144"/>
      <c r="R2850" s="144"/>
      <c r="S2850" s="144"/>
      <c r="T2850" s="144"/>
      <c r="U2850" s="144"/>
      <c r="V2850" s="50"/>
    </row>
    <row r="2851" spans="1:25" s="26" customFormat="1" ht="15" customHeight="1" x14ac:dyDescent="0.2">
      <c r="A2851" s="48">
        <v>41613.368576388901</v>
      </c>
      <c r="B2851" s="49" t="s">
        <v>16</v>
      </c>
      <c r="C2851" s="50" t="s">
        <v>1153</v>
      </c>
      <c r="D2851" s="67">
        <v>41579</v>
      </c>
      <c r="E2851" s="50" t="s">
        <v>3257</v>
      </c>
      <c r="F2851" s="50" t="s">
        <v>3258</v>
      </c>
      <c r="G2851" s="49" t="s">
        <v>42</v>
      </c>
      <c r="H2851" s="50" t="s">
        <v>3259</v>
      </c>
      <c r="I2851" s="50" t="s">
        <v>2986</v>
      </c>
      <c r="J2851" s="117">
        <v>1</v>
      </c>
      <c r="K2851" s="117">
        <v>15</v>
      </c>
      <c r="L2851" s="142">
        <v>300</v>
      </c>
      <c r="M2851" s="143" t="s">
        <v>22</v>
      </c>
      <c r="N2851" s="144"/>
      <c r="O2851" s="144"/>
      <c r="P2851" s="144"/>
      <c r="Q2851" s="144"/>
      <c r="R2851" s="144"/>
      <c r="S2851" s="144"/>
      <c r="T2851" s="144"/>
      <c r="U2851" s="144"/>
      <c r="V2851" s="50"/>
    </row>
    <row r="2852" spans="1:25" s="26" customFormat="1" ht="15" customHeight="1" x14ac:dyDescent="0.2">
      <c r="A2852" s="48">
        <v>41613.493726851899</v>
      </c>
      <c r="B2852" s="49" t="s">
        <v>16</v>
      </c>
      <c r="C2852" s="50" t="s">
        <v>1153</v>
      </c>
      <c r="D2852" s="67">
        <v>41579</v>
      </c>
      <c r="E2852" s="50" t="s">
        <v>3275</v>
      </c>
      <c r="F2852" s="50" t="s">
        <v>575</v>
      </c>
      <c r="G2852" s="49" t="s">
        <v>26</v>
      </c>
      <c r="H2852" s="50"/>
      <c r="I2852" s="50" t="s">
        <v>2986</v>
      </c>
      <c r="J2852" s="117">
        <v>1</v>
      </c>
      <c r="K2852" s="117">
        <v>20</v>
      </c>
      <c r="L2852" s="142"/>
      <c r="M2852" s="143" t="s">
        <v>22</v>
      </c>
      <c r="N2852" s="144"/>
      <c r="O2852" s="144"/>
      <c r="P2852" s="144"/>
      <c r="Q2852" s="144"/>
      <c r="R2852" s="144"/>
      <c r="S2852" s="144"/>
      <c r="T2852" s="144"/>
      <c r="U2852" s="144"/>
      <c r="V2852" s="50"/>
    </row>
    <row r="2853" spans="1:25" s="26" customFormat="1" ht="15" customHeight="1" x14ac:dyDescent="0.2">
      <c r="A2853" s="48">
        <v>41613.495381944398</v>
      </c>
      <c r="B2853" s="49" t="s">
        <v>16</v>
      </c>
      <c r="C2853" s="50" t="s">
        <v>1153</v>
      </c>
      <c r="D2853" s="67">
        <v>41579</v>
      </c>
      <c r="E2853" s="50" t="s">
        <v>3276</v>
      </c>
      <c r="F2853" s="50" t="s">
        <v>3277</v>
      </c>
      <c r="G2853" s="49" t="s">
        <v>42</v>
      </c>
      <c r="H2853" s="50"/>
      <c r="I2853" s="50" t="s">
        <v>3001</v>
      </c>
      <c r="J2853" s="117">
        <v>1</v>
      </c>
      <c r="K2853" s="117">
        <v>8</v>
      </c>
      <c r="L2853" s="142">
        <v>16</v>
      </c>
      <c r="M2853" s="143" t="s">
        <v>22</v>
      </c>
      <c r="N2853" s="144"/>
      <c r="O2853" s="144"/>
      <c r="P2853" s="144"/>
      <c r="Q2853" s="144"/>
      <c r="R2853" s="144"/>
      <c r="S2853" s="144"/>
      <c r="T2853" s="144"/>
      <c r="U2853" s="144"/>
      <c r="V2853" s="50"/>
    </row>
    <row r="2854" spans="1:25" s="26" customFormat="1" ht="15" customHeight="1" x14ac:dyDescent="0.2">
      <c r="A2854" s="48">
        <v>41613.496747685203</v>
      </c>
      <c r="B2854" s="49" t="s">
        <v>16</v>
      </c>
      <c r="C2854" s="50" t="s">
        <v>1153</v>
      </c>
      <c r="D2854" s="67">
        <v>41579</v>
      </c>
      <c r="E2854" s="50" t="s">
        <v>3278</v>
      </c>
      <c r="F2854" s="50" t="s">
        <v>575</v>
      </c>
      <c r="G2854" s="49" t="s">
        <v>26</v>
      </c>
      <c r="H2854" s="50"/>
      <c r="I2854" s="50" t="s">
        <v>2986</v>
      </c>
      <c r="J2854" s="117">
        <v>1</v>
      </c>
      <c r="K2854" s="117">
        <v>19</v>
      </c>
      <c r="L2854" s="142">
        <v>6</v>
      </c>
      <c r="M2854" s="143" t="s">
        <v>22</v>
      </c>
      <c r="N2854" s="144"/>
      <c r="O2854" s="144"/>
      <c r="P2854" s="144"/>
      <c r="Q2854" s="144"/>
      <c r="R2854" s="144"/>
      <c r="S2854" s="144"/>
      <c r="T2854" s="144"/>
      <c r="U2854" s="144"/>
      <c r="V2854" s="50"/>
    </row>
    <row r="2855" spans="1:25" s="26" customFormat="1" ht="15" customHeight="1" x14ac:dyDescent="0.2">
      <c r="A2855" s="48">
        <v>41613.498078703698</v>
      </c>
      <c r="B2855" s="49" t="s">
        <v>16</v>
      </c>
      <c r="C2855" s="50" t="s">
        <v>1153</v>
      </c>
      <c r="D2855" s="67">
        <v>41579</v>
      </c>
      <c r="E2855" s="50" t="s">
        <v>3279</v>
      </c>
      <c r="F2855" s="50" t="s">
        <v>283</v>
      </c>
      <c r="G2855" s="49" t="s">
        <v>26</v>
      </c>
      <c r="H2855" s="50"/>
      <c r="I2855" s="50" t="s">
        <v>2926</v>
      </c>
      <c r="J2855" s="117">
        <v>1</v>
      </c>
      <c r="K2855" s="117">
        <v>15</v>
      </c>
      <c r="L2855" s="142">
        <v>60</v>
      </c>
      <c r="M2855" s="143" t="s">
        <v>22</v>
      </c>
      <c r="N2855" s="144"/>
      <c r="O2855" s="144"/>
      <c r="P2855" s="144"/>
      <c r="Q2855" s="144"/>
      <c r="R2855" s="144"/>
      <c r="S2855" s="144"/>
      <c r="T2855" s="144"/>
      <c r="U2855" s="144"/>
      <c r="V2855" s="50"/>
    </row>
    <row r="2856" spans="1:25" s="26" customFormat="1" ht="15" customHeight="1" x14ac:dyDescent="0.2">
      <c r="A2856" s="48">
        <v>41614.499571759297</v>
      </c>
      <c r="B2856" s="49" t="s">
        <v>16</v>
      </c>
      <c r="C2856" s="50" t="s">
        <v>1153</v>
      </c>
      <c r="D2856" s="67">
        <v>41579</v>
      </c>
      <c r="E2856" s="50" t="s">
        <v>3449</v>
      </c>
      <c r="F2856" s="50" t="s">
        <v>1155</v>
      </c>
      <c r="G2856" s="49" t="s">
        <v>26</v>
      </c>
      <c r="H2856" s="50" t="s">
        <v>3450</v>
      </c>
      <c r="I2856" s="50" t="s">
        <v>2986</v>
      </c>
      <c r="J2856" s="117">
        <v>78</v>
      </c>
      <c r="K2856" s="117">
        <v>249</v>
      </c>
      <c r="L2856" s="142">
        <v>4000</v>
      </c>
      <c r="M2856" s="143" t="s">
        <v>44</v>
      </c>
      <c r="N2856" s="144"/>
      <c r="O2856" s="144"/>
      <c r="P2856" s="144">
        <v>1400</v>
      </c>
      <c r="Q2856" s="144">
        <v>2500</v>
      </c>
      <c r="R2856" s="144">
        <v>3800</v>
      </c>
      <c r="S2856" s="144"/>
      <c r="T2856" s="144"/>
      <c r="U2856" s="144">
        <v>800</v>
      </c>
      <c r="V2856" s="50"/>
    </row>
    <row r="2857" spans="1:25" s="26" customFormat="1" ht="15" customHeight="1" x14ac:dyDescent="0.2">
      <c r="A2857" s="32">
        <v>41649.731874999998</v>
      </c>
      <c r="B2857" s="26" t="s">
        <v>16</v>
      </c>
      <c r="C2857" s="26" t="s">
        <v>1153</v>
      </c>
      <c r="D2857" s="68">
        <v>41609</v>
      </c>
      <c r="E2857" s="26" t="s">
        <v>4111</v>
      </c>
      <c r="F2857" s="26" t="s">
        <v>575</v>
      </c>
      <c r="G2857" s="26" t="s">
        <v>26</v>
      </c>
      <c r="I2857" s="26" t="s">
        <v>3001</v>
      </c>
      <c r="J2857" s="46">
        <v>1</v>
      </c>
      <c r="K2857" s="46">
        <v>15</v>
      </c>
      <c r="L2857" s="136"/>
      <c r="M2857" s="137" t="s">
        <v>22</v>
      </c>
      <c r="N2857" s="138"/>
      <c r="O2857" s="138"/>
      <c r="P2857" s="138"/>
      <c r="Q2857" s="138"/>
      <c r="R2857" s="138"/>
      <c r="S2857" s="138"/>
      <c r="T2857" s="138"/>
      <c r="U2857" s="138"/>
    </row>
    <row r="2858" spans="1:25" s="26" customFormat="1" ht="15" customHeight="1" x14ac:dyDescent="0.2">
      <c r="A2858" s="32">
        <v>41649.733287037037</v>
      </c>
      <c r="B2858" s="26" t="s">
        <v>16</v>
      </c>
      <c r="C2858" s="26" t="s">
        <v>1153</v>
      </c>
      <c r="D2858" s="68">
        <v>41609</v>
      </c>
      <c r="E2858" s="26" t="s">
        <v>4112</v>
      </c>
      <c r="F2858" s="26" t="s">
        <v>575</v>
      </c>
      <c r="G2858" s="26" t="s">
        <v>26</v>
      </c>
      <c r="I2858" s="26" t="s">
        <v>3001</v>
      </c>
      <c r="J2858" s="46">
        <v>1</v>
      </c>
      <c r="K2858" s="46">
        <v>23</v>
      </c>
      <c r="L2858" s="136"/>
      <c r="M2858" s="137" t="s">
        <v>22</v>
      </c>
      <c r="N2858" s="138"/>
      <c r="O2858" s="138"/>
      <c r="P2858" s="138"/>
      <c r="Q2858" s="138"/>
      <c r="R2858" s="138"/>
      <c r="S2858" s="138"/>
      <c r="T2858" s="138"/>
      <c r="U2858" s="138"/>
    </row>
    <row r="2859" spans="1:25" s="26" customFormat="1" ht="15" customHeight="1" x14ac:dyDescent="0.2">
      <c r="A2859" s="32">
        <v>41651.371134259258</v>
      </c>
      <c r="B2859" s="26" t="s">
        <v>16</v>
      </c>
      <c r="C2859" s="26" t="s">
        <v>1153</v>
      </c>
      <c r="D2859" s="68">
        <v>41609</v>
      </c>
      <c r="E2859" s="26" t="s">
        <v>3449</v>
      </c>
      <c r="F2859" s="26" t="s">
        <v>1155</v>
      </c>
      <c r="G2859" s="26" t="s">
        <v>26</v>
      </c>
      <c r="H2859" s="26" t="s">
        <v>3450</v>
      </c>
      <c r="I2859" s="26" t="s">
        <v>2986</v>
      </c>
      <c r="J2859" s="46">
        <v>78</v>
      </c>
      <c r="K2859" s="46">
        <v>197</v>
      </c>
      <c r="L2859" s="136">
        <v>2955</v>
      </c>
      <c r="M2859" s="137"/>
      <c r="N2859" s="138"/>
      <c r="O2859" s="138"/>
      <c r="P2859" s="138"/>
      <c r="Q2859" s="138"/>
      <c r="R2859" s="138"/>
      <c r="S2859" s="138"/>
      <c r="T2859" s="138"/>
      <c r="U2859" s="138">
        <v>500</v>
      </c>
    </row>
    <row r="2860" spans="1:25" s="26" customFormat="1" ht="15" customHeight="1" x14ac:dyDescent="0.2">
      <c r="A2860" s="55">
        <v>41673.409456018497</v>
      </c>
      <c r="B2860" s="52" t="s">
        <v>16</v>
      </c>
      <c r="C2860" s="52" t="s">
        <v>1153</v>
      </c>
      <c r="D2860" s="69">
        <v>41640</v>
      </c>
      <c r="E2860" s="52" t="s">
        <v>4356</v>
      </c>
      <c r="F2860" s="52" t="s">
        <v>575</v>
      </c>
      <c r="G2860" s="52" t="s">
        <v>26</v>
      </c>
      <c r="H2860" s="52"/>
      <c r="I2860" s="52" t="s">
        <v>3001</v>
      </c>
      <c r="J2860" s="95">
        <v>1</v>
      </c>
      <c r="K2860" s="118">
        <v>21</v>
      </c>
      <c r="L2860" s="148">
        <v>0</v>
      </c>
      <c r="M2860" s="146" t="s">
        <v>22</v>
      </c>
      <c r="N2860" s="147"/>
      <c r="O2860" s="147"/>
      <c r="P2860" s="147"/>
      <c r="Q2860" s="147"/>
      <c r="R2860" s="147"/>
      <c r="S2860" s="147"/>
      <c r="T2860" s="147"/>
      <c r="U2860" s="149"/>
      <c r="V2860" s="52"/>
      <c r="W2860" s="52"/>
      <c r="X2860" s="52"/>
      <c r="Y2860" s="52"/>
    </row>
    <row r="2861" spans="1:25" s="26" customFormat="1" ht="15" customHeight="1" x14ac:dyDescent="0.2">
      <c r="A2861" s="55">
        <v>41673.426770833299</v>
      </c>
      <c r="B2861" s="52" t="s">
        <v>16</v>
      </c>
      <c r="C2861" s="52" t="s">
        <v>1153</v>
      </c>
      <c r="D2861" s="69">
        <v>41640</v>
      </c>
      <c r="E2861" s="52" t="s">
        <v>4361</v>
      </c>
      <c r="F2861" s="52" t="s">
        <v>4362</v>
      </c>
      <c r="G2861" s="52" t="s">
        <v>20</v>
      </c>
      <c r="H2861" s="52" t="s">
        <v>4363</v>
      </c>
      <c r="I2861" s="52" t="s">
        <v>3001</v>
      </c>
      <c r="J2861" s="95">
        <v>1</v>
      </c>
      <c r="K2861" s="118">
        <v>29</v>
      </c>
      <c r="L2861" s="148">
        <v>350</v>
      </c>
      <c r="M2861" s="146" t="s">
        <v>44</v>
      </c>
      <c r="N2861" s="147"/>
      <c r="O2861" s="147"/>
      <c r="P2861" s="147"/>
      <c r="Q2861" s="147"/>
      <c r="R2861" s="147">
        <v>1600</v>
      </c>
      <c r="S2861" s="147"/>
      <c r="T2861" s="147"/>
      <c r="U2861" s="149"/>
      <c r="V2861" s="52"/>
      <c r="W2861" s="52"/>
      <c r="X2861" s="52"/>
      <c r="Y2861" s="52"/>
    </row>
    <row r="2862" spans="1:25" s="26" customFormat="1" ht="15" customHeight="1" x14ac:dyDescent="0.2">
      <c r="A2862" s="55">
        <v>41673.428333333301</v>
      </c>
      <c r="B2862" s="52" t="s">
        <v>16</v>
      </c>
      <c r="C2862" s="52" t="s">
        <v>1153</v>
      </c>
      <c r="D2862" s="69">
        <v>41640</v>
      </c>
      <c r="E2862" s="52" t="s">
        <v>4364</v>
      </c>
      <c r="F2862" s="52" t="s">
        <v>3663</v>
      </c>
      <c r="G2862" s="52" t="s">
        <v>42</v>
      </c>
      <c r="H2862" s="52" t="s">
        <v>4365</v>
      </c>
      <c r="I2862" s="52" t="s">
        <v>3001</v>
      </c>
      <c r="J2862" s="95">
        <v>1</v>
      </c>
      <c r="K2862" s="118">
        <v>65</v>
      </c>
      <c r="L2862" s="148"/>
      <c r="M2862" s="146" t="s">
        <v>22</v>
      </c>
      <c r="N2862" s="147"/>
      <c r="O2862" s="147"/>
      <c r="P2862" s="147"/>
      <c r="Q2862" s="147"/>
      <c r="R2862" s="147"/>
      <c r="S2862" s="147"/>
      <c r="T2862" s="147"/>
      <c r="U2862" s="149"/>
      <c r="V2862" s="52"/>
      <c r="W2862" s="52"/>
      <c r="X2862" s="52"/>
      <c r="Y2862" s="52"/>
    </row>
    <row r="2863" spans="1:25" s="26" customFormat="1" ht="15" customHeight="1" x14ac:dyDescent="0.2">
      <c r="A2863" s="55">
        <v>41673.429270833301</v>
      </c>
      <c r="B2863" s="52" t="s">
        <v>16</v>
      </c>
      <c r="C2863" s="52" t="s">
        <v>1153</v>
      </c>
      <c r="D2863" s="69">
        <v>41640</v>
      </c>
      <c r="E2863" s="52" t="s">
        <v>4369</v>
      </c>
      <c r="F2863" s="52" t="s">
        <v>575</v>
      </c>
      <c r="G2863" s="52" t="s">
        <v>26</v>
      </c>
      <c r="H2863" s="52"/>
      <c r="I2863" s="52" t="s">
        <v>3001</v>
      </c>
      <c r="J2863" s="95">
        <v>1</v>
      </c>
      <c r="K2863" s="118">
        <v>136</v>
      </c>
      <c r="L2863" s="148">
        <v>100</v>
      </c>
      <c r="M2863" s="146"/>
      <c r="N2863" s="147"/>
      <c r="O2863" s="147"/>
      <c r="P2863" s="147"/>
      <c r="Q2863" s="147"/>
      <c r="R2863" s="147"/>
      <c r="S2863" s="147"/>
      <c r="T2863" s="147"/>
      <c r="U2863" s="149"/>
      <c r="V2863" s="52"/>
      <c r="W2863" s="52"/>
      <c r="X2863" s="52"/>
      <c r="Y2863" s="52"/>
    </row>
    <row r="2864" spans="1:25" s="26" customFormat="1" ht="15" customHeight="1" x14ac:dyDescent="0.2">
      <c r="A2864" s="55">
        <v>41673.468854166698</v>
      </c>
      <c r="B2864" s="52" t="s">
        <v>16</v>
      </c>
      <c r="C2864" s="52" t="s">
        <v>1153</v>
      </c>
      <c r="D2864" s="69">
        <v>41640</v>
      </c>
      <c r="E2864" s="52" t="s">
        <v>4379</v>
      </c>
      <c r="F2864" s="52" t="s">
        <v>3663</v>
      </c>
      <c r="G2864" s="52" t="s">
        <v>42</v>
      </c>
      <c r="H2864" s="52" t="s">
        <v>4380</v>
      </c>
      <c r="I2864" s="52" t="s">
        <v>3001</v>
      </c>
      <c r="J2864" s="95">
        <v>1</v>
      </c>
      <c r="K2864" s="118">
        <v>35</v>
      </c>
      <c r="L2864" s="148"/>
      <c r="M2864" s="146"/>
      <c r="N2864" s="147"/>
      <c r="O2864" s="147"/>
      <c r="P2864" s="147"/>
      <c r="Q2864" s="147"/>
      <c r="R2864" s="147"/>
      <c r="S2864" s="147"/>
      <c r="T2864" s="147"/>
      <c r="U2864" s="149"/>
      <c r="V2864" s="52"/>
      <c r="W2864" s="52"/>
      <c r="X2864" s="52"/>
      <c r="Y2864" s="52"/>
    </row>
    <row r="2865" spans="1:25" s="26" customFormat="1" ht="15" customHeight="1" x14ac:dyDescent="0.2">
      <c r="A2865" s="55">
        <v>41677.470451388901</v>
      </c>
      <c r="B2865" s="52" t="s">
        <v>16</v>
      </c>
      <c r="C2865" s="52" t="s">
        <v>1153</v>
      </c>
      <c r="D2865" s="69">
        <v>41640</v>
      </c>
      <c r="E2865" s="52" t="s">
        <v>4422</v>
      </c>
      <c r="F2865" s="52" t="s">
        <v>1155</v>
      </c>
      <c r="G2865" s="52" t="s">
        <v>26</v>
      </c>
      <c r="H2865" s="52" t="s">
        <v>4423</v>
      </c>
      <c r="I2865" s="52" t="s">
        <v>2986</v>
      </c>
      <c r="J2865" s="95">
        <v>81</v>
      </c>
      <c r="K2865" s="118">
        <v>145</v>
      </c>
      <c r="L2865" s="148">
        <v>3032</v>
      </c>
      <c r="M2865" s="146" t="s">
        <v>44</v>
      </c>
      <c r="N2865" s="147"/>
      <c r="O2865" s="147"/>
      <c r="P2865" s="147">
        <v>1100</v>
      </c>
      <c r="Q2865" s="147">
        <v>2735</v>
      </c>
      <c r="R2865" s="147">
        <v>4605</v>
      </c>
      <c r="S2865" s="147"/>
      <c r="T2865" s="147"/>
      <c r="U2865" s="149">
        <v>900</v>
      </c>
      <c r="V2865" s="52"/>
      <c r="W2865" s="52"/>
      <c r="X2865" s="52"/>
      <c r="Y2865" s="52"/>
    </row>
    <row r="2866" spans="1:25" s="26" customFormat="1" ht="15" customHeight="1" x14ac:dyDescent="0.2">
      <c r="A2866" s="32">
        <v>41705.587395833332</v>
      </c>
      <c r="B2866" s="26" t="s">
        <v>16</v>
      </c>
      <c r="C2866" s="26" t="s">
        <v>1153</v>
      </c>
      <c r="D2866" s="33">
        <v>41671</v>
      </c>
      <c r="E2866" s="26" t="s">
        <v>5019</v>
      </c>
      <c r="F2866" s="26" t="s">
        <v>575</v>
      </c>
      <c r="G2866" s="26" t="s">
        <v>26</v>
      </c>
      <c r="I2866" s="26" t="s">
        <v>3001</v>
      </c>
      <c r="J2866" s="46">
        <v>1</v>
      </c>
      <c r="K2866" s="46">
        <v>4</v>
      </c>
      <c r="L2866" s="136"/>
      <c r="M2866" s="137"/>
      <c r="N2866" s="138"/>
      <c r="O2866" s="138"/>
      <c r="P2866" s="138"/>
      <c r="Q2866" s="138"/>
      <c r="R2866" s="138"/>
      <c r="S2866" s="138"/>
      <c r="T2866" s="138"/>
      <c r="U2866" s="138"/>
    </row>
    <row r="2867" spans="1:25" s="26" customFormat="1" ht="15" customHeight="1" x14ac:dyDescent="0.2">
      <c r="A2867" s="32">
        <v>41705.588807870372</v>
      </c>
      <c r="B2867" s="26" t="s">
        <v>16</v>
      </c>
      <c r="C2867" s="26" t="s">
        <v>1153</v>
      </c>
      <c r="D2867" s="33">
        <v>41671</v>
      </c>
      <c r="E2867" s="26" t="s">
        <v>5020</v>
      </c>
      <c r="F2867" s="26" t="s">
        <v>575</v>
      </c>
      <c r="G2867" s="26" t="s">
        <v>26</v>
      </c>
      <c r="I2867" s="26" t="s">
        <v>2986</v>
      </c>
      <c r="J2867" s="46">
        <v>1</v>
      </c>
      <c r="K2867" s="46">
        <v>175</v>
      </c>
      <c r="L2867" s="136">
        <v>388</v>
      </c>
      <c r="M2867" s="137"/>
      <c r="N2867" s="138"/>
      <c r="O2867" s="138"/>
      <c r="P2867" s="138"/>
      <c r="Q2867" s="138"/>
      <c r="R2867" s="138"/>
      <c r="S2867" s="138"/>
      <c r="T2867" s="138"/>
      <c r="U2867" s="138"/>
    </row>
    <row r="2868" spans="1:25" s="26" customFormat="1" ht="15" customHeight="1" x14ac:dyDescent="0.2">
      <c r="A2868" s="32">
        <v>41705.591469907406</v>
      </c>
      <c r="B2868" s="26" t="s">
        <v>16</v>
      </c>
      <c r="C2868" s="26" t="s">
        <v>1153</v>
      </c>
      <c r="D2868" s="33">
        <v>41671</v>
      </c>
      <c r="E2868" s="26" t="s">
        <v>5021</v>
      </c>
      <c r="F2868" s="26" t="s">
        <v>5022</v>
      </c>
      <c r="G2868" s="26" t="s">
        <v>42</v>
      </c>
      <c r="H2868" s="26" t="s">
        <v>5023</v>
      </c>
      <c r="I2868" s="26" t="s">
        <v>2986</v>
      </c>
      <c r="J2868" s="46">
        <v>1</v>
      </c>
      <c r="K2868" s="46">
        <v>11</v>
      </c>
      <c r="L2868" s="136">
        <v>1500</v>
      </c>
      <c r="M2868" s="137" t="s">
        <v>44</v>
      </c>
      <c r="N2868" s="138"/>
      <c r="O2868" s="138"/>
      <c r="P2868" s="138"/>
      <c r="Q2868" s="138"/>
      <c r="R2868" s="138">
        <v>1400</v>
      </c>
      <c r="S2868" s="138"/>
      <c r="T2868" s="138"/>
      <c r="U2868" s="138"/>
    </row>
    <row r="2869" spans="1:25" s="26" customFormat="1" ht="15" customHeight="1" x14ac:dyDescent="0.2">
      <c r="A2869" s="32">
        <v>41738.603680555556</v>
      </c>
      <c r="B2869" s="26" t="s">
        <v>152</v>
      </c>
      <c r="C2869" s="26" t="s">
        <v>1153</v>
      </c>
      <c r="D2869" s="33">
        <v>41699</v>
      </c>
      <c r="E2869" s="26" t="s">
        <v>1212</v>
      </c>
      <c r="F2869" s="26" t="s">
        <v>5812</v>
      </c>
      <c r="G2869" s="26" t="s">
        <v>26</v>
      </c>
      <c r="H2869" s="26" t="s">
        <v>5813</v>
      </c>
      <c r="I2869" s="26" t="s">
        <v>2812</v>
      </c>
      <c r="J2869" s="46">
        <v>1</v>
      </c>
      <c r="K2869" s="46">
        <v>12</v>
      </c>
      <c r="L2869" s="136">
        <v>700</v>
      </c>
      <c r="M2869" s="137" t="s">
        <v>44</v>
      </c>
      <c r="N2869" s="138"/>
      <c r="O2869" s="138">
        <v>30</v>
      </c>
      <c r="P2869" s="138"/>
      <c r="Q2869" s="138"/>
      <c r="R2869" s="138"/>
      <c r="S2869" s="138"/>
      <c r="T2869" s="138"/>
      <c r="U2869" s="138"/>
    </row>
    <row r="2870" spans="1:25" s="26" customFormat="1" ht="15" customHeight="1" x14ac:dyDescent="0.2">
      <c r="A2870" s="32">
        <v>41739.405902777777</v>
      </c>
      <c r="B2870" s="26" t="s">
        <v>16</v>
      </c>
      <c r="C2870" s="26" t="s">
        <v>1153</v>
      </c>
      <c r="D2870" s="33">
        <v>41699</v>
      </c>
      <c r="E2870" s="26" t="s">
        <v>5843</v>
      </c>
      <c r="F2870" s="26" t="s">
        <v>5844</v>
      </c>
      <c r="G2870" s="26" t="s">
        <v>20</v>
      </c>
      <c r="H2870" s="26" t="s">
        <v>5845</v>
      </c>
      <c r="I2870" s="26" t="s">
        <v>2986</v>
      </c>
      <c r="J2870" s="46">
        <v>1</v>
      </c>
      <c r="K2870" s="46">
        <v>51</v>
      </c>
      <c r="L2870" s="136">
        <v>500</v>
      </c>
      <c r="M2870" s="137" t="s">
        <v>22</v>
      </c>
      <c r="N2870" s="138"/>
      <c r="O2870" s="138"/>
      <c r="P2870" s="138"/>
      <c r="Q2870" s="138"/>
      <c r="R2870" s="138"/>
      <c r="S2870" s="138"/>
      <c r="T2870" s="138"/>
      <c r="U2870" s="138"/>
    </row>
    <row r="2871" spans="1:25" s="26" customFormat="1" ht="15" customHeight="1" x14ac:dyDescent="0.2">
      <c r="A2871" s="32">
        <v>41739.388124999998</v>
      </c>
      <c r="B2871" s="26" t="s">
        <v>16</v>
      </c>
      <c r="C2871" s="26" t="s">
        <v>1153</v>
      </c>
      <c r="D2871" s="33">
        <v>41699</v>
      </c>
      <c r="E2871" s="32">
        <v>41699.833333333336</v>
      </c>
      <c r="F2871" s="26" t="s">
        <v>5846</v>
      </c>
      <c r="G2871" s="26" t="s">
        <v>26</v>
      </c>
      <c r="I2871" s="26" t="s">
        <v>2986</v>
      </c>
      <c r="J2871" s="46">
        <v>1</v>
      </c>
      <c r="K2871" s="46">
        <v>27</v>
      </c>
      <c r="L2871" s="136"/>
      <c r="M2871" s="137" t="s">
        <v>22</v>
      </c>
      <c r="N2871" s="138"/>
      <c r="O2871" s="138"/>
      <c r="P2871" s="138"/>
      <c r="Q2871" s="138"/>
      <c r="R2871" s="138"/>
      <c r="S2871" s="138"/>
      <c r="T2871" s="138"/>
      <c r="U2871" s="138"/>
    </row>
    <row r="2872" spans="1:25" s="26" customFormat="1" ht="15" customHeight="1" x14ac:dyDescent="0.2">
      <c r="A2872" s="32">
        <v>41739.38994212963</v>
      </c>
      <c r="B2872" s="26" t="s">
        <v>16</v>
      </c>
      <c r="C2872" s="26" t="s">
        <v>1153</v>
      </c>
      <c r="D2872" s="33">
        <v>41699</v>
      </c>
      <c r="E2872" s="26" t="s">
        <v>5847</v>
      </c>
      <c r="F2872" s="26" t="s">
        <v>5848</v>
      </c>
      <c r="G2872" s="26" t="s">
        <v>20</v>
      </c>
      <c r="H2872" s="26" t="s">
        <v>5849</v>
      </c>
      <c r="I2872" s="26" t="s">
        <v>2986</v>
      </c>
      <c r="J2872" s="46">
        <v>1</v>
      </c>
      <c r="K2872" s="46">
        <v>75</v>
      </c>
      <c r="L2872" s="136">
        <v>225</v>
      </c>
      <c r="M2872" s="137" t="s">
        <v>22</v>
      </c>
      <c r="N2872" s="138"/>
      <c r="O2872" s="138"/>
      <c r="P2872" s="138"/>
      <c r="Q2872" s="138"/>
      <c r="R2872" s="138"/>
      <c r="S2872" s="138"/>
      <c r="T2872" s="138"/>
      <c r="U2872" s="138"/>
    </row>
    <row r="2873" spans="1:25" s="26" customFormat="1" ht="15" customHeight="1" x14ac:dyDescent="0.2">
      <c r="A2873" s="32">
        <v>41739.408113425925</v>
      </c>
      <c r="B2873" s="26" t="s">
        <v>16</v>
      </c>
      <c r="C2873" s="26" t="s">
        <v>1153</v>
      </c>
      <c r="D2873" s="33">
        <v>41699</v>
      </c>
      <c r="E2873" s="26" t="s">
        <v>5850</v>
      </c>
      <c r="F2873" s="26" t="s">
        <v>5851</v>
      </c>
      <c r="G2873" s="26" t="s">
        <v>42</v>
      </c>
      <c r="H2873" s="26" t="s">
        <v>5852</v>
      </c>
      <c r="I2873" s="26" t="s">
        <v>2986</v>
      </c>
      <c r="J2873" s="46">
        <v>1</v>
      </c>
      <c r="K2873" s="46">
        <v>14</v>
      </c>
      <c r="L2873" s="136">
        <v>260</v>
      </c>
      <c r="M2873" s="137" t="s">
        <v>22</v>
      </c>
      <c r="N2873" s="138"/>
      <c r="O2873" s="138"/>
      <c r="P2873" s="138"/>
      <c r="Q2873" s="138"/>
      <c r="R2873" s="138"/>
      <c r="S2873" s="138"/>
      <c r="T2873" s="138"/>
      <c r="U2873" s="138"/>
    </row>
    <row r="2874" spans="1:25" s="26" customFormat="1" ht="15" customHeight="1" x14ac:dyDescent="0.2">
      <c r="A2874" s="32">
        <v>41739.415300925924</v>
      </c>
      <c r="B2874" s="26" t="s">
        <v>16</v>
      </c>
      <c r="C2874" s="26" t="s">
        <v>1153</v>
      </c>
      <c r="D2874" s="33">
        <v>41699</v>
      </c>
      <c r="E2874" s="26" t="s">
        <v>5853</v>
      </c>
      <c r="F2874" s="26" t="s">
        <v>4206</v>
      </c>
      <c r="G2874" s="26" t="s">
        <v>20</v>
      </c>
      <c r="I2874" s="26" t="s">
        <v>3001</v>
      </c>
      <c r="J2874" s="46">
        <v>1</v>
      </c>
      <c r="K2874" s="46">
        <v>27</v>
      </c>
      <c r="L2874" s="136">
        <v>54</v>
      </c>
      <c r="M2874" s="137" t="s">
        <v>22</v>
      </c>
      <c r="N2874" s="138"/>
      <c r="O2874" s="138"/>
      <c r="P2874" s="138"/>
      <c r="Q2874" s="138"/>
      <c r="R2874" s="138"/>
      <c r="S2874" s="138"/>
      <c r="T2874" s="138"/>
      <c r="U2874" s="138"/>
    </row>
    <row r="2875" spans="1:25" s="26" customFormat="1" ht="15" customHeight="1" x14ac:dyDescent="0.2">
      <c r="A2875" s="32">
        <v>41739.417592592596</v>
      </c>
      <c r="B2875" s="26" t="s">
        <v>16</v>
      </c>
      <c r="C2875" s="26" t="s">
        <v>1153</v>
      </c>
      <c r="D2875" s="33">
        <v>41699</v>
      </c>
      <c r="E2875" s="26" t="s">
        <v>5854</v>
      </c>
      <c r="F2875" s="26" t="s">
        <v>2275</v>
      </c>
      <c r="G2875" s="26" t="s">
        <v>26</v>
      </c>
      <c r="I2875" s="26" t="s">
        <v>2986</v>
      </c>
      <c r="J2875" s="46">
        <v>1</v>
      </c>
      <c r="K2875" s="46">
        <v>5</v>
      </c>
      <c r="L2875" s="136">
        <v>10</v>
      </c>
      <c r="M2875" s="137" t="s">
        <v>22</v>
      </c>
      <c r="N2875" s="138"/>
      <c r="O2875" s="138"/>
      <c r="P2875" s="138"/>
      <c r="Q2875" s="138"/>
      <c r="R2875" s="138"/>
      <c r="S2875" s="138"/>
      <c r="T2875" s="138"/>
      <c r="U2875" s="138"/>
    </row>
    <row r="2876" spans="1:25" s="26" customFormat="1" ht="15" customHeight="1" x14ac:dyDescent="0.2">
      <c r="A2876" s="32">
        <v>41739.419768518521</v>
      </c>
      <c r="B2876" s="26" t="s">
        <v>16</v>
      </c>
      <c r="C2876" s="26" t="s">
        <v>1153</v>
      </c>
      <c r="D2876" s="33">
        <v>41699</v>
      </c>
      <c r="E2876" s="26" t="s">
        <v>5854</v>
      </c>
      <c r="F2876" s="26" t="s">
        <v>5855</v>
      </c>
      <c r="G2876" s="26" t="s">
        <v>42</v>
      </c>
      <c r="H2876" s="26" t="s">
        <v>4206</v>
      </c>
      <c r="I2876" s="26" t="s">
        <v>2986</v>
      </c>
      <c r="J2876" s="46">
        <v>1</v>
      </c>
      <c r="K2876" s="46">
        <v>18</v>
      </c>
      <c r="L2876" s="136">
        <v>36</v>
      </c>
      <c r="M2876" s="137" t="s">
        <v>22</v>
      </c>
      <c r="N2876" s="138"/>
      <c r="O2876" s="138"/>
      <c r="P2876" s="138"/>
      <c r="Q2876" s="138"/>
      <c r="R2876" s="138"/>
      <c r="S2876" s="138"/>
      <c r="T2876" s="138"/>
      <c r="U2876" s="138"/>
    </row>
    <row r="2877" spans="1:25" s="26" customFormat="1" ht="15" customHeight="1" x14ac:dyDescent="0.2">
      <c r="A2877" s="32">
        <v>41739.421898148146</v>
      </c>
      <c r="B2877" s="26" t="s">
        <v>16</v>
      </c>
      <c r="C2877" s="26" t="s">
        <v>1153</v>
      </c>
      <c r="D2877" s="33">
        <v>41699</v>
      </c>
      <c r="E2877" s="26" t="s">
        <v>5856</v>
      </c>
      <c r="F2877" s="26" t="s">
        <v>5857</v>
      </c>
      <c r="G2877" s="26" t="s">
        <v>26</v>
      </c>
      <c r="I2877" s="26" t="s">
        <v>2986</v>
      </c>
      <c r="J2877" s="46">
        <v>1</v>
      </c>
      <c r="K2877" s="46">
        <v>5</v>
      </c>
      <c r="L2877" s="136">
        <v>10</v>
      </c>
      <c r="M2877" s="137" t="s">
        <v>22</v>
      </c>
      <c r="N2877" s="138"/>
      <c r="O2877" s="138"/>
      <c r="P2877" s="138"/>
      <c r="Q2877" s="138"/>
      <c r="R2877" s="138"/>
      <c r="S2877" s="138"/>
      <c r="T2877" s="138"/>
      <c r="U2877" s="138"/>
    </row>
    <row r="2878" spans="1:25" s="26" customFormat="1" ht="15" customHeight="1" x14ac:dyDescent="0.2">
      <c r="A2878" s="32">
        <v>41739.423263888886</v>
      </c>
      <c r="B2878" s="26" t="s">
        <v>16</v>
      </c>
      <c r="C2878" s="26" t="s">
        <v>1153</v>
      </c>
      <c r="D2878" s="33">
        <v>41699</v>
      </c>
      <c r="E2878" s="26" t="s">
        <v>5854</v>
      </c>
      <c r="F2878" s="26" t="s">
        <v>4206</v>
      </c>
      <c r="G2878" s="26" t="s">
        <v>26</v>
      </c>
      <c r="I2878" s="26" t="s">
        <v>2986</v>
      </c>
      <c r="J2878" s="46">
        <v>1</v>
      </c>
      <c r="K2878" s="46">
        <v>5</v>
      </c>
      <c r="L2878" s="136">
        <v>10</v>
      </c>
      <c r="M2878" s="137" t="s">
        <v>22</v>
      </c>
      <c r="N2878" s="138"/>
      <c r="O2878" s="138"/>
      <c r="P2878" s="138"/>
      <c r="Q2878" s="138"/>
      <c r="R2878" s="138"/>
      <c r="S2878" s="138"/>
      <c r="T2878" s="138"/>
      <c r="U2878" s="138"/>
    </row>
    <row r="2879" spans="1:25" s="26" customFormat="1" ht="15" customHeight="1" x14ac:dyDescent="0.2">
      <c r="A2879" s="32">
        <v>41739.424664351849</v>
      </c>
      <c r="B2879" s="26" t="s">
        <v>16</v>
      </c>
      <c r="C2879" s="26" t="s">
        <v>1153</v>
      </c>
      <c r="D2879" s="33">
        <v>41699</v>
      </c>
      <c r="E2879" s="26" t="s">
        <v>5856</v>
      </c>
      <c r="F2879" s="26" t="s">
        <v>2275</v>
      </c>
      <c r="G2879" s="26" t="s">
        <v>26</v>
      </c>
      <c r="I2879" s="26" t="s">
        <v>2986</v>
      </c>
      <c r="J2879" s="46">
        <v>1</v>
      </c>
      <c r="K2879" s="46">
        <v>4</v>
      </c>
      <c r="L2879" s="136">
        <v>8</v>
      </c>
      <c r="M2879" s="137" t="s">
        <v>22</v>
      </c>
      <c r="N2879" s="138"/>
      <c r="O2879" s="138"/>
      <c r="P2879" s="138"/>
      <c r="Q2879" s="138"/>
      <c r="R2879" s="138"/>
      <c r="S2879" s="138"/>
      <c r="T2879" s="138"/>
      <c r="U2879" s="138"/>
    </row>
    <row r="2880" spans="1:25" s="26" customFormat="1" ht="15" customHeight="1" x14ac:dyDescent="0.2">
      <c r="A2880" s="32">
        <v>41739.730590277781</v>
      </c>
      <c r="B2880" s="26" t="s">
        <v>16</v>
      </c>
      <c r="C2880" s="26" t="s">
        <v>1153</v>
      </c>
      <c r="D2880" s="33">
        <v>41699</v>
      </c>
      <c r="E2880" s="26" t="s">
        <v>5899</v>
      </c>
      <c r="F2880" s="26" t="s">
        <v>1155</v>
      </c>
      <c r="G2880" s="26" t="s">
        <v>26</v>
      </c>
      <c r="I2880" s="26" t="s">
        <v>2986</v>
      </c>
      <c r="J2880" s="46">
        <v>101</v>
      </c>
      <c r="K2880" s="46">
        <v>726</v>
      </c>
      <c r="L2880" s="136">
        <v>10635</v>
      </c>
      <c r="M2880" s="137" t="s">
        <v>44</v>
      </c>
      <c r="N2880" s="138"/>
      <c r="O2880" s="138"/>
      <c r="P2880" s="138">
        <v>3500</v>
      </c>
      <c r="Q2880" s="138">
        <v>6200</v>
      </c>
      <c r="R2880" s="138">
        <v>8055</v>
      </c>
      <c r="S2880" s="138"/>
      <c r="T2880" s="138"/>
      <c r="U2880" s="138">
        <v>2000</v>
      </c>
    </row>
    <row r="2881" spans="1:27" s="26" customFormat="1" ht="15" customHeight="1" x14ac:dyDescent="0.2">
      <c r="A2881" s="55">
        <v>41768.559722222199</v>
      </c>
      <c r="B2881" s="52" t="s">
        <v>16</v>
      </c>
      <c r="C2881" s="52" t="s">
        <v>1153</v>
      </c>
      <c r="D2881" s="88" t="s">
        <v>6076</v>
      </c>
      <c r="E2881" s="52" t="s">
        <v>6576</v>
      </c>
      <c r="F2881" s="52" t="s">
        <v>6577</v>
      </c>
      <c r="G2881" s="52" t="s">
        <v>20</v>
      </c>
      <c r="H2881" s="52" t="s">
        <v>6578</v>
      </c>
      <c r="I2881" s="52" t="s">
        <v>2986</v>
      </c>
      <c r="J2881" s="95">
        <v>1</v>
      </c>
      <c r="K2881" s="95">
        <v>9</v>
      </c>
      <c r="L2881" s="149">
        <v>45</v>
      </c>
      <c r="M2881" s="146" t="s">
        <v>22</v>
      </c>
      <c r="N2881" s="149"/>
      <c r="O2881" s="149"/>
      <c r="P2881" s="149"/>
      <c r="Q2881" s="149"/>
      <c r="R2881" s="149"/>
      <c r="S2881" s="149"/>
      <c r="T2881" s="149"/>
      <c r="U2881" s="149"/>
      <c r="V2881" s="52"/>
    </row>
    <row r="2882" spans="1:27" s="26" customFormat="1" ht="15" customHeight="1" x14ac:dyDescent="0.2">
      <c r="A2882" s="93">
        <v>41768.629108796304</v>
      </c>
      <c r="B2882" s="89" t="s">
        <v>16</v>
      </c>
      <c r="C2882" s="52" t="s">
        <v>1153</v>
      </c>
      <c r="D2882" s="87" t="s">
        <v>6076</v>
      </c>
      <c r="E2882" s="89" t="s">
        <v>6589</v>
      </c>
      <c r="F2882" s="89" t="s">
        <v>6590</v>
      </c>
      <c r="G2882" s="89" t="s">
        <v>26</v>
      </c>
      <c r="H2882" s="89" t="s">
        <v>6591</v>
      </c>
      <c r="I2882" s="89" t="s">
        <v>2986</v>
      </c>
      <c r="J2882" s="95">
        <v>1</v>
      </c>
      <c r="K2882" s="95">
        <v>50</v>
      </c>
      <c r="L2882" s="149">
        <v>0</v>
      </c>
      <c r="M2882" s="146" t="s">
        <v>22</v>
      </c>
      <c r="N2882" s="149"/>
      <c r="O2882" s="149"/>
      <c r="P2882" s="149"/>
      <c r="Q2882" s="149"/>
      <c r="R2882" s="149"/>
      <c r="S2882" s="149"/>
      <c r="T2882" s="149"/>
      <c r="U2882" s="149"/>
      <c r="V2882" s="89"/>
      <c r="W2882" s="91"/>
      <c r="X2882" s="91"/>
      <c r="Y2882" s="91"/>
    </row>
    <row r="2883" spans="1:27" s="26" customFormat="1" ht="15" customHeight="1" x14ac:dyDescent="0.2">
      <c r="A2883" s="93">
        <v>41768.632372685199</v>
      </c>
      <c r="B2883" s="89" t="s">
        <v>16</v>
      </c>
      <c r="C2883" s="52" t="s">
        <v>1153</v>
      </c>
      <c r="D2883" s="87" t="s">
        <v>6076</v>
      </c>
      <c r="E2883" s="89" t="s">
        <v>6592</v>
      </c>
      <c r="F2883" s="89" t="s">
        <v>6593</v>
      </c>
      <c r="G2883" s="89" t="s">
        <v>26</v>
      </c>
      <c r="H2883" s="89"/>
      <c r="I2883" s="89" t="s">
        <v>2986</v>
      </c>
      <c r="J2883" s="95">
        <v>1</v>
      </c>
      <c r="K2883" s="95">
        <v>7</v>
      </c>
      <c r="L2883" s="149">
        <v>560</v>
      </c>
      <c r="M2883" s="146" t="s">
        <v>22</v>
      </c>
      <c r="N2883" s="149"/>
      <c r="O2883" s="149"/>
      <c r="P2883" s="149"/>
      <c r="Q2883" s="149"/>
      <c r="R2883" s="149"/>
      <c r="S2883" s="149"/>
      <c r="T2883" s="149"/>
      <c r="U2883" s="149"/>
      <c r="V2883" s="89"/>
      <c r="W2883" s="91"/>
      <c r="X2883" s="91"/>
      <c r="Y2883" s="91"/>
    </row>
    <row r="2884" spans="1:27" s="26" customFormat="1" ht="15" customHeight="1" x14ac:dyDescent="0.2">
      <c r="A2884" s="93">
        <v>41768.637858796297</v>
      </c>
      <c r="B2884" s="89" t="s">
        <v>16</v>
      </c>
      <c r="C2884" s="52" t="s">
        <v>1153</v>
      </c>
      <c r="D2884" s="87" t="s">
        <v>6076</v>
      </c>
      <c r="E2884" s="89" t="s">
        <v>6594</v>
      </c>
      <c r="F2884" s="89" t="s">
        <v>1155</v>
      </c>
      <c r="G2884" s="89" t="s">
        <v>26</v>
      </c>
      <c r="H2884" s="89" t="s">
        <v>6595</v>
      </c>
      <c r="I2884" s="89" t="s">
        <v>2986</v>
      </c>
      <c r="J2884" s="95">
        <v>107</v>
      </c>
      <c r="K2884" s="95">
        <v>546</v>
      </c>
      <c r="L2884" s="149">
        <v>7724</v>
      </c>
      <c r="M2884" s="146" t="s">
        <v>44</v>
      </c>
      <c r="N2884" s="149"/>
      <c r="O2884" s="149"/>
      <c r="P2884" s="149">
        <v>1850</v>
      </c>
      <c r="Q2884" s="149">
        <v>2080</v>
      </c>
      <c r="R2884" s="149">
        <v>4110</v>
      </c>
      <c r="S2884" s="149"/>
      <c r="T2884" s="149"/>
      <c r="U2884" s="149">
        <v>2000</v>
      </c>
      <c r="V2884" s="89" t="s">
        <v>6596</v>
      </c>
      <c r="W2884" s="91"/>
      <c r="X2884" s="91"/>
      <c r="Y2884" s="91"/>
    </row>
    <row r="2885" spans="1:27" s="26" customFormat="1" ht="15" customHeight="1" x14ac:dyDescent="0.2">
      <c r="A2885" s="93">
        <v>41769.724861111099</v>
      </c>
      <c r="B2885" s="89" t="s">
        <v>38</v>
      </c>
      <c r="C2885" s="52" t="s">
        <v>1153</v>
      </c>
      <c r="D2885" s="87" t="s">
        <v>6076</v>
      </c>
      <c r="E2885" s="89" t="s">
        <v>6757</v>
      </c>
      <c r="F2885" s="89" t="s">
        <v>997</v>
      </c>
      <c r="G2885" s="89" t="s">
        <v>26</v>
      </c>
      <c r="H2885" s="89" t="s">
        <v>6791</v>
      </c>
      <c r="I2885" s="89" t="s">
        <v>2986</v>
      </c>
      <c r="J2885" s="95">
        <v>1</v>
      </c>
      <c r="K2885" s="95">
        <v>12</v>
      </c>
      <c r="L2885" s="149">
        <v>180</v>
      </c>
      <c r="M2885" s="146" t="s">
        <v>44</v>
      </c>
      <c r="N2885" s="149"/>
      <c r="O2885" s="149">
        <v>30</v>
      </c>
      <c r="P2885" s="149"/>
      <c r="Q2885" s="149"/>
      <c r="R2885" s="149"/>
      <c r="S2885" s="149"/>
      <c r="T2885" s="149"/>
      <c r="U2885" s="149"/>
      <c r="V2885" s="89"/>
      <c r="W2885" s="91"/>
      <c r="X2885" s="91"/>
      <c r="Y2885" s="91"/>
    </row>
    <row r="2886" spans="1:27" ht="15" customHeight="1" x14ac:dyDescent="0.2">
      <c r="A2886" s="93">
        <v>41800.576874999999</v>
      </c>
      <c r="B2886" s="89" t="s">
        <v>16</v>
      </c>
      <c r="C2886" s="52" t="s">
        <v>406</v>
      </c>
      <c r="D2886" s="87" t="s">
        <v>6224</v>
      </c>
      <c r="E2886" s="89" t="s">
        <v>4788</v>
      </c>
      <c r="F2886" s="89" t="s">
        <v>470</v>
      </c>
      <c r="G2886" s="89" t="s">
        <v>26</v>
      </c>
      <c r="H2886" s="89" t="s">
        <v>4802</v>
      </c>
      <c r="I2886" s="89" t="s">
        <v>3001</v>
      </c>
      <c r="J2886" s="95">
        <v>1</v>
      </c>
      <c r="K2886" s="95">
        <v>0</v>
      </c>
      <c r="L2886" s="150"/>
      <c r="M2886" s="146" t="s">
        <v>22</v>
      </c>
      <c r="N2886" s="149"/>
      <c r="O2886" s="149"/>
      <c r="P2886" s="149"/>
      <c r="Q2886" s="149"/>
      <c r="R2886" s="149"/>
      <c r="S2886" s="149"/>
      <c r="T2886" s="149"/>
      <c r="U2886" s="149"/>
      <c r="V2886" s="89"/>
      <c r="Z2886" s="26"/>
      <c r="AA2886" s="26"/>
    </row>
    <row r="2887" spans="1:27" ht="15" customHeight="1" x14ac:dyDescent="0.2">
      <c r="A2887" s="93">
        <v>41800.577384259297</v>
      </c>
      <c r="B2887" s="89" t="s">
        <v>16</v>
      </c>
      <c r="C2887" s="52" t="s">
        <v>406</v>
      </c>
      <c r="D2887" s="87" t="s">
        <v>6224</v>
      </c>
      <c r="E2887" s="89" t="s">
        <v>7513</v>
      </c>
      <c r="F2887" s="89" t="s">
        <v>2466</v>
      </c>
      <c r="G2887" s="89" t="s">
        <v>26</v>
      </c>
      <c r="H2887" s="89" t="s">
        <v>7506</v>
      </c>
      <c r="I2887" s="89" t="s">
        <v>3001</v>
      </c>
      <c r="J2887" s="95">
        <v>1</v>
      </c>
      <c r="K2887" s="95">
        <v>13</v>
      </c>
      <c r="L2887" s="150"/>
      <c r="M2887" s="146" t="s">
        <v>44</v>
      </c>
      <c r="N2887" s="149"/>
      <c r="O2887" s="149">
        <v>45</v>
      </c>
      <c r="P2887" s="149"/>
      <c r="Q2887" s="149"/>
      <c r="R2887" s="149"/>
      <c r="S2887" s="149"/>
      <c r="T2887" s="149"/>
      <c r="U2887" s="149"/>
      <c r="V2887" s="89"/>
      <c r="Z2887" s="26"/>
      <c r="AA2887" s="26"/>
    </row>
    <row r="2888" spans="1:27" ht="15" customHeight="1" x14ac:dyDescent="0.2">
      <c r="A2888" s="93">
        <v>41800.577962962998</v>
      </c>
      <c r="B2888" s="89" t="s">
        <v>16</v>
      </c>
      <c r="C2888" s="52" t="s">
        <v>406</v>
      </c>
      <c r="D2888" s="87" t="s">
        <v>6224</v>
      </c>
      <c r="E2888" s="89" t="s">
        <v>4784</v>
      </c>
      <c r="F2888" s="89" t="s">
        <v>4804</v>
      </c>
      <c r="G2888" s="89" t="s">
        <v>26</v>
      </c>
      <c r="H2888" s="89" t="s">
        <v>4805</v>
      </c>
      <c r="I2888" s="89" t="s">
        <v>3001</v>
      </c>
      <c r="J2888" s="95">
        <v>1</v>
      </c>
      <c r="K2888" s="95">
        <v>0</v>
      </c>
      <c r="L2888" s="150"/>
      <c r="M2888" s="146" t="s">
        <v>22</v>
      </c>
      <c r="N2888" s="149"/>
      <c r="O2888" s="149"/>
      <c r="P2888" s="149"/>
      <c r="Q2888" s="149"/>
      <c r="R2888" s="149"/>
      <c r="S2888" s="149"/>
      <c r="T2888" s="149"/>
      <c r="U2888" s="149"/>
      <c r="V2888" s="89"/>
      <c r="Z2888" s="26"/>
      <c r="AA2888" s="26"/>
    </row>
    <row r="2889" spans="1:27" ht="15" customHeight="1" x14ac:dyDescent="0.2">
      <c r="A2889" s="93">
        <v>41800.578495370399</v>
      </c>
      <c r="B2889" s="89" t="s">
        <v>16</v>
      </c>
      <c r="C2889" s="52" t="s">
        <v>406</v>
      </c>
      <c r="D2889" s="87" t="s">
        <v>6224</v>
      </c>
      <c r="E2889" s="89" t="s">
        <v>2175</v>
      </c>
      <c r="F2889" s="89" t="s">
        <v>373</v>
      </c>
      <c r="G2889" s="89" t="s">
        <v>26</v>
      </c>
      <c r="H2889" s="89" t="s">
        <v>7517</v>
      </c>
      <c r="I2889" s="89" t="s">
        <v>3001</v>
      </c>
      <c r="J2889" s="95">
        <v>1</v>
      </c>
      <c r="K2889" s="95">
        <v>25</v>
      </c>
      <c r="L2889" s="150"/>
      <c r="M2889" s="146" t="s">
        <v>22</v>
      </c>
      <c r="N2889" s="149"/>
      <c r="O2889" s="149"/>
      <c r="P2889" s="149"/>
      <c r="Q2889" s="149"/>
      <c r="R2889" s="149"/>
      <c r="S2889" s="149"/>
      <c r="T2889" s="149"/>
      <c r="U2889" s="149"/>
      <c r="V2889" s="89"/>
      <c r="Z2889" s="26"/>
      <c r="AA2889" s="26"/>
    </row>
    <row r="2890" spans="1:27" ht="15" customHeight="1" x14ac:dyDescent="0.2">
      <c r="A2890" s="93">
        <v>41800.579259259299</v>
      </c>
      <c r="B2890" s="89" t="s">
        <v>16</v>
      </c>
      <c r="C2890" s="52" t="s">
        <v>406</v>
      </c>
      <c r="D2890" s="87" t="s">
        <v>6224</v>
      </c>
      <c r="E2890" s="89" t="s">
        <v>1475</v>
      </c>
      <c r="F2890" s="89" t="s">
        <v>931</v>
      </c>
      <c r="G2890" s="89" t="s">
        <v>26</v>
      </c>
      <c r="H2890" s="89" t="s">
        <v>7525</v>
      </c>
      <c r="I2890" s="89" t="s">
        <v>3001</v>
      </c>
      <c r="J2890" s="95">
        <v>1</v>
      </c>
      <c r="K2890" s="95">
        <v>25</v>
      </c>
      <c r="L2890" s="150"/>
      <c r="M2890" s="146" t="s">
        <v>44</v>
      </c>
      <c r="N2890" s="149"/>
      <c r="O2890" s="149">
        <v>10</v>
      </c>
      <c r="P2890" s="149"/>
      <c r="Q2890" s="149"/>
      <c r="R2890" s="149"/>
      <c r="S2890" s="149"/>
      <c r="T2890" s="149"/>
      <c r="U2890" s="149"/>
      <c r="V2890" s="89"/>
      <c r="Z2890" s="26"/>
      <c r="AA2890" s="26"/>
    </row>
    <row r="2891" spans="1:27" ht="15" customHeight="1" x14ac:dyDescent="0.2">
      <c r="A2891" s="37">
        <v>41493.666701388902</v>
      </c>
      <c r="B2891" s="26" t="s">
        <v>38</v>
      </c>
      <c r="C2891" s="26" t="s">
        <v>995</v>
      </c>
      <c r="D2891" s="33">
        <v>41456</v>
      </c>
      <c r="E2891" s="26" t="s">
        <v>996</v>
      </c>
      <c r="F2891" s="26" t="s">
        <v>997</v>
      </c>
      <c r="G2891" s="26" t="s">
        <v>26</v>
      </c>
      <c r="H2891" s="26" t="s">
        <v>998</v>
      </c>
      <c r="I2891" s="26"/>
      <c r="J2891" s="115">
        <v>1</v>
      </c>
      <c r="K2891" s="115">
        <v>2</v>
      </c>
      <c r="L2891" s="136">
        <v>30</v>
      </c>
      <c r="M2891" s="137" t="s">
        <v>44</v>
      </c>
      <c r="O2891" s="138">
        <v>5</v>
      </c>
      <c r="V2891" s="26"/>
      <c r="W2891" s="26"/>
      <c r="X2891" s="26"/>
      <c r="Y2891" s="26"/>
      <c r="Z2891" s="26"/>
      <c r="AA2891" s="26"/>
    </row>
    <row r="2892" spans="1:27" ht="15" customHeight="1" x14ac:dyDescent="0.2">
      <c r="A2892" s="37">
        <v>41493.671180555597</v>
      </c>
      <c r="B2892" s="26" t="s">
        <v>38</v>
      </c>
      <c r="C2892" s="26" t="s">
        <v>995</v>
      </c>
      <c r="D2892" s="33">
        <v>41456</v>
      </c>
      <c r="E2892" s="26" t="s">
        <v>1003</v>
      </c>
      <c r="F2892" s="26" t="s">
        <v>1004</v>
      </c>
      <c r="G2892" s="26" t="s">
        <v>26</v>
      </c>
      <c r="H2892" s="26" t="s">
        <v>1005</v>
      </c>
      <c r="I2892" s="26"/>
      <c r="J2892" s="115">
        <v>1</v>
      </c>
      <c r="K2892" s="115">
        <v>2</v>
      </c>
      <c r="L2892" s="136">
        <v>10</v>
      </c>
      <c r="M2892" s="137" t="s">
        <v>44</v>
      </c>
      <c r="O2892" s="138">
        <v>5</v>
      </c>
      <c r="P2892" s="138">
        <v>8</v>
      </c>
      <c r="V2892" s="26"/>
      <c r="W2892" s="26"/>
      <c r="X2892" s="26"/>
      <c r="Y2892" s="26"/>
      <c r="Z2892" s="26"/>
      <c r="AA2892" s="26"/>
    </row>
    <row r="2893" spans="1:27" ht="15" customHeight="1" x14ac:dyDescent="0.2">
      <c r="A2893" s="37">
        <v>41493.677835648101</v>
      </c>
      <c r="B2893" s="26" t="s">
        <v>38</v>
      </c>
      <c r="C2893" s="26" t="s">
        <v>995</v>
      </c>
      <c r="D2893" s="33">
        <v>41456</v>
      </c>
      <c r="E2893" s="26" t="s">
        <v>1006</v>
      </c>
      <c r="F2893" s="26" t="s">
        <v>1007</v>
      </c>
      <c r="G2893" s="26" t="s">
        <v>26</v>
      </c>
      <c r="H2893" s="26" t="s">
        <v>998</v>
      </c>
      <c r="I2893" s="26"/>
      <c r="J2893" s="115">
        <v>1</v>
      </c>
      <c r="K2893" s="115">
        <v>12</v>
      </c>
      <c r="L2893" s="136">
        <v>180</v>
      </c>
      <c r="M2893" s="137" t="s">
        <v>44</v>
      </c>
      <c r="O2893" s="138">
        <v>25</v>
      </c>
      <c r="V2893" s="26"/>
      <c r="W2893" s="26"/>
      <c r="X2893" s="26"/>
      <c r="Y2893" s="26"/>
      <c r="Z2893" s="26"/>
      <c r="AA2893" s="26"/>
    </row>
    <row r="2894" spans="1:27" ht="15" customHeight="1" x14ac:dyDescent="0.2">
      <c r="A2894" s="37">
        <v>41493.681111111102</v>
      </c>
      <c r="B2894" s="26" t="s">
        <v>38</v>
      </c>
      <c r="C2894" s="26" t="s">
        <v>995</v>
      </c>
      <c r="D2894" s="33">
        <v>41456</v>
      </c>
      <c r="E2894" s="26" t="s">
        <v>1008</v>
      </c>
      <c r="F2894" s="26" t="s">
        <v>1009</v>
      </c>
      <c r="G2894" s="26" t="s">
        <v>20</v>
      </c>
      <c r="H2894" s="26" t="s">
        <v>1010</v>
      </c>
      <c r="I2894" s="26"/>
      <c r="J2894" s="115">
        <v>1</v>
      </c>
      <c r="K2894" s="115">
        <v>36</v>
      </c>
      <c r="L2894" s="136">
        <v>108</v>
      </c>
      <c r="M2894" s="137" t="s">
        <v>44</v>
      </c>
      <c r="P2894" s="138">
        <v>30</v>
      </c>
      <c r="V2894" s="26"/>
      <c r="W2894" s="26"/>
      <c r="X2894" s="26"/>
      <c r="Y2894" s="26"/>
      <c r="Z2894" s="26"/>
      <c r="AA2894" s="26"/>
    </row>
    <row r="2895" spans="1:27" s="26" customFormat="1" ht="15" customHeight="1" x14ac:dyDescent="0.2">
      <c r="A2895" s="37">
        <v>41493.683356481502</v>
      </c>
      <c r="B2895" s="26" t="s">
        <v>38</v>
      </c>
      <c r="C2895" s="26" t="s">
        <v>995</v>
      </c>
      <c r="D2895" s="33">
        <v>41456</v>
      </c>
      <c r="E2895" s="26" t="s">
        <v>1011</v>
      </c>
      <c r="F2895" s="26" t="s">
        <v>1012</v>
      </c>
      <c r="G2895" s="26" t="s">
        <v>26</v>
      </c>
      <c r="H2895" s="26" t="s">
        <v>1013</v>
      </c>
      <c r="J2895" s="115">
        <v>1</v>
      </c>
      <c r="K2895" s="115">
        <v>9</v>
      </c>
      <c r="L2895" s="136">
        <v>45</v>
      </c>
      <c r="M2895" s="137" t="s">
        <v>44</v>
      </c>
      <c r="N2895" s="138"/>
      <c r="O2895" s="138">
        <v>20</v>
      </c>
      <c r="P2895" s="138">
        <v>5</v>
      </c>
      <c r="Q2895" s="138"/>
      <c r="R2895" s="138"/>
      <c r="S2895" s="138"/>
      <c r="T2895" s="138"/>
      <c r="U2895" s="138"/>
    </row>
    <row r="2896" spans="1:27" ht="15" customHeight="1" x14ac:dyDescent="0.2">
      <c r="A2896" s="37">
        <v>41493.685335648202</v>
      </c>
      <c r="B2896" s="26" t="s">
        <v>38</v>
      </c>
      <c r="C2896" s="26" t="s">
        <v>995</v>
      </c>
      <c r="D2896" s="33">
        <v>41456</v>
      </c>
      <c r="E2896" s="26" t="s">
        <v>996</v>
      </c>
      <c r="F2896" s="26" t="s">
        <v>997</v>
      </c>
      <c r="G2896" s="26" t="s">
        <v>26</v>
      </c>
      <c r="H2896" s="26" t="s">
        <v>998</v>
      </c>
      <c r="I2896" s="26"/>
      <c r="J2896" s="115">
        <v>1</v>
      </c>
      <c r="K2896" s="115">
        <v>14</v>
      </c>
      <c r="L2896" s="136">
        <v>210</v>
      </c>
      <c r="M2896" s="137" t="s">
        <v>44</v>
      </c>
      <c r="O2896" s="138">
        <v>30</v>
      </c>
      <c r="V2896" s="26"/>
      <c r="W2896" s="26"/>
      <c r="X2896" s="26"/>
      <c r="Y2896" s="26"/>
      <c r="Z2896" s="26"/>
      <c r="AA2896" s="26"/>
    </row>
    <row r="2897" spans="1:27" ht="15" customHeight="1" x14ac:dyDescent="0.2">
      <c r="A2897" s="37">
        <v>41493.6882638889</v>
      </c>
      <c r="B2897" s="26" t="s">
        <v>38</v>
      </c>
      <c r="C2897" s="26" t="s">
        <v>995</v>
      </c>
      <c r="D2897" s="33">
        <v>41456</v>
      </c>
      <c r="E2897" s="26" t="s">
        <v>1014</v>
      </c>
      <c r="F2897" s="26" t="s">
        <v>1004</v>
      </c>
      <c r="G2897" s="26" t="s">
        <v>26</v>
      </c>
      <c r="H2897" s="26" t="s">
        <v>1015</v>
      </c>
      <c r="I2897" s="26"/>
      <c r="J2897" s="115">
        <v>1</v>
      </c>
      <c r="K2897" s="115">
        <v>12</v>
      </c>
      <c r="L2897" s="136">
        <v>60</v>
      </c>
      <c r="M2897" s="137" t="s">
        <v>44</v>
      </c>
      <c r="O2897" s="138">
        <v>20</v>
      </c>
      <c r="P2897" s="138">
        <v>24</v>
      </c>
      <c r="V2897" s="26"/>
      <c r="W2897" s="26"/>
      <c r="X2897" s="26"/>
      <c r="Y2897" s="26"/>
      <c r="Z2897" s="26"/>
      <c r="AA2897" s="26"/>
    </row>
    <row r="2898" spans="1:27" ht="15" customHeight="1" x14ac:dyDescent="0.2">
      <c r="A2898" s="37">
        <v>41493.691400463002</v>
      </c>
      <c r="B2898" s="26" t="s">
        <v>38</v>
      </c>
      <c r="C2898" s="26" t="s">
        <v>995</v>
      </c>
      <c r="D2898" s="33">
        <v>41456</v>
      </c>
      <c r="E2898" s="26" t="s">
        <v>1016</v>
      </c>
      <c r="F2898" s="26" t="s">
        <v>270</v>
      </c>
      <c r="G2898" s="26" t="s">
        <v>26</v>
      </c>
      <c r="H2898" s="26" t="s">
        <v>1017</v>
      </c>
      <c r="I2898" s="26"/>
      <c r="J2898" s="115">
        <v>1</v>
      </c>
      <c r="K2898" s="115">
        <v>4</v>
      </c>
      <c r="L2898" s="136">
        <v>20</v>
      </c>
      <c r="M2898" s="137" t="s">
        <v>44</v>
      </c>
      <c r="O2898" s="138">
        <v>10</v>
      </c>
      <c r="P2898" s="138">
        <v>22</v>
      </c>
      <c r="V2898" s="26"/>
      <c r="W2898" s="26"/>
      <c r="X2898" s="26"/>
      <c r="Y2898" s="26"/>
      <c r="Z2898" s="26"/>
      <c r="AA2898" s="26"/>
    </row>
    <row r="2899" spans="1:27" ht="15" customHeight="1" x14ac:dyDescent="0.2">
      <c r="A2899" s="37">
        <v>41493.695439814801</v>
      </c>
      <c r="B2899" s="26" t="s">
        <v>38</v>
      </c>
      <c r="C2899" s="26" t="s">
        <v>995</v>
      </c>
      <c r="D2899" s="33">
        <v>41456</v>
      </c>
      <c r="E2899" s="26" t="s">
        <v>1018</v>
      </c>
      <c r="F2899" s="26" t="s">
        <v>1019</v>
      </c>
      <c r="G2899" s="26" t="s">
        <v>26</v>
      </c>
      <c r="H2899" s="26" t="s">
        <v>1020</v>
      </c>
      <c r="I2899" s="26"/>
      <c r="J2899" s="115">
        <v>1</v>
      </c>
      <c r="K2899" s="115">
        <v>4</v>
      </c>
      <c r="L2899" s="136">
        <v>60</v>
      </c>
      <c r="M2899" s="137" t="s">
        <v>44</v>
      </c>
      <c r="O2899" s="138">
        <v>10</v>
      </c>
      <c r="P2899" s="138">
        <v>5</v>
      </c>
      <c r="V2899" s="26"/>
      <c r="W2899" s="26"/>
      <c r="X2899" s="26"/>
      <c r="Y2899" s="26"/>
      <c r="Z2899" s="26"/>
      <c r="AA2899" s="26"/>
    </row>
    <row r="2900" spans="1:27" s="26" customFormat="1" ht="15" customHeight="1" x14ac:dyDescent="0.2">
      <c r="A2900" s="37">
        <v>41493.696655092601</v>
      </c>
      <c r="B2900" s="26" t="s">
        <v>38</v>
      </c>
      <c r="C2900" s="26" t="s">
        <v>995</v>
      </c>
      <c r="D2900" s="33">
        <v>41456</v>
      </c>
      <c r="E2900" s="26" t="s">
        <v>1021</v>
      </c>
      <c r="F2900" s="26" t="s">
        <v>1022</v>
      </c>
      <c r="G2900" s="26" t="s">
        <v>26</v>
      </c>
      <c r="H2900" s="26" t="s">
        <v>1023</v>
      </c>
      <c r="J2900" s="115">
        <v>1</v>
      </c>
      <c r="K2900" s="115">
        <v>4</v>
      </c>
      <c r="L2900" s="136">
        <v>20</v>
      </c>
      <c r="M2900" s="137" t="s">
        <v>44</v>
      </c>
      <c r="N2900" s="138"/>
      <c r="O2900" s="138">
        <v>5</v>
      </c>
      <c r="P2900" s="138">
        <v>8</v>
      </c>
      <c r="Q2900" s="138"/>
      <c r="R2900" s="138"/>
      <c r="S2900" s="138"/>
      <c r="T2900" s="138"/>
      <c r="U2900" s="138"/>
    </row>
    <row r="2901" spans="1:27" s="26" customFormat="1" ht="15" customHeight="1" x14ac:dyDescent="0.2">
      <c r="A2901" s="37">
        <v>41493.700081018498</v>
      </c>
      <c r="B2901" s="26" t="s">
        <v>38</v>
      </c>
      <c r="C2901" s="26" t="s">
        <v>995</v>
      </c>
      <c r="D2901" s="33">
        <v>41456</v>
      </c>
      <c r="E2901" s="26" t="s">
        <v>1024</v>
      </c>
      <c r="F2901" s="26" t="s">
        <v>1025</v>
      </c>
      <c r="G2901" s="34" t="s">
        <v>26</v>
      </c>
      <c r="H2901" s="26" t="s">
        <v>998</v>
      </c>
      <c r="J2901" s="115">
        <v>1</v>
      </c>
      <c r="K2901" s="115">
        <v>5</v>
      </c>
      <c r="L2901" s="136">
        <v>75</v>
      </c>
      <c r="M2901" s="137" t="s">
        <v>44</v>
      </c>
      <c r="N2901" s="138"/>
      <c r="O2901" s="138">
        <v>10</v>
      </c>
      <c r="P2901" s="138">
        <v>4</v>
      </c>
      <c r="Q2901" s="138"/>
      <c r="R2901" s="138"/>
      <c r="S2901" s="138"/>
      <c r="T2901" s="138"/>
      <c r="U2901" s="138"/>
    </row>
    <row r="2902" spans="1:27" s="26" customFormat="1" ht="15" customHeight="1" x14ac:dyDescent="0.2">
      <c r="A2902" s="37">
        <v>41495.375520833302</v>
      </c>
      <c r="B2902" s="26" t="s">
        <v>38</v>
      </c>
      <c r="C2902" s="26" t="s">
        <v>995</v>
      </c>
      <c r="D2902" s="33">
        <v>41456</v>
      </c>
      <c r="E2902" s="26" t="s">
        <v>1136</v>
      </c>
      <c r="F2902" s="26" t="s">
        <v>997</v>
      </c>
      <c r="G2902" s="26" t="s">
        <v>26</v>
      </c>
      <c r="H2902" s="26" t="s">
        <v>1137</v>
      </c>
      <c r="J2902" s="115">
        <v>1</v>
      </c>
      <c r="K2902" s="115">
        <v>10</v>
      </c>
      <c r="L2902" s="136">
        <v>150</v>
      </c>
      <c r="M2902" s="137" t="s">
        <v>44</v>
      </c>
      <c r="N2902" s="138"/>
      <c r="O2902" s="138">
        <v>25</v>
      </c>
      <c r="P2902" s="138"/>
      <c r="Q2902" s="138"/>
      <c r="R2902" s="138"/>
      <c r="S2902" s="138"/>
      <c r="T2902" s="138"/>
      <c r="U2902" s="138"/>
    </row>
    <row r="2903" spans="1:27" s="26" customFormat="1" ht="15" customHeight="1" x14ac:dyDescent="0.2">
      <c r="A2903" s="37">
        <v>41495.420821759297</v>
      </c>
      <c r="B2903" s="26" t="s">
        <v>38</v>
      </c>
      <c r="C2903" s="26" t="s">
        <v>995</v>
      </c>
      <c r="D2903" s="33">
        <v>41456</v>
      </c>
      <c r="E2903" s="26" t="s">
        <v>1138</v>
      </c>
      <c r="F2903" s="26" t="s">
        <v>1139</v>
      </c>
      <c r="G2903" s="26" t="s">
        <v>20</v>
      </c>
      <c r="H2903" s="26" t="s">
        <v>1140</v>
      </c>
      <c r="J2903" s="115">
        <v>1</v>
      </c>
      <c r="K2903" s="115">
        <v>17</v>
      </c>
      <c r="L2903" s="136">
        <v>51</v>
      </c>
      <c r="M2903" s="137" t="s">
        <v>44</v>
      </c>
      <c r="N2903" s="138"/>
      <c r="O2903" s="138"/>
      <c r="P2903" s="138">
        <v>45</v>
      </c>
      <c r="Q2903" s="138"/>
      <c r="R2903" s="138"/>
      <c r="S2903" s="138"/>
      <c r="T2903" s="138"/>
      <c r="U2903" s="138"/>
    </row>
    <row r="2904" spans="1:27" s="26" customFormat="1" ht="15" customHeight="1" x14ac:dyDescent="0.2">
      <c r="A2904" s="37">
        <v>41495.424756944398</v>
      </c>
      <c r="B2904" s="26" t="s">
        <v>38</v>
      </c>
      <c r="C2904" s="26" t="s">
        <v>995</v>
      </c>
      <c r="D2904" s="33">
        <v>41456</v>
      </c>
      <c r="E2904" s="26" t="s">
        <v>1003</v>
      </c>
      <c r="F2904" s="26" t="s">
        <v>1004</v>
      </c>
      <c r="G2904" s="26" t="s">
        <v>26</v>
      </c>
      <c r="H2904" s="26" t="s">
        <v>1141</v>
      </c>
      <c r="J2904" s="115">
        <v>1</v>
      </c>
      <c r="K2904" s="115">
        <v>5</v>
      </c>
      <c r="L2904" s="136">
        <v>25</v>
      </c>
      <c r="M2904" s="137" t="s">
        <v>44</v>
      </c>
      <c r="N2904" s="138"/>
      <c r="O2904" s="138">
        <v>20</v>
      </c>
      <c r="P2904" s="138">
        <v>24</v>
      </c>
      <c r="Q2904" s="138"/>
      <c r="R2904" s="138"/>
      <c r="S2904" s="138"/>
      <c r="T2904" s="138"/>
      <c r="U2904" s="138"/>
    </row>
    <row r="2905" spans="1:27" s="26" customFormat="1" ht="15" customHeight="1" x14ac:dyDescent="0.2">
      <c r="A2905" s="37">
        <v>41495.428842592599</v>
      </c>
      <c r="B2905" s="26" t="s">
        <v>38</v>
      </c>
      <c r="C2905" s="26" t="s">
        <v>995</v>
      </c>
      <c r="D2905" s="33">
        <v>41456</v>
      </c>
      <c r="E2905" s="26" t="s">
        <v>1142</v>
      </c>
      <c r="F2905" s="26" t="s">
        <v>1143</v>
      </c>
      <c r="G2905" s="26" t="s">
        <v>26</v>
      </c>
      <c r="H2905" s="26" t="s">
        <v>1144</v>
      </c>
      <c r="J2905" s="115">
        <v>1</v>
      </c>
      <c r="K2905" s="115">
        <v>12</v>
      </c>
      <c r="L2905" s="136">
        <v>180</v>
      </c>
      <c r="M2905" s="137" t="s">
        <v>44</v>
      </c>
      <c r="N2905" s="138"/>
      <c r="O2905" s="138">
        <v>30</v>
      </c>
      <c r="P2905" s="138">
        <v>20</v>
      </c>
      <c r="Q2905" s="138"/>
      <c r="R2905" s="138"/>
      <c r="S2905" s="138"/>
      <c r="T2905" s="138"/>
      <c r="U2905" s="138"/>
    </row>
    <row r="2906" spans="1:27" s="26" customFormat="1" ht="15" customHeight="1" x14ac:dyDescent="0.2">
      <c r="A2906" s="37">
        <v>41495.431701388901</v>
      </c>
      <c r="B2906" s="26" t="s">
        <v>38</v>
      </c>
      <c r="C2906" s="26" t="s">
        <v>995</v>
      </c>
      <c r="D2906" s="33">
        <v>41456</v>
      </c>
      <c r="E2906" s="26" t="s">
        <v>1145</v>
      </c>
      <c r="F2906" s="26" t="s">
        <v>997</v>
      </c>
      <c r="G2906" s="26" t="s">
        <v>26</v>
      </c>
      <c r="H2906" s="26" t="s">
        <v>998</v>
      </c>
      <c r="J2906" s="115">
        <v>1</v>
      </c>
      <c r="K2906" s="115">
        <v>7</v>
      </c>
      <c r="L2906" s="136">
        <v>105</v>
      </c>
      <c r="M2906" s="137" t="s">
        <v>44</v>
      </c>
      <c r="N2906" s="138"/>
      <c r="O2906" s="138">
        <v>20</v>
      </c>
      <c r="P2906" s="138"/>
      <c r="Q2906" s="138"/>
      <c r="R2906" s="138"/>
      <c r="S2906" s="138"/>
      <c r="T2906" s="138"/>
      <c r="U2906" s="138"/>
    </row>
    <row r="2907" spans="1:27" s="26" customFormat="1" ht="15" customHeight="1" x14ac:dyDescent="0.2">
      <c r="A2907" s="37">
        <v>41495.436944444402</v>
      </c>
      <c r="B2907" s="26" t="s">
        <v>38</v>
      </c>
      <c r="C2907" s="26" t="s">
        <v>995</v>
      </c>
      <c r="D2907" s="33">
        <v>41456</v>
      </c>
      <c r="E2907" s="26" t="s">
        <v>1146</v>
      </c>
      <c r="F2907" s="26" t="s">
        <v>1147</v>
      </c>
      <c r="G2907" s="26" t="s">
        <v>26</v>
      </c>
      <c r="H2907" s="26" t="s">
        <v>1148</v>
      </c>
      <c r="J2907" s="115">
        <v>1</v>
      </c>
      <c r="K2907" s="115">
        <v>8</v>
      </c>
      <c r="L2907" s="136">
        <v>120</v>
      </c>
      <c r="M2907" s="137" t="s">
        <v>44</v>
      </c>
      <c r="N2907" s="138"/>
      <c r="O2907" s="138">
        <v>20</v>
      </c>
      <c r="P2907" s="138">
        <v>12</v>
      </c>
      <c r="Q2907" s="138"/>
      <c r="R2907" s="138"/>
      <c r="S2907" s="138"/>
      <c r="T2907" s="138"/>
      <c r="U2907" s="138"/>
    </row>
    <row r="2908" spans="1:27" s="26" customFormat="1" ht="15" customHeight="1" x14ac:dyDescent="0.2">
      <c r="A2908" s="37">
        <v>41495.441307870402</v>
      </c>
      <c r="B2908" s="26" t="s">
        <v>38</v>
      </c>
      <c r="C2908" s="26" t="s">
        <v>995</v>
      </c>
      <c r="D2908" s="33">
        <v>41456</v>
      </c>
      <c r="E2908" s="26" t="s">
        <v>1006</v>
      </c>
      <c r="F2908" s="26" t="s">
        <v>1149</v>
      </c>
      <c r="G2908" s="26" t="s">
        <v>26</v>
      </c>
      <c r="H2908" s="26" t="s">
        <v>1150</v>
      </c>
      <c r="J2908" s="115">
        <v>1</v>
      </c>
      <c r="K2908" s="115">
        <v>2</v>
      </c>
      <c r="L2908" s="136">
        <v>30</v>
      </c>
      <c r="M2908" s="137" t="s">
        <v>44</v>
      </c>
      <c r="N2908" s="138"/>
      <c r="O2908" s="138">
        <v>10</v>
      </c>
      <c r="P2908" s="138"/>
      <c r="Q2908" s="138"/>
      <c r="R2908" s="138"/>
      <c r="S2908" s="138"/>
      <c r="T2908" s="138"/>
      <c r="U2908" s="138"/>
    </row>
    <row r="2909" spans="1:27" s="26" customFormat="1" ht="15" customHeight="1" x14ac:dyDescent="0.2">
      <c r="A2909" s="37">
        <v>41495.451331018499</v>
      </c>
      <c r="B2909" s="26" t="s">
        <v>38</v>
      </c>
      <c r="C2909" s="26" t="s">
        <v>995</v>
      </c>
      <c r="D2909" s="33">
        <v>41456</v>
      </c>
      <c r="E2909" s="26" t="s">
        <v>1151</v>
      </c>
      <c r="F2909" s="26" t="s">
        <v>259</v>
      </c>
      <c r="G2909" s="26" t="s">
        <v>26</v>
      </c>
      <c r="H2909" s="26" t="s">
        <v>1152</v>
      </c>
      <c r="J2909" s="115">
        <v>1</v>
      </c>
      <c r="K2909" s="115">
        <v>2</v>
      </c>
      <c r="L2909" s="136">
        <v>50</v>
      </c>
      <c r="M2909" s="137" t="s">
        <v>44</v>
      </c>
      <c r="N2909" s="138"/>
      <c r="O2909" s="138">
        <v>5</v>
      </c>
      <c r="P2909" s="138">
        <v>15</v>
      </c>
      <c r="Q2909" s="138"/>
      <c r="R2909" s="138"/>
      <c r="S2909" s="138"/>
      <c r="T2909" s="138"/>
      <c r="U2909" s="138"/>
    </row>
    <row r="2910" spans="1:27" s="26" customFormat="1" ht="15" customHeight="1" x14ac:dyDescent="0.2">
      <c r="A2910" s="37">
        <v>41495.589918981503</v>
      </c>
      <c r="B2910" s="26" t="s">
        <v>38</v>
      </c>
      <c r="C2910" s="26" t="s">
        <v>995</v>
      </c>
      <c r="D2910" s="33">
        <v>41456</v>
      </c>
      <c r="E2910" s="26" t="s">
        <v>1011</v>
      </c>
      <c r="F2910" s="26" t="s">
        <v>1012</v>
      </c>
      <c r="G2910" s="26" t="s">
        <v>26</v>
      </c>
      <c r="H2910" s="26" t="s">
        <v>1161</v>
      </c>
      <c r="J2910" s="115">
        <v>1</v>
      </c>
      <c r="K2910" s="115">
        <v>3</v>
      </c>
      <c r="L2910" s="136">
        <v>15</v>
      </c>
      <c r="M2910" s="137" t="s">
        <v>44</v>
      </c>
      <c r="N2910" s="138"/>
      <c r="O2910" s="138">
        <v>10</v>
      </c>
      <c r="P2910" s="138">
        <v>5</v>
      </c>
      <c r="Q2910" s="138"/>
      <c r="R2910" s="138"/>
      <c r="S2910" s="138"/>
      <c r="T2910" s="138"/>
      <c r="U2910" s="138"/>
    </row>
    <row r="2911" spans="1:27" s="26" customFormat="1" ht="15" customHeight="1" x14ac:dyDescent="0.2">
      <c r="A2911" s="37">
        <v>41495.603206018503</v>
      </c>
      <c r="B2911" s="26" t="s">
        <v>38</v>
      </c>
      <c r="C2911" s="26" t="s">
        <v>995</v>
      </c>
      <c r="D2911" s="33">
        <v>41456</v>
      </c>
      <c r="E2911" s="26" t="s">
        <v>996</v>
      </c>
      <c r="F2911" s="26" t="s">
        <v>997</v>
      </c>
      <c r="G2911" s="26" t="s">
        <v>26</v>
      </c>
      <c r="H2911" s="26" t="s">
        <v>1148</v>
      </c>
      <c r="J2911" s="115">
        <v>1</v>
      </c>
      <c r="K2911" s="115">
        <v>5</v>
      </c>
      <c r="L2911" s="136">
        <v>75</v>
      </c>
      <c r="M2911" s="137" t="s">
        <v>44</v>
      </c>
      <c r="N2911" s="138"/>
      <c r="O2911" s="138">
        <v>15</v>
      </c>
      <c r="P2911" s="138"/>
      <c r="Q2911" s="138"/>
      <c r="R2911" s="138"/>
      <c r="S2911" s="138"/>
      <c r="T2911" s="138"/>
      <c r="U2911" s="138"/>
    </row>
    <row r="2912" spans="1:27" s="26" customFormat="1" ht="15" customHeight="1" x14ac:dyDescent="0.2">
      <c r="A2912" s="37">
        <v>41495.606168981503</v>
      </c>
      <c r="B2912" s="26" t="s">
        <v>38</v>
      </c>
      <c r="C2912" s="26" t="s">
        <v>995</v>
      </c>
      <c r="D2912" s="33">
        <v>41456</v>
      </c>
      <c r="E2912" s="26" t="s">
        <v>1162</v>
      </c>
      <c r="F2912" s="26" t="s">
        <v>1019</v>
      </c>
      <c r="G2912" s="26" t="s">
        <v>26</v>
      </c>
      <c r="H2912" s="26" t="s">
        <v>1163</v>
      </c>
      <c r="J2912" s="115">
        <v>1</v>
      </c>
      <c r="K2912" s="115">
        <v>2</v>
      </c>
      <c r="L2912" s="136">
        <v>30</v>
      </c>
      <c r="M2912" s="137" t="s">
        <v>44</v>
      </c>
      <c r="N2912" s="138"/>
      <c r="O2912" s="138">
        <v>5</v>
      </c>
      <c r="P2912" s="138">
        <v>4</v>
      </c>
      <c r="Q2912" s="138"/>
      <c r="R2912" s="138"/>
      <c r="S2912" s="138"/>
      <c r="T2912" s="138"/>
      <c r="U2912" s="138"/>
    </row>
    <row r="2913" spans="1:27" ht="15" customHeight="1" x14ac:dyDescent="0.2">
      <c r="A2913" s="37">
        <v>41495.613113425898</v>
      </c>
      <c r="B2913" s="26" t="s">
        <v>152</v>
      </c>
      <c r="C2913" s="26" t="s">
        <v>995</v>
      </c>
      <c r="D2913" s="33">
        <v>41456</v>
      </c>
      <c r="E2913" s="26" t="s">
        <v>1164</v>
      </c>
      <c r="F2913" s="26" t="s">
        <v>1165</v>
      </c>
      <c r="G2913" s="26" t="s">
        <v>42</v>
      </c>
      <c r="H2913" s="26" t="s">
        <v>1166</v>
      </c>
      <c r="I2913" s="26"/>
      <c r="J2913" s="115">
        <v>1</v>
      </c>
      <c r="K2913" s="115">
        <v>15</v>
      </c>
      <c r="L2913" s="136">
        <v>225</v>
      </c>
      <c r="M2913" s="137" t="s">
        <v>44</v>
      </c>
      <c r="O2913" s="138">
        <v>45</v>
      </c>
      <c r="P2913" s="138">
        <v>30</v>
      </c>
      <c r="V2913" s="26"/>
      <c r="W2913" s="26"/>
      <c r="X2913" s="26"/>
      <c r="Y2913" s="26"/>
      <c r="Z2913" s="26"/>
      <c r="AA2913" s="26"/>
    </row>
    <row r="2914" spans="1:27" ht="15" customHeight="1" x14ac:dyDescent="0.2">
      <c r="A2914" s="37">
        <v>41495.6162847222</v>
      </c>
      <c r="B2914" s="26" t="s">
        <v>38</v>
      </c>
      <c r="C2914" s="26" t="s">
        <v>995</v>
      </c>
      <c r="D2914" s="33">
        <v>41456</v>
      </c>
      <c r="E2914" s="26" t="s">
        <v>1167</v>
      </c>
      <c r="F2914" s="26" t="s">
        <v>997</v>
      </c>
      <c r="G2914" s="26" t="s">
        <v>26</v>
      </c>
      <c r="H2914" s="26" t="s">
        <v>1168</v>
      </c>
      <c r="I2914" s="26"/>
      <c r="J2914" s="115">
        <v>1</v>
      </c>
      <c r="K2914" s="115">
        <v>21</v>
      </c>
      <c r="L2914" s="136">
        <v>315</v>
      </c>
      <c r="M2914" s="137" t="s">
        <v>44</v>
      </c>
      <c r="O2914" s="138">
        <v>70</v>
      </c>
      <c r="V2914" s="26"/>
      <c r="W2914" s="26"/>
      <c r="X2914" s="26"/>
      <c r="Y2914" s="26"/>
      <c r="Z2914" s="26"/>
      <c r="AA2914" s="26"/>
    </row>
    <row r="2915" spans="1:27" ht="15" customHeight="1" x14ac:dyDescent="0.2">
      <c r="A2915" s="37">
        <v>41495.618796296301</v>
      </c>
      <c r="B2915" s="26" t="s">
        <v>152</v>
      </c>
      <c r="C2915" s="26" t="s">
        <v>995</v>
      </c>
      <c r="D2915" s="33">
        <v>41456</v>
      </c>
      <c r="E2915" s="26" t="s">
        <v>1169</v>
      </c>
      <c r="F2915" s="26" t="s">
        <v>1170</v>
      </c>
      <c r="G2915" s="26" t="s">
        <v>26</v>
      </c>
      <c r="H2915" s="26" t="s">
        <v>1171</v>
      </c>
      <c r="I2915" s="26"/>
      <c r="J2915" s="115">
        <v>1</v>
      </c>
      <c r="K2915" s="115">
        <v>6</v>
      </c>
      <c r="L2915" s="136">
        <v>90</v>
      </c>
      <c r="M2915" s="137" t="s">
        <v>44</v>
      </c>
      <c r="O2915" s="138">
        <v>20</v>
      </c>
      <c r="P2915" s="138">
        <v>8</v>
      </c>
      <c r="V2915" s="26"/>
      <c r="W2915" s="26"/>
      <c r="X2915" s="26"/>
      <c r="Y2915" s="26"/>
      <c r="Z2915" s="26"/>
      <c r="AA2915" s="26"/>
    </row>
    <row r="2916" spans="1:27" ht="15" customHeight="1" x14ac:dyDescent="0.2">
      <c r="A2916" s="37">
        <v>41495.620578703703</v>
      </c>
      <c r="B2916" s="26" t="s">
        <v>38</v>
      </c>
      <c r="C2916" s="26" t="s">
        <v>995</v>
      </c>
      <c r="D2916" s="33">
        <v>41456</v>
      </c>
      <c r="E2916" s="26" t="s">
        <v>1172</v>
      </c>
      <c r="F2916" s="26" t="s">
        <v>1173</v>
      </c>
      <c r="G2916" s="26" t="s">
        <v>42</v>
      </c>
      <c r="H2916" s="26" t="s">
        <v>1174</v>
      </c>
      <c r="I2916" s="26"/>
      <c r="J2916" s="115">
        <v>1</v>
      </c>
      <c r="K2916" s="115">
        <v>16</v>
      </c>
      <c r="L2916" s="136">
        <v>240</v>
      </c>
      <c r="M2916" s="137" t="s">
        <v>44</v>
      </c>
      <c r="O2916" s="138">
        <v>20</v>
      </c>
      <c r="V2916" s="26"/>
      <c r="W2916" s="26"/>
      <c r="X2916" s="26"/>
      <c r="Y2916" s="26"/>
      <c r="Z2916" s="26"/>
      <c r="AA2916" s="26"/>
    </row>
    <row r="2917" spans="1:27" ht="15" customHeight="1" x14ac:dyDescent="0.2">
      <c r="A2917" s="38">
        <v>41523.561747685184</v>
      </c>
      <c r="B2917" s="29" t="s">
        <v>38</v>
      </c>
      <c r="C2917" s="29" t="s">
        <v>995</v>
      </c>
      <c r="D2917" s="30">
        <v>41487</v>
      </c>
      <c r="E2917" s="31" t="s">
        <v>1718</v>
      </c>
      <c r="F2917" s="29" t="s">
        <v>1719</v>
      </c>
      <c r="G2917" s="29" t="s">
        <v>26</v>
      </c>
      <c r="H2917" s="29" t="s">
        <v>1137</v>
      </c>
      <c r="I2917" s="29"/>
      <c r="J2917" s="116">
        <v>1</v>
      </c>
      <c r="K2917" s="116">
        <v>10</v>
      </c>
      <c r="L2917" s="139">
        <v>150</v>
      </c>
      <c r="M2917" s="140" t="s">
        <v>44</v>
      </c>
      <c r="N2917" s="141"/>
      <c r="O2917" s="141">
        <v>15</v>
      </c>
      <c r="P2917" s="141"/>
      <c r="Q2917" s="141"/>
      <c r="R2917" s="141"/>
      <c r="S2917" s="141"/>
      <c r="T2917" s="141"/>
      <c r="U2917" s="141"/>
      <c r="V2917" s="29"/>
      <c r="W2917" s="26"/>
      <c r="X2917" s="26"/>
      <c r="Y2917" s="26"/>
      <c r="Z2917" s="26"/>
      <c r="AA2917" s="26"/>
    </row>
    <row r="2918" spans="1:27" ht="15" customHeight="1" x14ac:dyDescent="0.2">
      <c r="A2918" s="38">
        <v>41523.564803240741</v>
      </c>
      <c r="B2918" s="29" t="s">
        <v>38</v>
      </c>
      <c r="C2918" s="29" t="s">
        <v>995</v>
      </c>
      <c r="D2918" s="30">
        <v>41487</v>
      </c>
      <c r="E2918" s="31" t="s">
        <v>1720</v>
      </c>
      <c r="F2918" s="29" t="s">
        <v>1721</v>
      </c>
      <c r="G2918" s="29" t="s">
        <v>26</v>
      </c>
      <c r="H2918" s="29" t="s">
        <v>1722</v>
      </c>
      <c r="I2918" s="29"/>
      <c r="J2918" s="116">
        <v>1</v>
      </c>
      <c r="K2918" s="116">
        <v>4</v>
      </c>
      <c r="L2918" s="139">
        <v>60</v>
      </c>
      <c r="M2918" s="140" t="s">
        <v>44</v>
      </c>
      <c r="N2918" s="141"/>
      <c r="O2918" s="141">
        <v>10</v>
      </c>
      <c r="P2918" s="141">
        <v>16</v>
      </c>
      <c r="Q2918" s="141"/>
      <c r="R2918" s="141"/>
      <c r="S2918" s="141"/>
      <c r="T2918" s="141"/>
      <c r="U2918" s="141"/>
      <c r="V2918" s="29"/>
      <c r="W2918" s="26"/>
      <c r="X2918" s="26"/>
      <c r="Y2918" s="26"/>
      <c r="Z2918" s="26"/>
      <c r="AA2918" s="26"/>
    </row>
    <row r="2919" spans="1:27" ht="15" customHeight="1" x14ac:dyDescent="0.2">
      <c r="A2919" s="38">
        <v>41523.569143518522</v>
      </c>
      <c r="B2919" s="29" t="s">
        <v>38</v>
      </c>
      <c r="C2919" s="29" t="s">
        <v>995</v>
      </c>
      <c r="D2919" s="30">
        <v>41487</v>
      </c>
      <c r="E2919" s="31" t="s">
        <v>1003</v>
      </c>
      <c r="F2919" s="29" t="s">
        <v>1723</v>
      </c>
      <c r="G2919" s="29" t="s">
        <v>26</v>
      </c>
      <c r="H2919" s="29" t="s">
        <v>1724</v>
      </c>
      <c r="I2919" s="29"/>
      <c r="J2919" s="116">
        <v>1</v>
      </c>
      <c r="K2919" s="116">
        <v>4</v>
      </c>
      <c r="L2919" s="139">
        <v>20</v>
      </c>
      <c r="M2919" s="140" t="s">
        <v>44</v>
      </c>
      <c r="N2919" s="141"/>
      <c r="O2919" s="141">
        <v>5</v>
      </c>
      <c r="P2919" s="141"/>
      <c r="Q2919" s="141"/>
      <c r="R2919" s="141"/>
      <c r="S2919" s="141"/>
      <c r="T2919" s="141"/>
      <c r="U2919" s="141"/>
      <c r="V2919" s="29"/>
      <c r="W2919" s="26"/>
      <c r="X2919" s="26"/>
      <c r="Y2919" s="26"/>
      <c r="Z2919" s="26"/>
      <c r="AA2919" s="26"/>
    </row>
    <row r="2920" spans="1:27" ht="15" customHeight="1" x14ac:dyDescent="0.2">
      <c r="A2920" s="38">
        <v>41523.572175925925</v>
      </c>
      <c r="B2920" s="29" t="s">
        <v>38</v>
      </c>
      <c r="C2920" s="29" t="s">
        <v>995</v>
      </c>
      <c r="D2920" s="30">
        <v>41487</v>
      </c>
      <c r="E2920" s="31" t="s">
        <v>1725</v>
      </c>
      <c r="F2920" s="29" t="s">
        <v>1719</v>
      </c>
      <c r="G2920" s="29" t="s">
        <v>26</v>
      </c>
      <c r="H2920" s="29" t="s">
        <v>1137</v>
      </c>
      <c r="I2920" s="29"/>
      <c r="J2920" s="116">
        <v>1</v>
      </c>
      <c r="K2920" s="116">
        <v>9</v>
      </c>
      <c r="L2920" s="139">
        <v>135</v>
      </c>
      <c r="M2920" s="140" t="s">
        <v>44</v>
      </c>
      <c r="N2920" s="141"/>
      <c r="O2920" s="141">
        <v>15</v>
      </c>
      <c r="P2920" s="141"/>
      <c r="Q2920" s="141"/>
      <c r="R2920" s="141"/>
      <c r="S2920" s="141"/>
      <c r="T2920" s="141"/>
      <c r="U2920" s="141"/>
      <c r="V2920" s="29"/>
      <c r="W2920" s="26"/>
      <c r="X2920" s="26"/>
      <c r="Y2920" s="26"/>
      <c r="Z2920" s="26"/>
      <c r="AA2920" s="26"/>
    </row>
    <row r="2921" spans="1:27" ht="15" customHeight="1" x14ac:dyDescent="0.2">
      <c r="A2921" s="38">
        <v>41523.578240740739</v>
      </c>
      <c r="B2921" s="29" t="s">
        <v>38</v>
      </c>
      <c r="C2921" s="29" t="s">
        <v>995</v>
      </c>
      <c r="D2921" s="30">
        <v>41487</v>
      </c>
      <c r="E2921" s="31" t="s">
        <v>1726</v>
      </c>
      <c r="F2921" s="29" t="s">
        <v>998</v>
      </c>
      <c r="G2921" s="29" t="s">
        <v>26</v>
      </c>
      <c r="H2921" s="29" t="s">
        <v>1727</v>
      </c>
      <c r="I2921" s="29"/>
      <c r="J2921" s="116">
        <v>1</v>
      </c>
      <c r="K2921" s="116">
        <v>2</v>
      </c>
      <c r="L2921" s="139">
        <v>30</v>
      </c>
      <c r="M2921" s="140" t="s">
        <v>44</v>
      </c>
      <c r="N2921" s="141"/>
      <c r="O2921" s="141">
        <v>5</v>
      </c>
      <c r="P2921" s="141"/>
      <c r="Q2921" s="141"/>
      <c r="R2921" s="141"/>
      <c r="S2921" s="141"/>
      <c r="T2921" s="141"/>
      <c r="U2921" s="141"/>
      <c r="V2921" s="29"/>
      <c r="W2921" s="26"/>
      <c r="X2921" s="26"/>
      <c r="Y2921" s="26"/>
      <c r="Z2921" s="26"/>
      <c r="AA2921" s="26"/>
    </row>
    <row r="2922" spans="1:27" s="26" customFormat="1" ht="15" customHeight="1" x14ac:dyDescent="0.2">
      <c r="A2922" s="28">
        <v>41523.583819444444</v>
      </c>
      <c r="B2922" s="29" t="s">
        <v>38</v>
      </c>
      <c r="C2922" s="29" t="s">
        <v>995</v>
      </c>
      <c r="D2922" s="30">
        <v>41487</v>
      </c>
      <c r="E2922" s="29" t="s">
        <v>1728</v>
      </c>
      <c r="F2922" s="29" t="s">
        <v>1729</v>
      </c>
      <c r="G2922" s="29" t="s">
        <v>26</v>
      </c>
      <c r="H2922" s="29" t="s">
        <v>1730</v>
      </c>
      <c r="I2922" s="29"/>
      <c r="J2922" s="122">
        <v>1</v>
      </c>
      <c r="K2922" s="122">
        <v>6</v>
      </c>
      <c r="L2922" s="139">
        <v>30</v>
      </c>
      <c r="M2922" s="140" t="s">
        <v>44</v>
      </c>
      <c r="N2922" s="141"/>
      <c r="O2922" s="141">
        <v>20</v>
      </c>
      <c r="P2922" s="141">
        <v>5</v>
      </c>
      <c r="Q2922" s="141"/>
      <c r="R2922" s="141"/>
      <c r="S2922" s="141"/>
      <c r="T2922" s="141"/>
      <c r="U2922" s="141"/>
      <c r="V2922" s="29"/>
    </row>
    <row r="2923" spans="1:27" s="26" customFormat="1" ht="15" customHeight="1" x14ac:dyDescent="0.2">
      <c r="A2923" s="28">
        <v>41523.586736111109</v>
      </c>
      <c r="B2923" s="29" t="s">
        <v>38</v>
      </c>
      <c r="C2923" s="29" t="s">
        <v>995</v>
      </c>
      <c r="D2923" s="30">
        <v>41487</v>
      </c>
      <c r="E2923" s="29" t="s">
        <v>1731</v>
      </c>
      <c r="F2923" s="29" t="s">
        <v>1732</v>
      </c>
      <c r="G2923" s="29" t="s">
        <v>26</v>
      </c>
      <c r="H2923" s="29" t="s">
        <v>1733</v>
      </c>
      <c r="I2923" s="29"/>
      <c r="J2923" s="116">
        <v>1</v>
      </c>
      <c r="K2923" s="116">
        <v>4</v>
      </c>
      <c r="L2923" s="139">
        <v>60</v>
      </c>
      <c r="M2923" s="140" t="s">
        <v>44</v>
      </c>
      <c r="N2923" s="141"/>
      <c r="O2923" s="141">
        <v>10</v>
      </c>
      <c r="P2923" s="141"/>
      <c r="Q2923" s="141"/>
      <c r="R2923" s="141"/>
      <c r="S2923" s="141"/>
      <c r="T2923" s="141"/>
      <c r="U2923" s="141"/>
      <c r="V2923" s="29"/>
    </row>
    <row r="2924" spans="1:27" s="26" customFormat="1" ht="15" customHeight="1" x14ac:dyDescent="0.2">
      <c r="A2924" s="28">
        <v>41523.589212962965</v>
      </c>
      <c r="B2924" s="29" t="s">
        <v>38</v>
      </c>
      <c r="C2924" s="29" t="s">
        <v>995</v>
      </c>
      <c r="D2924" s="30">
        <v>41487</v>
      </c>
      <c r="E2924" s="29" t="s">
        <v>1734</v>
      </c>
      <c r="F2924" s="29" t="s">
        <v>1735</v>
      </c>
      <c r="G2924" s="29" t="s">
        <v>26</v>
      </c>
      <c r="H2924" s="29" t="s">
        <v>1736</v>
      </c>
      <c r="I2924" s="29"/>
      <c r="J2924" s="116">
        <v>1</v>
      </c>
      <c r="K2924" s="116">
        <v>5</v>
      </c>
      <c r="L2924" s="139">
        <v>25</v>
      </c>
      <c r="M2924" s="140" t="s">
        <v>44</v>
      </c>
      <c r="N2924" s="141"/>
      <c r="O2924" s="141">
        <v>15</v>
      </c>
      <c r="P2924" s="141">
        <v>35</v>
      </c>
      <c r="Q2924" s="141"/>
      <c r="R2924" s="141"/>
      <c r="S2924" s="141"/>
      <c r="T2924" s="141"/>
      <c r="U2924" s="141"/>
      <c r="V2924" s="29"/>
    </row>
    <row r="2925" spans="1:27" s="26" customFormat="1" ht="15" customHeight="1" x14ac:dyDescent="0.2">
      <c r="A2925" s="28">
        <v>41523.591840277775</v>
      </c>
      <c r="B2925" s="29" t="s">
        <v>38</v>
      </c>
      <c r="C2925" s="29" t="s">
        <v>995</v>
      </c>
      <c r="D2925" s="30">
        <v>41487</v>
      </c>
      <c r="E2925" s="29" t="s">
        <v>1737</v>
      </c>
      <c r="F2925" s="29" t="s">
        <v>1738</v>
      </c>
      <c r="G2925" s="29" t="s">
        <v>26</v>
      </c>
      <c r="H2925" s="29" t="s">
        <v>1739</v>
      </c>
      <c r="I2925" s="29"/>
      <c r="J2925" s="116">
        <v>1</v>
      </c>
      <c r="K2925" s="116">
        <v>10</v>
      </c>
      <c r="L2925" s="139">
        <v>60</v>
      </c>
      <c r="M2925" s="140" t="s">
        <v>44</v>
      </c>
      <c r="N2925" s="141"/>
      <c r="O2925" s="141">
        <v>20</v>
      </c>
      <c r="P2925" s="141"/>
      <c r="Q2925" s="141"/>
      <c r="R2925" s="141"/>
      <c r="S2925" s="141"/>
      <c r="T2925" s="141"/>
      <c r="U2925" s="141"/>
      <c r="V2925" s="29"/>
    </row>
    <row r="2926" spans="1:27" s="26" customFormat="1" ht="15" customHeight="1" x14ac:dyDescent="0.2">
      <c r="A2926" s="28">
        <v>41523.598009259258</v>
      </c>
      <c r="B2926" s="29" t="s">
        <v>38</v>
      </c>
      <c r="C2926" s="29" t="s">
        <v>995</v>
      </c>
      <c r="D2926" s="30">
        <v>41487</v>
      </c>
      <c r="E2926" s="29" t="s">
        <v>1740</v>
      </c>
      <c r="F2926" s="29" t="s">
        <v>998</v>
      </c>
      <c r="G2926" s="29" t="s">
        <v>26</v>
      </c>
      <c r="H2926" s="29" t="s">
        <v>1727</v>
      </c>
      <c r="I2926" s="29"/>
      <c r="J2926" s="116">
        <v>1</v>
      </c>
      <c r="K2926" s="116">
        <v>7</v>
      </c>
      <c r="L2926" s="139">
        <v>105</v>
      </c>
      <c r="M2926" s="140" t="s">
        <v>44</v>
      </c>
      <c r="N2926" s="141"/>
      <c r="O2926" s="141">
        <v>20</v>
      </c>
      <c r="P2926" s="141">
        <v>8</v>
      </c>
      <c r="Q2926" s="141"/>
      <c r="R2926" s="141"/>
      <c r="S2926" s="141"/>
      <c r="T2926" s="141"/>
      <c r="U2926" s="141"/>
      <c r="V2926" s="29"/>
    </row>
    <row r="2927" spans="1:27" s="26" customFormat="1" ht="15" customHeight="1" x14ac:dyDescent="0.2">
      <c r="A2927" s="28">
        <v>41523.60050925926</v>
      </c>
      <c r="B2927" s="29" t="s">
        <v>38</v>
      </c>
      <c r="C2927" s="29" t="s">
        <v>995</v>
      </c>
      <c r="D2927" s="30">
        <v>41487</v>
      </c>
      <c r="E2927" s="29" t="s">
        <v>1741</v>
      </c>
      <c r="F2927" s="29" t="s">
        <v>1742</v>
      </c>
      <c r="G2927" s="29" t="s">
        <v>20</v>
      </c>
      <c r="H2927" s="29" t="s">
        <v>1743</v>
      </c>
      <c r="I2927" s="29"/>
      <c r="J2927" s="116">
        <v>1</v>
      </c>
      <c r="K2927" s="116">
        <v>42</v>
      </c>
      <c r="L2927" s="139">
        <v>126</v>
      </c>
      <c r="M2927" s="140" t="s">
        <v>44</v>
      </c>
      <c r="N2927" s="141"/>
      <c r="O2927" s="141"/>
      <c r="P2927" s="141">
        <v>38</v>
      </c>
      <c r="Q2927" s="141"/>
      <c r="R2927" s="141"/>
      <c r="S2927" s="141"/>
      <c r="T2927" s="141"/>
      <c r="U2927" s="141"/>
      <c r="V2927" s="29"/>
    </row>
    <row r="2928" spans="1:27" s="26" customFormat="1" ht="15" customHeight="1" x14ac:dyDescent="0.2">
      <c r="A2928" s="28">
        <v>41523.60665509259</v>
      </c>
      <c r="B2928" s="29" t="s">
        <v>38</v>
      </c>
      <c r="C2928" s="29" t="s">
        <v>995</v>
      </c>
      <c r="D2928" s="30">
        <v>41487</v>
      </c>
      <c r="E2928" s="29" t="s">
        <v>1731</v>
      </c>
      <c r="F2928" s="29" t="s">
        <v>1744</v>
      </c>
      <c r="G2928" s="29" t="s">
        <v>26</v>
      </c>
      <c r="H2928" s="29" t="s">
        <v>1745</v>
      </c>
      <c r="I2928" s="29"/>
      <c r="J2928" s="116">
        <v>1</v>
      </c>
      <c r="K2928" s="116">
        <v>8</v>
      </c>
      <c r="L2928" s="139">
        <v>120</v>
      </c>
      <c r="M2928" s="140" t="s">
        <v>44</v>
      </c>
      <c r="N2928" s="141"/>
      <c r="O2928" s="141">
        <v>20</v>
      </c>
      <c r="P2928" s="141">
        <v>12</v>
      </c>
      <c r="Q2928" s="141"/>
      <c r="R2928" s="141"/>
      <c r="S2928" s="141"/>
      <c r="T2928" s="141"/>
      <c r="U2928" s="141"/>
      <c r="V2928" s="29"/>
    </row>
    <row r="2929" spans="1:22" s="26" customFormat="1" ht="15" customHeight="1" x14ac:dyDescent="0.2">
      <c r="A2929" s="28">
        <v>41523.607800925929</v>
      </c>
      <c r="B2929" s="29" t="s">
        <v>38</v>
      </c>
      <c r="C2929" s="29" t="s">
        <v>995</v>
      </c>
      <c r="D2929" s="30">
        <v>41487</v>
      </c>
      <c r="E2929" s="29" t="s">
        <v>1746</v>
      </c>
      <c r="F2929" s="29" t="s">
        <v>1747</v>
      </c>
      <c r="G2929" s="29" t="s">
        <v>26</v>
      </c>
      <c r="H2929" s="29" t="s">
        <v>1748</v>
      </c>
      <c r="I2929" s="29"/>
      <c r="J2929" s="116">
        <v>1</v>
      </c>
      <c r="K2929" s="116">
        <v>11</v>
      </c>
      <c r="L2929" s="139">
        <v>55</v>
      </c>
      <c r="M2929" s="140" t="s">
        <v>44</v>
      </c>
      <c r="N2929" s="141"/>
      <c r="O2929" s="141">
        <v>15</v>
      </c>
      <c r="P2929" s="141">
        <v>5</v>
      </c>
      <c r="Q2929" s="141"/>
      <c r="R2929" s="141"/>
      <c r="S2929" s="141"/>
      <c r="T2929" s="141"/>
      <c r="U2929" s="141"/>
      <c r="V2929" s="29"/>
    </row>
    <row r="2930" spans="1:22" s="26" customFormat="1" ht="15" customHeight="1" x14ac:dyDescent="0.2">
      <c r="A2930" s="28">
        <v>41523.608993055554</v>
      </c>
      <c r="B2930" s="29" t="s">
        <v>38</v>
      </c>
      <c r="C2930" s="29" t="s">
        <v>995</v>
      </c>
      <c r="D2930" s="30">
        <v>41487</v>
      </c>
      <c r="E2930" s="29" t="s">
        <v>1749</v>
      </c>
      <c r="F2930" s="29" t="s">
        <v>1750</v>
      </c>
      <c r="G2930" s="29" t="s">
        <v>26</v>
      </c>
      <c r="H2930" s="29" t="s">
        <v>1751</v>
      </c>
      <c r="I2930" s="29"/>
      <c r="J2930" s="116">
        <v>1</v>
      </c>
      <c r="K2930" s="116">
        <v>4</v>
      </c>
      <c r="L2930" s="139">
        <v>16</v>
      </c>
      <c r="M2930" s="140" t="s">
        <v>44</v>
      </c>
      <c r="N2930" s="141"/>
      <c r="O2930" s="141">
        <v>5</v>
      </c>
      <c r="P2930" s="141">
        <v>4</v>
      </c>
      <c r="Q2930" s="141"/>
      <c r="R2930" s="141"/>
      <c r="S2930" s="141"/>
      <c r="T2930" s="141"/>
      <c r="U2930" s="141"/>
      <c r="V2930" s="29"/>
    </row>
    <row r="2931" spans="1:22" s="26" customFormat="1" ht="15" customHeight="1" x14ac:dyDescent="0.2">
      <c r="A2931" s="28">
        <v>41523.61146990741</v>
      </c>
      <c r="B2931" s="29" t="s">
        <v>38</v>
      </c>
      <c r="C2931" s="29" t="s">
        <v>995</v>
      </c>
      <c r="D2931" s="30">
        <v>41487</v>
      </c>
      <c r="E2931" s="29" t="s">
        <v>1752</v>
      </c>
      <c r="F2931" s="29" t="s">
        <v>1753</v>
      </c>
      <c r="G2931" s="29" t="s">
        <v>20</v>
      </c>
      <c r="H2931" s="29" t="s">
        <v>1754</v>
      </c>
      <c r="I2931" s="29"/>
      <c r="J2931" s="116">
        <v>1</v>
      </c>
      <c r="K2931" s="116">
        <v>22</v>
      </c>
      <c r="L2931" s="139">
        <v>66</v>
      </c>
      <c r="M2931" s="140" t="s">
        <v>44</v>
      </c>
      <c r="N2931" s="141"/>
      <c r="O2931" s="141"/>
      <c r="P2931" s="141">
        <v>36</v>
      </c>
      <c r="Q2931" s="141"/>
      <c r="R2931" s="141"/>
      <c r="S2931" s="141"/>
      <c r="T2931" s="141"/>
      <c r="U2931" s="141"/>
      <c r="V2931" s="29"/>
    </row>
    <row r="2932" spans="1:22" s="26" customFormat="1" ht="15" customHeight="1" x14ac:dyDescent="0.2">
      <c r="A2932" s="28">
        <v>41523.62636574074</v>
      </c>
      <c r="B2932" s="29" t="s">
        <v>38</v>
      </c>
      <c r="C2932" s="29" t="s">
        <v>995</v>
      </c>
      <c r="D2932" s="30">
        <v>41487</v>
      </c>
      <c r="E2932" s="29" t="s">
        <v>1755</v>
      </c>
      <c r="F2932" s="29" t="s">
        <v>1756</v>
      </c>
      <c r="G2932" s="29" t="s">
        <v>26</v>
      </c>
      <c r="H2932" s="29" t="s">
        <v>1757</v>
      </c>
      <c r="I2932" s="29"/>
      <c r="J2932" s="116">
        <v>1</v>
      </c>
      <c r="K2932" s="116">
        <v>12</v>
      </c>
      <c r="L2932" s="139">
        <v>180</v>
      </c>
      <c r="M2932" s="140" t="s">
        <v>44</v>
      </c>
      <c r="N2932" s="141"/>
      <c r="O2932" s="141">
        <v>20</v>
      </c>
      <c r="P2932" s="141"/>
      <c r="Q2932" s="141"/>
      <c r="R2932" s="141"/>
      <c r="S2932" s="141"/>
      <c r="T2932" s="141"/>
      <c r="U2932" s="141"/>
      <c r="V2932" s="29"/>
    </row>
    <row r="2933" spans="1:22" s="26" customFormat="1" ht="15" customHeight="1" x14ac:dyDescent="0.2">
      <c r="A2933" s="28">
        <v>41525.353437500002</v>
      </c>
      <c r="B2933" s="29" t="s">
        <v>38</v>
      </c>
      <c r="C2933" s="29" t="s">
        <v>995</v>
      </c>
      <c r="D2933" s="30">
        <v>41487</v>
      </c>
      <c r="E2933" s="29" t="s">
        <v>1800</v>
      </c>
      <c r="F2933" s="29" t="s">
        <v>1729</v>
      </c>
      <c r="G2933" s="29" t="s">
        <v>26</v>
      </c>
      <c r="H2933" s="29" t="s">
        <v>1801</v>
      </c>
      <c r="I2933" s="29"/>
      <c r="J2933" s="116">
        <v>1</v>
      </c>
      <c r="K2933" s="116">
        <v>4</v>
      </c>
      <c r="L2933" s="139">
        <v>20</v>
      </c>
      <c r="M2933" s="140" t="s">
        <v>44</v>
      </c>
      <c r="N2933" s="141"/>
      <c r="O2933" s="141">
        <v>15</v>
      </c>
      <c r="P2933" s="141">
        <v>6</v>
      </c>
      <c r="Q2933" s="141"/>
      <c r="R2933" s="141"/>
      <c r="S2933" s="141"/>
      <c r="T2933" s="141"/>
      <c r="U2933" s="141"/>
      <c r="V2933" s="29"/>
    </row>
    <row r="2934" spans="1:22" s="26" customFormat="1" ht="15" customHeight="1" x14ac:dyDescent="0.2">
      <c r="A2934" s="28">
        <v>41525.35560185185</v>
      </c>
      <c r="B2934" s="29" t="s">
        <v>38</v>
      </c>
      <c r="C2934" s="29" t="s">
        <v>995</v>
      </c>
      <c r="D2934" s="30">
        <v>41487</v>
      </c>
      <c r="E2934" s="29" t="s">
        <v>1802</v>
      </c>
      <c r="F2934" s="29" t="s">
        <v>1719</v>
      </c>
      <c r="G2934" s="29" t="s">
        <v>26</v>
      </c>
      <c r="H2934" s="29" t="s">
        <v>1803</v>
      </c>
      <c r="I2934" s="29"/>
      <c r="J2934" s="116">
        <v>1</v>
      </c>
      <c r="K2934" s="116">
        <v>2</v>
      </c>
      <c r="L2934" s="139">
        <v>30</v>
      </c>
      <c r="M2934" s="140" t="s">
        <v>44</v>
      </c>
      <c r="N2934" s="141"/>
      <c r="O2934" s="141">
        <v>5</v>
      </c>
      <c r="P2934" s="141"/>
      <c r="Q2934" s="141"/>
      <c r="R2934" s="141"/>
      <c r="S2934" s="141"/>
      <c r="T2934" s="141"/>
      <c r="U2934" s="141"/>
      <c r="V2934" s="29"/>
    </row>
    <row r="2935" spans="1:22" s="26" customFormat="1" ht="15" customHeight="1" x14ac:dyDescent="0.2">
      <c r="A2935" s="28">
        <v>41525.357824074075</v>
      </c>
      <c r="B2935" s="29" t="s">
        <v>38</v>
      </c>
      <c r="C2935" s="29" t="s">
        <v>995</v>
      </c>
      <c r="D2935" s="30">
        <v>41487</v>
      </c>
      <c r="E2935" s="29" t="s">
        <v>1734</v>
      </c>
      <c r="F2935" s="29" t="s">
        <v>1735</v>
      </c>
      <c r="G2935" s="29" t="s">
        <v>26</v>
      </c>
      <c r="H2935" s="29" t="s">
        <v>1804</v>
      </c>
      <c r="I2935" s="29"/>
      <c r="J2935" s="116">
        <v>1</v>
      </c>
      <c r="K2935" s="116">
        <v>4</v>
      </c>
      <c r="L2935" s="139">
        <v>20</v>
      </c>
      <c r="M2935" s="140" t="s">
        <v>44</v>
      </c>
      <c r="N2935" s="141"/>
      <c r="O2935" s="141">
        <v>10</v>
      </c>
      <c r="P2935" s="141"/>
      <c r="Q2935" s="141"/>
      <c r="R2935" s="141"/>
      <c r="S2935" s="141"/>
      <c r="T2935" s="141"/>
      <c r="U2935" s="141"/>
      <c r="V2935" s="29"/>
    </row>
    <row r="2936" spans="1:22" s="26" customFormat="1" ht="15" customHeight="1" x14ac:dyDescent="0.2">
      <c r="A2936" s="28">
        <v>41525.369502314818</v>
      </c>
      <c r="B2936" s="29" t="s">
        <v>38</v>
      </c>
      <c r="C2936" s="29" t="s">
        <v>995</v>
      </c>
      <c r="D2936" s="30">
        <v>41487</v>
      </c>
      <c r="E2936" s="29" t="s">
        <v>1805</v>
      </c>
      <c r="F2936" s="29" t="s">
        <v>1732</v>
      </c>
      <c r="G2936" s="29" t="s">
        <v>26</v>
      </c>
      <c r="H2936" s="29" t="s">
        <v>1806</v>
      </c>
      <c r="I2936" s="29"/>
      <c r="J2936" s="116">
        <v>1</v>
      </c>
      <c r="K2936" s="116">
        <v>16</v>
      </c>
      <c r="L2936" s="139">
        <v>240</v>
      </c>
      <c r="M2936" s="140" t="s">
        <v>44</v>
      </c>
      <c r="N2936" s="141"/>
      <c r="O2936" s="141">
        <v>35</v>
      </c>
      <c r="P2936" s="141">
        <v>40</v>
      </c>
      <c r="Q2936" s="141"/>
      <c r="R2936" s="141"/>
      <c r="S2936" s="141"/>
      <c r="T2936" s="141"/>
      <c r="U2936" s="141"/>
      <c r="V2936" s="29"/>
    </row>
    <row r="2937" spans="1:22" s="26" customFormat="1" ht="15" customHeight="1" x14ac:dyDescent="0.2">
      <c r="A2937" s="28">
        <v>41525.371886574074</v>
      </c>
      <c r="B2937" s="29" t="s">
        <v>38</v>
      </c>
      <c r="C2937" s="29" t="s">
        <v>995</v>
      </c>
      <c r="D2937" s="30">
        <v>41487</v>
      </c>
      <c r="E2937" s="29" t="s">
        <v>1807</v>
      </c>
      <c r="F2937" s="29" t="s">
        <v>1808</v>
      </c>
      <c r="G2937" s="29" t="s">
        <v>20</v>
      </c>
      <c r="H2937" s="29" t="s">
        <v>1809</v>
      </c>
      <c r="I2937" s="29"/>
      <c r="J2937" s="116">
        <v>2</v>
      </c>
      <c r="K2937" s="116">
        <v>36</v>
      </c>
      <c r="L2937" s="139">
        <v>540</v>
      </c>
      <c r="M2937" s="140" t="s">
        <v>44</v>
      </c>
      <c r="N2937" s="141"/>
      <c r="O2937" s="141"/>
      <c r="P2937" s="141">
        <v>25</v>
      </c>
      <c r="Q2937" s="141"/>
      <c r="R2937" s="141"/>
      <c r="S2937" s="141"/>
      <c r="T2937" s="141"/>
      <c r="U2937" s="141"/>
      <c r="V2937" s="29"/>
    </row>
    <row r="2938" spans="1:22" s="26" customFormat="1" ht="15" customHeight="1" x14ac:dyDescent="0.2">
      <c r="A2938" s="28">
        <v>41525.400729166664</v>
      </c>
      <c r="B2938" s="29" t="s">
        <v>38</v>
      </c>
      <c r="C2938" s="29" t="s">
        <v>995</v>
      </c>
      <c r="D2938" s="30">
        <v>41487</v>
      </c>
      <c r="E2938" s="29" t="s">
        <v>1810</v>
      </c>
      <c r="F2938" s="29" t="s">
        <v>1811</v>
      </c>
      <c r="G2938" s="29" t="s">
        <v>26</v>
      </c>
      <c r="H2938" s="29" t="s">
        <v>1812</v>
      </c>
      <c r="I2938" s="29"/>
      <c r="J2938" s="116">
        <v>1</v>
      </c>
      <c r="K2938" s="116">
        <v>2</v>
      </c>
      <c r="L2938" s="139">
        <v>30</v>
      </c>
      <c r="M2938" s="140" t="s">
        <v>44</v>
      </c>
      <c r="N2938" s="141"/>
      <c r="O2938" s="141">
        <v>5</v>
      </c>
      <c r="P2938" s="141"/>
      <c r="Q2938" s="141"/>
      <c r="R2938" s="141"/>
      <c r="S2938" s="141"/>
      <c r="T2938" s="141"/>
      <c r="U2938" s="141"/>
      <c r="V2938" s="29"/>
    </row>
    <row r="2939" spans="1:22" s="26" customFormat="1" ht="15" customHeight="1" x14ac:dyDescent="0.2">
      <c r="A2939" s="28">
        <v>41525.40252314815</v>
      </c>
      <c r="B2939" s="29" t="s">
        <v>38</v>
      </c>
      <c r="C2939" s="29" t="s">
        <v>995</v>
      </c>
      <c r="D2939" s="30">
        <v>41487</v>
      </c>
      <c r="E2939" s="29" t="s">
        <v>1813</v>
      </c>
      <c r="F2939" s="29" t="s">
        <v>998</v>
      </c>
      <c r="G2939" s="29" t="s">
        <v>26</v>
      </c>
      <c r="H2939" s="29" t="s">
        <v>1814</v>
      </c>
      <c r="I2939" s="29"/>
      <c r="J2939" s="116">
        <v>1</v>
      </c>
      <c r="K2939" s="116">
        <v>5</v>
      </c>
      <c r="L2939" s="139">
        <v>75</v>
      </c>
      <c r="M2939" s="140" t="s">
        <v>44</v>
      </c>
      <c r="N2939" s="141"/>
      <c r="O2939" s="141">
        <v>15</v>
      </c>
      <c r="P2939" s="141">
        <v>10</v>
      </c>
      <c r="Q2939" s="141"/>
      <c r="R2939" s="141"/>
      <c r="S2939" s="141"/>
      <c r="T2939" s="141"/>
      <c r="U2939" s="141"/>
      <c r="V2939" s="29"/>
    </row>
    <row r="2940" spans="1:22" s="26" customFormat="1" ht="15" customHeight="1" x14ac:dyDescent="0.2">
      <c r="A2940" s="28">
        <v>41525.408356481479</v>
      </c>
      <c r="B2940" s="29" t="s">
        <v>38</v>
      </c>
      <c r="C2940" s="29" t="s">
        <v>995</v>
      </c>
      <c r="D2940" s="30">
        <v>41487</v>
      </c>
      <c r="E2940" s="29" t="s">
        <v>1802</v>
      </c>
      <c r="F2940" s="29" t="s">
        <v>1719</v>
      </c>
      <c r="G2940" s="29" t="s">
        <v>26</v>
      </c>
      <c r="H2940" s="29" t="s">
        <v>1803</v>
      </c>
      <c r="I2940" s="29"/>
      <c r="J2940" s="116">
        <v>1</v>
      </c>
      <c r="K2940" s="116">
        <v>3</v>
      </c>
      <c r="L2940" s="139">
        <v>45</v>
      </c>
      <c r="M2940" s="140" t="s">
        <v>44</v>
      </c>
      <c r="N2940" s="141"/>
      <c r="O2940" s="141">
        <v>10</v>
      </c>
      <c r="P2940" s="141"/>
      <c r="Q2940" s="141"/>
      <c r="R2940" s="141"/>
      <c r="S2940" s="141"/>
      <c r="T2940" s="141"/>
      <c r="U2940" s="141"/>
      <c r="V2940" s="29"/>
    </row>
    <row r="2941" spans="1:22" s="26" customFormat="1" ht="15" customHeight="1" x14ac:dyDescent="0.2">
      <c r="A2941" s="28">
        <v>41525.409930555557</v>
      </c>
      <c r="B2941" s="29" t="s">
        <v>38</v>
      </c>
      <c r="C2941" s="29" t="s">
        <v>995</v>
      </c>
      <c r="D2941" s="30">
        <v>41487</v>
      </c>
      <c r="E2941" s="29" t="s">
        <v>1731</v>
      </c>
      <c r="F2941" s="29" t="s">
        <v>1732</v>
      </c>
      <c r="G2941" s="29" t="s">
        <v>26</v>
      </c>
      <c r="H2941" s="29" t="s">
        <v>1815</v>
      </c>
      <c r="I2941" s="29"/>
      <c r="J2941" s="116">
        <v>1</v>
      </c>
      <c r="K2941" s="116">
        <v>23</v>
      </c>
      <c r="L2941" s="139">
        <v>345</v>
      </c>
      <c r="M2941" s="140" t="s">
        <v>44</v>
      </c>
      <c r="N2941" s="141"/>
      <c r="O2941" s="141">
        <v>40</v>
      </c>
      <c r="P2941" s="141">
        <v>55</v>
      </c>
      <c r="Q2941" s="141"/>
      <c r="R2941" s="141"/>
      <c r="S2941" s="141"/>
      <c r="T2941" s="141"/>
      <c r="U2941" s="141"/>
      <c r="V2941" s="29"/>
    </row>
    <row r="2942" spans="1:22" s="26" customFormat="1" ht="15" customHeight="1" x14ac:dyDescent="0.2">
      <c r="A2942" s="28">
        <v>41525.411400462966</v>
      </c>
      <c r="B2942" s="29" t="s">
        <v>38</v>
      </c>
      <c r="C2942" s="29" t="s">
        <v>995</v>
      </c>
      <c r="D2942" s="30">
        <v>41487</v>
      </c>
      <c r="E2942" s="29" t="s">
        <v>585</v>
      </c>
      <c r="F2942" s="29" t="s">
        <v>1719</v>
      </c>
      <c r="G2942" s="29" t="s">
        <v>26</v>
      </c>
      <c r="H2942" s="29" t="s">
        <v>1816</v>
      </c>
      <c r="I2942" s="29"/>
      <c r="J2942" s="116">
        <v>1</v>
      </c>
      <c r="K2942" s="116">
        <v>24</v>
      </c>
      <c r="L2942" s="139">
        <v>360</v>
      </c>
      <c r="M2942" s="140" t="s">
        <v>44</v>
      </c>
      <c r="N2942" s="141"/>
      <c r="O2942" s="141">
        <v>30</v>
      </c>
      <c r="P2942" s="141"/>
      <c r="Q2942" s="141"/>
      <c r="R2942" s="141"/>
      <c r="S2942" s="141"/>
      <c r="T2942" s="141"/>
      <c r="U2942" s="141"/>
      <c r="V2942" s="29"/>
    </row>
    <row r="2943" spans="1:22" s="26" customFormat="1" ht="15" customHeight="1" x14ac:dyDescent="0.2">
      <c r="A2943" s="28">
        <v>41525.421342592592</v>
      </c>
      <c r="B2943" s="29" t="s">
        <v>38</v>
      </c>
      <c r="C2943" s="29" t="s">
        <v>995</v>
      </c>
      <c r="D2943" s="30">
        <v>41487</v>
      </c>
      <c r="E2943" s="29" t="s">
        <v>1734</v>
      </c>
      <c r="F2943" s="29" t="s">
        <v>1817</v>
      </c>
      <c r="G2943" s="29" t="s">
        <v>26</v>
      </c>
      <c r="H2943" s="29" t="s">
        <v>1804</v>
      </c>
      <c r="I2943" s="29"/>
      <c r="J2943" s="116">
        <v>1</v>
      </c>
      <c r="K2943" s="116">
        <v>6</v>
      </c>
      <c r="L2943" s="139">
        <v>30</v>
      </c>
      <c r="M2943" s="140" t="s">
        <v>44</v>
      </c>
      <c r="N2943" s="141"/>
      <c r="O2943" s="141">
        <v>15</v>
      </c>
      <c r="P2943" s="141"/>
      <c r="Q2943" s="141"/>
      <c r="R2943" s="141"/>
      <c r="S2943" s="141"/>
      <c r="T2943" s="141"/>
      <c r="U2943" s="141"/>
      <c r="V2943" s="29"/>
    </row>
    <row r="2944" spans="1:22" s="26" customFormat="1" ht="15" customHeight="1" x14ac:dyDescent="0.2">
      <c r="A2944" s="28">
        <v>41525.441516203704</v>
      </c>
      <c r="B2944" s="29" t="s">
        <v>38</v>
      </c>
      <c r="C2944" s="29" t="s">
        <v>995</v>
      </c>
      <c r="D2944" s="30">
        <v>41487</v>
      </c>
      <c r="E2944" s="29" t="s">
        <v>1818</v>
      </c>
      <c r="F2944" s="29" t="s">
        <v>1719</v>
      </c>
      <c r="G2944" s="29" t="s">
        <v>26</v>
      </c>
      <c r="H2944" s="29" t="s">
        <v>1819</v>
      </c>
      <c r="I2944" s="29"/>
      <c r="J2944" s="116">
        <v>1</v>
      </c>
      <c r="K2944" s="116">
        <v>15</v>
      </c>
      <c r="L2944" s="139">
        <v>225</v>
      </c>
      <c r="M2944" s="140" t="s">
        <v>44</v>
      </c>
      <c r="N2944" s="141"/>
      <c r="O2944" s="141">
        <v>25</v>
      </c>
      <c r="P2944" s="141"/>
      <c r="Q2944" s="141"/>
      <c r="R2944" s="141"/>
      <c r="S2944" s="141"/>
      <c r="T2944" s="141"/>
      <c r="U2944" s="141"/>
      <c r="V2944" s="29"/>
    </row>
    <row r="2945" spans="1:27" s="26" customFormat="1" ht="15" customHeight="1" x14ac:dyDescent="0.2">
      <c r="A2945" s="32">
        <v>41553.688240740739</v>
      </c>
      <c r="B2945" s="26" t="s">
        <v>38</v>
      </c>
      <c r="C2945" s="26" t="s">
        <v>995</v>
      </c>
      <c r="D2945" s="30">
        <v>41518</v>
      </c>
      <c r="E2945" s="26" t="s">
        <v>2497</v>
      </c>
      <c r="F2945" s="26" t="s">
        <v>1025</v>
      </c>
      <c r="G2945" s="26" t="s">
        <v>26</v>
      </c>
      <c r="H2945" s="26" t="s">
        <v>1814</v>
      </c>
      <c r="J2945" s="46">
        <v>1</v>
      </c>
      <c r="K2945" s="46">
        <v>2</v>
      </c>
      <c r="L2945" s="136">
        <v>30</v>
      </c>
      <c r="M2945" s="137" t="s">
        <v>44</v>
      </c>
      <c r="N2945" s="138"/>
      <c r="O2945" s="138">
        <v>5</v>
      </c>
      <c r="P2945" s="138">
        <v>6</v>
      </c>
      <c r="Q2945" s="138"/>
      <c r="R2945" s="138"/>
      <c r="S2945" s="138"/>
      <c r="T2945" s="138"/>
      <c r="U2945" s="138"/>
    </row>
    <row r="2946" spans="1:27" s="26" customFormat="1" ht="15" customHeight="1" x14ac:dyDescent="0.2">
      <c r="A2946" s="32">
        <v>41553.691516203704</v>
      </c>
      <c r="B2946" s="26" t="s">
        <v>38</v>
      </c>
      <c r="C2946" s="26" t="s">
        <v>995</v>
      </c>
      <c r="D2946" s="30">
        <v>41518</v>
      </c>
      <c r="E2946" s="26" t="s">
        <v>2498</v>
      </c>
      <c r="F2946" s="26" t="s">
        <v>1025</v>
      </c>
      <c r="G2946" s="26" t="s">
        <v>26</v>
      </c>
      <c r="H2946" s="26" t="s">
        <v>998</v>
      </c>
      <c r="J2946" s="46">
        <v>1</v>
      </c>
      <c r="K2946" s="46">
        <v>8</v>
      </c>
      <c r="L2946" s="136">
        <v>120</v>
      </c>
      <c r="M2946" s="137" t="s">
        <v>44</v>
      </c>
      <c r="N2946" s="138"/>
      <c r="O2946" s="138">
        <v>20</v>
      </c>
      <c r="P2946" s="138">
        <v>12</v>
      </c>
      <c r="Q2946" s="138"/>
      <c r="R2946" s="138"/>
      <c r="S2946" s="138"/>
      <c r="T2946" s="138"/>
      <c r="U2946" s="138"/>
    </row>
    <row r="2947" spans="1:27" s="26" customFormat="1" ht="15" customHeight="1" x14ac:dyDescent="0.2">
      <c r="A2947" s="32">
        <v>41556.434502314813</v>
      </c>
      <c r="B2947" s="26" t="s">
        <v>38</v>
      </c>
      <c r="C2947" s="26" t="s">
        <v>995</v>
      </c>
      <c r="D2947" s="30">
        <v>41518</v>
      </c>
      <c r="E2947" s="26" t="s">
        <v>2602</v>
      </c>
      <c r="F2947" s="26" t="s">
        <v>2603</v>
      </c>
      <c r="G2947" s="26" t="s">
        <v>20</v>
      </c>
      <c r="H2947" s="26" t="s">
        <v>1814</v>
      </c>
      <c r="J2947" s="46">
        <v>1</v>
      </c>
      <c r="K2947" s="46">
        <v>14</v>
      </c>
      <c r="L2947" s="136">
        <v>210</v>
      </c>
      <c r="M2947" s="137" t="s">
        <v>44</v>
      </c>
      <c r="N2947" s="138"/>
      <c r="O2947" s="138">
        <v>25</v>
      </c>
      <c r="P2947" s="138">
        <v>12</v>
      </c>
      <c r="Q2947" s="138"/>
      <c r="R2947" s="138"/>
      <c r="S2947" s="138"/>
      <c r="T2947" s="138"/>
      <c r="U2947" s="138"/>
    </row>
    <row r="2948" spans="1:27" s="26" customFormat="1" ht="15" customHeight="1" x14ac:dyDescent="0.2">
      <c r="A2948" s="32">
        <v>41556.439120370371</v>
      </c>
      <c r="B2948" s="26" t="s">
        <v>38</v>
      </c>
      <c r="C2948" s="26" t="s">
        <v>995</v>
      </c>
      <c r="D2948" s="30">
        <v>41518</v>
      </c>
      <c r="E2948" s="26" t="s">
        <v>2604</v>
      </c>
      <c r="F2948" s="26" t="s">
        <v>197</v>
      </c>
      <c r="G2948" s="26" t="s">
        <v>26</v>
      </c>
      <c r="H2948" s="26" t="s">
        <v>2605</v>
      </c>
      <c r="J2948" s="46">
        <v>1</v>
      </c>
      <c r="K2948" s="46">
        <v>5</v>
      </c>
      <c r="L2948" s="136">
        <v>75</v>
      </c>
      <c r="M2948" s="137" t="s">
        <v>44</v>
      </c>
      <c r="N2948" s="138"/>
      <c r="O2948" s="138">
        <v>15</v>
      </c>
      <c r="P2948" s="138"/>
      <c r="Q2948" s="138"/>
      <c r="R2948" s="138"/>
      <c r="S2948" s="138"/>
      <c r="T2948" s="138"/>
      <c r="U2948" s="138"/>
    </row>
    <row r="2949" spans="1:27" s="26" customFormat="1" ht="15" customHeight="1" x14ac:dyDescent="0.2">
      <c r="A2949" s="32">
        <v>41556.456666666665</v>
      </c>
      <c r="B2949" s="26" t="s">
        <v>38</v>
      </c>
      <c r="C2949" s="26" t="s">
        <v>995</v>
      </c>
      <c r="D2949" s="30">
        <v>41518</v>
      </c>
      <c r="E2949" s="26" t="s">
        <v>2620</v>
      </c>
      <c r="F2949" s="26" t="s">
        <v>197</v>
      </c>
      <c r="G2949" s="26" t="s">
        <v>26</v>
      </c>
      <c r="H2949" s="26" t="s">
        <v>1803</v>
      </c>
      <c r="J2949" s="46">
        <v>1</v>
      </c>
      <c r="K2949" s="46">
        <v>20</v>
      </c>
      <c r="L2949" s="136">
        <v>300</v>
      </c>
      <c r="M2949" s="137" t="s">
        <v>44</v>
      </c>
      <c r="N2949" s="138"/>
      <c r="O2949" s="138">
        <v>35</v>
      </c>
      <c r="P2949" s="138"/>
      <c r="Q2949" s="138"/>
      <c r="R2949" s="138"/>
      <c r="S2949" s="138"/>
      <c r="T2949" s="138"/>
      <c r="U2949" s="138"/>
    </row>
    <row r="2950" spans="1:27" s="26" customFormat="1" ht="15" customHeight="1" x14ac:dyDescent="0.2">
      <c r="A2950" s="32">
        <v>41556.459432870368</v>
      </c>
      <c r="B2950" s="26" t="s">
        <v>38</v>
      </c>
      <c r="C2950" s="26" t="s">
        <v>995</v>
      </c>
      <c r="D2950" s="30">
        <v>41518</v>
      </c>
      <c r="E2950" s="26" t="s">
        <v>1731</v>
      </c>
      <c r="F2950" s="26" t="s">
        <v>1747</v>
      </c>
      <c r="G2950" s="26" t="s">
        <v>26</v>
      </c>
      <c r="H2950" s="26" t="s">
        <v>1017</v>
      </c>
      <c r="J2950" s="46">
        <v>1</v>
      </c>
      <c r="K2950" s="46">
        <v>2</v>
      </c>
      <c r="L2950" s="136">
        <v>10</v>
      </c>
      <c r="M2950" s="137" t="s">
        <v>44</v>
      </c>
      <c r="N2950" s="138"/>
      <c r="O2950" s="138">
        <v>5</v>
      </c>
      <c r="P2950" s="138">
        <v>14</v>
      </c>
      <c r="Q2950" s="138"/>
      <c r="R2950" s="138"/>
      <c r="S2950" s="138"/>
      <c r="T2950" s="138"/>
      <c r="U2950" s="138"/>
    </row>
    <row r="2951" spans="1:27" s="26" customFormat="1" ht="15" customHeight="1" x14ac:dyDescent="0.2">
      <c r="A2951" s="32">
        <v>41556.46261574074</v>
      </c>
      <c r="B2951" s="26" t="s">
        <v>38</v>
      </c>
      <c r="C2951" s="26" t="s">
        <v>995</v>
      </c>
      <c r="D2951" s="30">
        <v>41518</v>
      </c>
      <c r="E2951" s="26" t="s">
        <v>2625</v>
      </c>
      <c r="F2951" s="26" t="s">
        <v>2626</v>
      </c>
      <c r="G2951" s="26" t="s">
        <v>26</v>
      </c>
      <c r="H2951" s="26" t="s">
        <v>2627</v>
      </c>
      <c r="J2951" s="46">
        <v>1</v>
      </c>
      <c r="K2951" s="46">
        <v>18</v>
      </c>
      <c r="L2951" s="136">
        <v>270</v>
      </c>
      <c r="M2951" s="137" t="s">
        <v>44</v>
      </c>
      <c r="N2951" s="138"/>
      <c r="O2951" s="138">
        <v>35</v>
      </c>
      <c r="P2951" s="138">
        <v>16</v>
      </c>
      <c r="Q2951" s="138"/>
      <c r="R2951" s="138"/>
      <c r="S2951" s="138"/>
      <c r="T2951" s="138"/>
      <c r="U2951" s="138"/>
    </row>
    <row r="2952" spans="1:27" s="26" customFormat="1" ht="15" customHeight="1" x14ac:dyDescent="0.2">
      <c r="A2952" s="32">
        <v>41556.471064814818</v>
      </c>
      <c r="B2952" s="26" t="s">
        <v>38</v>
      </c>
      <c r="C2952" s="26" t="s">
        <v>995</v>
      </c>
      <c r="D2952" s="30">
        <v>41518</v>
      </c>
      <c r="E2952" s="26" t="s">
        <v>1800</v>
      </c>
      <c r="F2952" s="26" t="s">
        <v>1012</v>
      </c>
      <c r="G2952" s="26" t="s">
        <v>26</v>
      </c>
      <c r="H2952" s="26" t="s">
        <v>2628</v>
      </c>
      <c r="J2952" s="46">
        <v>1</v>
      </c>
      <c r="K2952" s="46">
        <v>3</v>
      </c>
      <c r="L2952" s="136">
        <v>15</v>
      </c>
      <c r="M2952" s="137" t="s">
        <v>44</v>
      </c>
      <c r="N2952" s="138"/>
      <c r="O2952" s="138">
        <v>10</v>
      </c>
      <c r="P2952" s="138"/>
      <c r="Q2952" s="138"/>
      <c r="R2952" s="138"/>
      <c r="S2952" s="138"/>
      <c r="T2952" s="138"/>
      <c r="U2952" s="138"/>
    </row>
    <row r="2953" spans="1:27" s="26" customFormat="1" ht="15" customHeight="1" x14ac:dyDescent="0.2">
      <c r="A2953" s="32">
        <v>41556.475173611114</v>
      </c>
      <c r="B2953" s="26" t="s">
        <v>38</v>
      </c>
      <c r="C2953" s="26" t="s">
        <v>995</v>
      </c>
      <c r="D2953" s="30">
        <v>41518</v>
      </c>
      <c r="E2953" s="26" t="s">
        <v>2629</v>
      </c>
      <c r="F2953" s="26" t="s">
        <v>2630</v>
      </c>
      <c r="G2953" s="26" t="s">
        <v>20</v>
      </c>
      <c r="H2953" s="26" t="s">
        <v>2631</v>
      </c>
      <c r="J2953" s="46">
        <v>1</v>
      </c>
      <c r="K2953" s="46">
        <v>38</v>
      </c>
      <c r="L2953" s="136">
        <v>114</v>
      </c>
      <c r="M2953" s="137" t="s">
        <v>44</v>
      </c>
      <c r="N2953" s="138"/>
      <c r="O2953" s="138">
        <v>110</v>
      </c>
      <c r="P2953" s="138">
        <v>24</v>
      </c>
      <c r="Q2953" s="138"/>
      <c r="R2953" s="138"/>
      <c r="S2953" s="138"/>
      <c r="T2953" s="138"/>
      <c r="U2953" s="138"/>
    </row>
    <row r="2954" spans="1:27" s="26" customFormat="1" ht="15" customHeight="1" x14ac:dyDescent="0.2">
      <c r="A2954" s="32">
        <v>41556.477280092593</v>
      </c>
      <c r="B2954" s="26" t="s">
        <v>38</v>
      </c>
      <c r="C2954" s="26" t="s">
        <v>995</v>
      </c>
      <c r="D2954" s="30">
        <v>41518</v>
      </c>
      <c r="E2954" s="26" t="s">
        <v>2632</v>
      </c>
      <c r="F2954" s="26" t="s">
        <v>2633</v>
      </c>
      <c r="G2954" s="26" t="s">
        <v>42</v>
      </c>
      <c r="H2954" s="26" t="s">
        <v>1814</v>
      </c>
      <c r="J2954" s="46">
        <v>1</v>
      </c>
      <c r="K2954" s="46">
        <v>19</v>
      </c>
      <c r="L2954" s="136">
        <v>285</v>
      </c>
      <c r="M2954" s="137" t="s">
        <v>44</v>
      </c>
      <c r="N2954" s="138"/>
      <c r="O2954" s="138">
        <v>25</v>
      </c>
      <c r="P2954" s="138">
        <v>16</v>
      </c>
      <c r="Q2954" s="138"/>
      <c r="R2954" s="138"/>
      <c r="S2954" s="138"/>
      <c r="T2954" s="138"/>
      <c r="U2954" s="138"/>
    </row>
    <row r="2955" spans="1:27" s="26" customFormat="1" ht="15" customHeight="1" x14ac:dyDescent="0.2">
      <c r="A2955" s="32">
        <v>41556.576354166667</v>
      </c>
      <c r="B2955" s="26" t="s">
        <v>38</v>
      </c>
      <c r="C2955" s="26" t="s">
        <v>995</v>
      </c>
      <c r="D2955" s="30">
        <v>41518</v>
      </c>
      <c r="E2955" s="26" t="s">
        <v>2649</v>
      </c>
      <c r="F2955" s="26" t="s">
        <v>1719</v>
      </c>
      <c r="G2955" s="26" t="s">
        <v>26</v>
      </c>
      <c r="H2955" s="26" t="s">
        <v>2650</v>
      </c>
      <c r="J2955" s="115">
        <v>1</v>
      </c>
      <c r="K2955" s="115">
        <v>17</v>
      </c>
      <c r="L2955" s="136">
        <v>255</v>
      </c>
      <c r="M2955" s="137" t="s">
        <v>44</v>
      </c>
      <c r="N2955" s="138"/>
      <c r="O2955" s="138">
        <v>35</v>
      </c>
      <c r="P2955" s="138"/>
      <c r="Q2955" s="138"/>
      <c r="R2955" s="138"/>
      <c r="S2955" s="138"/>
      <c r="T2955" s="138"/>
      <c r="U2955" s="138"/>
    </row>
    <row r="2956" spans="1:27" s="26" customFormat="1" ht="15" customHeight="1" x14ac:dyDescent="0.2">
      <c r="A2956" s="32">
        <v>41556.580497685187</v>
      </c>
      <c r="B2956" s="26" t="s">
        <v>38</v>
      </c>
      <c r="C2956" s="26" t="s">
        <v>995</v>
      </c>
      <c r="D2956" s="30">
        <v>41518</v>
      </c>
      <c r="E2956" s="26" t="s">
        <v>1003</v>
      </c>
      <c r="F2956" s="26" t="s">
        <v>1004</v>
      </c>
      <c r="G2956" s="26" t="s">
        <v>26</v>
      </c>
      <c r="H2956" s="26" t="s">
        <v>2651</v>
      </c>
      <c r="J2956" s="115">
        <v>1</v>
      </c>
      <c r="K2956" s="115">
        <v>4</v>
      </c>
      <c r="L2956" s="136">
        <v>20</v>
      </c>
      <c r="M2956" s="137" t="s">
        <v>44</v>
      </c>
      <c r="N2956" s="138"/>
      <c r="O2956" s="138">
        <v>10</v>
      </c>
      <c r="P2956" s="138">
        <v>4</v>
      </c>
      <c r="Q2956" s="138"/>
      <c r="R2956" s="138"/>
      <c r="S2956" s="138"/>
      <c r="T2956" s="138"/>
      <c r="U2956" s="138"/>
    </row>
    <row r="2957" spans="1:27" s="26" customFormat="1" ht="15" customHeight="1" x14ac:dyDescent="0.2">
      <c r="A2957" s="32">
        <v>41556.584618055553</v>
      </c>
      <c r="B2957" s="26" t="s">
        <v>38</v>
      </c>
      <c r="C2957" s="26" t="s">
        <v>995</v>
      </c>
      <c r="D2957" s="30">
        <v>41518</v>
      </c>
      <c r="E2957" s="26" t="s">
        <v>1146</v>
      </c>
      <c r="F2957" s="26" t="s">
        <v>1025</v>
      </c>
      <c r="G2957" s="26" t="s">
        <v>26</v>
      </c>
      <c r="H2957" s="26" t="s">
        <v>2652</v>
      </c>
      <c r="J2957" s="115">
        <v>1</v>
      </c>
      <c r="K2957" s="115">
        <v>5</v>
      </c>
      <c r="L2957" s="136">
        <v>75</v>
      </c>
      <c r="M2957" s="137" t="s">
        <v>44</v>
      </c>
      <c r="N2957" s="138"/>
      <c r="O2957" s="138">
        <v>5</v>
      </c>
      <c r="P2957" s="138">
        <v>12</v>
      </c>
      <c r="Q2957" s="138"/>
      <c r="R2957" s="138"/>
      <c r="S2957" s="138"/>
      <c r="T2957" s="138"/>
      <c r="U2957" s="138"/>
    </row>
    <row r="2958" spans="1:27" s="26" customFormat="1" ht="15" customHeight="1" x14ac:dyDescent="0.2">
      <c r="A2958" s="32">
        <v>41556.591006944444</v>
      </c>
      <c r="B2958" s="26" t="s">
        <v>38</v>
      </c>
      <c r="C2958" s="26" t="s">
        <v>995</v>
      </c>
      <c r="D2958" s="30">
        <v>41518</v>
      </c>
      <c r="E2958" s="26" t="s">
        <v>2653</v>
      </c>
      <c r="F2958" s="26" t="s">
        <v>1007</v>
      </c>
      <c r="G2958" s="26" t="s">
        <v>26</v>
      </c>
      <c r="H2958" s="26" t="s">
        <v>2654</v>
      </c>
      <c r="J2958" s="115">
        <v>1</v>
      </c>
      <c r="K2958" s="115">
        <v>5</v>
      </c>
      <c r="L2958" s="136">
        <v>75</v>
      </c>
      <c r="M2958" s="137" t="s">
        <v>44</v>
      </c>
      <c r="N2958" s="138"/>
      <c r="O2958" s="138">
        <v>10</v>
      </c>
      <c r="P2958" s="138"/>
      <c r="Q2958" s="138"/>
      <c r="R2958" s="138"/>
      <c r="S2958" s="138"/>
      <c r="T2958" s="138"/>
      <c r="U2958" s="138"/>
    </row>
    <row r="2959" spans="1:27" s="26" customFormat="1" ht="15" customHeight="1" x14ac:dyDescent="0.2">
      <c r="A2959" s="32">
        <v>41556.598657407405</v>
      </c>
      <c r="B2959" s="26" t="s">
        <v>38</v>
      </c>
      <c r="C2959" s="26" t="s">
        <v>995</v>
      </c>
      <c r="D2959" s="30">
        <v>41518</v>
      </c>
      <c r="F2959" s="26" t="s">
        <v>2153</v>
      </c>
      <c r="G2959" s="26" t="s">
        <v>26</v>
      </c>
      <c r="H2959" s="26" t="s">
        <v>2655</v>
      </c>
      <c r="J2959" s="115">
        <v>1</v>
      </c>
      <c r="K2959" s="115">
        <v>8</v>
      </c>
      <c r="L2959" s="136">
        <v>90</v>
      </c>
      <c r="M2959" s="137" t="s">
        <v>44</v>
      </c>
      <c r="N2959" s="138"/>
      <c r="O2959" s="138">
        <v>20</v>
      </c>
      <c r="P2959" s="138"/>
      <c r="Q2959" s="138"/>
      <c r="R2959" s="138"/>
      <c r="S2959" s="138"/>
      <c r="T2959" s="138"/>
      <c r="U2959" s="138"/>
    </row>
    <row r="2960" spans="1:27" ht="15" customHeight="1" x14ac:dyDescent="0.2">
      <c r="A2960" s="32">
        <v>41556.601620370369</v>
      </c>
      <c r="B2960" s="26" t="s">
        <v>38</v>
      </c>
      <c r="C2960" s="26" t="s">
        <v>995</v>
      </c>
      <c r="D2960" s="30">
        <v>41518</v>
      </c>
      <c r="E2960" s="26" t="s">
        <v>2656</v>
      </c>
      <c r="F2960" s="26" t="s">
        <v>1719</v>
      </c>
      <c r="G2960" s="26" t="s">
        <v>26</v>
      </c>
      <c r="H2960" s="26" t="s">
        <v>2652</v>
      </c>
      <c r="I2960" s="26"/>
      <c r="J2960" s="46">
        <v>1</v>
      </c>
      <c r="K2960" s="46">
        <v>8</v>
      </c>
      <c r="L2960" s="136">
        <v>120</v>
      </c>
      <c r="M2960" s="137" t="s">
        <v>44</v>
      </c>
      <c r="O2960" s="138">
        <v>15</v>
      </c>
      <c r="V2960" s="26"/>
      <c r="W2960" s="26"/>
      <c r="X2960" s="26"/>
      <c r="Y2960" s="26"/>
      <c r="Z2960" s="26"/>
      <c r="AA2960" s="26"/>
    </row>
    <row r="2961" spans="1:22" s="26" customFormat="1" ht="15" customHeight="1" x14ac:dyDescent="0.2">
      <c r="A2961" s="32">
        <v>41556.605555555558</v>
      </c>
      <c r="B2961" s="26" t="s">
        <v>38</v>
      </c>
      <c r="C2961" s="26" t="s">
        <v>995</v>
      </c>
      <c r="D2961" s="30">
        <v>41518</v>
      </c>
      <c r="E2961" s="26" t="s">
        <v>2657</v>
      </c>
      <c r="F2961" s="26" t="s">
        <v>2658</v>
      </c>
      <c r="G2961" s="26" t="s">
        <v>26</v>
      </c>
      <c r="H2961" s="26" t="s">
        <v>2659</v>
      </c>
      <c r="J2961" s="46">
        <v>1</v>
      </c>
      <c r="K2961" s="46">
        <v>2</v>
      </c>
      <c r="L2961" s="136">
        <v>30</v>
      </c>
      <c r="M2961" s="137" t="s">
        <v>44</v>
      </c>
      <c r="N2961" s="138"/>
      <c r="O2961" s="138">
        <v>5</v>
      </c>
      <c r="P2961" s="138">
        <v>3</v>
      </c>
      <c r="Q2961" s="138"/>
      <c r="R2961" s="138"/>
      <c r="S2961" s="138"/>
      <c r="T2961" s="138"/>
      <c r="U2961" s="138"/>
    </row>
    <row r="2962" spans="1:22" s="26" customFormat="1" ht="15" customHeight="1" x14ac:dyDescent="0.2">
      <c r="A2962" s="32">
        <v>41556.635034722225</v>
      </c>
      <c r="B2962" s="26" t="s">
        <v>38</v>
      </c>
      <c r="C2962" s="26" t="s">
        <v>995</v>
      </c>
      <c r="D2962" s="30">
        <v>41518</v>
      </c>
      <c r="E2962" s="26" t="s">
        <v>2660</v>
      </c>
      <c r="F2962" s="26" t="s">
        <v>998</v>
      </c>
      <c r="G2962" s="26" t="s">
        <v>26</v>
      </c>
      <c r="H2962" s="26" t="s">
        <v>998</v>
      </c>
      <c r="J2962" s="46">
        <v>1</v>
      </c>
      <c r="K2962" s="46">
        <v>2</v>
      </c>
      <c r="L2962" s="136">
        <v>30</v>
      </c>
      <c r="M2962" s="137"/>
      <c r="N2962" s="138"/>
      <c r="O2962" s="138">
        <v>5</v>
      </c>
      <c r="P2962" s="138"/>
      <c r="Q2962" s="138"/>
      <c r="R2962" s="138"/>
      <c r="S2962" s="138"/>
      <c r="T2962" s="138"/>
      <c r="U2962" s="138"/>
    </row>
    <row r="2963" spans="1:22" s="26" customFormat="1" ht="15" customHeight="1" x14ac:dyDescent="0.2">
      <c r="A2963" s="32">
        <v>41556.648958333331</v>
      </c>
      <c r="B2963" s="26" t="s">
        <v>38</v>
      </c>
      <c r="C2963" s="26" t="s">
        <v>995</v>
      </c>
      <c r="D2963" s="30">
        <v>41518</v>
      </c>
      <c r="E2963" s="26" t="s">
        <v>2664</v>
      </c>
      <c r="F2963" s="26" t="s">
        <v>2665</v>
      </c>
      <c r="G2963" s="26" t="s">
        <v>20</v>
      </c>
      <c r="H2963" s="26" t="s">
        <v>2666</v>
      </c>
      <c r="J2963" s="46">
        <v>1</v>
      </c>
      <c r="K2963" s="46">
        <v>2</v>
      </c>
      <c r="L2963" s="136">
        <v>6</v>
      </c>
      <c r="M2963" s="137" t="s">
        <v>44</v>
      </c>
      <c r="N2963" s="138"/>
      <c r="O2963" s="138">
        <v>5</v>
      </c>
      <c r="P2963" s="138">
        <v>4</v>
      </c>
      <c r="Q2963" s="138"/>
      <c r="R2963" s="138"/>
      <c r="S2963" s="138"/>
      <c r="T2963" s="138"/>
      <c r="U2963" s="138"/>
    </row>
    <row r="2964" spans="1:22" s="26" customFormat="1" ht="15" customHeight="1" x14ac:dyDescent="0.2">
      <c r="A2964" s="32">
        <v>41556.667395833334</v>
      </c>
      <c r="B2964" s="26" t="s">
        <v>38</v>
      </c>
      <c r="C2964" s="26" t="s">
        <v>995</v>
      </c>
      <c r="D2964" s="30">
        <v>41518</v>
      </c>
      <c r="E2964" s="26" t="s">
        <v>2656</v>
      </c>
      <c r="F2964" s="26" t="s">
        <v>1719</v>
      </c>
      <c r="G2964" s="26" t="s">
        <v>26</v>
      </c>
      <c r="H2964" s="26" t="s">
        <v>1803</v>
      </c>
      <c r="J2964" s="46">
        <v>1</v>
      </c>
      <c r="K2964" s="46">
        <v>4</v>
      </c>
      <c r="L2964" s="136">
        <v>60</v>
      </c>
      <c r="M2964" s="137" t="s">
        <v>44</v>
      </c>
      <c r="N2964" s="138"/>
      <c r="O2964" s="138">
        <v>10</v>
      </c>
      <c r="P2964" s="138"/>
      <c r="Q2964" s="138"/>
      <c r="R2964" s="138"/>
      <c r="S2964" s="138"/>
      <c r="T2964" s="138"/>
      <c r="U2964" s="138"/>
    </row>
    <row r="2965" spans="1:22" s="26" customFormat="1" ht="15" customHeight="1" x14ac:dyDescent="0.2">
      <c r="A2965" s="32">
        <v>41556.681527777779</v>
      </c>
      <c r="B2965" s="26" t="s">
        <v>38</v>
      </c>
      <c r="C2965" s="26" t="s">
        <v>995</v>
      </c>
      <c r="D2965" s="30">
        <v>41518</v>
      </c>
      <c r="E2965" s="26" t="s">
        <v>2625</v>
      </c>
      <c r="F2965" s="26" t="s">
        <v>2702</v>
      </c>
      <c r="G2965" s="26" t="s">
        <v>26</v>
      </c>
      <c r="H2965" s="26" t="s">
        <v>2703</v>
      </c>
      <c r="J2965" s="46">
        <v>1</v>
      </c>
      <c r="K2965" s="46">
        <v>20</v>
      </c>
      <c r="L2965" s="136">
        <v>300</v>
      </c>
      <c r="M2965" s="137" t="s">
        <v>44</v>
      </c>
      <c r="N2965" s="138"/>
      <c r="O2965" s="138">
        <v>40</v>
      </c>
      <c r="P2965" s="138">
        <v>32</v>
      </c>
      <c r="Q2965" s="138"/>
      <c r="R2965" s="138"/>
      <c r="S2965" s="138"/>
      <c r="T2965" s="138"/>
      <c r="U2965" s="138"/>
    </row>
    <row r="2966" spans="1:22" s="26" customFormat="1" ht="15" customHeight="1" x14ac:dyDescent="0.2">
      <c r="A2966" s="32">
        <v>41556.683668981481</v>
      </c>
      <c r="B2966" s="26" t="s">
        <v>38</v>
      </c>
      <c r="C2966" s="26" t="s">
        <v>995</v>
      </c>
      <c r="D2966" s="30">
        <v>41518</v>
      </c>
      <c r="E2966" s="26" t="s">
        <v>2710</v>
      </c>
      <c r="F2966" s="26" t="s">
        <v>1719</v>
      </c>
      <c r="G2966" s="26" t="s">
        <v>26</v>
      </c>
      <c r="H2966" s="26" t="s">
        <v>2711</v>
      </c>
      <c r="J2966" s="46">
        <v>1</v>
      </c>
      <c r="K2966" s="46">
        <v>17</v>
      </c>
      <c r="L2966" s="136">
        <v>255</v>
      </c>
      <c r="M2966" s="137" t="s">
        <v>44</v>
      </c>
      <c r="N2966" s="138"/>
      <c r="O2966" s="138">
        <v>35</v>
      </c>
      <c r="P2966" s="138"/>
      <c r="Q2966" s="138"/>
      <c r="R2966" s="138"/>
      <c r="S2966" s="138"/>
      <c r="T2966" s="138"/>
      <c r="U2966" s="138"/>
    </row>
    <row r="2967" spans="1:22" s="26" customFormat="1" ht="15" customHeight="1" x14ac:dyDescent="0.2">
      <c r="A2967" s="32">
        <v>41556.684930555559</v>
      </c>
      <c r="B2967" s="26" t="s">
        <v>38</v>
      </c>
      <c r="C2967" s="26" t="s">
        <v>995</v>
      </c>
      <c r="D2967" s="30">
        <v>41518</v>
      </c>
      <c r="E2967" s="26" t="s">
        <v>1169</v>
      </c>
      <c r="F2967" s="26" t="s">
        <v>2603</v>
      </c>
      <c r="G2967" s="26" t="s">
        <v>26</v>
      </c>
      <c r="H2967" s="26" t="s">
        <v>2652</v>
      </c>
      <c r="J2967" s="46">
        <v>1</v>
      </c>
      <c r="K2967" s="46">
        <v>11</v>
      </c>
      <c r="L2967" s="136">
        <v>165</v>
      </c>
      <c r="M2967" s="137" t="s">
        <v>44</v>
      </c>
      <c r="N2967" s="138"/>
      <c r="O2967" s="138">
        <v>20</v>
      </c>
      <c r="P2967" s="138">
        <v>12</v>
      </c>
      <c r="Q2967" s="138"/>
      <c r="R2967" s="138"/>
      <c r="S2967" s="138"/>
      <c r="T2967" s="138"/>
      <c r="U2967" s="138"/>
    </row>
    <row r="2968" spans="1:22" s="26" customFormat="1" ht="15" customHeight="1" x14ac:dyDescent="0.2">
      <c r="A2968" s="48">
        <v>41619.349201388897</v>
      </c>
      <c r="B2968" s="49" t="s">
        <v>38</v>
      </c>
      <c r="C2968" s="50" t="s">
        <v>995</v>
      </c>
      <c r="D2968" s="67">
        <v>41579</v>
      </c>
      <c r="E2968" s="50" t="s">
        <v>3621</v>
      </c>
      <c r="F2968" s="50" t="s">
        <v>3622</v>
      </c>
      <c r="G2968" s="49" t="s">
        <v>20</v>
      </c>
      <c r="H2968" s="50" t="s">
        <v>3623</v>
      </c>
      <c r="I2968" s="50" t="s">
        <v>2986</v>
      </c>
      <c r="J2968" s="117">
        <v>1</v>
      </c>
      <c r="K2968" s="117">
        <v>44</v>
      </c>
      <c r="L2968" s="142">
        <v>132</v>
      </c>
      <c r="M2968" s="143" t="s">
        <v>44</v>
      </c>
      <c r="N2968" s="144"/>
      <c r="O2968" s="144">
        <v>10</v>
      </c>
      <c r="P2968" s="144">
        <v>40</v>
      </c>
      <c r="Q2968" s="144"/>
      <c r="R2968" s="144"/>
      <c r="S2968" s="144"/>
      <c r="T2968" s="144"/>
      <c r="U2968" s="144"/>
      <c r="V2968" s="50"/>
    </row>
    <row r="2969" spans="1:22" s="26" customFormat="1" ht="15" customHeight="1" x14ac:dyDescent="0.2">
      <c r="A2969" s="48">
        <v>41619.3504398148</v>
      </c>
      <c r="B2969" s="42" t="s">
        <v>38</v>
      </c>
      <c r="C2969" s="50" t="s">
        <v>995</v>
      </c>
      <c r="D2969" s="67">
        <v>41579</v>
      </c>
      <c r="E2969" s="50" t="s">
        <v>3624</v>
      </c>
      <c r="F2969" s="50" t="s">
        <v>1019</v>
      </c>
      <c r="G2969" s="49" t="s">
        <v>26</v>
      </c>
      <c r="H2969" s="50"/>
      <c r="I2969" s="50"/>
      <c r="J2969" s="117">
        <v>1</v>
      </c>
      <c r="K2969" s="117">
        <v>7</v>
      </c>
      <c r="L2969" s="142">
        <v>105</v>
      </c>
      <c r="M2969" s="143" t="s">
        <v>44</v>
      </c>
      <c r="N2969" s="144"/>
      <c r="O2969" s="144">
        <v>20</v>
      </c>
      <c r="P2969" s="144">
        <v>24</v>
      </c>
      <c r="Q2969" s="144"/>
      <c r="R2969" s="144"/>
      <c r="S2969" s="144"/>
      <c r="T2969" s="144"/>
      <c r="U2969" s="144"/>
      <c r="V2969" s="50"/>
    </row>
    <row r="2970" spans="1:22" s="26" customFormat="1" ht="15" customHeight="1" x14ac:dyDescent="0.2">
      <c r="A2970" s="48">
        <v>41619.352152777799</v>
      </c>
      <c r="B2970" s="49" t="s">
        <v>38</v>
      </c>
      <c r="C2970" s="50" t="s">
        <v>995</v>
      </c>
      <c r="D2970" s="67">
        <v>41579</v>
      </c>
      <c r="E2970" s="50" t="s">
        <v>3625</v>
      </c>
      <c r="F2970" s="50" t="s">
        <v>2872</v>
      </c>
      <c r="G2970" s="49" t="s">
        <v>26</v>
      </c>
      <c r="H2970" s="50" t="s">
        <v>3626</v>
      </c>
      <c r="I2970" s="50" t="s">
        <v>2986</v>
      </c>
      <c r="J2970" s="117">
        <v>1</v>
      </c>
      <c r="K2970" s="117">
        <v>4</v>
      </c>
      <c r="L2970" s="142">
        <v>20</v>
      </c>
      <c r="M2970" s="143" t="s">
        <v>44</v>
      </c>
      <c r="N2970" s="144"/>
      <c r="O2970" s="144">
        <v>5</v>
      </c>
      <c r="P2970" s="144">
        <v>8</v>
      </c>
      <c r="Q2970" s="144"/>
      <c r="R2970" s="144"/>
      <c r="S2970" s="144"/>
      <c r="T2970" s="144"/>
      <c r="U2970" s="144"/>
      <c r="V2970" s="50"/>
    </row>
    <row r="2971" spans="1:22" s="26" customFormat="1" ht="15" customHeight="1" x14ac:dyDescent="0.2">
      <c r="A2971" s="48">
        <v>41619.354027777801</v>
      </c>
      <c r="B2971" s="49" t="s">
        <v>38</v>
      </c>
      <c r="C2971" s="50" t="s">
        <v>995</v>
      </c>
      <c r="D2971" s="67">
        <v>41579</v>
      </c>
      <c r="E2971" s="50" t="s">
        <v>3627</v>
      </c>
      <c r="F2971" s="50" t="s">
        <v>2871</v>
      </c>
      <c r="G2971" s="49" t="s">
        <v>26</v>
      </c>
      <c r="H2971" s="50" t="s">
        <v>3628</v>
      </c>
      <c r="I2971" s="50" t="s">
        <v>2986</v>
      </c>
      <c r="J2971" s="117">
        <v>1</v>
      </c>
      <c r="K2971" s="117">
        <v>9</v>
      </c>
      <c r="L2971" s="142">
        <v>72</v>
      </c>
      <c r="M2971" s="143" t="s">
        <v>44</v>
      </c>
      <c r="N2971" s="144"/>
      <c r="O2971" s="144">
        <v>15</v>
      </c>
      <c r="P2971" s="144"/>
      <c r="Q2971" s="144"/>
      <c r="R2971" s="144"/>
      <c r="S2971" s="144"/>
      <c r="T2971" s="144"/>
      <c r="U2971" s="144"/>
      <c r="V2971" s="50"/>
    </row>
    <row r="2972" spans="1:22" s="26" customFormat="1" ht="15" customHeight="1" x14ac:dyDescent="0.2">
      <c r="A2972" s="48">
        <v>41619.358553240701</v>
      </c>
      <c r="B2972" s="49" t="s">
        <v>38</v>
      </c>
      <c r="C2972" s="50" t="s">
        <v>995</v>
      </c>
      <c r="D2972" s="67">
        <v>41579</v>
      </c>
      <c r="E2972" s="50" t="s">
        <v>3629</v>
      </c>
      <c r="F2972" s="50" t="s">
        <v>3630</v>
      </c>
      <c r="G2972" s="49" t="s">
        <v>26</v>
      </c>
      <c r="H2972" s="50" t="s">
        <v>1969</v>
      </c>
      <c r="I2972" s="50" t="s">
        <v>3171</v>
      </c>
      <c r="J2972" s="117">
        <v>1</v>
      </c>
      <c r="K2972" s="117">
        <v>2</v>
      </c>
      <c r="L2972" s="142">
        <v>12</v>
      </c>
      <c r="M2972" s="143" t="s">
        <v>44</v>
      </c>
      <c r="N2972" s="144"/>
      <c r="O2972" s="144">
        <v>5</v>
      </c>
      <c r="P2972" s="144"/>
      <c r="Q2972" s="144"/>
      <c r="R2972" s="144"/>
      <c r="S2972" s="144"/>
      <c r="T2972" s="144"/>
      <c r="U2972" s="144"/>
      <c r="V2972" s="50"/>
    </row>
    <row r="2973" spans="1:22" s="26" customFormat="1" ht="15" customHeight="1" x14ac:dyDescent="0.2">
      <c r="A2973" s="48">
        <v>41619.375925925902</v>
      </c>
      <c r="B2973" s="49" t="s">
        <v>38</v>
      </c>
      <c r="C2973" s="50" t="s">
        <v>995</v>
      </c>
      <c r="D2973" s="67">
        <v>41579</v>
      </c>
      <c r="E2973" s="50" t="s">
        <v>3631</v>
      </c>
      <c r="F2973" s="50" t="s">
        <v>3632</v>
      </c>
      <c r="G2973" s="49" t="s">
        <v>26</v>
      </c>
      <c r="H2973" s="50" t="s">
        <v>3633</v>
      </c>
      <c r="I2973" s="50" t="s">
        <v>3171</v>
      </c>
      <c r="J2973" s="117">
        <v>1</v>
      </c>
      <c r="K2973" s="117">
        <v>2</v>
      </c>
      <c r="L2973" s="142">
        <v>30</v>
      </c>
      <c r="M2973" s="143" t="s">
        <v>44</v>
      </c>
      <c r="N2973" s="144"/>
      <c r="O2973" s="144">
        <v>10</v>
      </c>
      <c r="P2973" s="144">
        <v>4</v>
      </c>
      <c r="Q2973" s="144"/>
      <c r="R2973" s="144"/>
      <c r="S2973" s="144"/>
      <c r="T2973" s="144"/>
      <c r="U2973" s="144"/>
      <c r="V2973" s="50"/>
    </row>
    <row r="2974" spans="1:22" s="26" customFormat="1" ht="15" customHeight="1" x14ac:dyDescent="0.2">
      <c r="A2974" s="48">
        <v>41619.396828703699</v>
      </c>
      <c r="B2974" s="49" t="s">
        <v>38</v>
      </c>
      <c r="C2974" s="50" t="s">
        <v>995</v>
      </c>
      <c r="D2974" s="67">
        <v>41579</v>
      </c>
      <c r="E2974" s="50" t="s">
        <v>1169</v>
      </c>
      <c r="F2974" s="50" t="s">
        <v>3634</v>
      </c>
      <c r="G2974" s="49" t="s">
        <v>26</v>
      </c>
      <c r="H2974" s="50" t="s">
        <v>3635</v>
      </c>
      <c r="I2974" s="50"/>
      <c r="J2974" s="117">
        <v>1</v>
      </c>
      <c r="K2974" s="117">
        <v>1</v>
      </c>
      <c r="L2974" s="142">
        <v>15</v>
      </c>
      <c r="M2974" s="143" t="s">
        <v>44</v>
      </c>
      <c r="N2974" s="144"/>
      <c r="O2974" s="144">
        <v>5</v>
      </c>
      <c r="P2974" s="144">
        <v>12</v>
      </c>
      <c r="Q2974" s="144"/>
      <c r="R2974" s="144"/>
      <c r="S2974" s="144"/>
      <c r="T2974" s="144"/>
      <c r="U2974" s="144"/>
      <c r="V2974" s="50"/>
    </row>
    <row r="2975" spans="1:22" s="26" customFormat="1" ht="15" customHeight="1" x14ac:dyDescent="0.2">
      <c r="A2975" s="48">
        <v>41619.401122685202</v>
      </c>
      <c r="B2975" s="49" t="s">
        <v>38</v>
      </c>
      <c r="C2975" s="50" t="s">
        <v>995</v>
      </c>
      <c r="D2975" s="67">
        <v>41579</v>
      </c>
      <c r="E2975" s="50" t="s">
        <v>3636</v>
      </c>
      <c r="F2975" s="50" t="s">
        <v>3637</v>
      </c>
      <c r="G2975" s="49" t="s">
        <v>20</v>
      </c>
      <c r="H2975" s="50" t="s">
        <v>3638</v>
      </c>
      <c r="I2975" s="50" t="s">
        <v>2986</v>
      </c>
      <c r="J2975" s="117">
        <v>1</v>
      </c>
      <c r="K2975" s="117">
        <v>44</v>
      </c>
      <c r="L2975" s="142">
        <v>132</v>
      </c>
      <c r="M2975" s="143" t="s">
        <v>44</v>
      </c>
      <c r="N2975" s="144"/>
      <c r="O2975" s="144">
        <v>90</v>
      </c>
      <c r="P2975" s="144">
        <v>45</v>
      </c>
      <c r="Q2975" s="144"/>
      <c r="R2975" s="144"/>
      <c r="S2975" s="144"/>
      <c r="T2975" s="144"/>
      <c r="U2975" s="144"/>
      <c r="V2975" s="50"/>
    </row>
    <row r="2976" spans="1:22" s="26" customFormat="1" ht="15" customHeight="1" x14ac:dyDescent="0.2">
      <c r="A2976" s="48">
        <v>41619.403854166703</v>
      </c>
      <c r="B2976" s="49" t="s">
        <v>38</v>
      </c>
      <c r="C2976" s="50" t="s">
        <v>995</v>
      </c>
      <c r="D2976" s="67">
        <v>41579</v>
      </c>
      <c r="E2976" s="50" t="s">
        <v>3624</v>
      </c>
      <c r="F2976" s="50" t="s">
        <v>1019</v>
      </c>
      <c r="G2976" s="49" t="s">
        <v>26</v>
      </c>
      <c r="H2976" s="50" t="s">
        <v>3639</v>
      </c>
      <c r="I2976" s="50" t="s">
        <v>2986</v>
      </c>
      <c r="J2976" s="117">
        <v>1</v>
      </c>
      <c r="K2976" s="117">
        <v>14</v>
      </c>
      <c r="L2976" s="142">
        <v>210</v>
      </c>
      <c r="M2976" s="143" t="s">
        <v>44</v>
      </c>
      <c r="N2976" s="144"/>
      <c r="O2976" s="144">
        <v>35</v>
      </c>
      <c r="P2976" s="144">
        <v>40</v>
      </c>
      <c r="Q2976" s="144"/>
      <c r="R2976" s="144"/>
      <c r="S2976" s="144"/>
      <c r="T2976" s="144"/>
      <c r="U2976" s="144"/>
      <c r="V2976" s="50"/>
    </row>
    <row r="2977" spans="1:22" s="26" customFormat="1" ht="15" customHeight="1" x14ac:dyDescent="0.2">
      <c r="A2977" s="48">
        <v>41619.4062037037</v>
      </c>
      <c r="B2977" s="49" t="s">
        <v>38</v>
      </c>
      <c r="C2977" s="50" t="s">
        <v>995</v>
      </c>
      <c r="D2977" s="67">
        <v>41579</v>
      </c>
      <c r="E2977" s="50" t="s">
        <v>3640</v>
      </c>
      <c r="F2977" s="50" t="s">
        <v>3641</v>
      </c>
      <c r="G2977" s="49" t="s">
        <v>42</v>
      </c>
      <c r="H2977" s="50" t="s">
        <v>3642</v>
      </c>
      <c r="I2977" s="50" t="s">
        <v>2986</v>
      </c>
      <c r="J2977" s="117">
        <v>1</v>
      </c>
      <c r="K2977" s="117">
        <v>28</v>
      </c>
      <c r="L2977" s="142">
        <v>84</v>
      </c>
      <c r="M2977" s="143" t="s">
        <v>44</v>
      </c>
      <c r="N2977" s="144"/>
      <c r="O2977" s="144">
        <v>60</v>
      </c>
      <c r="P2977" s="144">
        <v>20</v>
      </c>
      <c r="Q2977" s="144"/>
      <c r="R2977" s="144"/>
      <c r="S2977" s="144"/>
      <c r="T2977" s="144"/>
      <c r="U2977" s="144"/>
      <c r="V2977" s="50"/>
    </row>
    <row r="2978" spans="1:22" s="26" customFormat="1" ht="15" customHeight="1" x14ac:dyDescent="0.2">
      <c r="A2978" s="48">
        <v>41619.408414351798</v>
      </c>
      <c r="B2978" s="49" t="s">
        <v>38</v>
      </c>
      <c r="C2978" s="50" t="s">
        <v>995</v>
      </c>
      <c r="D2978" s="67">
        <v>41579</v>
      </c>
      <c r="E2978" s="50" t="s">
        <v>1169</v>
      </c>
      <c r="F2978" s="50" t="s">
        <v>3643</v>
      </c>
      <c r="G2978" s="49" t="s">
        <v>26</v>
      </c>
      <c r="H2978" s="50" t="s">
        <v>1168</v>
      </c>
      <c r="I2978" s="50" t="s">
        <v>2986</v>
      </c>
      <c r="J2978" s="117">
        <v>1</v>
      </c>
      <c r="K2978" s="117">
        <v>20</v>
      </c>
      <c r="L2978" s="142">
        <v>300</v>
      </c>
      <c r="M2978" s="143" t="s">
        <v>44</v>
      </c>
      <c r="N2978" s="144"/>
      <c r="O2978" s="144">
        <v>50</v>
      </c>
      <c r="P2978" s="144">
        <v>24</v>
      </c>
      <c r="Q2978" s="144"/>
      <c r="R2978" s="144"/>
      <c r="S2978" s="144"/>
      <c r="T2978" s="144"/>
      <c r="U2978" s="144"/>
      <c r="V2978" s="50"/>
    </row>
    <row r="2979" spans="1:22" s="26" customFormat="1" ht="15" customHeight="1" x14ac:dyDescent="0.2">
      <c r="A2979" s="48">
        <v>41619.409687500003</v>
      </c>
      <c r="B2979" s="49" t="s">
        <v>38</v>
      </c>
      <c r="C2979" s="50" t="s">
        <v>995</v>
      </c>
      <c r="D2979" s="67">
        <v>41579</v>
      </c>
      <c r="E2979" s="50" t="s">
        <v>3644</v>
      </c>
      <c r="F2979" s="50" t="s">
        <v>3634</v>
      </c>
      <c r="G2979" s="49" t="s">
        <v>26</v>
      </c>
      <c r="H2979" s="50" t="s">
        <v>3645</v>
      </c>
      <c r="I2979" s="50" t="s">
        <v>2986</v>
      </c>
      <c r="J2979" s="117">
        <v>1</v>
      </c>
      <c r="K2979" s="117">
        <v>3</v>
      </c>
      <c r="L2979" s="142">
        <v>45</v>
      </c>
      <c r="M2979" s="143" t="s">
        <v>44</v>
      </c>
      <c r="N2979" s="144"/>
      <c r="O2979" s="144">
        <v>10</v>
      </c>
      <c r="P2979" s="144">
        <v>5</v>
      </c>
      <c r="Q2979" s="144"/>
      <c r="R2979" s="144"/>
      <c r="S2979" s="144"/>
      <c r="T2979" s="144"/>
      <c r="U2979" s="144"/>
      <c r="V2979" s="50"/>
    </row>
    <row r="2980" spans="1:22" s="26" customFormat="1" ht="15" customHeight="1" x14ac:dyDescent="0.2">
      <c r="A2980" s="48">
        <v>41619.412222222199</v>
      </c>
      <c r="B2980" s="49" t="s">
        <v>38</v>
      </c>
      <c r="C2980" s="50" t="s">
        <v>995</v>
      </c>
      <c r="D2980" s="67">
        <v>41579</v>
      </c>
      <c r="E2980" s="50" t="s">
        <v>3646</v>
      </c>
      <c r="F2980" s="50" t="s">
        <v>2872</v>
      </c>
      <c r="G2980" s="49" t="s">
        <v>26</v>
      </c>
      <c r="H2980" s="50" t="s">
        <v>3647</v>
      </c>
      <c r="I2980" s="50" t="s">
        <v>2986</v>
      </c>
      <c r="J2980" s="117">
        <v>1</v>
      </c>
      <c r="K2980" s="117">
        <v>1</v>
      </c>
      <c r="L2980" s="142">
        <v>5</v>
      </c>
      <c r="M2980" s="143" t="s">
        <v>44</v>
      </c>
      <c r="N2980" s="144"/>
      <c r="O2980" s="144">
        <v>5</v>
      </c>
      <c r="P2980" s="144"/>
      <c r="Q2980" s="144"/>
      <c r="R2980" s="144"/>
      <c r="S2980" s="144"/>
      <c r="T2980" s="144"/>
      <c r="U2980" s="144"/>
      <c r="V2980" s="50"/>
    </row>
    <row r="2981" spans="1:22" s="26" customFormat="1" ht="15" customHeight="1" x14ac:dyDescent="0.2">
      <c r="A2981" s="48">
        <v>41619.413784722201</v>
      </c>
      <c r="B2981" s="49" t="s">
        <v>38</v>
      </c>
      <c r="C2981" s="50" t="s">
        <v>995</v>
      </c>
      <c r="D2981" s="67">
        <v>41579</v>
      </c>
      <c r="E2981" s="50" t="s">
        <v>3648</v>
      </c>
      <c r="F2981" s="50" t="s">
        <v>2871</v>
      </c>
      <c r="G2981" s="49" t="s">
        <v>26</v>
      </c>
      <c r="H2981" s="50" t="s">
        <v>3649</v>
      </c>
      <c r="I2981" s="50" t="s">
        <v>2986</v>
      </c>
      <c r="J2981" s="117">
        <v>1</v>
      </c>
      <c r="K2981" s="117">
        <v>16</v>
      </c>
      <c r="L2981" s="142">
        <v>128</v>
      </c>
      <c r="M2981" s="143" t="s">
        <v>44</v>
      </c>
      <c r="N2981" s="144"/>
      <c r="O2981" s="144">
        <v>25</v>
      </c>
      <c r="P2981" s="144"/>
      <c r="Q2981" s="144"/>
      <c r="R2981" s="144"/>
      <c r="S2981" s="144"/>
      <c r="T2981" s="144"/>
      <c r="U2981" s="144"/>
      <c r="V2981" s="50"/>
    </row>
    <row r="2982" spans="1:22" s="26" customFormat="1" ht="15" customHeight="1" x14ac:dyDescent="0.2">
      <c r="A2982" s="48">
        <v>41619.415891203702</v>
      </c>
      <c r="B2982" s="49" t="s">
        <v>38</v>
      </c>
      <c r="C2982" s="50" t="s">
        <v>995</v>
      </c>
      <c r="D2982" s="67">
        <v>41579</v>
      </c>
      <c r="E2982" s="50" t="s">
        <v>3650</v>
      </c>
      <c r="F2982" s="50" t="s">
        <v>3651</v>
      </c>
      <c r="G2982" s="49" t="s">
        <v>26</v>
      </c>
      <c r="H2982" s="50" t="s">
        <v>3652</v>
      </c>
      <c r="I2982" s="50" t="s">
        <v>2986</v>
      </c>
      <c r="J2982" s="117">
        <v>1</v>
      </c>
      <c r="K2982" s="117">
        <v>14</v>
      </c>
      <c r="L2982" s="142">
        <v>84</v>
      </c>
      <c r="M2982" s="143" t="s">
        <v>44</v>
      </c>
      <c r="N2982" s="144"/>
      <c r="O2982" s="144">
        <v>25</v>
      </c>
      <c r="P2982" s="144"/>
      <c r="Q2982" s="144"/>
      <c r="R2982" s="144"/>
      <c r="S2982" s="144"/>
      <c r="T2982" s="144"/>
      <c r="U2982" s="144"/>
      <c r="V2982" s="50"/>
    </row>
    <row r="2983" spans="1:22" s="26" customFormat="1" ht="15" customHeight="1" x14ac:dyDescent="0.2">
      <c r="A2983" s="48">
        <v>41619.418460648201</v>
      </c>
      <c r="B2983" s="49" t="s">
        <v>38</v>
      </c>
      <c r="C2983" s="50" t="s">
        <v>995</v>
      </c>
      <c r="D2983" s="67">
        <v>41579</v>
      </c>
      <c r="E2983" s="50" t="s">
        <v>3653</v>
      </c>
      <c r="F2983" s="50" t="s">
        <v>2916</v>
      </c>
      <c r="G2983" s="49" t="s">
        <v>20</v>
      </c>
      <c r="H2983" s="50" t="s">
        <v>3654</v>
      </c>
      <c r="I2983" s="50" t="s">
        <v>2926</v>
      </c>
      <c r="J2983" s="117">
        <v>1</v>
      </c>
      <c r="K2983" s="117">
        <v>4</v>
      </c>
      <c r="L2983" s="142">
        <v>12</v>
      </c>
      <c r="M2983" s="143" t="s">
        <v>44</v>
      </c>
      <c r="N2983" s="144"/>
      <c r="O2983" s="144">
        <v>10</v>
      </c>
      <c r="P2983" s="144">
        <v>5</v>
      </c>
      <c r="Q2983" s="144"/>
      <c r="R2983" s="144"/>
      <c r="S2983" s="144"/>
      <c r="T2983" s="144"/>
      <c r="U2983" s="144"/>
      <c r="V2983" s="50"/>
    </row>
    <row r="2984" spans="1:22" s="26" customFormat="1" ht="15" customHeight="1" x14ac:dyDescent="0.2">
      <c r="A2984" s="48">
        <v>41619.420081018499</v>
      </c>
      <c r="B2984" s="49" t="s">
        <v>38</v>
      </c>
      <c r="C2984" s="50" t="s">
        <v>995</v>
      </c>
      <c r="D2984" s="67">
        <v>41579</v>
      </c>
      <c r="E2984" s="50" t="s">
        <v>3655</v>
      </c>
      <c r="F2984" s="50" t="s">
        <v>3656</v>
      </c>
      <c r="G2984" s="49" t="s">
        <v>42</v>
      </c>
      <c r="H2984" s="50" t="s">
        <v>3657</v>
      </c>
      <c r="I2984" s="50"/>
      <c r="J2984" s="117">
        <v>1</v>
      </c>
      <c r="K2984" s="117">
        <v>12</v>
      </c>
      <c r="L2984" s="142">
        <v>60</v>
      </c>
      <c r="M2984" s="143" t="s">
        <v>44</v>
      </c>
      <c r="N2984" s="144"/>
      <c r="O2984" s="144">
        <v>40</v>
      </c>
      <c r="P2984" s="144">
        <v>12</v>
      </c>
      <c r="Q2984" s="144"/>
      <c r="R2984" s="144"/>
      <c r="S2984" s="144"/>
      <c r="T2984" s="144"/>
      <c r="U2984" s="144"/>
      <c r="V2984" s="50"/>
    </row>
    <row r="2985" spans="1:22" s="26" customFormat="1" ht="15" customHeight="1" x14ac:dyDescent="0.2">
      <c r="A2985" s="48">
        <v>41619.4265393518</v>
      </c>
      <c r="B2985" s="49" t="s">
        <v>38</v>
      </c>
      <c r="C2985" s="50" t="s">
        <v>995</v>
      </c>
      <c r="D2985" s="67">
        <v>41579</v>
      </c>
      <c r="E2985" s="50" t="s">
        <v>3646</v>
      </c>
      <c r="F2985" s="50" t="s">
        <v>2872</v>
      </c>
      <c r="G2985" s="42" t="s">
        <v>26</v>
      </c>
      <c r="H2985" s="50" t="s">
        <v>3658</v>
      </c>
      <c r="I2985" s="50" t="s">
        <v>2986</v>
      </c>
      <c r="J2985" s="117">
        <v>1</v>
      </c>
      <c r="K2985" s="117">
        <v>3</v>
      </c>
      <c r="L2985" s="142">
        <v>15</v>
      </c>
      <c r="M2985" s="143" t="s">
        <v>44</v>
      </c>
      <c r="N2985" s="144"/>
      <c r="O2985" s="144">
        <v>10</v>
      </c>
      <c r="P2985" s="144">
        <v>6</v>
      </c>
      <c r="Q2985" s="144"/>
      <c r="R2985" s="144"/>
      <c r="S2985" s="144"/>
      <c r="T2985" s="144"/>
      <c r="U2985" s="144"/>
      <c r="V2985" s="50"/>
    </row>
    <row r="2986" spans="1:22" s="26" customFormat="1" ht="15" customHeight="1" x14ac:dyDescent="0.2">
      <c r="A2986" s="48">
        <v>41619.427777777797</v>
      </c>
      <c r="B2986" s="49" t="s">
        <v>38</v>
      </c>
      <c r="C2986" s="50" t="s">
        <v>995</v>
      </c>
      <c r="D2986" s="67">
        <v>41579</v>
      </c>
      <c r="E2986" s="50" t="s">
        <v>3648</v>
      </c>
      <c r="F2986" s="50" t="s">
        <v>2871</v>
      </c>
      <c r="G2986" s="49" t="s">
        <v>26</v>
      </c>
      <c r="H2986" s="50" t="s">
        <v>3659</v>
      </c>
      <c r="I2986" s="50" t="s">
        <v>2986</v>
      </c>
      <c r="J2986" s="117">
        <v>1</v>
      </c>
      <c r="K2986" s="117">
        <v>6</v>
      </c>
      <c r="L2986" s="142">
        <v>48</v>
      </c>
      <c r="M2986" s="143" t="s">
        <v>44</v>
      </c>
      <c r="N2986" s="144"/>
      <c r="O2986" s="144">
        <v>10</v>
      </c>
      <c r="P2986" s="144"/>
      <c r="Q2986" s="144"/>
      <c r="R2986" s="144"/>
      <c r="S2986" s="144"/>
      <c r="T2986" s="144"/>
      <c r="U2986" s="144"/>
      <c r="V2986" s="50"/>
    </row>
    <row r="2987" spans="1:22" s="26" customFormat="1" ht="15" customHeight="1" x14ac:dyDescent="0.2">
      <c r="A2987" s="48">
        <v>41619.429895833302</v>
      </c>
      <c r="B2987" s="49" t="s">
        <v>38</v>
      </c>
      <c r="C2987" s="50" t="s">
        <v>995</v>
      </c>
      <c r="D2987" s="67">
        <v>41579</v>
      </c>
      <c r="E2987" s="50" t="s">
        <v>2924</v>
      </c>
      <c r="F2987" s="50" t="s">
        <v>3660</v>
      </c>
      <c r="G2987" s="49" t="s">
        <v>26</v>
      </c>
      <c r="H2987" s="50" t="s">
        <v>3661</v>
      </c>
      <c r="I2987" s="50" t="s">
        <v>2986</v>
      </c>
      <c r="J2987" s="117">
        <v>1</v>
      </c>
      <c r="K2987" s="117">
        <v>5</v>
      </c>
      <c r="L2987" s="142">
        <v>100</v>
      </c>
      <c r="M2987" s="143" t="s">
        <v>44</v>
      </c>
      <c r="N2987" s="144"/>
      <c r="O2987" s="144"/>
      <c r="P2987" s="144">
        <v>12</v>
      </c>
      <c r="Q2987" s="144"/>
      <c r="R2987" s="144"/>
      <c r="S2987" s="144"/>
      <c r="T2987" s="144"/>
      <c r="U2987" s="144"/>
      <c r="V2987" s="50"/>
    </row>
    <row r="2988" spans="1:22" s="26" customFormat="1" ht="15" customHeight="1" x14ac:dyDescent="0.2">
      <c r="A2988" s="48">
        <v>41619.431817129604</v>
      </c>
      <c r="B2988" s="49" t="s">
        <v>38</v>
      </c>
      <c r="C2988" s="50" t="s">
        <v>995</v>
      </c>
      <c r="D2988" s="67">
        <v>41579</v>
      </c>
      <c r="E2988" s="50" t="s">
        <v>3648</v>
      </c>
      <c r="F2988" s="50" t="s">
        <v>2871</v>
      </c>
      <c r="G2988" s="49" t="s">
        <v>26</v>
      </c>
      <c r="H2988" s="50" t="s">
        <v>3659</v>
      </c>
      <c r="I2988" s="50"/>
      <c r="J2988" s="117">
        <v>1</v>
      </c>
      <c r="K2988" s="117">
        <v>18</v>
      </c>
      <c r="L2988" s="142">
        <v>144</v>
      </c>
      <c r="M2988" s="143" t="s">
        <v>44</v>
      </c>
      <c r="N2988" s="144"/>
      <c r="O2988" s="144">
        <v>20</v>
      </c>
      <c r="P2988" s="144"/>
      <c r="Q2988" s="144"/>
      <c r="R2988" s="144"/>
      <c r="S2988" s="144"/>
      <c r="T2988" s="144"/>
      <c r="U2988" s="144"/>
      <c r="V2988" s="50"/>
    </row>
    <row r="2989" spans="1:22" s="26" customFormat="1" ht="15" customHeight="1" x14ac:dyDescent="0.2">
      <c r="A2989" s="60">
        <v>41586.639664351802</v>
      </c>
      <c r="B2989" s="62" t="s">
        <v>38</v>
      </c>
      <c r="C2989" s="112" t="s">
        <v>995</v>
      </c>
      <c r="D2989" s="70">
        <v>41548</v>
      </c>
      <c r="E2989" s="64" t="s">
        <v>2869</v>
      </c>
      <c r="F2989" s="64" t="s">
        <v>997</v>
      </c>
      <c r="G2989" s="62" t="s">
        <v>26</v>
      </c>
      <c r="H2989" s="64" t="s">
        <v>2873</v>
      </c>
      <c r="I2989" s="64"/>
      <c r="J2989" s="123">
        <v>1</v>
      </c>
      <c r="K2989" s="123">
        <v>9</v>
      </c>
      <c r="L2989" s="164">
        <v>135</v>
      </c>
      <c r="M2989" s="165" t="s">
        <v>44</v>
      </c>
      <c r="N2989" s="166"/>
      <c r="O2989" s="166">
        <v>25</v>
      </c>
      <c r="P2989" s="166"/>
      <c r="Q2989" s="166"/>
      <c r="R2989" s="166"/>
      <c r="S2989" s="167"/>
      <c r="T2989" s="166"/>
      <c r="U2989" s="166"/>
      <c r="V2989" s="64"/>
    </row>
    <row r="2990" spans="1:22" s="26" customFormat="1" ht="15" customHeight="1" x14ac:dyDescent="0.2">
      <c r="A2990" s="60">
        <v>41586.6417013889</v>
      </c>
      <c r="B2990" s="62" t="s">
        <v>38</v>
      </c>
      <c r="C2990" s="112" t="s">
        <v>995</v>
      </c>
      <c r="D2990" s="70">
        <v>41548</v>
      </c>
      <c r="E2990" s="64" t="s">
        <v>2874</v>
      </c>
      <c r="F2990" s="64" t="s">
        <v>2875</v>
      </c>
      <c r="G2990" s="62" t="s">
        <v>42</v>
      </c>
      <c r="H2990" s="64" t="s">
        <v>2876</v>
      </c>
      <c r="I2990" s="64"/>
      <c r="J2990" s="123">
        <v>1</v>
      </c>
      <c r="K2990" s="123">
        <v>14</v>
      </c>
      <c r="L2990" s="164">
        <v>70</v>
      </c>
      <c r="M2990" s="165" t="s">
        <v>44</v>
      </c>
      <c r="N2990" s="166"/>
      <c r="O2990" s="166">
        <v>20</v>
      </c>
      <c r="P2990" s="166">
        <v>26</v>
      </c>
      <c r="Q2990" s="166"/>
      <c r="R2990" s="166"/>
      <c r="S2990" s="167"/>
      <c r="T2990" s="166"/>
      <c r="U2990" s="166"/>
      <c r="V2990" s="64"/>
    </row>
    <row r="2991" spans="1:22" s="26" customFormat="1" ht="15" customHeight="1" x14ac:dyDescent="0.2">
      <c r="A2991" s="60">
        <v>41586.643194444398</v>
      </c>
      <c r="B2991" s="62" t="s">
        <v>38</v>
      </c>
      <c r="C2991" s="112" t="s">
        <v>995</v>
      </c>
      <c r="D2991" s="70">
        <v>41548</v>
      </c>
      <c r="E2991" s="64" t="s">
        <v>1024</v>
      </c>
      <c r="F2991" s="64" t="s">
        <v>2877</v>
      </c>
      <c r="G2991" s="62" t="s">
        <v>26</v>
      </c>
      <c r="H2991" s="64" t="s">
        <v>2878</v>
      </c>
      <c r="I2991" s="64"/>
      <c r="J2991" s="123">
        <v>1</v>
      </c>
      <c r="K2991" s="123">
        <v>16</v>
      </c>
      <c r="L2991" s="164">
        <v>240</v>
      </c>
      <c r="M2991" s="165" t="s">
        <v>44</v>
      </c>
      <c r="N2991" s="166"/>
      <c r="O2991" s="166">
        <v>40</v>
      </c>
      <c r="P2991" s="166">
        <v>12</v>
      </c>
      <c r="Q2991" s="166"/>
      <c r="R2991" s="166"/>
      <c r="S2991" s="167"/>
      <c r="T2991" s="166"/>
      <c r="U2991" s="166"/>
      <c r="V2991" s="64"/>
    </row>
    <row r="2992" spans="1:22" s="26" customFormat="1" ht="15" customHeight="1" x14ac:dyDescent="0.2">
      <c r="A2992" s="60">
        <v>41586.706134259301</v>
      </c>
      <c r="B2992" s="62" t="s">
        <v>38</v>
      </c>
      <c r="C2992" s="112" t="s">
        <v>995</v>
      </c>
      <c r="D2992" s="70">
        <v>41548</v>
      </c>
      <c r="E2992" s="64" t="s">
        <v>2907</v>
      </c>
      <c r="F2992" s="64" t="s">
        <v>2908</v>
      </c>
      <c r="G2992" s="62" t="s">
        <v>20</v>
      </c>
      <c r="H2992" s="64" t="s">
        <v>2909</v>
      </c>
      <c r="I2992" s="64"/>
      <c r="J2992" s="123">
        <v>1</v>
      </c>
      <c r="K2992" s="123">
        <v>32</v>
      </c>
      <c r="L2992" s="164">
        <v>96</v>
      </c>
      <c r="M2992" s="165" t="s">
        <v>44</v>
      </c>
      <c r="N2992" s="166"/>
      <c r="O2992" s="166"/>
      <c r="P2992" s="166">
        <v>34</v>
      </c>
      <c r="Q2992" s="166"/>
      <c r="R2992" s="166"/>
      <c r="S2992" s="167"/>
      <c r="T2992" s="166"/>
      <c r="U2992" s="166"/>
      <c r="V2992" s="64"/>
    </row>
    <row r="2993" spans="1:22" s="26" customFormat="1" ht="15" customHeight="1" x14ac:dyDescent="0.2">
      <c r="A2993" s="60">
        <v>41588.842060185198</v>
      </c>
      <c r="B2993" s="62" t="s">
        <v>38</v>
      </c>
      <c r="C2993" s="112" t="s">
        <v>995</v>
      </c>
      <c r="D2993" s="70">
        <v>41548</v>
      </c>
      <c r="E2993" s="64" t="s">
        <v>2868</v>
      </c>
      <c r="F2993" s="64" t="s">
        <v>2871</v>
      </c>
      <c r="G2993" s="62" t="s">
        <v>26</v>
      </c>
      <c r="H2993" s="64" t="s">
        <v>2912</v>
      </c>
      <c r="I2993" s="64"/>
      <c r="J2993" s="123">
        <v>1</v>
      </c>
      <c r="K2993" s="123">
        <v>18</v>
      </c>
      <c r="L2993" s="164">
        <v>104</v>
      </c>
      <c r="M2993" s="165" t="s">
        <v>44</v>
      </c>
      <c r="N2993" s="166"/>
      <c r="O2993" s="166">
        <v>35</v>
      </c>
      <c r="P2993" s="166"/>
      <c r="Q2993" s="166"/>
      <c r="R2993" s="166"/>
      <c r="S2993" s="167"/>
      <c r="T2993" s="166"/>
      <c r="U2993" s="166"/>
      <c r="V2993" s="64"/>
    </row>
    <row r="2994" spans="1:22" s="26" customFormat="1" ht="15" customHeight="1" x14ac:dyDescent="0.2">
      <c r="A2994" s="60">
        <v>41588.8442013889</v>
      </c>
      <c r="B2994" s="62" t="s">
        <v>38</v>
      </c>
      <c r="C2994" s="112" t="s">
        <v>995</v>
      </c>
      <c r="D2994" s="70">
        <v>41548</v>
      </c>
      <c r="E2994" s="64" t="s">
        <v>2869</v>
      </c>
      <c r="F2994" s="64" t="s">
        <v>197</v>
      </c>
      <c r="G2994" s="62" t="s">
        <v>26</v>
      </c>
      <c r="H2994" s="64" t="s">
        <v>1803</v>
      </c>
      <c r="I2994" s="64"/>
      <c r="J2994" s="123">
        <v>1</v>
      </c>
      <c r="K2994" s="123">
        <v>7</v>
      </c>
      <c r="L2994" s="164">
        <v>105</v>
      </c>
      <c r="M2994" s="165" t="s">
        <v>44</v>
      </c>
      <c r="N2994" s="166"/>
      <c r="O2994" s="166">
        <v>20</v>
      </c>
      <c r="P2994" s="166"/>
      <c r="Q2994" s="166"/>
      <c r="R2994" s="166"/>
      <c r="S2994" s="167"/>
      <c r="T2994" s="166"/>
      <c r="U2994" s="166"/>
      <c r="V2994" s="64"/>
    </row>
    <row r="2995" spans="1:22" s="26" customFormat="1" ht="15" customHeight="1" x14ac:dyDescent="0.2">
      <c r="A2995" s="60">
        <v>41588.845775463</v>
      </c>
      <c r="B2995" s="62" t="s">
        <v>38</v>
      </c>
      <c r="C2995" s="112" t="s">
        <v>995</v>
      </c>
      <c r="D2995" s="70">
        <v>41548</v>
      </c>
      <c r="E2995" s="64" t="s">
        <v>2870</v>
      </c>
      <c r="F2995" s="64" t="s">
        <v>2913</v>
      </c>
      <c r="G2995" s="62" t="s">
        <v>26</v>
      </c>
      <c r="H2995" s="64" t="s">
        <v>2914</v>
      </c>
      <c r="I2995" s="64"/>
      <c r="J2995" s="123">
        <v>1</v>
      </c>
      <c r="K2995" s="123">
        <v>2</v>
      </c>
      <c r="L2995" s="164">
        <v>30</v>
      </c>
      <c r="M2995" s="165" t="s">
        <v>44</v>
      </c>
      <c r="N2995" s="166"/>
      <c r="O2995" s="166">
        <v>10</v>
      </c>
      <c r="P2995" s="166">
        <v>6</v>
      </c>
      <c r="Q2995" s="166"/>
      <c r="R2995" s="166"/>
      <c r="S2995" s="167"/>
      <c r="T2995" s="166"/>
      <c r="U2995" s="166"/>
      <c r="V2995" s="64"/>
    </row>
    <row r="2996" spans="1:22" s="26" customFormat="1" ht="15" customHeight="1" x14ac:dyDescent="0.2">
      <c r="A2996" s="60">
        <v>41588.847893518498</v>
      </c>
      <c r="B2996" s="62" t="s">
        <v>38</v>
      </c>
      <c r="C2996" s="112" t="s">
        <v>995</v>
      </c>
      <c r="D2996" s="70">
        <v>41548</v>
      </c>
      <c r="E2996" s="64" t="s">
        <v>2915</v>
      </c>
      <c r="F2996" s="64" t="s">
        <v>2916</v>
      </c>
      <c r="G2996" s="62" t="s">
        <v>20</v>
      </c>
      <c r="H2996" s="64" t="s">
        <v>2917</v>
      </c>
      <c r="I2996" s="64"/>
      <c r="J2996" s="123">
        <v>1</v>
      </c>
      <c r="K2996" s="123">
        <v>10</v>
      </c>
      <c r="L2996" s="164">
        <v>30</v>
      </c>
      <c r="M2996" s="165" t="s">
        <v>44</v>
      </c>
      <c r="N2996" s="166"/>
      <c r="O2996" s="166">
        <v>20</v>
      </c>
      <c r="P2996" s="166">
        <v>12</v>
      </c>
      <c r="Q2996" s="166"/>
      <c r="R2996" s="166"/>
      <c r="S2996" s="167"/>
      <c r="T2996" s="166"/>
      <c r="U2996" s="166"/>
      <c r="V2996" s="64"/>
    </row>
    <row r="2997" spans="1:22" s="26" customFormat="1" ht="15" customHeight="1" x14ac:dyDescent="0.2">
      <c r="A2997" s="60">
        <v>41588.849363425899</v>
      </c>
      <c r="B2997" s="62" t="s">
        <v>38</v>
      </c>
      <c r="C2997" s="112" t="s">
        <v>995</v>
      </c>
      <c r="D2997" s="70">
        <v>41548</v>
      </c>
      <c r="E2997" s="64" t="s">
        <v>2868</v>
      </c>
      <c r="F2997" s="64" t="s">
        <v>2871</v>
      </c>
      <c r="G2997" s="62" t="s">
        <v>26</v>
      </c>
      <c r="H2997" s="64" t="s">
        <v>2912</v>
      </c>
      <c r="I2997" s="64"/>
      <c r="J2997" s="123">
        <v>1</v>
      </c>
      <c r="K2997" s="123">
        <v>7</v>
      </c>
      <c r="L2997" s="164">
        <v>56</v>
      </c>
      <c r="M2997" s="165" t="s">
        <v>44</v>
      </c>
      <c r="N2997" s="166"/>
      <c r="O2997" s="166">
        <v>15</v>
      </c>
      <c r="P2997" s="166"/>
      <c r="Q2997" s="166"/>
      <c r="R2997" s="166"/>
      <c r="S2997" s="167"/>
      <c r="T2997" s="166"/>
      <c r="U2997" s="166"/>
      <c r="V2997" s="64"/>
    </row>
    <row r="2998" spans="1:22" s="26" customFormat="1" ht="15" customHeight="1" x14ac:dyDescent="0.2">
      <c r="A2998" s="60">
        <v>41588.851319444402</v>
      </c>
      <c r="B2998" s="62" t="s">
        <v>38</v>
      </c>
      <c r="C2998" s="112" t="s">
        <v>995</v>
      </c>
      <c r="D2998" s="70">
        <v>41548</v>
      </c>
      <c r="E2998" s="64" t="s">
        <v>1018</v>
      </c>
      <c r="F2998" s="64" t="s">
        <v>2918</v>
      </c>
      <c r="G2998" s="62" t="s">
        <v>26</v>
      </c>
      <c r="H2998" s="64" t="s">
        <v>2919</v>
      </c>
      <c r="I2998" s="64"/>
      <c r="J2998" s="123">
        <v>1</v>
      </c>
      <c r="K2998" s="123">
        <v>4</v>
      </c>
      <c r="L2998" s="164">
        <v>60</v>
      </c>
      <c r="M2998" s="165" t="s">
        <v>44</v>
      </c>
      <c r="N2998" s="166"/>
      <c r="O2998" s="166">
        <v>15</v>
      </c>
      <c r="P2998" s="166">
        <v>12</v>
      </c>
      <c r="Q2998" s="166"/>
      <c r="R2998" s="166"/>
      <c r="S2998" s="167"/>
      <c r="T2998" s="166"/>
      <c r="U2998" s="166"/>
      <c r="V2998" s="64"/>
    </row>
    <row r="2999" spans="1:22" s="26" customFormat="1" ht="15" customHeight="1" x14ac:dyDescent="0.2">
      <c r="A2999" s="60">
        <v>41588.853101851899</v>
      </c>
      <c r="B2999" s="62" t="s">
        <v>38</v>
      </c>
      <c r="C2999" s="112" t="s">
        <v>995</v>
      </c>
      <c r="D2999" s="70">
        <v>41548</v>
      </c>
      <c r="E2999" s="64" t="s">
        <v>1164</v>
      </c>
      <c r="F2999" s="64" t="s">
        <v>2920</v>
      </c>
      <c r="G2999" s="62" t="s">
        <v>26</v>
      </c>
      <c r="H2999" s="64" t="s">
        <v>2921</v>
      </c>
      <c r="I2999" s="64"/>
      <c r="J2999" s="123">
        <v>1</v>
      </c>
      <c r="K2999" s="123">
        <v>7</v>
      </c>
      <c r="L2999" s="164">
        <v>35</v>
      </c>
      <c r="M2999" s="165" t="s">
        <v>44</v>
      </c>
      <c r="N2999" s="166"/>
      <c r="O2999" s="166">
        <v>20</v>
      </c>
      <c r="P2999" s="166">
        <v>24</v>
      </c>
      <c r="Q2999" s="166"/>
      <c r="R2999" s="166"/>
      <c r="S2999" s="167"/>
      <c r="T2999" s="166"/>
      <c r="U2999" s="166"/>
      <c r="V2999" s="64"/>
    </row>
    <row r="3000" spans="1:22" s="26" customFormat="1" ht="15" customHeight="1" x14ac:dyDescent="0.2">
      <c r="A3000" s="60">
        <v>41588.854050925896</v>
      </c>
      <c r="B3000" s="62" t="s">
        <v>38</v>
      </c>
      <c r="C3000" s="112" t="s">
        <v>995</v>
      </c>
      <c r="D3000" s="70">
        <v>41548</v>
      </c>
      <c r="E3000" s="64" t="s">
        <v>2869</v>
      </c>
      <c r="F3000" s="64" t="s">
        <v>197</v>
      </c>
      <c r="G3000" s="62" t="s">
        <v>26</v>
      </c>
      <c r="H3000" s="64" t="s">
        <v>1803</v>
      </c>
      <c r="I3000" s="64"/>
      <c r="J3000" s="123">
        <v>1</v>
      </c>
      <c r="K3000" s="123">
        <v>7</v>
      </c>
      <c r="L3000" s="164">
        <v>105</v>
      </c>
      <c r="M3000" s="165" t="s">
        <v>44</v>
      </c>
      <c r="N3000" s="166"/>
      <c r="O3000" s="166">
        <v>20</v>
      </c>
      <c r="P3000" s="166"/>
      <c r="Q3000" s="166"/>
      <c r="R3000" s="166"/>
      <c r="S3000" s="167"/>
      <c r="T3000" s="166"/>
      <c r="U3000" s="166"/>
      <c r="V3000" s="64"/>
    </row>
    <row r="3001" spans="1:22" s="26" customFormat="1" ht="15" customHeight="1" x14ac:dyDescent="0.2">
      <c r="A3001" s="60">
        <v>41588.857314814799</v>
      </c>
      <c r="B3001" s="62" t="s">
        <v>38</v>
      </c>
      <c r="C3001" s="112" t="s">
        <v>995</v>
      </c>
      <c r="D3001" s="70">
        <v>41548</v>
      </c>
      <c r="E3001" s="64" t="s">
        <v>1024</v>
      </c>
      <c r="F3001" s="64" t="s">
        <v>2877</v>
      </c>
      <c r="G3001" s="62" t="s">
        <v>26</v>
      </c>
      <c r="H3001" s="64" t="s">
        <v>1147</v>
      </c>
      <c r="I3001" s="64"/>
      <c r="J3001" s="123">
        <v>1</v>
      </c>
      <c r="K3001" s="123">
        <v>17</v>
      </c>
      <c r="L3001" s="164">
        <v>255</v>
      </c>
      <c r="M3001" s="165" t="s">
        <v>44</v>
      </c>
      <c r="N3001" s="166"/>
      <c r="O3001" s="166">
        <v>30</v>
      </c>
      <c r="P3001" s="166">
        <v>32</v>
      </c>
      <c r="Q3001" s="166"/>
      <c r="R3001" s="166"/>
      <c r="S3001" s="167"/>
      <c r="T3001" s="166"/>
      <c r="U3001" s="166"/>
      <c r="V3001" s="64"/>
    </row>
    <row r="3002" spans="1:22" s="26" customFormat="1" ht="15" customHeight="1" x14ac:dyDescent="0.2">
      <c r="A3002" s="32">
        <v>41648.44604166667</v>
      </c>
      <c r="B3002" s="26" t="s">
        <v>38</v>
      </c>
      <c r="C3002" s="26" t="s">
        <v>995</v>
      </c>
      <c r="D3002" s="68">
        <v>41609</v>
      </c>
      <c r="E3002" s="26" t="s">
        <v>4068</v>
      </c>
      <c r="F3002" s="26" t="s">
        <v>2871</v>
      </c>
      <c r="G3002" s="26" t="s">
        <v>26</v>
      </c>
      <c r="H3002" s="26" t="s">
        <v>4069</v>
      </c>
      <c r="I3002" s="26" t="s">
        <v>2986</v>
      </c>
      <c r="J3002" s="46">
        <v>1</v>
      </c>
      <c r="K3002" s="46">
        <v>2</v>
      </c>
      <c r="L3002" s="136">
        <v>16</v>
      </c>
      <c r="M3002" s="137" t="s">
        <v>44</v>
      </c>
      <c r="N3002" s="138"/>
      <c r="O3002" s="138">
        <v>5</v>
      </c>
      <c r="P3002" s="138"/>
      <c r="Q3002" s="138"/>
      <c r="R3002" s="138"/>
      <c r="S3002" s="138"/>
      <c r="T3002" s="138"/>
      <c r="U3002" s="138">
        <v>4</v>
      </c>
    </row>
    <row r="3003" spans="1:22" s="26" customFormat="1" ht="15" customHeight="1" x14ac:dyDescent="0.2">
      <c r="A3003" s="32">
        <v>41648.448368055557</v>
      </c>
      <c r="B3003" s="26" t="s">
        <v>38</v>
      </c>
      <c r="C3003" s="26" t="s">
        <v>995</v>
      </c>
      <c r="D3003" s="68">
        <v>41609</v>
      </c>
      <c r="E3003" s="26" t="s">
        <v>4070</v>
      </c>
      <c r="F3003" s="26" t="s">
        <v>4071</v>
      </c>
      <c r="G3003" s="26" t="s">
        <v>20</v>
      </c>
      <c r="H3003" s="26" t="s">
        <v>4072</v>
      </c>
      <c r="I3003" s="26" t="s">
        <v>2986</v>
      </c>
      <c r="J3003" s="46">
        <v>1</v>
      </c>
      <c r="K3003" s="46">
        <v>41</v>
      </c>
      <c r="L3003" s="136">
        <v>123</v>
      </c>
      <c r="M3003" s="137" t="s">
        <v>44</v>
      </c>
      <c r="N3003" s="138"/>
      <c r="O3003" s="138">
        <v>20</v>
      </c>
      <c r="P3003" s="138">
        <v>18</v>
      </c>
      <c r="Q3003" s="138"/>
      <c r="R3003" s="138"/>
      <c r="S3003" s="138"/>
      <c r="T3003" s="138"/>
      <c r="U3003" s="138"/>
    </row>
    <row r="3004" spans="1:22" s="26" customFormat="1" ht="15" customHeight="1" x14ac:dyDescent="0.2">
      <c r="A3004" s="32">
        <v>41648.450636574074</v>
      </c>
      <c r="B3004" s="26" t="s">
        <v>38</v>
      </c>
      <c r="C3004" s="26" t="s">
        <v>995</v>
      </c>
      <c r="D3004" s="68">
        <v>41609</v>
      </c>
      <c r="E3004" s="26" t="s">
        <v>4073</v>
      </c>
      <c r="F3004" s="26" t="s">
        <v>4074</v>
      </c>
      <c r="G3004" s="26" t="s">
        <v>26</v>
      </c>
      <c r="H3004" s="26" t="s">
        <v>4075</v>
      </c>
      <c r="I3004" s="26" t="s">
        <v>2926</v>
      </c>
      <c r="J3004" s="46">
        <v>1</v>
      </c>
      <c r="K3004" s="46">
        <v>3</v>
      </c>
      <c r="L3004" s="136">
        <v>15</v>
      </c>
      <c r="M3004" s="137"/>
      <c r="N3004" s="138"/>
      <c r="O3004" s="138">
        <v>5</v>
      </c>
      <c r="P3004" s="138">
        <v>12</v>
      </c>
      <c r="Q3004" s="138"/>
      <c r="R3004" s="138"/>
      <c r="S3004" s="138"/>
      <c r="T3004" s="138"/>
      <c r="U3004" s="138"/>
    </row>
    <row r="3005" spans="1:22" s="26" customFormat="1" ht="15" customHeight="1" x14ac:dyDescent="0.2">
      <c r="A3005" s="32">
        <v>41648.452060185184</v>
      </c>
      <c r="B3005" s="34" t="s">
        <v>38</v>
      </c>
      <c r="C3005" s="26" t="s">
        <v>995</v>
      </c>
      <c r="D3005" s="68">
        <v>41609</v>
      </c>
      <c r="E3005" s="26" t="s">
        <v>4076</v>
      </c>
      <c r="F3005" s="26" t="s">
        <v>4077</v>
      </c>
      <c r="G3005" s="26" t="s">
        <v>26</v>
      </c>
      <c r="H3005" s="26" t="s">
        <v>4078</v>
      </c>
      <c r="I3005" s="26" t="s">
        <v>2812</v>
      </c>
      <c r="J3005" s="46">
        <v>1</v>
      </c>
      <c r="K3005" s="46">
        <v>2</v>
      </c>
      <c r="L3005" s="136">
        <v>10</v>
      </c>
      <c r="M3005" s="137" t="s">
        <v>44</v>
      </c>
      <c r="N3005" s="138"/>
      <c r="O3005" s="138">
        <v>10</v>
      </c>
      <c r="P3005" s="138">
        <v>6</v>
      </c>
      <c r="Q3005" s="138"/>
      <c r="R3005" s="138"/>
      <c r="S3005" s="138"/>
      <c r="T3005" s="138"/>
      <c r="U3005" s="138"/>
    </row>
    <row r="3006" spans="1:22" s="26" customFormat="1" ht="15" customHeight="1" x14ac:dyDescent="0.2">
      <c r="A3006" s="32">
        <v>41648.455671296295</v>
      </c>
      <c r="B3006" s="26" t="s">
        <v>38</v>
      </c>
      <c r="C3006" s="26" t="s">
        <v>995</v>
      </c>
      <c r="D3006" s="68">
        <v>41609</v>
      </c>
      <c r="E3006" s="26" t="s">
        <v>4079</v>
      </c>
      <c r="F3006" s="26" t="s">
        <v>4080</v>
      </c>
      <c r="G3006" s="26" t="s">
        <v>26</v>
      </c>
      <c r="H3006" s="26" t="s">
        <v>4081</v>
      </c>
      <c r="I3006" s="26" t="s">
        <v>4082</v>
      </c>
      <c r="J3006" s="46">
        <v>1</v>
      </c>
      <c r="K3006" s="46">
        <v>2</v>
      </c>
      <c r="L3006" s="136">
        <v>20</v>
      </c>
      <c r="M3006" s="137" t="s">
        <v>44</v>
      </c>
      <c r="N3006" s="138"/>
      <c r="O3006" s="138">
        <v>10</v>
      </c>
      <c r="P3006" s="138">
        <v>4</v>
      </c>
      <c r="Q3006" s="138"/>
      <c r="R3006" s="138"/>
      <c r="S3006" s="138"/>
      <c r="T3006" s="138"/>
      <c r="U3006" s="138"/>
    </row>
    <row r="3007" spans="1:22" s="26" customFormat="1" ht="15" customHeight="1" x14ac:dyDescent="0.2">
      <c r="A3007" s="32">
        <v>41648.457511574074</v>
      </c>
      <c r="B3007" s="26" t="s">
        <v>38</v>
      </c>
      <c r="C3007" s="26" t="s">
        <v>995</v>
      </c>
      <c r="D3007" s="68">
        <v>41609</v>
      </c>
      <c r="E3007" s="26" t="s">
        <v>4083</v>
      </c>
      <c r="F3007" s="26" t="s">
        <v>4084</v>
      </c>
      <c r="G3007" s="26" t="s">
        <v>26</v>
      </c>
      <c r="H3007" s="26" t="s">
        <v>4085</v>
      </c>
      <c r="I3007" s="26" t="s">
        <v>4082</v>
      </c>
      <c r="J3007" s="46">
        <v>1</v>
      </c>
      <c r="K3007" s="46">
        <v>3</v>
      </c>
      <c r="L3007" s="136">
        <v>24</v>
      </c>
      <c r="M3007" s="137" t="s">
        <v>44</v>
      </c>
      <c r="N3007" s="138"/>
      <c r="O3007" s="138">
        <v>5</v>
      </c>
      <c r="P3007" s="138"/>
      <c r="Q3007" s="138"/>
      <c r="R3007" s="138"/>
      <c r="S3007" s="138"/>
      <c r="T3007" s="138"/>
      <c r="U3007" s="138"/>
    </row>
    <row r="3008" spans="1:22" s="26" customFormat="1" ht="15" customHeight="1" x14ac:dyDescent="0.2">
      <c r="A3008" s="32">
        <v>41648.459062499998</v>
      </c>
      <c r="B3008" s="26" t="s">
        <v>38</v>
      </c>
      <c r="C3008" s="26" t="s">
        <v>995</v>
      </c>
      <c r="D3008" s="68">
        <v>41609</v>
      </c>
      <c r="E3008" s="26" t="s">
        <v>4086</v>
      </c>
      <c r="F3008" s="26" t="s">
        <v>3660</v>
      </c>
      <c r="G3008" s="26" t="s">
        <v>26</v>
      </c>
      <c r="H3008" s="26" t="s">
        <v>4087</v>
      </c>
      <c r="I3008" s="26" t="s">
        <v>2986</v>
      </c>
      <c r="J3008" s="46">
        <v>1</v>
      </c>
      <c r="K3008" s="46">
        <v>2</v>
      </c>
      <c r="L3008" s="136">
        <v>40</v>
      </c>
      <c r="M3008" s="137" t="s">
        <v>44</v>
      </c>
      <c r="N3008" s="138"/>
      <c r="O3008" s="138"/>
      <c r="P3008" s="138">
        <v>6</v>
      </c>
      <c r="Q3008" s="138"/>
      <c r="R3008" s="138"/>
      <c r="S3008" s="138"/>
      <c r="T3008" s="138"/>
      <c r="U3008" s="138"/>
    </row>
    <row r="3009" spans="1:27" s="26" customFormat="1" ht="15" customHeight="1" x14ac:dyDescent="0.2">
      <c r="A3009" s="32">
        <v>41648.460833333331</v>
      </c>
      <c r="B3009" s="26" t="s">
        <v>38</v>
      </c>
      <c r="C3009" s="26" t="s">
        <v>995</v>
      </c>
      <c r="D3009" s="68">
        <v>41609</v>
      </c>
      <c r="E3009" s="26" t="s">
        <v>4088</v>
      </c>
      <c r="F3009" s="26" t="s">
        <v>3630</v>
      </c>
      <c r="G3009" s="26" t="s">
        <v>26</v>
      </c>
      <c r="H3009" s="26" t="s">
        <v>4089</v>
      </c>
      <c r="I3009" s="26" t="s">
        <v>4082</v>
      </c>
      <c r="J3009" s="46">
        <v>1</v>
      </c>
      <c r="K3009" s="46">
        <v>2</v>
      </c>
      <c r="L3009" s="136">
        <v>12</v>
      </c>
      <c r="M3009" s="137" t="s">
        <v>44</v>
      </c>
      <c r="N3009" s="138"/>
      <c r="O3009" s="138">
        <v>5</v>
      </c>
      <c r="P3009" s="138"/>
      <c r="Q3009" s="138"/>
      <c r="R3009" s="138"/>
      <c r="S3009" s="138"/>
      <c r="T3009" s="138"/>
      <c r="U3009" s="138"/>
    </row>
    <row r="3010" spans="1:27" s="26" customFormat="1" ht="15" customHeight="1" x14ac:dyDescent="0.2">
      <c r="A3010" s="55">
        <v>41678.399791666699</v>
      </c>
      <c r="B3010" s="52" t="s">
        <v>38</v>
      </c>
      <c r="C3010" s="52" t="s">
        <v>995</v>
      </c>
      <c r="D3010" s="69">
        <v>41640</v>
      </c>
      <c r="E3010" s="52" t="s">
        <v>4140</v>
      </c>
      <c r="F3010" s="52" t="s">
        <v>4424</v>
      </c>
      <c r="G3010" s="52" t="s">
        <v>26</v>
      </c>
      <c r="H3010" s="52" t="s">
        <v>4425</v>
      </c>
      <c r="I3010" s="52" t="s">
        <v>2986</v>
      </c>
      <c r="J3010" s="95">
        <v>1</v>
      </c>
      <c r="K3010" s="118">
        <v>62</v>
      </c>
      <c r="L3010" s="148">
        <v>310</v>
      </c>
      <c r="M3010" s="146" t="s">
        <v>44</v>
      </c>
      <c r="N3010" s="147"/>
      <c r="O3010" s="147">
        <v>105</v>
      </c>
      <c r="P3010" s="147">
        <v>85</v>
      </c>
      <c r="Q3010" s="147"/>
      <c r="R3010" s="147"/>
      <c r="S3010" s="147"/>
      <c r="T3010" s="147"/>
      <c r="U3010" s="149"/>
      <c r="V3010" s="52"/>
      <c r="W3010" s="52"/>
      <c r="X3010" s="52"/>
      <c r="Y3010" s="52"/>
    </row>
    <row r="3011" spans="1:27" s="26" customFormat="1" ht="15" customHeight="1" x14ac:dyDescent="0.2">
      <c r="A3011" s="55">
        <v>41678.402962963002</v>
      </c>
      <c r="B3011" s="52" t="s">
        <v>38</v>
      </c>
      <c r="C3011" s="52" t="s">
        <v>995</v>
      </c>
      <c r="D3011" s="69">
        <v>41640</v>
      </c>
      <c r="E3011" s="52" t="s">
        <v>4426</v>
      </c>
      <c r="F3011" s="52" t="s">
        <v>1004</v>
      </c>
      <c r="G3011" s="52" t="s">
        <v>26</v>
      </c>
      <c r="H3011" s="52" t="s">
        <v>4427</v>
      </c>
      <c r="I3011" s="52" t="s">
        <v>2986</v>
      </c>
      <c r="J3011" s="95">
        <v>1</v>
      </c>
      <c r="K3011" s="118">
        <v>31</v>
      </c>
      <c r="L3011" s="148">
        <v>155</v>
      </c>
      <c r="M3011" s="146" t="s">
        <v>44</v>
      </c>
      <c r="N3011" s="147"/>
      <c r="O3011" s="147">
        <v>55</v>
      </c>
      <c r="P3011" s="147">
        <v>35</v>
      </c>
      <c r="Q3011" s="147"/>
      <c r="R3011" s="147"/>
      <c r="S3011" s="147"/>
      <c r="T3011" s="147"/>
      <c r="U3011" s="149"/>
      <c r="V3011" s="52"/>
      <c r="W3011" s="52"/>
      <c r="X3011" s="52"/>
      <c r="Y3011" s="52"/>
    </row>
    <row r="3012" spans="1:27" s="26" customFormat="1" ht="15" customHeight="1" x14ac:dyDescent="0.2">
      <c r="A3012" s="55">
        <v>41678.407766203702</v>
      </c>
      <c r="B3012" s="52" t="s">
        <v>38</v>
      </c>
      <c r="C3012" s="52" t="s">
        <v>995</v>
      </c>
      <c r="D3012" s="69">
        <v>41640</v>
      </c>
      <c r="E3012" s="52" t="s">
        <v>4428</v>
      </c>
      <c r="F3012" s="52" t="s">
        <v>3660</v>
      </c>
      <c r="G3012" s="52" t="s">
        <v>26</v>
      </c>
      <c r="H3012" s="52" t="s">
        <v>4429</v>
      </c>
      <c r="I3012" s="52" t="s">
        <v>2986</v>
      </c>
      <c r="J3012" s="95">
        <v>1</v>
      </c>
      <c r="K3012" s="118">
        <v>12</v>
      </c>
      <c r="L3012" s="148"/>
      <c r="M3012" s="146"/>
      <c r="N3012" s="147"/>
      <c r="O3012" s="147">
        <v>10</v>
      </c>
      <c r="P3012" s="147">
        <v>24</v>
      </c>
      <c r="Q3012" s="147"/>
      <c r="R3012" s="147"/>
      <c r="S3012" s="147"/>
      <c r="T3012" s="147"/>
      <c r="U3012" s="149"/>
      <c r="V3012" s="52"/>
      <c r="W3012" s="52"/>
      <c r="X3012" s="52"/>
      <c r="Y3012" s="52"/>
    </row>
    <row r="3013" spans="1:27" s="26" customFormat="1" ht="15" customHeight="1" x14ac:dyDescent="0.2">
      <c r="A3013" s="55">
        <v>41678.410277777803</v>
      </c>
      <c r="B3013" s="52" t="s">
        <v>38</v>
      </c>
      <c r="C3013" s="52" t="s">
        <v>995</v>
      </c>
      <c r="D3013" s="69">
        <v>41640</v>
      </c>
      <c r="E3013" s="52" t="s">
        <v>4430</v>
      </c>
      <c r="F3013" s="52" t="s">
        <v>4080</v>
      </c>
      <c r="G3013" s="52" t="s">
        <v>26</v>
      </c>
      <c r="H3013" s="52" t="s">
        <v>4431</v>
      </c>
      <c r="I3013" s="52" t="s">
        <v>4082</v>
      </c>
      <c r="J3013" s="95">
        <v>1</v>
      </c>
      <c r="K3013" s="118">
        <v>3</v>
      </c>
      <c r="L3013" s="148">
        <v>30</v>
      </c>
      <c r="M3013" s="146" t="s">
        <v>44</v>
      </c>
      <c r="N3013" s="147"/>
      <c r="O3013" s="147">
        <v>10</v>
      </c>
      <c r="P3013" s="147">
        <v>12</v>
      </c>
      <c r="Q3013" s="147"/>
      <c r="R3013" s="147"/>
      <c r="S3013" s="147"/>
      <c r="T3013" s="147"/>
      <c r="U3013" s="149"/>
      <c r="V3013" s="52"/>
      <c r="W3013" s="52"/>
      <c r="X3013" s="52"/>
      <c r="Y3013" s="52"/>
    </row>
    <row r="3014" spans="1:27" s="26" customFormat="1" ht="15" customHeight="1" x14ac:dyDescent="0.2">
      <c r="A3014" s="55">
        <v>41678.412743055596</v>
      </c>
      <c r="B3014" s="52" t="s">
        <v>38</v>
      </c>
      <c r="C3014" s="52" t="s">
        <v>995</v>
      </c>
      <c r="D3014" s="69">
        <v>41640</v>
      </c>
      <c r="E3014" s="52" t="s">
        <v>4432</v>
      </c>
      <c r="F3014" s="52" t="s">
        <v>3630</v>
      </c>
      <c r="G3014" s="52" t="s">
        <v>26</v>
      </c>
      <c r="H3014" s="52" t="s">
        <v>4433</v>
      </c>
      <c r="I3014" s="52" t="s">
        <v>2812</v>
      </c>
      <c r="J3014" s="95">
        <v>1</v>
      </c>
      <c r="K3014" s="118">
        <v>3</v>
      </c>
      <c r="L3014" s="148">
        <v>18</v>
      </c>
      <c r="M3014" s="146" t="s">
        <v>44</v>
      </c>
      <c r="N3014" s="147"/>
      <c r="O3014" s="147">
        <v>10</v>
      </c>
      <c r="P3014" s="147"/>
      <c r="Q3014" s="147"/>
      <c r="R3014" s="147"/>
      <c r="S3014" s="147"/>
      <c r="T3014" s="147"/>
      <c r="U3014" s="149"/>
      <c r="V3014" s="52"/>
      <c r="W3014" s="52"/>
      <c r="X3014" s="52"/>
      <c r="Y3014" s="52"/>
    </row>
    <row r="3015" spans="1:27" s="26" customFormat="1" ht="15" customHeight="1" x14ac:dyDescent="0.2">
      <c r="A3015" s="55">
        <v>41678.414363425902</v>
      </c>
      <c r="B3015" s="52" t="s">
        <v>38</v>
      </c>
      <c r="C3015" s="52" t="s">
        <v>995</v>
      </c>
      <c r="D3015" s="69">
        <v>41640</v>
      </c>
      <c r="E3015" s="52" t="s">
        <v>3646</v>
      </c>
      <c r="F3015" s="52" t="s">
        <v>1004</v>
      </c>
      <c r="G3015" s="52" t="s">
        <v>26</v>
      </c>
      <c r="H3015" s="52" t="s">
        <v>3647</v>
      </c>
      <c r="I3015" s="52" t="s">
        <v>2986</v>
      </c>
      <c r="J3015" s="95">
        <v>1</v>
      </c>
      <c r="K3015" s="118">
        <v>10</v>
      </c>
      <c r="L3015" s="148">
        <v>50</v>
      </c>
      <c r="M3015" s="146" t="s">
        <v>44</v>
      </c>
      <c r="N3015" s="147"/>
      <c r="O3015" s="147">
        <v>20</v>
      </c>
      <c r="P3015" s="147">
        <v>12</v>
      </c>
      <c r="Q3015" s="147"/>
      <c r="R3015" s="147"/>
      <c r="S3015" s="147"/>
      <c r="T3015" s="147"/>
      <c r="U3015" s="149"/>
      <c r="V3015" s="52"/>
      <c r="W3015" s="52"/>
      <c r="X3015" s="52"/>
      <c r="Y3015" s="52"/>
    </row>
    <row r="3016" spans="1:27" s="26" customFormat="1" ht="15" customHeight="1" x14ac:dyDescent="0.2">
      <c r="A3016" s="55">
        <v>41678.416388888902</v>
      </c>
      <c r="B3016" s="52" t="s">
        <v>38</v>
      </c>
      <c r="C3016" s="52" t="s">
        <v>995</v>
      </c>
      <c r="D3016" s="69">
        <v>41640</v>
      </c>
      <c r="E3016" s="52" t="s">
        <v>4434</v>
      </c>
      <c r="F3016" s="52" t="s">
        <v>4435</v>
      </c>
      <c r="G3016" s="52" t="s">
        <v>26</v>
      </c>
      <c r="H3016" s="52" t="s">
        <v>4436</v>
      </c>
      <c r="I3016" s="52" t="s">
        <v>4082</v>
      </c>
      <c r="J3016" s="95">
        <v>1</v>
      </c>
      <c r="K3016" s="118">
        <v>13</v>
      </c>
      <c r="L3016" s="148">
        <v>78</v>
      </c>
      <c r="M3016" s="146" t="s">
        <v>44</v>
      </c>
      <c r="N3016" s="147"/>
      <c r="O3016" s="147">
        <v>30</v>
      </c>
      <c r="P3016" s="147"/>
      <c r="Q3016" s="147"/>
      <c r="R3016" s="147"/>
      <c r="S3016" s="147"/>
      <c r="T3016" s="147"/>
      <c r="U3016" s="149"/>
      <c r="V3016" s="52"/>
      <c r="W3016" s="52"/>
      <c r="X3016" s="52"/>
      <c r="Y3016" s="52"/>
    </row>
    <row r="3017" spans="1:27" s="26" customFormat="1" ht="15" customHeight="1" x14ac:dyDescent="0.2">
      <c r="A3017" s="55">
        <v>41678.4249305556</v>
      </c>
      <c r="B3017" s="52" t="s">
        <v>38</v>
      </c>
      <c r="C3017" s="52" t="s">
        <v>995</v>
      </c>
      <c r="D3017" s="69">
        <v>41640</v>
      </c>
      <c r="E3017" s="52" t="s">
        <v>4437</v>
      </c>
      <c r="F3017" s="52" t="s">
        <v>4438</v>
      </c>
      <c r="G3017" s="52" t="s">
        <v>26</v>
      </c>
      <c r="H3017" s="52" t="s">
        <v>4439</v>
      </c>
      <c r="I3017" s="52" t="s">
        <v>2986</v>
      </c>
      <c r="J3017" s="95">
        <v>1</v>
      </c>
      <c r="K3017" s="118">
        <v>13</v>
      </c>
      <c r="L3017" s="148">
        <v>78</v>
      </c>
      <c r="M3017" s="146" t="s">
        <v>44</v>
      </c>
      <c r="N3017" s="147"/>
      <c r="O3017" s="147">
        <v>25</v>
      </c>
      <c r="P3017" s="147"/>
      <c r="Q3017" s="147"/>
      <c r="R3017" s="147"/>
      <c r="S3017" s="147"/>
      <c r="T3017" s="147"/>
      <c r="U3017" s="149"/>
      <c r="V3017" s="52"/>
      <c r="W3017" s="52"/>
      <c r="X3017" s="52"/>
      <c r="Y3017" s="52"/>
    </row>
    <row r="3018" spans="1:27" ht="15" customHeight="1" x14ac:dyDescent="0.2">
      <c r="A3018" s="55">
        <v>41678.417951388903</v>
      </c>
      <c r="B3018" s="52" t="s">
        <v>38</v>
      </c>
      <c r="C3018" s="52" t="s">
        <v>995</v>
      </c>
      <c r="D3018" s="69">
        <v>41640</v>
      </c>
      <c r="E3018" s="52" t="s">
        <v>4430</v>
      </c>
      <c r="F3018" s="52" t="s">
        <v>4080</v>
      </c>
      <c r="G3018" s="52" t="s">
        <v>26</v>
      </c>
      <c r="H3018" s="52" t="s">
        <v>4440</v>
      </c>
      <c r="I3018" s="52" t="s">
        <v>4082</v>
      </c>
      <c r="J3018" s="95">
        <v>1</v>
      </c>
      <c r="K3018" s="118">
        <v>1</v>
      </c>
      <c r="L3018" s="148">
        <v>10</v>
      </c>
      <c r="M3018" s="146" t="s">
        <v>44</v>
      </c>
      <c r="N3018" s="147"/>
      <c r="O3018" s="147">
        <v>5</v>
      </c>
      <c r="P3018" s="147"/>
      <c r="Q3018" s="147"/>
      <c r="R3018" s="147"/>
      <c r="S3018" s="147"/>
      <c r="T3018" s="147"/>
      <c r="U3018" s="149"/>
      <c r="V3018" s="52"/>
      <c r="W3018" s="52"/>
      <c r="X3018" s="52"/>
      <c r="Y3018" s="52"/>
      <c r="Z3018" s="26"/>
      <c r="AA3018" s="26"/>
    </row>
    <row r="3019" spans="1:27" ht="15" customHeight="1" x14ac:dyDescent="0.2">
      <c r="A3019" s="55">
        <v>41678.426516203697</v>
      </c>
      <c r="B3019" s="52" t="s">
        <v>38</v>
      </c>
      <c r="C3019" s="52" t="s">
        <v>995</v>
      </c>
      <c r="D3019" s="69">
        <v>41640</v>
      </c>
      <c r="E3019" s="52" t="s">
        <v>3646</v>
      </c>
      <c r="F3019" s="52" t="s">
        <v>1004</v>
      </c>
      <c r="G3019" s="52" t="s">
        <v>26</v>
      </c>
      <c r="H3019" s="52" t="s">
        <v>4441</v>
      </c>
      <c r="I3019" s="52" t="s">
        <v>2986</v>
      </c>
      <c r="J3019" s="95">
        <v>1</v>
      </c>
      <c r="K3019" s="118">
        <v>12</v>
      </c>
      <c r="L3019" s="148">
        <v>60</v>
      </c>
      <c r="M3019" s="146" t="s">
        <v>44</v>
      </c>
      <c r="N3019" s="147"/>
      <c r="O3019" s="147">
        <v>25</v>
      </c>
      <c r="P3019" s="147">
        <v>12</v>
      </c>
      <c r="Q3019" s="147"/>
      <c r="R3019" s="147"/>
      <c r="S3019" s="147"/>
      <c r="T3019" s="147"/>
      <c r="U3019" s="149"/>
      <c r="V3019" s="52"/>
      <c r="W3019" s="52"/>
      <c r="X3019" s="52"/>
      <c r="Y3019" s="52"/>
      <c r="Z3019" s="26"/>
      <c r="AA3019" s="26"/>
    </row>
    <row r="3020" spans="1:27" ht="15" customHeight="1" x14ac:dyDescent="0.2">
      <c r="A3020" s="55">
        <v>41678.428321759297</v>
      </c>
      <c r="B3020" s="52" t="s">
        <v>38</v>
      </c>
      <c r="C3020" s="52" t="s">
        <v>995</v>
      </c>
      <c r="D3020" s="69">
        <v>41640</v>
      </c>
      <c r="E3020" s="52" t="s">
        <v>4434</v>
      </c>
      <c r="F3020" s="52" t="s">
        <v>4442</v>
      </c>
      <c r="G3020" s="52" t="s">
        <v>26</v>
      </c>
      <c r="H3020" s="52" t="s">
        <v>4443</v>
      </c>
      <c r="I3020" s="52" t="s">
        <v>4082</v>
      </c>
      <c r="J3020" s="95">
        <v>1</v>
      </c>
      <c r="K3020" s="118">
        <v>13</v>
      </c>
      <c r="L3020" s="148">
        <v>78</v>
      </c>
      <c r="M3020" s="146" t="s">
        <v>44</v>
      </c>
      <c r="N3020" s="147"/>
      <c r="O3020" s="147">
        <v>25</v>
      </c>
      <c r="P3020" s="147"/>
      <c r="Q3020" s="147"/>
      <c r="R3020" s="147"/>
      <c r="S3020" s="147"/>
      <c r="T3020" s="147"/>
      <c r="U3020" s="149"/>
      <c r="V3020" s="52"/>
      <c r="W3020" s="52"/>
      <c r="X3020" s="52"/>
      <c r="Y3020" s="52"/>
      <c r="Z3020" s="26"/>
      <c r="AA3020" s="26"/>
    </row>
    <row r="3021" spans="1:27" ht="15" customHeight="1" x14ac:dyDescent="0.2">
      <c r="A3021" s="55">
        <v>41678.430115740703</v>
      </c>
      <c r="B3021" s="52" t="s">
        <v>38</v>
      </c>
      <c r="C3021" s="52" t="s">
        <v>995</v>
      </c>
      <c r="D3021" s="69">
        <v>41640</v>
      </c>
      <c r="E3021" s="52" t="s">
        <v>4444</v>
      </c>
      <c r="F3021" s="52" t="s">
        <v>4077</v>
      </c>
      <c r="G3021" s="52" t="s">
        <v>26</v>
      </c>
      <c r="H3021" s="52" t="s">
        <v>4445</v>
      </c>
      <c r="I3021" s="52" t="s">
        <v>2812</v>
      </c>
      <c r="J3021" s="95">
        <v>1</v>
      </c>
      <c r="K3021" s="118">
        <v>25</v>
      </c>
      <c r="L3021" s="148">
        <v>125</v>
      </c>
      <c r="M3021" s="146" t="s">
        <v>44</v>
      </c>
      <c r="N3021" s="147"/>
      <c r="O3021" s="147">
        <v>45</v>
      </c>
      <c r="P3021" s="147">
        <v>48</v>
      </c>
      <c r="Q3021" s="147"/>
      <c r="R3021" s="147"/>
      <c r="S3021" s="147"/>
      <c r="T3021" s="147"/>
      <c r="U3021" s="149"/>
      <c r="V3021" s="52"/>
      <c r="W3021" s="52"/>
      <c r="X3021" s="52"/>
      <c r="Y3021" s="52"/>
      <c r="Z3021" s="26"/>
      <c r="AA3021" s="26"/>
    </row>
    <row r="3022" spans="1:27" ht="15" customHeight="1" x14ac:dyDescent="0.2">
      <c r="A3022" s="55">
        <v>41678.431689814803</v>
      </c>
      <c r="B3022" s="52" t="s">
        <v>38</v>
      </c>
      <c r="C3022" s="52" t="s">
        <v>995</v>
      </c>
      <c r="D3022" s="69">
        <v>41640</v>
      </c>
      <c r="E3022" s="52" t="s">
        <v>4446</v>
      </c>
      <c r="F3022" s="52" t="s">
        <v>1004</v>
      </c>
      <c r="G3022" s="52" t="s">
        <v>26</v>
      </c>
      <c r="H3022" s="52" t="s">
        <v>2921</v>
      </c>
      <c r="I3022" s="52" t="s">
        <v>2986</v>
      </c>
      <c r="J3022" s="95">
        <v>1</v>
      </c>
      <c r="K3022" s="118">
        <v>33</v>
      </c>
      <c r="L3022" s="148">
        <v>165</v>
      </c>
      <c r="M3022" s="146" t="s">
        <v>44</v>
      </c>
      <c r="N3022" s="147"/>
      <c r="O3022" s="147">
        <v>75</v>
      </c>
      <c r="P3022" s="147">
        <v>34</v>
      </c>
      <c r="Q3022" s="147"/>
      <c r="R3022" s="147"/>
      <c r="S3022" s="147"/>
      <c r="T3022" s="147"/>
      <c r="U3022" s="149"/>
      <c r="V3022" s="52"/>
      <c r="W3022" s="52"/>
      <c r="X3022" s="52"/>
      <c r="Y3022" s="52"/>
      <c r="Z3022" s="26"/>
      <c r="AA3022" s="26"/>
    </row>
    <row r="3023" spans="1:27" ht="15" customHeight="1" x14ac:dyDescent="0.2">
      <c r="A3023" s="55">
        <v>41678.4359259259</v>
      </c>
      <c r="B3023" s="52" t="s">
        <v>38</v>
      </c>
      <c r="C3023" s="52" t="s">
        <v>995</v>
      </c>
      <c r="D3023" s="69">
        <v>41640</v>
      </c>
      <c r="E3023" s="52" t="s">
        <v>4447</v>
      </c>
      <c r="F3023" s="52" t="s">
        <v>3660</v>
      </c>
      <c r="G3023" s="52" t="s">
        <v>26</v>
      </c>
      <c r="H3023" s="52" t="s">
        <v>4448</v>
      </c>
      <c r="I3023" s="52" t="s">
        <v>2986</v>
      </c>
      <c r="J3023" s="95">
        <v>1</v>
      </c>
      <c r="K3023" s="118">
        <v>5</v>
      </c>
      <c r="L3023" s="148">
        <v>100</v>
      </c>
      <c r="M3023" s="146" t="s">
        <v>44</v>
      </c>
      <c r="N3023" s="147"/>
      <c r="O3023" s="147"/>
      <c r="P3023" s="147">
        <v>25</v>
      </c>
      <c r="Q3023" s="147"/>
      <c r="R3023" s="147"/>
      <c r="S3023" s="147"/>
      <c r="T3023" s="147"/>
      <c r="U3023" s="149"/>
      <c r="V3023" s="52"/>
      <c r="W3023" s="52"/>
      <c r="X3023" s="52"/>
      <c r="Y3023" s="52"/>
      <c r="Z3023" s="26"/>
      <c r="AA3023" s="26"/>
    </row>
    <row r="3024" spans="1:27" ht="15" customHeight="1" x14ac:dyDescent="0.2">
      <c r="A3024" s="55">
        <v>41678.437164351897</v>
      </c>
      <c r="B3024" s="52" t="s">
        <v>38</v>
      </c>
      <c r="C3024" s="52" t="s">
        <v>995</v>
      </c>
      <c r="D3024" s="69">
        <v>41640</v>
      </c>
      <c r="E3024" s="52" t="s">
        <v>3646</v>
      </c>
      <c r="F3024" s="52" t="s">
        <v>4449</v>
      </c>
      <c r="G3024" s="56" t="s">
        <v>26</v>
      </c>
      <c r="H3024" s="52" t="s">
        <v>4450</v>
      </c>
      <c r="I3024" s="52"/>
      <c r="J3024" s="95">
        <v>1</v>
      </c>
      <c r="K3024" s="118">
        <v>3</v>
      </c>
      <c r="L3024" s="148">
        <v>15</v>
      </c>
      <c r="M3024" s="146" t="s">
        <v>44</v>
      </c>
      <c r="N3024" s="147"/>
      <c r="O3024" s="147">
        <v>15</v>
      </c>
      <c r="P3024" s="147">
        <v>6</v>
      </c>
      <c r="Q3024" s="147"/>
      <c r="R3024" s="147"/>
      <c r="S3024" s="147"/>
      <c r="T3024" s="147"/>
      <c r="U3024" s="149"/>
      <c r="V3024" s="52"/>
      <c r="W3024" s="52"/>
      <c r="X3024" s="52"/>
      <c r="Y3024" s="52"/>
      <c r="Z3024" s="26"/>
      <c r="AA3024" s="26"/>
    </row>
    <row r="3025" spans="1:27" ht="15" customHeight="1" x14ac:dyDescent="0.2">
      <c r="A3025" s="55">
        <v>41678.439398148199</v>
      </c>
      <c r="B3025" s="52" t="s">
        <v>38</v>
      </c>
      <c r="C3025" s="52" t="s">
        <v>995</v>
      </c>
      <c r="D3025" s="69">
        <v>41640</v>
      </c>
      <c r="E3025" s="52" t="s">
        <v>4451</v>
      </c>
      <c r="F3025" s="52" t="s">
        <v>4452</v>
      </c>
      <c r="G3025" s="52" t="s">
        <v>26</v>
      </c>
      <c r="H3025" s="52" t="s">
        <v>1023</v>
      </c>
      <c r="I3025" s="52" t="s">
        <v>4082</v>
      </c>
      <c r="J3025" s="95">
        <v>1</v>
      </c>
      <c r="K3025" s="118">
        <v>32</v>
      </c>
      <c r="L3025" s="148">
        <v>160</v>
      </c>
      <c r="M3025" s="146" t="s">
        <v>44</v>
      </c>
      <c r="N3025" s="147"/>
      <c r="O3025" s="147">
        <v>50</v>
      </c>
      <c r="P3025" s="147">
        <v>34</v>
      </c>
      <c r="Q3025" s="147"/>
      <c r="R3025" s="147"/>
      <c r="S3025" s="147"/>
      <c r="T3025" s="147"/>
      <c r="U3025" s="149"/>
      <c r="V3025" s="52"/>
      <c r="W3025" s="52"/>
      <c r="X3025" s="52"/>
      <c r="Y3025" s="52"/>
      <c r="Z3025" s="26"/>
      <c r="AA3025" s="26"/>
    </row>
    <row r="3026" spans="1:27" ht="15" customHeight="1" x14ac:dyDescent="0.2">
      <c r="A3026" s="55">
        <v>41678.440821759301</v>
      </c>
      <c r="B3026" s="52" t="s">
        <v>38</v>
      </c>
      <c r="C3026" s="52" t="s">
        <v>995</v>
      </c>
      <c r="D3026" s="69">
        <v>41640</v>
      </c>
      <c r="E3026" s="52" t="s">
        <v>4453</v>
      </c>
      <c r="F3026" s="52" t="s">
        <v>2871</v>
      </c>
      <c r="G3026" s="52" t="s">
        <v>26</v>
      </c>
      <c r="H3026" s="52" t="s">
        <v>4454</v>
      </c>
      <c r="I3026" s="52" t="s">
        <v>2986</v>
      </c>
      <c r="J3026" s="95">
        <v>1</v>
      </c>
      <c r="K3026" s="118">
        <v>3</v>
      </c>
      <c r="L3026" s="148">
        <v>24</v>
      </c>
      <c r="M3026" s="146" t="s">
        <v>44</v>
      </c>
      <c r="N3026" s="147"/>
      <c r="O3026" s="147">
        <v>5</v>
      </c>
      <c r="P3026" s="147"/>
      <c r="Q3026" s="147"/>
      <c r="R3026" s="147"/>
      <c r="S3026" s="147"/>
      <c r="T3026" s="147"/>
      <c r="U3026" s="149"/>
      <c r="V3026" s="52"/>
      <c r="W3026" s="52"/>
      <c r="X3026" s="52"/>
      <c r="Y3026" s="52"/>
      <c r="Z3026" s="26"/>
      <c r="AA3026" s="26"/>
    </row>
    <row r="3027" spans="1:27" ht="15" customHeight="1" x14ac:dyDescent="0.2">
      <c r="A3027" s="55">
        <v>41678.442557870403</v>
      </c>
      <c r="B3027" s="52" t="s">
        <v>38</v>
      </c>
      <c r="C3027" s="52" t="s">
        <v>995</v>
      </c>
      <c r="D3027" s="69">
        <v>41640</v>
      </c>
      <c r="E3027" s="52" t="s">
        <v>4455</v>
      </c>
      <c r="F3027" s="52" t="s">
        <v>4080</v>
      </c>
      <c r="G3027" s="52" t="s">
        <v>42</v>
      </c>
      <c r="H3027" s="52" t="s">
        <v>4456</v>
      </c>
      <c r="I3027" s="52" t="s">
        <v>4082</v>
      </c>
      <c r="J3027" s="95">
        <v>1</v>
      </c>
      <c r="K3027" s="118">
        <v>10</v>
      </c>
      <c r="L3027" s="148">
        <v>100</v>
      </c>
      <c r="M3027" s="146" t="s">
        <v>44</v>
      </c>
      <c r="N3027" s="147"/>
      <c r="O3027" s="147">
        <v>20</v>
      </c>
      <c r="P3027" s="147">
        <v>24</v>
      </c>
      <c r="Q3027" s="147"/>
      <c r="R3027" s="147"/>
      <c r="S3027" s="147"/>
      <c r="T3027" s="147"/>
      <c r="U3027" s="149"/>
      <c r="V3027" s="52"/>
      <c r="W3027" s="52"/>
      <c r="X3027" s="52"/>
      <c r="Y3027" s="52"/>
      <c r="Z3027" s="26"/>
      <c r="AA3027" s="26"/>
    </row>
    <row r="3028" spans="1:27" ht="15" customHeight="1" x14ac:dyDescent="0.2">
      <c r="A3028" s="55">
        <v>41678.4438310185</v>
      </c>
      <c r="B3028" s="52" t="s">
        <v>38</v>
      </c>
      <c r="C3028" s="52" t="s">
        <v>995</v>
      </c>
      <c r="D3028" s="69">
        <v>41640</v>
      </c>
      <c r="E3028" s="52" t="s">
        <v>4432</v>
      </c>
      <c r="F3028" s="52" t="s">
        <v>3630</v>
      </c>
      <c r="G3028" s="52" t="s">
        <v>26</v>
      </c>
      <c r="H3028" s="52" t="s">
        <v>4457</v>
      </c>
      <c r="I3028" s="52" t="s">
        <v>4082</v>
      </c>
      <c r="J3028" s="95">
        <v>1</v>
      </c>
      <c r="K3028" s="118">
        <v>11</v>
      </c>
      <c r="L3028" s="148">
        <v>66</v>
      </c>
      <c r="M3028" s="146" t="s">
        <v>44</v>
      </c>
      <c r="N3028" s="147"/>
      <c r="O3028" s="147">
        <v>20</v>
      </c>
      <c r="P3028" s="147"/>
      <c r="Q3028" s="147"/>
      <c r="R3028" s="147"/>
      <c r="S3028" s="147"/>
      <c r="T3028" s="147"/>
      <c r="U3028" s="149"/>
      <c r="V3028" s="52"/>
      <c r="W3028" s="52"/>
      <c r="X3028" s="52"/>
      <c r="Y3028" s="52"/>
      <c r="Z3028" s="26"/>
      <c r="AA3028" s="26"/>
    </row>
    <row r="3029" spans="1:27" ht="15" customHeight="1" x14ac:dyDescent="0.2">
      <c r="A3029" s="32">
        <v>41703.405069444445</v>
      </c>
      <c r="B3029" s="26" t="s">
        <v>38</v>
      </c>
      <c r="C3029" s="26" t="s">
        <v>995</v>
      </c>
      <c r="D3029" s="33">
        <v>41671</v>
      </c>
      <c r="E3029" s="26" t="s">
        <v>4865</v>
      </c>
      <c r="F3029" s="26" t="s">
        <v>4866</v>
      </c>
      <c r="G3029" s="26" t="s">
        <v>42</v>
      </c>
      <c r="H3029" s="26" t="s">
        <v>4867</v>
      </c>
      <c r="I3029" s="26" t="s">
        <v>2986</v>
      </c>
      <c r="J3029" s="46">
        <v>1</v>
      </c>
      <c r="K3029" s="46">
        <v>32</v>
      </c>
      <c r="L3029" s="136">
        <v>160</v>
      </c>
      <c r="M3029" s="137" t="s">
        <v>44</v>
      </c>
      <c r="O3029" s="138">
        <v>75</v>
      </c>
      <c r="P3029" s="138">
        <v>25</v>
      </c>
      <c r="V3029" s="26"/>
      <c r="W3029" s="26"/>
      <c r="X3029" s="26"/>
      <c r="Y3029" s="26"/>
      <c r="Z3029" s="26"/>
      <c r="AA3029" s="26"/>
    </row>
    <row r="3030" spans="1:27" ht="15" customHeight="1" x14ac:dyDescent="0.2">
      <c r="A3030" s="32">
        <v>41703.407152777778</v>
      </c>
      <c r="B3030" s="26" t="s">
        <v>38</v>
      </c>
      <c r="C3030" s="26" t="s">
        <v>995</v>
      </c>
      <c r="D3030" s="33">
        <v>41671</v>
      </c>
      <c r="E3030" s="26" t="s">
        <v>3646</v>
      </c>
      <c r="F3030" s="26" t="s">
        <v>1004</v>
      </c>
      <c r="G3030" s="26" t="s">
        <v>26</v>
      </c>
      <c r="H3030" s="26" t="s">
        <v>3658</v>
      </c>
      <c r="I3030" s="26" t="s">
        <v>2986</v>
      </c>
      <c r="J3030" s="46">
        <v>1</v>
      </c>
      <c r="K3030" s="46">
        <v>10</v>
      </c>
      <c r="L3030" s="136">
        <v>50</v>
      </c>
      <c r="M3030" s="137" t="s">
        <v>44</v>
      </c>
      <c r="O3030" s="138">
        <v>20</v>
      </c>
      <c r="P3030" s="138">
        <v>30</v>
      </c>
      <c r="V3030" s="26"/>
      <c r="W3030" s="26"/>
      <c r="X3030" s="26"/>
      <c r="Y3030" s="26"/>
      <c r="Z3030" s="26"/>
      <c r="AA3030" s="26"/>
    </row>
    <row r="3031" spans="1:27" ht="15" customHeight="1" x14ac:dyDescent="0.2">
      <c r="A3031" s="32">
        <v>41703.410694444443</v>
      </c>
      <c r="B3031" s="26" t="s">
        <v>38</v>
      </c>
      <c r="C3031" s="26" t="s">
        <v>995</v>
      </c>
      <c r="D3031" s="33">
        <v>41671</v>
      </c>
      <c r="E3031" s="26" t="s">
        <v>4434</v>
      </c>
      <c r="F3031" s="26" t="s">
        <v>4872</v>
      </c>
      <c r="G3031" s="26" t="s">
        <v>26</v>
      </c>
      <c r="H3031" s="26" t="s">
        <v>4873</v>
      </c>
      <c r="I3031" s="26" t="s">
        <v>4874</v>
      </c>
      <c r="J3031" s="46">
        <v>1</v>
      </c>
      <c r="K3031" s="46">
        <v>6</v>
      </c>
      <c r="L3031" s="136">
        <v>36</v>
      </c>
      <c r="M3031" s="137" t="s">
        <v>44</v>
      </c>
      <c r="O3031" s="138">
        <v>15</v>
      </c>
      <c r="V3031" s="26"/>
      <c r="W3031" s="26"/>
      <c r="X3031" s="26"/>
      <c r="Y3031" s="26"/>
      <c r="Z3031" s="26"/>
      <c r="AA3031" s="26"/>
    </row>
    <row r="3032" spans="1:27" ht="15" customHeight="1" x14ac:dyDescent="0.2">
      <c r="A3032" s="32">
        <v>41703.412048611113</v>
      </c>
      <c r="B3032" s="26" t="s">
        <v>38</v>
      </c>
      <c r="C3032" s="26" t="s">
        <v>995</v>
      </c>
      <c r="D3032" s="33">
        <v>41671</v>
      </c>
      <c r="E3032" s="26" t="s">
        <v>4875</v>
      </c>
      <c r="F3032" s="26" t="s">
        <v>3630</v>
      </c>
      <c r="G3032" s="26" t="s">
        <v>26</v>
      </c>
      <c r="H3032" s="26" t="s">
        <v>4876</v>
      </c>
      <c r="I3032" s="26" t="s">
        <v>2812</v>
      </c>
      <c r="J3032" s="46">
        <v>1</v>
      </c>
      <c r="K3032" s="46">
        <v>4</v>
      </c>
      <c r="L3032" s="136">
        <v>24</v>
      </c>
      <c r="M3032" s="137" t="s">
        <v>44</v>
      </c>
      <c r="O3032" s="138">
        <v>15</v>
      </c>
      <c r="V3032" s="26"/>
      <c r="W3032" s="26"/>
      <c r="X3032" s="26"/>
      <c r="Y3032" s="26"/>
      <c r="Z3032" s="26"/>
      <c r="AA3032" s="26"/>
    </row>
    <row r="3033" spans="1:27" ht="15" customHeight="1" x14ac:dyDescent="0.2">
      <c r="A3033" s="32">
        <v>41703.414444444446</v>
      </c>
      <c r="B3033" s="26" t="s">
        <v>38</v>
      </c>
      <c r="C3033" s="26" t="s">
        <v>995</v>
      </c>
      <c r="D3033" s="33">
        <v>41671</v>
      </c>
      <c r="E3033" s="26" t="s">
        <v>3646</v>
      </c>
      <c r="F3033" s="26" t="s">
        <v>1004</v>
      </c>
      <c r="G3033" s="26" t="s">
        <v>26</v>
      </c>
      <c r="H3033" s="26" t="s">
        <v>4877</v>
      </c>
      <c r="I3033" s="26" t="s">
        <v>2986</v>
      </c>
      <c r="J3033" s="46">
        <v>1</v>
      </c>
      <c r="K3033" s="46">
        <v>8</v>
      </c>
      <c r="L3033" s="136">
        <v>40</v>
      </c>
      <c r="M3033" s="137" t="s">
        <v>44</v>
      </c>
      <c r="O3033" s="138">
        <v>20</v>
      </c>
      <c r="P3033" s="138">
        <v>7</v>
      </c>
      <c r="V3033" s="26"/>
      <c r="W3033" s="26"/>
      <c r="X3033" s="26"/>
      <c r="Y3033" s="26"/>
      <c r="Z3033" s="26"/>
      <c r="AA3033" s="26"/>
    </row>
    <row r="3034" spans="1:27" ht="15" customHeight="1" x14ac:dyDescent="0.2">
      <c r="A3034" s="32">
        <v>41703.421574074076</v>
      </c>
      <c r="B3034" s="26" t="s">
        <v>38</v>
      </c>
      <c r="C3034" s="26" t="s">
        <v>995</v>
      </c>
      <c r="D3034" s="33">
        <v>41671</v>
      </c>
      <c r="E3034" s="26" t="s">
        <v>4444</v>
      </c>
      <c r="F3034" s="26" t="s">
        <v>4077</v>
      </c>
      <c r="G3034" s="26" t="s">
        <v>26</v>
      </c>
      <c r="H3034" s="26" t="s">
        <v>4881</v>
      </c>
      <c r="I3034" s="26" t="s">
        <v>2812</v>
      </c>
      <c r="J3034" s="46">
        <v>1</v>
      </c>
      <c r="K3034" s="46">
        <v>1</v>
      </c>
      <c r="L3034" s="136">
        <v>5</v>
      </c>
      <c r="M3034" s="137" t="s">
        <v>44</v>
      </c>
      <c r="O3034" s="138">
        <v>5</v>
      </c>
      <c r="P3034" s="138">
        <v>14</v>
      </c>
      <c r="V3034" s="26"/>
      <c r="W3034" s="26"/>
      <c r="X3034" s="26"/>
      <c r="Y3034" s="26"/>
      <c r="Z3034" s="26"/>
      <c r="AA3034" s="26"/>
    </row>
    <row r="3035" spans="1:27" ht="15" customHeight="1" x14ac:dyDescent="0.2">
      <c r="A3035" s="32">
        <v>41703.425347222219</v>
      </c>
      <c r="B3035" s="26" t="s">
        <v>38</v>
      </c>
      <c r="C3035" s="26" t="s">
        <v>995</v>
      </c>
      <c r="D3035" s="33">
        <v>41671</v>
      </c>
      <c r="E3035" s="26" t="s">
        <v>4882</v>
      </c>
      <c r="F3035" s="26" t="s">
        <v>4438</v>
      </c>
      <c r="G3035" s="26" t="s">
        <v>26</v>
      </c>
      <c r="H3035" s="26" t="s">
        <v>4883</v>
      </c>
      <c r="I3035" s="26" t="s">
        <v>2986</v>
      </c>
      <c r="J3035" s="46">
        <v>1</v>
      </c>
      <c r="K3035" s="46">
        <v>16</v>
      </c>
      <c r="L3035" s="136">
        <v>96</v>
      </c>
      <c r="M3035" s="137" t="s">
        <v>44</v>
      </c>
      <c r="O3035" s="138">
        <v>40</v>
      </c>
      <c r="V3035" s="26"/>
      <c r="W3035" s="26"/>
      <c r="X3035" s="26"/>
      <c r="Y3035" s="26"/>
      <c r="Z3035" s="26"/>
      <c r="AA3035" s="26"/>
    </row>
    <row r="3036" spans="1:27" ht="15" customHeight="1" x14ac:dyDescent="0.2">
      <c r="A3036" s="32">
        <v>41703.426990740743</v>
      </c>
      <c r="B3036" s="26" t="s">
        <v>38</v>
      </c>
      <c r="C3036" s="26" t="s">
        <v>995</v>
      </c>
      <c r="D3036" s="33">
        <v>41671</v>
      </c>
      <c r="E3036" s="26" t="s">
        <v>4884</v>
      </c>
      <c r="F3036" s="26" t="s">
        <v>1004</v>
      </c>
      <c r="G3036" s="26" t="s">
        <v>26</v>
      </c>
      <c r="H3036" s="26" t="s">
        <v>3647</v>
      </c>
      <c r="I3036" s="26" t="s">
        <v>2986</v>
      </c>
      <c r="J3036" s="46">
        <v>1</v>
      </c>
      <c r="K3036" s="46">
        <v>10</v>
      </c>
      <c r="L3036" s="136">
        <v>50</v>
      </c>
      <c r="M3036" s="137" t="s">
        <v>44</v>
      </c>
      <c r="O3036" s="138">
        <v>25</v>
      </c>
      <c r="P3036" s="138">
        <v>14</v>
      </c>
      <c r="V3036" s="26"/>
      <c r="W3036" s="26"/>
      <c r="X3036" s="26"/>
      <c r="Y3036" s="26"/>
      <c r="Z3036" s="26"/>
      <c r="AA3036" s="26"/>
    </row>
    <row r="3037" spans="1:27" ht="15" customHeight="1" x14ac:dyDescent="0.2">
      <c r="A3037" s="32">
        <v>41703.428564814814</v>
      </c>
      <c r="B3037" s="26" t="s">
        <v>38</v>
      </c>
      <c r="C3037" s="26" t="s">
        <v>995</v>
      </c>
      <c r="D3037" s="33">
        <v>41671</v>
      </c>
      <c r="E3037" s="26" t="s">
        <v>4885</v>
      </c>
      <c r="F3037" s="26" t="s">
        <v>4886</v>
      </c>
      <c r="G3037" s="26" t="s">
        <v>26</v>
      </c>
      <c r="H3037" s="26" t="s">
        <v>4887</v>
      </c>
      <c r="I3037" s="26" t="s">
        <v>2986</v>
      </c>
      <c r="J3037" s="46">
        <v>1</v>
      </c>
      <c r="K3037" s="46">
        <v>6</v>
      </c>
      <c r="L3037" s="136">
        <v>30</v>
      </c>
      <c r="M3037" s="137" t="s">
        <v>44</v>
      </c>
      <c r="O3037" s="138">
        <v>15</v>
      </c>
      <c r="P3037" s="138">
        <v>12</v>
      </c>
      <c r="V3037" s="26"/>
      <c r="W3037" s="26"/>
      <c r="X3037" s="26"/>
      <c r="Y3037" s="26"/>
      <c r="Z3037" s="26"/>
      <c r="AA3037" s="26"/>
    </row>
    <row r="3038" spans="1:27" ht="15" customHeight="1" x14ac:dyDescent="0.2">
      <c r="A3038" s="32">
        <v>41703.430763888886</v>
      </c>
      <c r="B3038" s="26" t="s">
        <v>38</v>
      </c>
      <c r="C3038" s="26" t="s">
        <v>995</v>
      </c>
      <c r="D3038" s="33">
        <v>41671</v>
      </c>
      <c r="E3038" s="26" t="s">
        <v>4888</v>
      </c>
      <c r="F3038" s="26" t="s">
        <v>2871</v>
      </c>
      <c r="G3038" s="26" t="s">
        <v>26</v>
      </c>
      <c r="H3038" s="26" t="s">
        <v>4889</v>
      </c>
      <c r="I3038" s="26" t="s">
        <v>2986</v>
      </c>
      <c r="J3038" s="46">
        <v>1</v>
      </c>
      <c r="K3038" s="46">
        <v>15</v>
      </c>
      <c r="L3038" s="136">
        <v>120</v>
      </c>
      <c r="M3038" s="137" t="s">
        <v>44</v>
      </c>
      <c r="O3038" s="138">
        <v>25</v>
      </c>
      <c r="V3038" s="26"/>
      <c r="W3038" s="26"/>
      <c r="X3038" s="26"/>
      <c r="Y3038" s="26"/>
      <c r="Z3038" s="26"/>
      <c r="AA3038" s="26"/>
    </row>
    <row r="3039" spans="1:27" ht="15" customHeight="1" x14ac:dyDescent="0.2">
      <c r="A3039" s="32">
        <v>41703.432500000003</v>
      </c>
      <c r="B3039" s="26" t="s">
        <v>38</v>
      </c>
      <c r="C3039" s="26" t="s">
        <v>995</v>
      </c>
      <c r="D3039" s="33">
        <v>41671</v>
      </c>
      <c r="E3039" s="26" t="s">
        <v>4891</v>
      </c>
      <c r="F3039" s="26" t="s">
        <v>4892</v>
      </c>
      <c r="G3039" s="26" t="s">
        <v>26</v>
      </c>
      <c r="H3039" s="26" t="s">
        <v>4893</v>
      </c>
      <c r="I3039" s="26" t="s">
        <v>2926</v>
      </c>
      <c r="J3039" s="46">
        <v>1</v>
      </c>
      <c r="K3039" s="46">
        <v>3</v>
      </c>
      <c r="L3039" s="136">
        <v>15</v>
      </c>
      <c r="M3039" s="137" t="s">
        <v>44</v>
      </c>
      <c r="O3039" s="138">
        <v>10</v>
      </c>
      <c r="P3039" s="138">
        <v>20</v>
      </c>
      <c r="V3039" s="26"/>
      <c r="W3039" s="26"/>
      <c r="X3039" s="26"/>
      <c r="Y3039" s="26"/>
      <c r="Z3039" s="26"/>
      <c r="AA3039" s="26"/>
    </row>
    <row r="3040" spans="1:27" ht="15" customHeight="1" x14ac:dyDescent="0.2">
      <c r="A3040" s="32">
        <v>41703.432546296295</v>
      </c>
      <c r="B3040" s="26" t="s">
        <v>38</v>
      </c>
      <c r="C3040" s="26" t="s">
        <v>995</v>
      </c>
      <c r="D3040" s="33">
        <v>41671</v>
      </c>
      <c r="E3040" s="26" t="s">
        <v>4891</v>
      </c>
      <c r="F3040" s="26" t="s">
        <v>4892</v>
      </c>
      <c r="G3040" s="26" t="s">
        <v>26</v>
      </c>
      <c r="H3040" s="26" t="s">
        <v>4893</v>
      </c>
      <c r="I3040" s="26" t="s">
        <v>2926</v>
      </c>
      <c r="J3040" s="46">
        <v>1</v>
      </c>
      <c r="K3040" s="46">
        <v>3</v>
      </c>
      <c r="L3040" s="136">
        <v>15</v>
      </c>
      <c r="M3040" s="137" t="s">
        <v>44</v>
      </c>
      <c r="O3040" s="138">
        <v>10</v>
      </c>
      <c r="P3040" s="138">
        <v>20</v>
      </c>
      <c r="V3040" s="26"/>
      <c r="W3040" s="26"/>
      <c r="X3040" s="26"/>
      <c r="Y3040" s="26"/>
      <c r="Z3040" s="26"/>
      <c r="AA3040" s="26"/>
    </row>
    <row r="3041" spans="1:27" ht="15" customHeight="1" x14ac:dyDescent="0.2">
      <c r="A3041" s="32">
        <v>41703.434293981481</v>
      </c>
      <c r="B3041" s="26" t="s">
        <v>38</v>
      </c>
      <c r="C3041" s="26" t="s">
        <v>995</v>
      </c>
      <c r="D3041" s="33">
        <v>41671</v>
      </c>
      <c r="E3041" s="26" t="s">
        <v>4894</v>
      </c>
      <c r="F3041" s="26" t="s">
        <v>1004</v>
      </c>
      <c r="G3041" s="26" t="s">
        <v>26</v>
      </c>
      <c r="H3041" s="26" t="s">
        <v>3647</v>
      </c>
      <c r="I3041" s="26" t="s">
        <v>2986</v>
      </c>
      <c r="J3041" s="46">
        <v>1</v>
      </c>
      <c r="K3041" s="46">
        <v>13</v>
      </c>
      <c r="L3041" s="136">
        <v>65</v>
      </c>
      <c r="M3041" s="137" t="s">
        <v>44</v>
      </c>
      <c r="O3041" s="138">
        <v>35</v>
      </c>
      <c r="P3041" s="138">
        <v>18</v>
      </c>
      <c r="V3041" s="26"/>
      <c r="W3041" s="26"/>
      <c r="X3041" s="26"/>
      <c r="Y3041" s="26"/>
      <c r="Z3041" s="26"/>
      <c r="AA3041" s="26"/>
    </row>
    <row r="3042" spans="1:27" ht="15" customHeight="1" x14ac:dyDescent="0.2">
      <c r="A3042" s="32">
        <v>41703.453784722224</v>
      </c>
      <c r="B3042" s="26" t="s">
        <v>38</v>
      </c>
      <c r="C3042" s="26" t="s">
        <v>995</v>
      </c>
      <c r="D3042" s="33">
        <v>41671</v>
      </c>
      <c r="E3042" s="26" t="s">
        <v>4432</v>
      </c>
      <c r="F3042" s="26" t="s">
        <v>3630</v>
      </c>
      <c r="G3042" s="26" t="s">
        <v>26</v>
      </c>
      <c r="H3042" s="26" t="s">
        <v>4905</v>
      </c>
      <c r="I3042" s="26" t="s">
        <v>4082</v>
      </c>
      <c r="J3042" s="46">
        <v>1</v>
      </c>
      <c r="K3042" s="46">
        <v>9</v>
      </c>
      <c r="L3042" s="136">
        <v>54</v>
      </c>
      <c r="M3042" s="137" t="s">
        <v>44</v>
      </c>
      <c r="O3042" s="138">
        <v>20</v>
      </c>
      <c r="V3042" s="26"/>
      <c r="W3042" s="26"/>
      <c r="X3042" s="26"/>
      <c r="Y3042" s="26"/>
      <c r="Z3042" s="26"/>
      <c r="AA3042" s="26"/>
    </row>
    <row r="3043" spans="1:27" ht="15" customHeight="1" x14ac:dyDescent="0.2">
      <c r="A3043" s="32">
        <v>41703.45517361111</v>
      </c>
      <c r="B3043" s="26" t="s">
        <v>38</v>
      </c>
      <c r="C3043" s="26" t="s">
        <v>995</v>
      </c>
      <c r="D3043" s="33">
        <v>41671</v>
      </c>
      <c r="E3043" s="26" t="s">
        <v>3646</v>
      </c>
      <c r="F3043" s="26" t="s">
        <v>1004</v>
      </c>
      <c r="G3043" s="26" t="s">
        <v>26</v>
      </c>
      <c r="H3043" s="26" t="s">
        <v>4906</v>
      </c>
      <c r="I3043" s="26" t="s">
        <v>2986</v>
      </c>
      <c r="J3043" s="46">
        <v>1</v>
      </c>
      <c r="K3043" s="46">
        <v>12</v>
      </c>
      <c r="L3043" s="136">
        <v>60</v>
      </c>
      <c r="M3043" s="137" t="s">
        <v>44</v>
      </c>
      <c r="O3043" s="138">
        <v>30</v>
      </c>
      <c r="P3043" s="138">
        <v>14</v>
      </c>
      <c r="V3043" s="26"/>
      <c r="W3043" s="26"/>
      <c r="X3043" s="26"/>
      <c r="Y3043" s="26"/>
      <c r="Z3043" s="26"/>
      <c r="AA3043" s="26"/>
    </row>
    <row r="3044" spans="1:27" ht="15" customHeight="1" x14ac:dyDescent="0.2">
      <c r="A3044" s="32">
        <v>41703.457002314812</v>
      </c>
      <c r="B3044" s="26" t="s">
        <v>38</v>
      </c>
      <c r="C3044" s="26" t="s">
        <v>995</v>
      </c>
      <c r="D3044" s="33">
        <v>41671</v>
      </c>
      <c r="E3044" s="26" t="s">
        <v>4907</v>
      </c>
      <c r="F3044" s="26" t="s">
        <v>4872</v>
      </c>
      <c r="G3044" s="26" t="s">
        <v>26</v>
      </c>
      <c r="H3044" s="26" t="s">
        <v>4908</v>
      </c>
      <c r="I3044" s="26" t="s">
        <v>4082</v>
      </c>
      <c r="J3044" s="46">
        <v>1</v>
      </c>
      <c r="K3044" s="46">
        <v>9</v>
      </c>
      <c r="L3044" s="136">
        <v>54</v>
      </c>
      <c r="M3044" s="137" t="s">
        <v>44</v>
      </c>
      <c r="O3044" s="138">
        <v>20</v>
      </c>
      <c r="V3044" s="26"/>
      <c r="W3044" s="26"/>
      <c r="X3044" s="26"/>
      <c r="Y3044" s="26"/>
      <c r="Z3044" s="26"/>
      <c r="AA3044" s="26"/>
    </row>
    <row r="3045" spans="1:27" s="26" customFormat="1" ht="15" customHeight="1" x14ac:dyDescent="0.2">
      <c r="A3045" s="32">
        <v>41703.458136574074</v>
      </c>
      <c r="B3045" s="26" t="s">
        <v>38</v>
      </c>
      <c r="C3045" s="26" t="s">
        <v>995</v>
      </c>
      <c r="D3045" s="33">
        <v>41671</v>
      </c>
      <c r="E3045" s="26" t="s">
        <v>4888</v>
      </c>
      <c r="F3045" s="26" t="s">
        <v>2871</v>
      </c>
      <c r="G3045" s="26" t="s">
        <v>26</v>
      </c>
      <c r="H3045" s="34" t="s">
        <v>5157</v>
      </c>
      <c r="J3045" s="46">
        <v>1</v>
      </c>
      <c r="K3045" s="46">
        <v>8</v>
      </c>
      <c r="L3045" s="136">
        <v>64</v>
      </c>
      <c r="M3045" s="137" t="s">
        <v>44</v>
      </c>
      <c r="N3045" s="138"/>
      <c r="O3045" s="138">
        <v>15</v>
      </c>
      <c r="P3045" s="138"/>
      <c r="Q3045" s="138"/>
      <c r="R3045" s="138"/>
      <c r="S3045" s="138"/>
      <c r="T3045" s="138"/>
      <c r="U3045" s="138"/>
    </row>
    <row r="3046" spans="1:27" s="26" customFormat="1" ht="15" customHeight="1" x14ac:dyDescent="0.2">
      <c r="A3046" s="32">
        <v>41703.459930555553</v>
      </c>
      <c r="B3046" s="26" t="s">
        <v>38</v>
      </c>
      <c r="C3046" s="26" t="s">
        <v>995</v>
      </c>
      <c r="D3046" s="33">
        <v>41671</v>
      </c>
      <c r="E3046" s="26" t="s">
        <v>4909</v>
      </c>
      <c r="F3046" s="26" t="s">
        <v>4910</v>
      </c>
      <c r="G3046" s="26" t="s">
        <v>26</v>
      </c>
      <c r="H3046" s="34" t="s">
        <v>5156</v>
      </c>
      <c r="I3046" s="26" t="s">
        <v>4911</v>
      </c>
      <c r="J3046" s="46">
        <v>1</v>
      </c>
      <c r="K3046" s="46">
        <v>2</v>
      </c>
      <c r="L3046" s="136">
        <v>30</v>
      </c>
      <c r="M3046" s="137" t="s">
        <v>44</v>
      </c>
      <c r="N3046" s="138"/>
      <c r="O3046" s="138">
        <v>10</v>
      </c>
      <c r="P3046" s="138">
        <v>4</v>
      </c>
      <c r="Q3046" s="138"/>
      <c r="R3046" s="138"/>
      <c r="S3046" s="138"/>
      <c r="T3046" s="138"/>
      <c r="U3046" s="138"/>
    </row>
    <row r="3047" spans="1:27" s="26" customFormat="1" ht="15" customHeight="1" x14ac:dyDescent="0.2">
      <c r="A3047" s="32">
        <v>41703.461157407408</v>
      </c>
      <c r="B3047" s="26" t="s">
        <v>38</v>
      </c>
      <c r="C3047" s="26" t="s">
        <v>995</v>
      </c>
      <c r="D3047" s="33">
        <v>41671</v>
      </c>
      <c r="E3047" s="26" t="s">
        <v>3653</v>
      </c>
      <c r="F3047" s="26" t="s">
        <v>4912</v>
      </c>
      <c r="G3047" s="34" t="s">
        <v>20</v>
      </c>
      <c r="H3047" s="26" t="s">
        <v>4913</v>
      </c>
      <c r="I3047" s="26" t="s">
        <v>2986</v>
      </c>
      <c r="J3047" s="46">
        <v>1</v>
      </c>
      <c r="K3047" s="46">
        <v>6</v>
      </c>
      <c r="L3047" s="136">
        <v>18</v>
      </c>
      <c r="M3047" s="137" t="s">
        <v>44</v>
      </c>
      <c r="N3047" s="138"/>
      <c r="O3047" s="138">
        <v>10</v>
      </c>
      <c r="P3047" s="138">
        <v>6</v>
      </c>
      <c r="Q3047" s="138"/>
      <c r="R3047" s="138"/>
      <c r="S3047" s="138"/>
      <c r="T3047" s="138"/>
      <c r="U3047" s="138"/>
    </row>
    <row r="3048" spans="1:27" s="26" customFormat="1" ht="15" customHeight="1" x14ac:dyDescent="0.2">
      <c r="A3048" s="32">
        <v>41739.617013888892</v>
      </c>
      <c r="B3048" s="26" t="s">
        <v>38</v>
      </c>
      <c r="C3048" s="26" t="s">
        <v>995</v>
      </c>
      <c r="D3048" s="33">
        <v>41699</v>
      </c>
      <c r="E3048" s="26" t="s">
        <v>5858</v>
      </c>
      <c r="F3048" s="26" t="s">
        <v>5859</v>
      </c>
      <c r="G3048" s="26" t="s">
        <v>42</v>
      </c>
      <c r="H3048" s="26" t="s">
        <v>5860</v>
      </c>
      <c r="I3048" s="26" t="s">
        <v>2986</v>
      </c>
      <c r="J3048" s="46">
        <v>1</v>
      </c>
      <c r="K3048" s="46">
        <v>28</v>
      </c>
      <c r="L3048" s="136">
        <v>84</v>
      </c>
      <c r="M3048" s="137" t="s">
        <v>44</v>
      </c>
      <c r="N3048" s="138"/>
      <c r="O3048" s="138">
        <v>35</v>
      </c>
      <c r="P3048" s="138">
        <v>24</v>
      </c>
      <c r="Q3048" s="138"/>
      <c r="R3048" s="138"/>
      <c r="S3048" s="138"/>
      <c r="T3048" s="138"/>
      <c r="U3048" s="138"/>
    </row>
    <row r="3049" spans="1:27" s="26" customFormat="1" ht="15" customHeight="1" x14ac:dyDescent="0.2">
      <c r="A3049" s="32">
        <v>41739.625231481485</v>
      </c>
      <c r="B3049" s="26" t="s">
        <v>38</v>
      </c>
      <c r="C3049" s="26" t="s">
        <v>995</v>
      </c>
      <c r="D3049" s="33">
        <v>41699</v>
      </c>
      <c r="E3049" s="26" t="s">
        <v>4884</v>
      </c>
      <c r="F3049" s="26" t="s">
        <v>1004</v>
      </c>
      <c r="G3049" s="26" t="s">
        <v>26</v>
      </c>
      <c r="H3049" s="26" t="s">
        <v>5861</v>
      </c>
      <c r="I3049" s="26" t="s">
        <v>2812</v>
      </c>
      <c r="J3049" s="46">
        <v>1</v>
      </c>
      <c r="K3049" s="46">
        <v>12</v>
      </c>
      <c r="L3049" s="136">
        <v>60</v>
      </c>
      <c r="M3049" s="137" t="s">
        <v>44</v>
      </c>
      <c r="N3049" s="138"/>
      <c r="O3049" s="138">
        <v>20</v>
      </c>
      <c r="P3049" s="138"/>
      <c r="Q3049" s="138"/>
      <c r="R3049" s="138"/>
      <c r="S3049" s="138"/>
      <c r="T3049" s="138"/>
      <c r="U3049" s="138"/>
    </row>
    <row r="3050" spans="1:27" s="26" customFormat="1" ht="15" customHeight="1" x14ac:dyDescent="0.2">
      <c r="A3050" s="32">
        <v>41739.629201388889</v>
      </c>
      <c r="B3050" s="26" t="s">
        <v>38</v>
      </c>
      <c r="C3050" s="26" t="s">
        <v>995</v>
      </c>
      <c r="D3050" s="33">
        <v>41699</v>
      </c>
      <c r="E3050" s="26" t="s">
        <v>5862</v>
      </c>
      <c r="F3050" s="26" t="s">
        <v>5863</v>
      </c>
      <c r="G3050" s="26" t="s">
        <v>26</v>
      </c>
      <c r="H3050" s="26" t="s">
        <v>5864</v>
      </c>
      <c r="I3050" s="26" t="s">
        <v>5865</v>
      </c>
      <c r="J3050" s="46">
        <v>1</v>
      </c>
      <c r="K3050" s="46">
        <v>11</v>
      </c>
      <c r="L3050" s="136">
        <v>55</v>
      </c>
      <c r="M3050" s="137" t="s">
        <v>44</v>
      </c>
      <c r="N3050" s="138"/>
      <c r="O3050" s="138">
        <v>20</v>
      </c>
      <c r="P3050" s="138">
        <v>22</v>
      </c>
      <c r="Q3050" s="138"/>
      <c r="R3050" s="138"/>
      <c r="S3050" s="138"/>
      <c r="T3050" s="138"/>
      <c r="U3050" s="138"/>
    </row>
    <row r="3051" spans="1:27" s="26" customFormat="1" ht="15" customHeight="1" x14ac:dyDescent="0.2">
      <c r="A3051" s="32">
        <v>41739.621527777781</v>
      </c>
      <c r="B3051" s="26" t="s">
        <v>38</v>
      </c>
      <c r="C3051" s="26" t="s">
        <v>995</v>
      </c>
      <c r="D3051" s="33">
        <v>41699</v>
      </c>
      <c r="E3051" s="26" t="s">
        <v>1142</v>
      </c>
      <c r="F3051" s="26" t="s">
        <v>5866</v>
      </c>
      <c r="G3051" s="26" t="s">
        <v>26</v>
      </c>
      <c r="H3051" s="26" t="s">
        <v>5867</v>
      </c>
      <c r="I3051" s="26" t="s">
        <v>2986</v>
      </c>
      <c r="J3051" s="46">
        <v>1</v>
      </c>
      <c r="K3051" s="46">
        <v>3</v>
      </c>
      <c r="L3051" s="136">
        <v>45</v>
      </c>
      <c r="M3051" s="137" t="s">
        <v>44</v>
      </c>
      <c r="N3051" s="138"/>
      <c r="O3051" s="138">
        <v>10</v>
      </c>
      <c r="P3051" s="138">
        <v>6</v>
      </c>
      <c r="Q3051" s="138"/>
      <c r="R3051" s="138"/>
      <c r="S3051" s="138"/>
      <c r="T3051" s="138"/>
      <c r="U3051" s="138"/>
    </row>
    <row r="3052" spans="1:27" s="26" customFormat="1" ht="15" customHeight="1" x14ac:dyDescent="0.2">
      <c r="A3052" s="32">
        <v>41739.622546296298</v>
      </c>
      <c r="B3052" s="26" t="s">
        <v>38</v>
      </c>
      <c r="C3052" s="26" t="s">
        <v>995</v>
      </c>
      <c r="D3052" s="33">
        <v>41699</v>
      </c>
      <c r="E3052" s="26" t="s">
        <v>3646</v>
      </c>
      <c r="F3052" s="26" t="s">
        <v>1004</v>
      </c>
      <c r="G3052" s="26" t="s">
        <v>26</v>
      </c>
      <c r="H3052" s="26" t="s">
        <v>1004</v>
      </c>
      <c r="I3052" s="26" t="s">
        <v>2986</v>
      </c>
      <c r="J3052" s="46">
        <v>1</v>
      </c>
      <c r="K3052" s="46">
        <v>7</v>
      </c>
      <c r="L3052" s="136">
        <v>35</v>
      </c>
      <c r="M3052" s="137" t="s">
        <v>44</v>
      </c>
      <c r="N3052" s="138"/>
      <c r="O3052" s="138">
        <v>15</v>
      </c>
      <c r="P3052" s="138">
        <v>24</v>
      </c>
      <c r="Q3052" s="138"/>
      <c r="R3052" s="138"/>
      <c r="S3052" s="138"/>
      <c r="T3052" s="138"/>
      <c r="U3052" s="138"/>
    </row>
    <row r="3053" spans="1:27" ht="15" customHeight="1" x14ac:dyDescent="0.2">
      <c r="A3053" s="32">
        <v>41739.627604166664</v>
      </c>
      <c r="B3053" s="26" t="s">
        <v>38</v>
      </c>
      <c r="C3053" s="26" t="s">
        <v>995</v>
      </c>
      <c r="D3053" s="33">
        <v>41699</v>
      </c>
      <c r="E3053" s="26" t="s">
        <v>5868</v>
      </c>
      <c r="F3053" s="26" t="s">
        <v>4077</v>
      </c>
      <c r="G3053" s="26" t="s">
        <v>26</v>
      </c>
      <c r="H3053" s="26" t="s">
        <v>4078</v>
      </c>
      <c r="I3053" s="26" t="s">
        <v>2812</v>
      </c>
      <c r="J3053" s="46">
        <v>1</v>
      </c>
      <c r="K3053" s="46">
        <v>4</v>
      </c>
      <c r="L3053" s="136">
        <v>20</v>
      </c>
      <c r="M3053" s="137" t="s">
        <v>44</v>
      </c>
      <c r="O3053" s="138">
        <v>10</v>
      </c>
      <c r="P3053" s="138">
        <v>36</v>
      </c>
      <c r="V3053" s="26"/>
      <c r="W3053" s="26"/>
      <c r="X3053" s="26"/>
      <c r="Y3053" s="26"/>
      <c r="Z3053" s="26"/>
      <c r="AA3053" s="26"/>
    </row>
    <row r="3054" spans="1:27" ht="15" customHeight="1" x14ac:dyDescent="0.2">
      <c r="A3054" s="32">
        <v>41739.631261574075</v>
      </c>
      <c r="B3054" s="26" t="s">
        <v>38</v>
      </c>
      <c r="C3054" s="26" t="s">
        <v>995</v>
      </c>
      <c r="D3054" s="33">
        <v>41699</v>
      </c>
      <c r="E3054" s="26" t="s">
        <v>4882</v>
      </c>
      <c r="F3054" s="26" t="s">
        <v>5869</v>
      </c>
      <c r="G3054" s="26" t="s">
        <v>26</v>
      </c>
      <c r="H3054" s="26" t="s">
        <v>5870</v>
      </c>
      <c r="I3054" s="26" t="s">
        <v>4082</v>
      </c>
      <c r="J3054" s="46">
        <v>1</v>
      </c>
      <c r="K3054" s="46">
        <v>17</v>
      </c>
      <c r="L3054" s="136">
        <v>102</v>
      </c>
      <c r="M3054" s="137" t="s">
        <v>44</v>
      </c>
      <c r="O3054" s="138">
        <v>35</v>
      </c>
      <c r="V3054" s="26"/>
      <c r="W3054" s="26"/>
      <c r="X3054" s="26"/>
      <c r="Y3054" s="26"/>
      <c r="Z3054" s="26"/>
      <c r="AA3054" s="26"/>
    </row>
    <row r="3055" spans="1:27" ht="15" customHeight="1" x14ac:dyDescent="0.2">
      <c r="A3055" s="32">
        <v>41739.633321759262</v>
      </c>
      <c r="B3055" s="26" t="s">
        <v>38</v>
      </c>
      <c r="C3055" s="26" t="s">
        <v>995</v>
      </c>
      <c r="D3055" s="33">
        <v>41699</v>
      </c>
      <c r="E3055" s="26" t="s">
        <v>3646</v>
      </c>
      <c r="F3055" s="26" t="s">
        <v>1004</v>
      </c>
      <c r="G3055" s="26" t="s">
        <v>26</v>
      </c>
      <c r="H3055" s="26" t="s">
        <v>5871</v>
      </c>
      <c r="I3055" s="26" t="s">
        <v>2812</v>
      </c>
      <c r="J3055" s="46">
        <v>1</v>
      </c>
      <c r="K3055" s="46">
        <v>6</v>
      </c>
      <c r="L3055" s="136">
        <v>30</v>
      </c>
      <c r="M3055" s="137" t="s">
        <v>44</v>
      </c>
      <c r="O3055" s="138">
        <v>15</v>
      </c>
      <c r="P3055" s="138">
        <v>18</v>
      </c>
      <c r="V3055" s="26"/>
      <c r="W3055" s="26"/>
      <c r="X3055" s="26"/>
      <c r="Y3055" s="26"/>
      <c r="Z3055" s="26"/>
      <c r="AA3055" s="26"/>
    </row>
    <row r="3056" spans="1:27" ht="15" customHeight="1" x14ac:dyDescent="0.2">
      <c r="A3056" s="32">
        <v>41739.635046296295</v>
      </c>
      <c r="B3056" s="26" t="s">
        <v>38</v>
      </c>
      <c r="C3056" s="26" t="s">
        <v>995</v>
      </c>
      <c r="D3056" s="33">
        <v>41699</v>
      </c>
      <c r="E3056" s="26" t="s">
        <v>5872</v>
      </c>
      <c r="F3056" s="26" t="s">
        <v>1147</v>
      </c>
      <c r="G3056" s="26" t="s">
        <v>26</v>
      </c>
      <c r="H3056" s="26" t="s">
        <v>1148</v>
      </c>
      <c r="I3056" s="26" t="s">
        <v>2986</v>
      </c>
      <c r="J3056" s="46">
        <v>1</v>
      </c>
      <c r="K3056" s="46">
        <v>15</v>
      </c>
      <c r="L3056" s="136">
        <v>225</v>
      </c>
      <c r="M3056" s="137" t="s">
        <v>44</v>
      </c>
      <c r="O3056" s="138">
        <v>35</v>
      </c>
      <c r="P3056" s="138">
        <v>24</v>
      </c>
      <c r="V3056" s="26"/>
      <c r="W3056" s="26"/>
      <c r="X3056" s="26"/>
      <c r="Y3056" s="26"/>
      <c r="Z3056" s="26"/>
      <c r="AA3056" s="26"/>
    </row>
    <row r="3057" spans="1:27" ht="15" customHeight="1" x14ac:dyDescent="0.2">
      <c r="A3057" s="32">
        <v>41739.637557870374</v>
      </c>
      <c r="B3057" s="26" t="s">
        <v>38</v>
      </c>
      <c r="C3057" s="26" t="s">
        <v>995</v>
      </c>
      <c r="D3057" s="33">
        <v>41699</v>
      </c>
      <c r="E3057" s="26" t="s">
        <v>5873</v>
      </c>
      <c r="F3057" s="26" t="s">
        <v>4438</v>
      </c>
      <c r="G3057" s="26" t="s">
        <v>26</v>
      </c>
      <c r="H3057" s="26" t="s">
        <v>5874</v>
      </c>
      <c r="I3057" s="26" t="s">
        <v>2986</v>
      </c>
      <c r="J3057" s="46">
        <v>1</v>
      </c>
      <c r="K3057" s="46">
        <v>11</v>
      </c>
      <c r="L3057" s="136">
        <v>66</v>
      </c>
      <c r="M3057" s="137" t="s">
        <v>44</v>
      </c>
      <c r="O3057" s="138">
        <v>20</v>
      </c>
      <c r="V3057" s="26"/>
      <c r="W3057" s="26"/>
      <c r="X3057" s="26"/>
      <c r="Y3057" s="26"/>
      <c r="Z3057" s="26"/>
      <c r="AA3057" s="26"/>
    </row>
    <row r="3058" spans="1:27" ht="15" customHeight="1" x14ac:dyDescent="0.2">
      <c r="A3058" s="32">
        <v>41739.639525462961</v>
      </c>
      <c r="B3058" s="26" t="s">
        <v>38</v>
      </c>
      <c r="C3058" s="26" t="s">
        <v>995</v>
      </c>
      <c r="D3058" s="33">
        <v>41699</v>
      </c>
      <c r="E3058" s="26" t="s">
        <v>5875</v>
      </c>
      <c r="F3058" s="26" t="s">
        <v>5876</v>
      </c>
      <c r="G3058" s="26" t="s">
        <v>42</v>
      </c>
      <c r="H3058" s="26" t="s">
        <v>5877</v>
      </c>
      <c r="I3058" s="26" t="s">
        <v>2986</v>
      </c>
      <c r="J3058" s="46">
        <v>1</v>
      </c>
      <c r="K3058" s="46">
        <v>31</v>
      </c>
      <c r="L3058" s="136">
        <v>93</v>
      </c>
      <c r="M3058" s="137" t="s">
        <v>44</v>
      </c>
      <c r="O3058" s="138">
        <v>25</v>
      </c>
      <c r="P3058" s="138">
        <v>34</v>
      </c>
      <c r="V3058" s="26"/>
      <c r="W3058" s="26"/>
      <c r="X3058" s="26"/>
      <c r="Y3058" s="26"/>
      <c r="Z3058" s="26"/>
      <c r="AA3058" s="26"/>
    </row>
    <row r="3059" spans="1:27" ht="15" customHeight="1" x14ac:dyDescent="0.2">
      <c r="A3059" s="32">
        <v>41739.640949074077</v>
      </c>
      <c r="B3059" s="26" t="s">
        <v>38</v>
      </c>
      <c r="C3059" s="26" t="s">
        <v>995</v>
      </c>
      <c r="D3059" s="33">
        <v>41699</v>
      </c>
      <c r="E3059" s="26" t="s">
        <v>4884</v>
      </c>
      <c r="F3059" s="26" t="s">
        <v>1004</v>
      </c>
      <c r="G3059" s="26" t="s">
        <v>26</v>
      </c>
      <c r="H3059" s="26" t="s">
        <v>5878</v>
      </c>
      <c r="I3059" s="26" t="s">
        <v>2812</v>
      </c>
      <c r="J3059" s="46">
        <v>1</v>
      </c>
      <c r="K3059" s="46">
        <v>6</v>
      </c>
      <c r="L3059" s="136">
        <v>30</v>
      </c>
      <c r="M3059" s="137" t="s">
        <v>44</v>
      </c>
      <c r="O3059" s="138">
        <v>10</v>
      </c>
      <c r="P3059" s="138">
        <v>34</v>
      </c>
      <c r="V3059" s="26"/>
      <c r="W3059" s="26"/>
      <c r="X3059" s="26"/>
      <c r="Y3059" s="26"/>
      <c r="Z3059" s="26"/>
      <c r="AA3059" s="26"/>
    </row>
    <row r="3060" spans="1:27" ht="15" customHeight="1" x14ac:dyDescent="0.2">
      <c r="A3060" s="32">
        <v>41739.642500000002</v>
      </c>
      <c r="B3060" s="26" t="s">
        <v>38</v>
      </c>
      <c r="C3060" s="26" t="s">
        <v>995</v>
      </c>
      <c r="D3060" s="33">
        <v>41699</v>
      </c>
      <c r="E3060" s="26" t="s">
        <v>5879</v>
      </c>
      <c r="F3060" s="26" t="s">
        <v>5880</v>
      </c>
      <c r="G3060" s="26" t="s">
        <v>20</v>
      </c>
      <c r="H3060" s="26" t="s">
        <v>5881</v>
      </c>
      <c r="I3060" s="26" t="s">
        <v>2986</v>
      </c>
      <c r="J3060" s="46">
        <v>1</v>
      </c>
      <c r="K3060" s="46">
        <v>11</v>
      </c>
      <c r="L3060" s="136">
        <v>50</v>
      </c>
      <c r="M3060" s="137" t="s">
        <v>44</v>
      </c>
      <c r="O3060" s="138">
        <v>15</v>
      </c>
      <c r="P3060" s="138">
        <v>22</v>
      </c>
      <c r="V3060" s="26"/>
      <c r="W3060" s="26"/>
      <c r="X3060" s="26"/>
      <c r="Y3060" s="26"/>
      <c r="Z3060" s="26"/>
      <c r="AA3060" s="26"/>
    </row>
    <row r="3061" spans="1:27" ht="15" customHeight="1" x14ac:dyDescent="0.2">
      <c r="A3061" s="32">
        <v>41739.644548611112</v>
      </c>
      <c r="B3061" s="26" t="s">
        <v>38</v>
      </c>
      <c r="C3061" s="26" t="s">
        <v>995</v>
      </c>
      <c r="D3061" s="33">
        <v>41699</v>
      </c>
      <c r="E3061" s="26" t="s">
        <v>5882</v>
      </c>
      <c r="F3061" s="26" t="s">
        <v>5883</v>
      </c>
      <c r="G3061" s="26" t="s">
        <v>20</v>
      </c>
      <c r="H3061" s="26" t="s">
        <v>5884</v>
      </c>
      <c r="I3061" s="26" t="s">
        <v>2986</v>
      </c>
      <c r="J3061" s="46">
        <v>3</v>
      </c>
      <c r="K3061" s="46">
        <v>148</v>
      </c>
      <c r="L3061" s="136">
        <v>444</v>
      </c>
      <c r="M3061" s="137" t="s">
        <v>44</v>
      </c>
      <c r="P3061" s="138">
        <v>12</v>
      </c>
      <c r="V3061" s="26"/>
      <c r="W3061" s="26"/>
      <c r="X3061" s="26"/>
      <c r="Y3061" s="26"/>
      <c r="Z3061" s="26"/>
      <c r="AA3061" s="26"/>
    </row>
    <row r="3062" spans="1:27" ht="15" customHeight="1" x14ac:dyDescent="0.2">
      <c r="A3062" s="32">
        <v>41739.645937499998</v>
      </c>
      <c r="B3062" s="26" t="s">
        <v>38</v>
      </c>
      <c r="C3062" s="26" t="s">
        <v>995</v>
      </c>
      <c r="D3062" s="33">
        <v>41699</v>
      </c>
      <c r="E3062" s="26" t="s">
        <v>3646</v>
      </c>
      <c r="F3062" s="26" t="s">
        <v>1004</v>
      </c>
      <c r="G3062" s="26" t="s">
        <v>26</v>
      </c>
      <c r="H3062" s="26" t="s">
        <v>5885</v>
      </c>
      <c r="I3062" s="26" t="s">
        <v>2812</v>
      </c>
      <c r="J3062" s="46">
        <v>1</v>
      </c>
      <c r="K3062" s="46">
        <v>16</v>
      </c>
      <c r="L3062" s="136">
        <v>80</v>
      </c>
      <c r="M3062" s="137" t="s">
        <v>44</v>
      </c>
      <c r="O3062" s="138">
        <v>35</v>
      </c>
      <c r="P3062" s="138">
        <v>21</v>
      </c>
      <c r="V3062" s="26"/>
      <c r="W3062" s="26"/>
      <c r="X3062" s="26"/>
      <c r="Y3062" s="26"/>
      <c r="Z3062" s="26"/>
      <c r="AA3062" s="26"/>
    </row>
    <row r="3063" spans="1:27" ht="15" customHeight="1" x14ac:dyDescent="0.2">
      <c r="A3063" s="32">
        <v>41739.64744212963</v>
      </c>
      <c r="B3063" s="26" t="s">
        <v>38</v>
      </c>
      <c r="C3063" s="26" t="s">
        <v>995</v>
      </c>
      <c r="D3063" s="33">
        <v>41699</v>
      </c>
      <c r="E3063" s="26" t="s">
        <v>5886</v>
      </c>
      <c r="F3063" s="26" t="s">
        <v>1147</v>
      </c>
      <c r="G3063" s="26" t="s">
        <v>26</v>
      </c>
      <c r="H3063" s="26" t="s">
        <v>1148</v>
      </c>
      <c r="I3063" s="26" t="s">
        <v>2986</v>
      </c>
      <c r="J3063" s="46">
        <v>1</v>
      </c>
      <c r="K3063" s="46">
        <v>15</v>
      </c>
      <c r="L3063" s="136">
        <v>225</v>
      </c>
      <c r="M3063" s="137" t="s">
        <v>44</v>
      </c>
      <c r="O3063" s="138">
        <v>35</v>
      </c>
      <c r="P3063" s="138">
        <v>21</v>
      </c>
      <c r="V3063" s="26"/>
      <c r="W3063" s="26"/>
      <c r="X3063" s="26"/>
      <c r="Y3063" s="26"/>
      <c r="Z3063" s="26"/>
      <c r="AA3063" s="26"/>
    </row>
    <row r="3064" spans="1:27" ht="15" customHeight="1" x14ac:dyDescent="0.2">
      <c r="A3064" s="32">
        <v>41739.648958333331</v>
      </c>
      <c r="B3064" s="26" t="s">
        <v>38</v>
      </c>
      <c r="C3064" s="26" t="s">
        <v>995</v>
      </c>
      <c r="D3064" s="33">
        <v>41699</v>
      </c>
      <c r="E3064" s="26" t="s">
        <v>4891</v>
      </c>
      <c r="F3064" s="26" t="s">
        <v>6071</v>
      </c>
      <c r="G3064" s="26" t="s">
        <v>26</v>
      </c>
      <c r="H3064" s="26" t="s">
        <v>5887</v>
      </c>
      <c r="I3064" s="26" t="s">
        <v>5888</v>
      </c>
      <c r="J3064" s="46">
        <v>1</v>
      </c>
      <c r="K3064" s="46">
        <v>6</v>
      </c>
      <c r="L3064" s="136">
        <v>30</v>
      </c>
      <c r="M3064" s="137" t="s">
        <v>44</v>
      </c>
      <c r="O3064" s="138">
        <v>10</v>
      </c>
      <c r="P3064" s="138">
        <v>12</v>
      </c>
      <c r="V3064" s="26"/>
      <c r="W3064" s="26"/>
      <c r="X3064" s="26"/>
      <c r="Y3064" s="26"/>
      <c r="Z3064" s="26"/>
      <c r="AA3064" s="26"/>
    </row>
    <row r="3065" spans="1:27" ht="15" customHeight="1" x14ac:dyDescent="0.2">
      <c r="A3065" s="32">
        <v>41739.650266203702</v>
      </c>
      <c r="B3065" s="26" t="s">
        <v>38</v>
      </c>
      <c r="C3065" s="26" t="s">
        <v>995</v>
      </c>
      <c r="D3065" s="33">
        <v>41699</v>
      </c>
      <c r="E3065" s="26" t="s">
        <v>1142</v>
      </c>
      <c r="F3065" s="26" t="s">
        <v>5889</v>
      </c>
      <c r="G3065" s="26" t="s">
        <v>26</v>
      </c>
      <c r="H3065" s="26" t="s">
        <v>5890</v>
      </c>
      <c r="I3065" s="26" t="s">
        <v>2986</v>
      </c>
      <c r="J3065" s="46">
        <v>1</v>
      </c>
      <c r="K3065" s="46">
        <v>1</v>
      </c>
      <c r="L3065" s="136">
        <v>5</v>
      </c>
      <c r="M3065" s="137" t="s">
        <v>44</v>
      </c>
      <c r="O3065" s="138">
        <v>5</v>
      </c>
      <c r="P3065" s="138">
        <v>2</v>
      </c>
      <c r="V3065" s="26"/>
      <c r="W3065" s="26"/>
      <c r="X3065" s="26"/>
      <c r="Y3065" s="26"/>
      <c r="Z3065" s="26"/>
      <c r="AA3065" s="26"/>
    </row>
    <row r="3066" spans="1:27" ht="15" customHeight="1" x14ac:dyDescent="0.2">
      <c r="A3066" s="32">
        <v>41739.65148148148</v>
      </c>
      <c r="B3066" s="26" t="s">
        <v>38</v>
      </c>
      <c r="C3066" s="26" t="s">
        <v>995</v>
      </c>
      <c r="D3066" s="33">
        <v>41699</v>
      </c>
      <c r="E3066" s="26" t="s">
        <v>3646</v>
      </c>
      <c r="F3066" s="26" t="s">
        <v>1004</v>
      </c>
      <c r="G3066" s="26" t="s">
        <v>26</v>
      </c>
      <c r="H3066" s="26" t="s">
        <v>5885</v>
      </c>
      <c r="I3066" s="26" t="s">
        <v>2812</v>
      </c>
      <c r="J3066" s="46">
        <v>1</v>
      </c>
      <c r="K3066" s="46">
        <v>6</v>
      </c>
      <c r="L3066" s="136">
        <v>30</v>
      </c>
      <c r="O3066" s="138">
        <v>10</v>
      </c>
      <c r="P3066" s="138">
        <v>12</v>
      </c>
      <c r="V3066" s="26"/>
      <c r="W3066" s="26"/>
      <c r="X3066" s="26"/>
      <c r="Y3066" s="26"/>
      <c r="Z3066" s="26"/>
      <c r="AA3066" s="26"/>
    </row>
    <row r="3067" spans="1:27" ht="15" customHeight="1" x14ac:dyDescent="0.2">
      <c r="A3067" s="32">
        <v>41739.652430555558</v>
      </c>
      <c r="B3067" s="26" t="s">
        <v>38</v>
      </c>
      <c r="C3067" s="26" t="s">
        <v>995</v>
      </c>
      <c r="D3067" s="33">
        <v>41699</v>
      </c>
      <c r="E3067" s="26" t="s">
        <v>5886</v>
      </c>
      <c r="F3067" s="26" t="s">
        <v>1147</v>
      </c>
      <c r="G3067" s="26" t="s">
        <v>26</v>
      </c>
      <c r="H3067" s="26" t="s">
        <v>1168</v>
      </c>
      <c r="I3067" s="26" t="s">
        <v>2986</v>
      </c>
      <c r="J3067" s="46">
        <v>1</v>
      </c>
      <c r="K3067" s="46">
        <v>2</v>
      </c>
      <c r="L3067" s="136">
        <v>30</v>
      </c>
      <c r="M3067" s="137" t="s">
        <v>44</v>
      </c>
      <c r="O3067" s="138">
        <v>5</v>
      </c>
      <c r="V3067" s="26"/>
      <c r="W3067" s="26"/>
      <c r="X3067" s="26"/>
      <c r="Y3067" s="26"/>
      <c r="Z3067" s="26"/>
      <c r="AA3067" s="26"/>
    </row>
    <row r="3068" spans="1:27" ht="15" customHeight="1" x14ac:dyDescent="0.2">
      <c r="A3068" s="32">
        <v>41739.653761574074</v>
      </c>
      <c r="B3068" s="26" t="s">
        <v>38</v>
      </c>
      <c r="C3068" s="26" t="s">
        <v>995</v>
      </c>
      <c r="D3068" s="33">
        <v>41699</v>
      </c>
      <c r="E3068" s="26" t="s">
        <v>4909</v>
      </c>
      <c r="F3068" s="26" t="s">
        <v>4910</v>
      </c>
      <c r="G3068" s="26" t="s">
        <v>26</v>
      </c>
      <c r="H3068" s="26" t="s">
        <v>6073</v>
      </c>
      <c r="I3068" s="26" t="s">
        <v>2812</v>
      </c>
      <c r="J3068" s="46">
        <v>1</v>
      </c>
      <c r="K3068" s="46">
        <v>4</v>
      </c>
      <c r="L3068" s="136">
        <v>60</v>
      </c>
      <c r="M3068" s="137" t="s">
        <v>44</v>
      </c>
      <c r="O3068" s="138">
        <v>15</v>
      </c>
      <c r="P3068" s="138">
        <v>8</v>
      </c>
      <c r="V3068" s="26"/>
      <c r="W3068" s="26"/>
      <c r="X3068" s="26"/>
      <c r="Y3068" s="26"/>
      <c r="Z3068" s="26"/>
      <c r="AA3068" s="26"/>
    </row>
    <row r="3069" spans="1:27" ht="15" customHeight="1" x14ac:dyDescent="0.2">
      <c r="A3069" s="32">
        <v>41739.655335648145</v>
      </c>
      <c r="B3069" s="26" t="s">
        <v>38</v>
      </c>
      <c r="C3069" s="26" t="s">
        <v>995</v>
      </c>
      <c r="D3069" s="33">
        <v>41699</v>
      </c>
      <c r="E3069" s="26" t="s">
        <v>1169</v>
      </c>
      <c r="F3069" s="26" t="s">
        <v>5891</v>
      </c>
      <c r="G3069" s="26" t="s">
        <v>26</v>
      </c>
      <c r="H3069" s="26" t="s">
        <v>5892</v>
      </c>
      <c r="I3069" s="26" t="s">
        <v>4082</v>
      </c>
      <c r="J3069" s="46">
        <v>1</v>
      </c>
      <c r="K3069" s="46">
        <v>8</v>
      </c>
      <c r="L3069" s="136">
        <v>120</v>
      </c>
      <c r="M3069" s="137" t="s">
        <v>44</v>
      </c>
      <c r="O3069" s="138">
        <v>25</v>
      </c>
      <c r="P3069" s="138">
        <v>12</v>
      </c>
      <c r="V3069" s="26"/>
      <c r="W3069" s="26"/>
      <c r="X3069" s="26"/>
      <c r="Y3069" s="26"/>
      <c r="Z3069" s="26"/>
      <c r="AA3069" s="26"/>
    </row>
    <row r="3070" spans="1:27" ht="15" customHeight="1" x14ac:dyDescent="0.2">
      <c r="A3070" s="32">
        <v>41739.656655092593</v>
      </c>
      <c r="B3070" s="26" t="s">
        <v>38</v>
      </c>
      <c r="C3070" s="26" t="s">
        <v>995</v>
      </c>
      <c r="D3070" s="33">
        <v>41699</v>
      </c>
      <c r="E3070" s="26" t="s">
        <v>5893</v>
      </c>
      <c r="F3070" s="26" t="s">
        <v>1147</v>
      </c>
      <c r="G3070" s="26" t="s">
        <v>26</v>
      </c>
      <c r="H3070" s="26" t="s">
        <v>1148</v>
      </c>
      <c r="I3070" s="26"/>
      <c r="J3070" s="46">
        <v>1</v>
      </c>
      <c r="K3070" s="46">
        <v>2</v>
      </c>
      <c r="L3070" s="136">
        <v>30</v>
      </c>
      <c r="M3070" s="137" t="s">
        <v>44</v>
      </c>
      <c r="O3070" s="138">
        <v>5</v>
      </c>
      <c r="V3070" s="26"/>
      <c r="W3070" s="26"/>
      <c r="X3070" s="26"/>
      <c r="Y3070" s="26"/>
      <c r="Z3070" s="26"/>
      <c r="AA3070" s="26"/>
    </row>
    <row r="3071" spans="1:27" ht="15" customHeight="1" x14ac:dyDescent="0.2">
      <c r="A3071" s="93">
        <v>41769.418831018498</v>
      </c>
      <c r="B3071" s="89" t="s">
        <v>38</v>
      </c>
      <c r="C3071" s="52" t="s">
        <v>995</v>
      </c>
      <c r="D3071" s="87" t="s">
        <v>6076</v>
      </c>
      <c r="E3071" s="89" t="s">
        <v>1720</v>
      </c>
      <c r="F3071" s="89" t="s">
        <v>6722</v>
      </c>
      <c r="G3071" s="89" t="s">
        <v>26</v>
      </c>
      <c r="H3071" s="89" t="s">
        <v>6723</v>
      </c>
      <c r="I3071" s="89" t="s">
        <v>2986</v>
      </c>
      <c r="J3071" s="95">
        <v>1</v>
      </c>
      <c r="K3071" s="95">
        <v>4</v>
      </c>
      <c r="L3071" s="149">
        <v>20</v>
      </c>
      <c r="M3071" s="146" t="s">
        <v>44</v>
      </c>
      <c r="N3071" s="149"/>
      <c r="O3071" s="149">
        <v>15</v>
      </c>
      <c r="P3071" s="149">
        <v>12</v>
      </c>
      <c r="Q3071" s="149"/>
      <c r="R3071" s="149"/>
      <c r="S3071" s="149"/>
      <c r="T3071" s="149"/>
      <c r="U3071" s="149"/>
      <c r="V3071" s="89"/>
      <c r="Z3071" s="26"/>
      <c r="AA3071" s="26"/>
    </row>
    <row r="3072" spans="1:27" ht="15" customHeight="1" x14ac:dyDescent="0.2">
      <c r="A3072" s="93">
        <v>41769.422719907401</v>
      </c>
      <c r="B3072" s="89" t="s">
        <v>38</v>
      </c>
      <c r="C3072" s="52" t="s">
        <v>995</v>
      </c>
      <c r="D3072" s="87" t="s">
        <v>6076</v>
      </c>
      <c r="E3072" s="89" t="s">
        <v>5886</v>
      </c>
      <c r="F3072" s="89" t="s">
        <v>1025</v>
      </c>
      <c r="G3072" s="89" t="s">
        <v>26</v>
      </c>
      <c r="H3072" s="89" t="s">
        <v>6724</v>
      </c>
      <c r="I3072" s="89" t="s">
        <v>2986</v>
      </c>
      <c r="J3072" s="95">
        <v>1</v>
      </c>
      <c r="K3072" s="95">
        <v>7</v>
      </c>
      <c r="L3072" s="149">
        <v>105</v>
      </c>
      <c r="M3072" s="146" t="s">
        <v>44</v>
      </c>
      <c r="N3072" s="149"/>
      <c r="O3072" s="149">
        <v>25</v>
      </c>
      <c r="P3072" s="149">
        <v>28</v>
      </c>
      <c r="Q3072" s="149"/>
      <c r="R3072" s="149"/>
      <c r="S3072" s="149"/>
      <c r="T3072" s="149"/>
      <c r="U3072" s="149"/>
      <c r="V3072" s="89"/>
      <c r="Z3072" s="26"/>
      <c r="AA3072" s="26"/>
    </row>
    <row r="3073" spans="1:27" ht="15" customHeight="1" x14ac:dyDescent="0.2">
      <c r="A3073" s="93">
        <v>41769.427777777797</v>
      </c>
      <c r="B3073" s="89" t="s">
        <v>38</v>
      </c>
      <c r="C3073" s="52" t="s">
        <v>995</v>
      </c>
      <c r="D3073" s="87" t="s">
        <v>6076</v>
      </c>
      <c r="E3073" s="89" t="s">
        <v>1003</v>
      </c>
      <c r="F3073" s="89" t="s">
        <v>1004</v>
      </c>
      <c r="G3073" s="89" t="s">
        <v>26</v>
      </c>
      <c r="H3073" s="89" t="s">
        <v>6725</v>
      </c>
      <c r="I3073" s="89"/>
      <c r="J3073" s="95">
        <v>1</v>
      </c>
      <c r="K3073" s="95">
        <v>19</v>
      </c>
      <c r="L3073" s="149">
        <v>95</v>
      </c>
      <c r="M3073" s="146" t="s">
        <v>44</v>
      </c>
      <c r="N3073" s="149"/>
      <c r="O3073" s="149">
        <v>50</v>
      </c>
      <c r="P3073" s="149">
        <v>45</v>
      </c>
      <c r="Q3073" s="149"/>
      <c r="R3073" s="149"/>
      <c r="S3073" s="149"/>
      <c r="T3073" s="149"/>
      <c r="U3073" s="149"/>
      <c r="V3073" s="89"/>
      <c r="Z3073" s="26"/>
      <c r="AA3073" s="26"/>
    </row>
    <row r="3074" spans="1:27" ht="15" customHeight="1" x14ac:dyDescent="0.2">
      <c r="A3074" s="93">
        <v>41769.429583333302</v>
      </c>
      <c r="B3074" s="89" t="s">
        <v>38</v>
      </c>
      <c r="C3074" s="52" t="s">
        <v>995</v>
      </c>
      <c r="D3074" s="87" t="s">
        <v>6076</v>
      </c>
      <c r="E3074" s="89" t="s">
        <v>6726</v>
      </c>
      <c r="F3074" s="89" t="s">
        <v>6727</v>
      </c>
      <c r="G3074" s="89" t="s">
        <v>26</v>
      </c>
      <c r="H3074" s="89" t="s">
        <v>6728</v>
      </c>
      <c r="I3074" s="89" t="s">
        <v>6174</v>
      </c>
      <c r="J3074" s="95">
        <v>1</v>
      </c>
      <c r="K3074" s="95">
        <v>2</v>
      </c>
      <c r="L3074" s="149">
        <v>20</v>
      </c>
      <c r="M3074" s="146" t="s">
        <v>44</v>
      </c>
      <c r="N3074" s="149"/>
      <c r="O3074" s="149">
        <v>5</v>
      </c>
      <c r="P3074" s="149">
        <v>3</v>
      </c>
      <c r="Q3074" s="149"/>
      <c r="R3074" s="149"/>
      <c r="S3074" s="149"/>
      <c r="T3074" s="149"/>
      <c r="U3074" s="149"/>
      <c r="V3074" s="89"/>
      <c r="Z3074" s="26"/>
      <c r="AA3074" s="26"/>
    </row>
    <row r="3075" spans="1:27" ht="15" customHeight="1" x14ac:dyDescent="0.2">
      <c r="A3075" s="93">
        <v>41769.693912037001</v>
      </c>
      <c r="B3075" s="89" t="s">
        <v>38</v>
      </c>
      <c r="C3075" s="52" t="s">
        <v>995</v>
      </c>
      <c r="D3075" s="87" t="s">
        <v>6076</v>
      </c>
      <c r="E3075" s="89" t="s">
        <v>4891</v>
      </c>
      <c r="F3075" s="89" t="s">
        <v>6071</v>
      </c>
      <c r="G3075" s="89" t="s">
        <v>26</v>
      </c>
      <c r="H3075" s="89" t="s">
        <v>6746</v>
      </c>
      <c r="I3075" s="89" t="s">
        <v>6747</v>
      </c>
      <c r="J3075" s="95">
        <v>1</v>
      </c>
      <c r="K3075" s="95">
        <v>3</v>
      </c>
      <c r="L3075" s="149">
        <v>15</v>
      </c>
      <c r="M3075" s="146" t="s">
        <v>44</v>
      </c>
      <c r="N3075" s="149"/>
      <c r="O3075" s="149">
        <v>5</v>
      </c>
      <c r="P3075" s="149"/>
      <c r="Q3075" s="149"/>
      <c r="R3075" s="149"/>
      <c r="S3075" s="149"/>
      <c r="T3075" s="149"/>
      <c r="U3075" s="149"/>
      <c r="V3075" s="89"/>
      <c r="Z3075" s="26"/>
      <c r="AA3075" s="26"/>
    </row>
    <row r="3076" spans="1:27" ht="15" customHeight="1" x14ac:dyDescent="0.2">
      <c r="A3076" s="93">
        <v>41769.695104166698</v>
      </c>
      <c r="B3076" s="89" t="s">
        <v>38</v>
      </c>
      <c r="C3076" s="52" t="s">
        <v>995</v>
      </c>
      <c r="D3076" s="87" t="s">
        <v>6076</v>
      </c>
      <c r="E3076" s="89" t="s">
        <v>4428</v>
      </c>
      <c r="F3076" s="89" t="s">
        <v>259</v>
      </c>
      <c r="G3076" s="89" t="s">
        <v>26</v>
      </c>
      <c r="H3076" s="89" t="s">
        <v>6750</v>
      </c>
      <c r="I3076" s="89" t="s">
        <v>2986</v>
      </c>
      <c r="J3076" s="95">
        <v>1</v>
      </c>
      <c r="K3076" s="95">
        <v>4</v>
      </c>
      <c r="L3076" s="149">
        <v>80</v>
      </c>
      <c r="M3076" s="146" t="s">
        <v>44</v>
      </c>
      <c r="N3076" s="149"/>
      <c r="O3076" s="149">
        <v>10</v>
      </c>
      <c r="P3076" s="149">
        <v>24</v>
      </c>
      <c r="Q3076" s="149"/>
      <c r="R3076" s="149"/>
      <c r="S3076" s="149"/>
      <c r="T3076" s="149"/>
      <c r="U3076" s="149"/>
      <c r="V3076" s="89"/>
      <c r="Z3076" s="26"/>
      <c r="AA3076" s="26"/>
    </row>
    <row r="3077" spans="1:27" ht="15" customHeight="1" x14ac:dyDescent="0.2">
      <c r="A3077" s="55">
        <v>41769.697094907402</v>
      </c>
      <c r="B3077" s="52" t="s">
        <v>38</v>
      </c>
      <c r="C3077" s="52" t="s">
        <v>995</v>
      </c>
      <c r="D3077" s="88" t="s">
        <v>6076</v>
      </c>
      <c r="E3077" s="52" t="s">
        <v>2907</v>
      </c>
      <c r="F3077" s="52" t="s">
        <v>6753</v>
      </c>
      <c r="G3077" s="52" t="s">
        <v>20</v>
      </c>
      <c r="H3077" s="52" t="s">
        <v>6754</v>
      </c>
      <c r="I3077" s="52" t="s">
        <v>2986</v>
      </c>
      <c r="J3077" s="95">
        <v>1</v>
      </c>
      <c r="K3077" s="95">
        <v>66</v>
      </c>
      <c r="L3077" s="149">
        <v>198</v>
      </c>
      <c r="M3077" s="146" t="s">
        <v>44</v>
      </c>
      <c r="N3077" s="149"/>
      <c r="O3077" s="149">
        <v>35</v>
      </c>
      <c r="P3077" s="149">
        <v>6</v>
      </c>
      <c r="Q3077" s="149"/>
      <c r="R3077" s="149"/>
      <c r="S3077" s="149"/>
      <c r="T3077" s="149"/>
      <c r="U3077" s="149"/>
      <c r="V3077" s="52"/>
      <c r="W3077" s="26"/>
      <c r="X3077" s="26"/>
      <c r="Y3077" s="26"/>
      <c r="Z3077" s="26"/>
      <c r="AA3077" s="26"/>
    </row>
    <row r="3078" spans="1:27" ht="15" customHeight="1" x14ac:dyDescent="0.2">
      <c r="A3078" s="93">
        <v>41769.698622685202</v>
      </c>
      <c r="B3078" s="89" t="s">
        <v>38</v>
      </c>
      <c r="C3078" s="52" t="s">
        <v>995</v>
      </c>
      <c r="D3078" s="87" t="s">
        <v>6076</v>
      </c>
      <c r="E3078" s="89" t="s">
        <v>6757</v>
      </c>
      <c r="F3078" s="89" t="s">
        <v>6758</v>
      </c>
      <c r="G3078" s="89" t="s">
        <v>26</v>
      </c>
      <c r="H3078" s="89" t="s">
        <v>6759</v>
      </c>
      <c r="I3078" s="89" t="s">
        <v>2986</v>
      </c>
      <c r="J3078" s="95">
        <v>1</v>
      </c>
      <c r="K3078" s="95">
        <v>10</v>
      </c>
      <c r="L3078" s="149">
        <v>150</v>
      </c>
      <c r="M3078" s="146" t="s">
        <v>44</v>
      </c>
      <c r="N3078" s="149"/>
      <c r="O3078" s="149">
        <v>30</v>
      </c>
      <c r="P3078" s="149"/>
      <c r="Q3078" s="149"/>
      <c r="R3078" s="149"/>
      <c r="S3078" s="149"/>
      <c r="T3078" s="149"/>
      <c r="U3078" s="149"/>
      <c r="V3078" s="89"/>
      <c r="Z3078" s="26"/>
      <c r="AA3078" s="26"/>
    </row>
    <row r="3079" spans="1:27" ht="15" customHeight="1" x14ac:dyDescent="0.2">
      <c r="A3079" s="55">
        <v>41769.701388888898</v>
      </c>
      <c r="B3079" s="52" t="s">
        <v>38</v>
      </c>
      <c r="C3079" s="52" t="s">
        <v>995</v>
      </c>
      <c r="D3079" s="88" t="s">
        <v>6076</v>
      </c>
      <c r="E3079" s="52" t="s">
        <v>4432</v>
      </c>
      <c r="F3079" s="52" t="s">
        <v>6766</v>
      </c>
      <c r="G3079" s="52" t="s">
        <v>42</v>
      </c>
      <c r="H3079" s="52" t="s">
        <v>6767</v>
      </c>
      <c r="I3079" s="52" t="s">
        <v>6768</v>
      </c>
      <c r="J3079" s="95">
        <v>1</v>
      </c>
      <c r="K3079" s="95">
        <v>24</v>
      </c>
      <c r="L3079" s="149">
        <v>144</v>
      </c>
      <c r="M3079" s="146" t="s">
        <v>44</v>
      </c>
      <c r="N3079" s="149"/>
      <c r="O3079" s="149">
        <v>60</v>
      </c>
      <c r="P3079" s="149"/>
      <c r="Q3079" s="149"/>
      <c r="R3079" s="149"/>
      <c r="S3079" s="149"/>
      <c r="T3079" s="149"/>
      <c r="U3079" s="149"/>
      <c r="V3079" s="52"/>
      <c r="W3079" s="26"/>
      <c r="X3079" s="26"/>
      <c r="Y3079" s="26"/>
      <c r="Z3079" s="26"/>
      <c r="AA3079" s="26"/>
    </row>
    <row r="3080" spans="1:27" ht="15" customHeight="1" x14ac:dyDescent="0.2">
      <c r="A3080" s="93">
        <v>41769.703009259298</v>
      </c>
      <c r="B3080" s="89" t="s">
        <v>38</v>
      </c>
      <c r="C3080" s="52" t="s">
        <v>995</v>
      </c>
      <c r="D3080" s="87" t="s">
        <v>6076</v>
      </c>
      <c r="E3080" s="89" t="s">
        <v>1142</v>
      </c>
      <c r="F3080" s="89" t="s">
        <v>5866</v>
      </c>
      <c r="G3080" s="89" t="s">
        <v>26</v>
      </c>
      <c r="H3080" s="89" t="s">
        <v>6769</v>
      </c>
      <c r="I3080" s="89" t="s">
        <v>2812</v>
      </c>
      <c r="J3080" s="95">
        <v>1</v>
      </c>
      <c r="K3080" s="95">
        <v>2</v>
      </c>
      <c r="L3080" s="149">
        <v>30</v>
      </c>
      <c r="M3080" s="146" t="s">
        <v>44</v>
      </c>
      <c r="N3080" s="149"/>
      <c r="O3080" s="149">
        <v>10</v>
      </c>
      <c r="P3080" s="149">
        <v>6</v>
      </c>
      <c r="Q3080" s="149"/>
      <c r="R3080" s="149"/>
      <c r="S3080" s="149"/>
      <c r="T3080" s="149"/>
      <c r="U3080" s="149"/>
      <c r="V3080" s="89"/>
      <c r="Z3080" s="26"/>
      <c r="AA3080" s="26"/>
    </row>
    <row r="3081" spans="1:27" ht="15" customHeight="1" x14ac:dyDescent="0.2">
      <c r="A3081" s="93">
        <v>41769.704814814802</v>
      </c>
      <c r="B3081" s="89" t="s">
        <v>38</v>
      </c>
      <c r="C3081" s="52" t="s">
        <v>995</v>
      </c>
      <c r="D3081" s="87" t="s">
        <v>6076</v>
      </c>
      <c r="E3081" s="89" t="s">
        <v>6770</v>
      </c>
      <c r="F3081" s="89" t="s">
        <v>1147</v>
      </c>
      <c r="G3081" s="89" t="s">
        <v>26</v>
      </c>
      <c r="H3081" s="89" t="s">
        <v>1171</v>
      </c>
      <c r="I3081" s="89"/>
      <c r="J3081" s="95">
        <v>1</v>
      </c>
      <c r="K3081" s="95">
        <v>17</v>
      </c>
      <c r="L3081" s="149">
        <v>255</v>
      </c>
      <c r="M3081" s="146" t="s">
        <v>44</v>
      </c>
      <c r="N3081" s="149"/>
      <c r="O3081" s="149">
        <v>45</v>
      </c>
      <c r="P3081" s="149">
        <v>22</v>
      </c>
      <c r="Q3081" s="149"/>
      <c r="R3081" s="149"/>
      <c r="S3081" s="149"/>
      <c r="T3081" s="149"/>
      <c r="U3081" s="149"/>
      <c r="V3081" s="89"/>
      <c r="Z3081" s="26"/>
      <c r="AA3081" s="26"/>
    </row>
    <row r="3082" spans="1:27" ht="15" customHeight="1" x14ac:dyDescent="0.2">
      <c r="A3082" s="93">
        <v>41769.705937500003</v>
      </c>
      <c r="B3082" s="89" t="s">
        <v>38</v>
      </c>
      <c r="C3082" s="52" t="s">
        <v>995</v>
      </c>
      <c r="D3082" s="87" t="s">
        <v>6076</v>
      </c>
      <c r="E3082" s="89" t="s">
        <v>1734</v>
      </c>
      <c r="F3082" s="89" t="s">
        <v>2872</v>
      </c>
      <c r="G3082" s="89" t="s">
        <v>26</v>
      </c>
      <c r="H3082" s="89" t="s">
        <v>6771</v>
      </c>
      <c r="I3082" s="89" t="s">
        <v>2812</v>
      </c>
      <c r="J3082" s="95">
        <v>1</v>
      </c>
      <c r="K3082" s="95">
        <v>5</v>
      </c>
      <c r="L3082" s="149">
        <v>25</v>
      </c>
      <c r="M3082" s="146" t="s">
        <v>44</v>
      </c>
      <c r="N3082" s="149"/>
      <c r="O3082" s="149">
        <v>10</v>
      </c>
      <c r="P3082" s="149">
        <v>4</v>
      </c>
      <c r="Q3082" s="149"/>
      <c r="R3082" s="149"/>
      <c r="S3082" s="149"/>
      <c r="T3082" s="149"/>
      <c r="U3082" s="149"/>
      <c r="V3082" s="89"/>
      <c r="Z3082" s="26"/>
      <c r="AA3082" s="26"/>
    </row>
    <row r="3083" spans="1:27" ht="15" customHeight="1" x14ac:dyDescent="0.2">
      <c r="A3083" s="93">
        <v>41769.7078819444</v>
      </c>
      <c r="B3083" s="89" t="s">
        <v>38</v>
      </c>
      <c r="C3083" s="52" t="s">
        <v>995</v>
      </c>
      <c r="D3083" s="87" t="s">
        <v>6076</v>
      </c>
      <c r="E3083" s="89" t="s">
        <v>1169</v>
      </c>
      <c r="F3083" s="89" t="s">
        <v>1147</v>
      </c>
      <c r="G3083" s="89" t="s">
        <v>26</v>
      </c>
      <c r="H3083" s="89" t="s">
        <v>6772</v>
      </c>
      <c r="I3083" s="89" t="s">
        <v>2986</v>
      </c>
      <c r="J3083" s="95">
        <v>1</v>
      </c>
      <c r="K3083" s="95">
        <v>17</v>
      </c>
      <c r="L3083" s="149">
        <v>255</v>
      </c>
      <c r="M3083" s="146" t="s">
        <v>44</v>
      </c>
      <c r="N3083" s="149"/>
      <c r="O3083" s="149">
        <v>45</v>
      </c>
      <c r="P3083" s="149">
        <v>44</v>
      </c>
      <c r="Q3083" s="149"/>
      <c r="R3083" s="149"/>
      <c r="S3083" s="149"/>
      <c r="T3083" s="149"/>
      <c r="U3083" s="149"/>
      <c r="V3083" s="89"/>
      <c r="Z3083" s="26"/>
      <c r="AA3083" s="26"/>
    </row>
    <row r="3084" spans="1:27" ht="15" customHeight="1" x14ac:dyDescent="0.2">
      <c r="A3084" s="93">
        <v>41769.709548611099</v>
      </c>
      <c r="B3084" s="89" t="s">
        <v>38</v>
      </c>
      <c r="C3084" s="52" t="s">
        <v>995</v>
      </c>
      <c r="D3084" s="87" t="s">
        <v>6076</v>
      </c>
      <c r="E3084" s="89" t="s">
        <v>6773</v>
      </c>
      <c r="F3084" s="89" t="s">
        <v>6774</v>
      </c>
      <c r="G3084" s="89" t="s">
        <v>26</v>
      </c>
      <c r="H3084" s="89" t="s">
        <v>6775</v>
      </c>
      <c r="I3084" s="89" t="s">
        <v>6768</v>
      </c>
      <c r="J3084" s="95">
        <v>1</v>
      </c>
      <c r="K3084" s="95">
        <v>8</v>
      </c>
      <c r="L3084" s="149">
        <v>120</v>
      </c>
      <c r="M3084" s="146" t="s">
        <v>44</v>
      </c>
      <c r="N3084" s="149"/>
      <c r="O3084" s="149">
        <v>25</v>
      </c>
      <c r="P3084" s="149">
        <v>6</v>
      </c>
      <c r="Q3084" s="149"/>
      <c r="R3084" s="149"/>
      <c r="S3084" s="149"/>
      <c r="T3084" s="149"/>
      <c r="U3084" s="149"/>
      <c r="V3084" s="89"/>
      <c r="Z3084" s="26"/>
      <c r="AA3084" s="26"/>
    </row>
    <row r="3085" spans="1:27" ht="15" customHeight="1" x14ac:dyDescent="0.2">
      <c r="A3085" s="93">
        <v>41769.7129166667</v>
      </c>
      <c r="B3085" s="89" t="s">
        <v>38</v>
      </c>
      <c r="C3085" s="52" t="s">
        <v>995</v>
      </c>
      <c r="D3085" s="87" t="s">
        <v>6076</v>
      </c>
      <c r="E3085" s="89" t="s">
        <v>6776</v>
      </c>
      <c r="F3085" s="89" t="s">
        <v>6116</v>
      </c>
      <c r="G3085" s="89" t="s">
        <v>156</v>
      </c>
      <c r="H3085" s="89" t="s">
        <v>6777</v>
      </c>
      <c r="I3085" s="89" t="s">
        <v>2986</v>
      </c>
      <c r="J3085" s="95">
        <v>1</v>
      </c>
      <c r="K3085" s="95">
        <v>22</v>
      </c>
      <c r="L3085" s="149"/>
      <c r="M3085" s="146" t="s">
        <v>44</v>
      </c>
      <c r="N3085" s="149"/>
      <c r="O3085" s="149">
        <v>65</v>
      </c>
      <c r="P3085" s="149">
        <v>42</v>
      </c>
      <c r="Q3085" s="149"/>
      <c r="R3085" s="149"/>
      <c r="S3085" s="149"/>
      <c r="T3085" s="149"/>
      <c r="U3085" s="149"/>
      <c r="V3085" s="89"/>
      <c r="Z3085" s="26"/>
      <c r="AA3085" s="26"/>
    </row>
    <row r="3086" spans="1:27" ht="15" customHeight="1" x14ac:dyDescent="0.2">
      <c r="A3086" s="93">
        <v>41769.713668981502</v>
      </c>
      <c r="B3086" s="89" t="s">
        <v>38</v>
      </c>
      <c r="C3086" s="52" t="s">
        <v>995</v>
      </c>
      <c r="D3086" s="87" t="s">
        <v>6076</v>
      </c>
      <c r="E3086" s="89" t="s">
        <v>6778</v>
      </c>
      <c r="F3086" s="89" t="s">
        <v>2872</v>
      </c>
      <c r="G3086" s="89" t="s">
        <v>26</v>
      </c>
      <c r="H3086" s="89"/>
      <c r="I3086" s="89" t="s">
        <v>2812</v>
      </c>
      <c r="J3086" s="95">
        <v>1</v>
      </c>
      <c r="K3086" s="95">
        <v>2</v>
      </c>
      <c r="L3086" s="149">
        <v>10</v>
      </c>
      <c r="M3086" s="146" t="s">
        <v>44</v>
      </c>
      <c r="N3086" s="149"/>
      <c r="O3086" s="149">
        <v>5</v>
      </c>
      <c r="P3086" s="149">
        <v>45</v>
      </c>
      <c r="Q3086" s="149"/>
      <c r="R3086" s="149"/>
      <c r="S3086" s="149"/>
      <c r="T3086" s="149"/>
      <c r="U3086" s="149"/>
      <c r="V3086" s="89"/>
      <c r="Z3086" s="26"/>
      <c r="AA3086" s="26"/>
    </row>
    <row r="3087" spans="1:27" ht="15" customHeight="1" x14ac:dyDescent="0.2">
      <c r="A3087" s="93">
        <v>41769.714953703697</v>
      </c>
      <c r="B3087" s="89" t="s">
        <v>38</v>
      </c>
      <c r="C3087" s="52" t="s">
        <v>995</v>
      </c>
      <c r="D3087" s="87" t="s">
        <v>6076</v>
      </c>
      <c r="E3087" s="89" t="s">
        <v>2625</v>
      </c>
      <c r="F3087" s="89" t="s">
        <v>6779</v>
      </c>
      <c r="G3087" s="94" t="s">
        <v>26</v>
      </c>
      <c r="H3087" s="89" t="s">
        <v>6780</v>
      </c>
      <c r="I3087" s="89" t="s">
        <v>2812</v>
      </c>
      <c r="J3087" s="95">
        <v>1</v>
      </c>
      <c r="K3087" s="95">
        <v>7</v>
      </c>
      <c r="L3087" s="149">
        <v>105</v>
      </c>
      <c r="M3087" s="146" t="s">
        <v>44</v>
      </c>
      <c r="N3087" s="149"/>
      <c r="O3087" s="149">
        <v>30</v>
      </c>
      <c r="P3087" s="149">
        <v>20</v>
      </c>
      <c r="Q3087" s="149"/>
      <c r="R3087" s="149"/>
      <c r="S3087" s="149"/>
      <c r="T3087" s="149"/>
      <c r="U3087" s="149"/>
      <c r="V3087" s="89"/>
      <c r="Z3087" s="26"/>
      <c r="AA3087" s="26"/>
    </row>
    <row r="3088" spans="1:27" ht="15" customHeight="1" x14ac:dyDescent="0.2">
      <c r="A3088" s="93">
        <v>41769.7160069444</v>
      </c>
      <c r="B3088" s="89" t="s">
        <v>38</v>
      </c>
      <c r="C3088" s="52" t="s">
        <v>995</v>
      </c>
      <c r="D3088" s="87" t="s">
        <v>6076</v>
      </c>
      <c r="E3088" s="89" t="s">
        <v>6781</v>
      </c>
      <c r="F3088" s="89" t="s">
        <v>1747</v>
      </c>
      <c r="G3088" s="89" t="s">
        <v>26</v>
      </c>
      <c r="H3088" s="89" t="s">
        <v>1017</v>
      </c>
      <c r="I3088" s="89" t="s">
        <v>2812</v>
      </c>
      <c r="J3088" s="95">
        <v>1</v>
      </c>
      <c r="K3088" s="95">
        <v>1</v>
      </c>
      <c r="L3088" s="149">
        <v>5</v>
      </c>
      <c r="M3088" s="146" t="s">
        <v>44</v>
      </c>
      <c r="N3088" s="149"/>
      <c r="O3088" s="149">
        <v>5</v>
      </c>
      <c r="P3088" s="149">
        <v>2</v>
      </c>
      <c r="Q3088" s="149"/>
      <c r="R3088" s="149"/>
      <c r="S3088" s="149"/>
      <c r="T3088" s="149"/>
      <c r="U3088" s="149"/>
      <c r="V3088" s="89"/>
      <c r="Z3088" s="26"/>
      <c r="AA3088" s="26"/>
    </row>
    <row r="3089" spans="1:27" ht="15" customHeight="1" x14ac:dyDescent="0.2">
      <c r="A3089" s="93">
        <v>41769.7168634259</v>
      </c>
      <c r="B3089" s="89" t="s">
        <v>38</v>
      </c>
      <c r="C3089" s="52" t="s">
        <v>995</v>
      </c>
      <c r="D3089" s="87" t="s">
        <v>6076</v>
      </c>
      <c r="E3089" s="89" t="s">
        <v>6770</v>
      </c>
      <c r="F3089" s="89" t="s">
        <v>6782</v>
      </c>
      <c r="G3089" s="89" t="s">
        <v>26</v>
      </c>
      <c r="H3089" s="89" t="s">
        <v>1171</v>
      </c>
      <c r="I3089" s="89" t="s">
        <v>2986</v>
      </c>
      <c r="J3089" s="95">
        <v>1</v>
      </c>
      <c r="K3089" s="95">
        <v>1</v>
      </c>
      <c r="L3089" s="149">
        <v>15</v>
      </c>
      <c r="M3089" s="146" t="s">
        <v>44</v>
      </c>
      <c r="N3089" s="149"/>
      <c r="O3089" s="149">
        <v>5</v>
      </c>
      <c r="P3089" s="149"/>
      <c r="Q3089" s="149"/>
      <c r="R3089" s="149"/>
      <c r="S3089" s="149"/>
      <c r="T3089" s="149"/>
      <c r="U3089" s="149"/>
      <c r="V3089" s="89"/>
      <c r="Z3089" s="26"/>
      <c r="AA3089" s="26"/>
    </row>
    <row r="3090" spans="1:27" ht="15" customHeight="1" x14ac:dyDescent="0.2">
      <c r="A3090" s="53">
        <v>41769.720972222203</v>
      </c>
      <c r="B3090" s="54" t="s">
        <v>38</v>
      </c>
      <c r="C3090" s="52" t="s">
        <v>995</v>
      </c>
      <c r="D3090" s="87">
        <v>41699</v>
      </c>
      <c r="E3090" s="54" t="s">
        <v>6788</v>
      </c>
      <c r="F3090" s="54" t="s">
        <v>1147</v>
      </c>
      <c r="G3090" s="54" t="s">
        <v>26</v>
      </c>
      <c r="H3090" s="54" t="s">
        <v>1171</v>
      </c>
      <c r="I3090" s="54" t="s">
        <v>2986</v>
      </c>
      <c r="J3090" s="95">
        <v>1</v>
      </c>
      <c r="K3090" s="95">
        <v>11</v>
      </c>
      <c r="L3090" s="145">
        <v>165</v>
      </c>
      <c r="M3090" s="146" t="s">
        <v>44</v>
      </c>
      <c r="N3090" s="147"/>
      <c r="O3090" s="147">
        <v>25</v>
      </c>
      <c r="P3090" s="147">
        <v>6</v>
      </c>
      <c r="Q3090" s="147"/>
      <c r="R3090" s="147"/>
      <c r="S3090" s="147"/>
      <c r="T3090" s="147"/>
      <c r="U3090" s="147"/>
      <c r="V3090" s="54"/>
      <c r="W3090" s="26"/>
      <c r="X3090" s="26"/>
      <c r="Y3090" s="26"/>
      <c r="Z3090" s="26"/>
      <c r="AA3090" s="26"/>
    </row>
    <row r="3091" spans="1:27" ht="15" customHeight="1" x14ac:dyDescent="0.2">
      <c r="A3091" s="93">
        <v>41769.718101851897</v>
      </c>
      <c r="B3091" s="89" t="s">
        <v>38</v>
      </c>
      <c r="C3091" s="52" t="s">
        <v>995</v>
      </c>
      <c r="D3091" s="87" t="s">
        <v>6076</v>
      </c>
      <c r="E3091" s="89" t="s">
        <v>6783</v>
      </c>
      <c r="F3091" s="89" t="s">
        <v>6784</v>
      </c>
      <c r="G3091" s="89" t="s">
        <v>26</v>
      </c>
      <c r="H3091" s="89" t="s">
        <v>6785</v>
      </c>
      <c r="I3091" s="89" t="s">
        <v>6768</v>
      </c>
      <c r="J3091" s="95">
        <v>1</v>
      </c>
      <c r="K3091" s="95"/>
      <c r="L3091" s="149">
        <v>15</v>
      </c>
      <c r="M3091" s="146" t="s">
        <v>44</v>
      </c>
      <c r="N3091" s="149"/>
      <c r="O3091" s="149">
        <v>5</v>
      </c>
      <c r="P3091" s="149"/>
      <c r="Q3091" s="149"/>
      <c r="R3091" s="149"/>
      <c r="S3091" s="149"/>
      <c r="T3091" s="149"/>
      <c r="U3091" s="149"/>
      <c r="V3091" s="89"/>
      <c r="Z3091" s="26"/>
      <c r="AA3091" s="26"/>
    </row>
    <row r="3092" spans="1:27" ht="15" customHeight="1" x14ac:dyDescent="0.2">
      <c r="A3092" s="93">
        <v>41769.7195601852</v>
      </c>
      <c r="B3092" s="89" t="s">
        <v>38</v>
      </c>
      <c r="C3092" s="52" t="s">
        <v>995</v>
      </c>
      <c r="D3092" s="87" t="s">
        <v>6076</v>
      </c>
      <c r="E3092" s="89" t="s">
        <v>6786</v>
      </c>
      <c r="F3092" s="89" t="s">
        <v>6787</v>
      </c>
      <c r="G3092" s="89" t="s">
        <v>26</v>
      </c>
      <c r="H3092" s="89">
        <v>15</v>
      </c>
      <c r="I3092" s="89" t="s">
        <v>6768</v>
      </c>
      <c r="J3092" s="95">
        <v>1</v>
      </c>
      <c r="K3092" s="95">
        <v>15</v>
      </c>
      <c r="L3092" s="149">
        <v>90</v>
      </c>
      <c r="M3092" s="146" t="s">
        <v>44</v>
      </c>
      <c r="N3092" s="149"/>
      <c r="O3092" s="149">
        <v>25</v>
      </c>
      <c r="P3092" s="149"/>
      <c r="Q3092" s="149"/>
      <c r="R3092" s="149"/>
      <c r="S3092" s="149"/>
      <c r="T3092" s="149"/>
      <c r="U3092" s="149"/>
      <c r="V3092" s="89"/>
      <c r="Z3092" s="26"/>
      <c r="AA3092" s="26"/>
    </row>
    <row r="3093" spans="1:27" ht="15" customHeight="1" x14ac:dyDescent="0.2">
      <c r="A3093" s="93">
        <v>41769.722361111097</v>
      </c>
      <c r="B3093" s="89" t="s">
        <v>38</v>
      </c>
      <c r="C3093" s="52" t="s">
        <v>995</v>
      </c>
      <c r="D3093" s="87" t="s">
        <v>6076</v>
      </c>
      <c r="E3093" s="89" t="s">
        <v>4891</v>
      </c>
      <c r="F3093" s="89" t="s">
        <v>6071</v>
      </c>
      <c r="G3093" s="89" t="s">
        <v>26</v>
      </c>
      <c r="H3093" s="89" t="s">
        <v>6789</v>
      </c>
      <c r="I3093" s="89" t="s">
        <v>6747</v>
      </c>
      <c r="J3093" s="95">
        <v>1</v>
      </c>
      <c r="K3093" s="95">
        <v>18</v>
      </c>
      <c r="L3093" s="149">
        <v>90</v>
      </c>
      <c r="M3093" s="146" t="s">
        <v>44</v>
      </c>
      <c r="N3093" s="149"/>
      <c r="O3093" s="149">
        <v>25</v>
      </c>
      <c r="P3093" s="149">
        <v>40</v>
      </c>
      <c r="Q3093" s="149"/>
      <c r="R3093" s="149"/>
      <c r="S3093" s="149"/>
      <c r="T3093" s="149"/>
      <c r="U3093" s="149"/>
      <c r="V3093" s="89"/>
      <c r="Z3093" s="26"/>
      <c r="AA3093" s="26"/>
    </row>
    <row r="3094" spans="1:27" ht="15" customHeight="1" x14ac:dyDescent="0.2">
      <c r="A3094" s="93">
        <v>41769.723680555602</v>
      </c>
      <c r="B3094" s="89" t="s">
        <v>38</v>
      </c>
      <c r="C3094" s="52" t="s">
        <v>995</v>
      </c>
      <c r="D3094" s="87" t="s">
        <v>6076</v>
      </c>
      <c r="E3094" s="89" t="s">
        <v>2664</v>
      </c>
      <c r="F3094" s="89" t="s">
        <v>4080</v>
      </c>
      <c r="G3094" s="94" t="s">
        <v>26</v>
      </c>
      <c r="H3094" s="89" t="s">
        <v>6790</v>
      </c>
      <c r="I3094" s="89" t="s">
        <v>6768</v>
      </c>
      <c r="J3094" s="95">
        <v>1</v>
      </c>
      <c r="K3094" s="95">
        <v>13</v>
      </c>
      <c r="L3094" s="149">
        <v>51</v>
      </c>
      <c r="M3094" s="146"/>
      <c r="N3094" s="149"/>
      <c r="O3094" s="149"/>
      <c r="P3094" s="149">
        <v>24</v>
      </c>
      <c r="Q3094" s="149"/>
      <c r="R3094" s="149"/>
      <c r="S3094" s="149"/>
      <c r="T3094" s="149"/>
      <c r="U3094" s="149"/>
      <c r="V3094" s="89"/>
      <c r="Z3094" s="26"/>
      <c r="AA3094" s="26"/>
    </row>
    <row r="3095" spans="1:27" ht="15" customHeight="1" x14ac:dyDescent="0.2">
      <c r="A3095" s="93">
        <v>41769.726226851897</v>
      </c>
      <c r="B3095" s="89" t="s">
        <v>38</v>
      </c>
      <c r="C3095" s="52" t="s">
        <v>995</v>
      </c>
      <c r="D3095" s="87" t="s">
        <v>6076</v>
      </c>
      <c r="E3095" s="89" t="s">
        <v>1720</v>
      </c>
      <c r="F3095" s="89" t="s">
        <v>5889</v>
      </c>
      <c r="G3095" s="89" t="s">
        <v>26</v>
      </c>
      <c r="H3095" s="89" t="s">
        <v>5890</v>
      </c>
      <c r="I3095" s="89" t="s">
        <v>2986</v>
      </c>
      <c r="J3095" s="95">
        <v>1</v>
      </c>
      <c r="K3095" s="95">
        <v>22</v>
      </c>
      <c r="L3095" s="149">
        <v>110</v>
      </c>
      <c r="M3095" s="146" t="s">
        <v>44</v>
      </c>
      <c r="N3095" s="149"/>
      <c r="O3095" s="149">
        <v>50</v>
      </c>
      <c r="P3095" s="149">
        <v>34</v>
      </c>
      <c r="Q3095" s="149"/>
      <c r="R3095" s="149"/>
      <c r="S3095" s="149"/>
      <c r="T3095" s="149"/>
      <c r="U3095" s="149"/>
      <c r="V3095" s="89"/>
      <c r="Z3095" s="26"/>
      <c r="AA3095" s="26"/>
    </row>
    <row r="3096" spans="1:27" ht="15" customHeight="1" x14ac:dyDescent="0.2">
      <c r="A3096" s="93">
        <v>41769.727581018502</v>
      </c>
      <c r="B3096" s="89" t="s">
        <v>38</v>
      </c>
      <c r="C3096" s="52" t="s">
        <v>995</v>
      </c>
      <c r="D3096" s="87" t="s">
        <v>6076</v>
      </c>
      <c r="E3096" s="89" t="s">
        <v>1142</v>
      </c>
      <c r="F3096" s="89" t="s">
        <v>6792</v>
      </c>
      <c r="G3096" s="94" t="s">
        <v>26</v>
      </c>
      <c r="H3096" s="89" t="s">
        <v>6793</v>
      </c>
      <c r="I3096" s="89"/>
      <c r="J3096" s="95">
        <v>1</v>
      </c>
      <c r="K3096" s="95">
        <v>1</v>
      </c>
      <c r="L3096" s="149">
        <v>15</v>
      </c>
      <c r="M3096" s="146" t="s">
        <v>44</v>
      </c>
      <c r="N3096" s="149"/>
      <c r="O3096" s="149">
        <v>5</v>
      </c>
      <c r="P3096" s="149"/>
      <c r="Q3096" s="149"/>
      <c r="R3096" s="149"/>
      <c r="S3096" s="149"/>
      <c r="T3096" s="149"/>
      <c r="U3096" s="149"/>
      <c r="V3096" s="89"/>
      <c r="Z3096" s="26"/>
      <c r="AA3096" s="26"/>
    </row>
    <row r="3097" spans="1:27" ht="15" customHeight="1" x14ac:dyDescent="0.2">
      <c r="A3097" s="93">
        <v>41769.728483796302</v>
      </c>
      <c r="B3097" s="89" t="s">
        <v>38</v>
      </c>
      <c r="C3097" s="52" t="s">
        <v>995</v>
      </c>
      <c r="D3097" s="87" t="s">
        <v>6076</v>
      </c>
      <c r="E3097" s="89" t="s">
        <v>1003</v>
      </c>
      <c r="F3097" s="89" t="s">
        <v>2872</v>
      </c>
      <c r="G3097" s="89" t="s">
        <v>26</v>
      </c>
      <c r="H3097" s="89" t="s">
        <v>6794</v>
      </c>
      <c r="I3097" s="89"/>
      <c r="J3097" s="95">
        <v>1</v>
      </c>
      <c r="K3097" s="95">
        <v>1</v>
      </c>
      <c r="L3097" s="149">
        <v>5</v>
      </c>
      <c r="M3097" s="146" t="s">
        <v>44</v>
      </c>
      <c r="N3097" s="149"/>
      <c r="O3097" s="149">
        <v>5</v>
      </c>
      <c r="P3097" s="149"/>
      <c r="Q3097" s="149"/>
      <c r="R3097" s="149"/>
      <c r="S3097" s="149"/>
      <c r="T3097" s="149"/>
      <c r="U3097" s="149"/>
      <c r="V3097" s="89"/>
      <c r="Z3097" s="26"/>
      <c r="AA3097" s="26"/>
    </row>
    <row r="3098" spans="1:27" ht="15" customHeight="1" x14ac:dyDescent="0.2">
      <c r="A3098" s="55">
        <v>41769.731504629599</v>
      </c>
      <c r="B3098" s="52" t="s">
        <v>38</v>
      </c>
      <c r="C3098" s="52" t="s">
        <v>995</v>
      </c>
      <c r="D3098" s="88" t="s">
        <v>6076</v>
      </c>
      <c r="E3098" s="52" t="s">
        <v>4909</v>
      </c>
      <c r="F3098" s="52" t="s">
        <v>6795</v>
      </c>
      <c r="G3098" s="52" t="s">
        <v>20</v>
      </c>
      <c r="H3098" s="52" t="s">
        <v>6796</v>
      </c>
      <c r="I3098" s="52" t="s">
        <v>2986</v>
      </c>
      <c r="J3098" s="95">
        <v>1</v>
      </c>
      <c r="K3098" s="95">
        <v>24</v>
      </c>
      <c r="L3098" s="149">
        <v>72</v>
      </c>
      <c r="M3098" s="146" t="s">
        <v>44</v>
      </c>
      <c r="N3098" s="149"/>
      <c r="O3098" s="149">
        <v>30</v>
      </c>
      <c r="P3098" s="149">
        <v>45</v>
      </c>
      <c r="Q3098" s="149"/>
      <c r="R3098" s="149"/>
      <c r="S3098" s="149"/>
      <c r="T3098" s="149"/>
      <c r="U3098" s="149"/>
      <c r="V3098" s="52"/>
      <c r="W3098" s="26"/>
      <c r="X3098" s="26"/>
      <c r="Y3098" s="26"/>
      <c r="Z3098" s="26"/>
      <c r="AA3098" s="26"/>
    </row>
    <row r="3099" spans="1:27" ht="15" customHeight="1" x14ac:dyDescent="0.2">
      <c r="A3099" s="93">
        <v>41769.732615740701</v>
      </c>
      <c r="B3099" s="89" t="s">
        <v>38</v>
      </c>
      <c r="C3099" s="52" t="s">
        <v>995</v>
      </c>
      <c r="D3099" s="87" t="s">
        <v>6076</v>
      </c>
      <c r="E3099" s="89" t="s">
        <v>1169</v>
      </c>
      <c r="F3099" s="89" t="s">
        <v>6797</v>
      </c>
      <c r="G3099" s="89" t="s">
        <v>26</v>
      </c>
      <c r="H3099" s="89" t="s">
        <v>2652</v>
      </c>
      <c r="I3099" s="89"/>
      <c r="J3099" s="95">
        <v>1</v>
      </c>
      <c r="K3099" s="95">
        <v>5</v>
      </c>
      <c r="L3099" s="149">
        <v>75</v>
      </c>
      <c r="M3099" s="146" t="s">
        <v>44</v>
      </c>
      <c r="N3099" s="149"/>
      <c r="O3099" s="149">
        <v>10</v>
      </c>
      <c r="P3099" s="149">
        <v>6</v>
      </c>
      <c r="Q3099" s="149"/>
      <c r="R3099" s="149"/>
      <c r="S3099" s="149"/>
      <c r="T3099" s="149"/>
      <c r="U3099" s="149"/>
      <c r="V3099" s="89"/>
      <c r="Z3099" s="26"/>
      <c r="AA3099" s="26"/>
    </row>
    <row r="3100" spans="1:27" ht="15" customHeight="1" x14ac:dyDescent="0.2">
      <c r="A3100" s="93">
        <v>41800.580069444397</v>
      </c>
      <c r="B3100" s="89" t="s">
        <v>16</v>
      </c>
      <c r="C3100" s="52" t="s">
        <v>406</v>
      </c>
      <c r="D3100" s="87" t="s">
        <v>6224</v>
      </c>
      <c r="E3100" s="89" t="s">
        <v>6299</v>
      </c>
      <c r="F3100" s="89" t="s">
        <v>7526</v>
      </c>
      <c r="G3100" s="89" t="s">
        <v>26</v>
      </c>
      <c r="H3100" s="89" t="s">
        <v>1969</v>
      </c>
      <c r="I3100" s="89" t="s">
        <v>2925</v>
      </c>
      <c r="J3100" s="95">
        <v>1</v>
      </c>
      <c r="K3100" s="95">
        <v>9</v>
      </c>
      <c r="L3100" s="150"/>
      <c r="M3100" s="146" t="s">
        <v>44</v>
      </c>
      <c r="N3100" s="149"/>
      <c r="O3100" s="149">
        <v>15</v>
      </c>
      <c r="P3100" s="149"/>
      <c r="Q3100" s="149"/>
      <c r="R3100" s="149"/>
      <c r="S3100" s="149"/>
      <c r="T3100" s="149"/>
      <c r="U3100" s="149"/>
      <c r="V3100" s="89"/>
      <c r="Z3100" s="26"/>
      <c r="AA3100" s="26"/>
    </row>
    <row r="3101" spans="1:27" ht="15" customHeight="1" x14ac:dyDescent="0.2">
      <c r="A3101" s="93">
        <v>41800.580601851798</v>
      </c>
      <c r="B3101" s="89" t="s">
        <v>16</v>
      </c>
      <c r="C3101" s="52" t="s">
        <v>406</v>
      </c>
      <c r="D3101" s="87" t="s">
        <v>6224</v>
      </c>
      <c r="E3101" s="89" t="s">
        <v>2386</v>
      </c>
      <c r="F3101" s="89" t="s">
        <v>2456</v>
      </c>
      <c r="G3101" s="89" t="s">
        <v>26</v>
      </c>
      <c r="H3101" s="89" t="s">
        <v>4794</v>
      </c>
      <c r="I3101" s="89" t="s">
        <v>3001</v>
      </c>
      <c r="J3101" s="95">
        <v>1</v>
      </c>
      <c r="K3101" s="95">
        <v>8</v>
      </c>
      <c r="L3101" s="150"/>
      <c r="M3101" s="146" t="s">
        <v>44</v>
      </c>
      <c r="N3101" s="149"/>
      <c r="O3101" s="149">
        <v>20</v>
      </c>
      <c r="P3101" s="149"/>
      <c r="Q3101" s="149"/>
      <c r="R3101" s="149"/>
      <c r="S3101" s="149"/>
      <c r="T3101" s="149"/>
      <c r="U3101" s="149"/>
      <c r="V3101" s="89"/>
      <c r="Z3101" s="26"/>
      <c r="AA3101" s="26"/>
    </row>
    <row r="3102" spans="1:27" ht="15" customHeight="1" x14ac:dyDescent="0.2">
      <c r="A3102" s="93">
        <v>41800.581157407403</v>
      </c>
      <c r="B3102" s="89" t="s">
        <v>16</v>
      </c>
      <c r="C3102" s="52" t="s">
        <v>406</v>
      </c>
      <c r="D3102" s="87" t="s">
        <v>6224</v>
      </c>
      <c r="E3102" s="89" t="s">
        <v>639</v>
      </c>
      <c r="F3102" s="89" t="s">
        <v>7527</v>
      </c>
      <c r="G3102" s="89" t="s">
        <v>26</v>
      </c>
      <c r="H3102" s="89" t="s">
        <v>7528</v>
      </c>
      <c r="I3102" s="89" t="s">
        <v>3001</v>
      </c>
      <c r="J3102" s="95">
        <v>1</v>
      </c>
      <c r="K3102" s="95">
        <v>0</v>
      </c>
      <c r="L3102" s="150"/>
      <c r="M3102" s="146" t="s">
        <v>22</v>
      </c>
      <c r="N3102" s="149"/>
      <c r="O3102" s="149"/>
      <c r="P3102" s="149"/>
      <c r="Q3102" s="149"/>
      <c r="R3102" s="149"/>
      <c r="S3102" s="149"/>
      <c r="T3102" s="149"/>
      <c r="U3102" s="149"/>
      <c r="V3102" s="89"/>
      <c r="Z3102" s="26"/>
      <c r="AA3102" s="26"/>
    </row>
    <row r="3103" spans="1:27" ht="15" customHeight="1" x14ac:dyDescent="0.2">
      <c r="A3103" s="93">
        <v>41800.582291666702</v>
      </c>
      <c r="B3103" s="89" t="s">
        <v>16</v>
      </c>
      <c r="C3103" s="52" t="s">
        <v>406</v>
      </c>
      <c r="D3103" s="87" t="s">
        <v>6224</v>
      </c>
      <c r="E3103" s="89" t="s">
        <v>4729</v>
      </c>
      <c r="F3103" s="89" t="s">
        <v>2566</v>
      </c>
      <c r="G3103" s="89" t="s">
        <v>26</v>
      </c>
      <c r="H3103" s="89" t="s">
        <v>4890</v>
      </c>
      <c r="I3103" s="89" t="s">
        <v>3001</v>
      </c>
      <c r="J3103" s="95">
        <v>1</v>
      </c>
      <c r="K3103" s="95">
        <v>9</v>
      </c>
      <c r="L3103" s="150">
        <v>30</v>
      </c>
      <c r="M3103" s="146" t="s">
        <v>44</v>
      </c>
      <c r="N3103" s="149"/>
      <c r="O3103" s="149">
        <v>25</v>
      </c>
      <c r="P3103" s="149"/>
      <c r="Q3103" s="149"/>
      <c r="R3103" s="149"/>
      <c r="S3103" s="149"/>
      <c r="T3103" s="149"/>
      <c r="U3103" s="149"/>
      <c r="V3103" s="89"/>
      <c r="Z3103" s="26"/>
      <c r="AA3103" s="26"/>
    </row>
    <row r="3104" spans="1:27" ht="15" customHeight="1" x14ac:dyDescent="0.2">
      <c r="A3104" s="93">
        <v>41800.582986111098</v>
      </c>
      <c r="B3104" s="89" t="s">
        <v>16</v>
      </c>
      <c r="C3104" s="52" t="s">
        <v>406</v>
      </c>
      <c r="D3104" s="87" t="s">
        <v>6224</v>
      </c>
      <c r="E3104" s="89" t="s">
        <v>4384</v>
      </c>
      <c r="F3104" s="89" t="s">
        <v>7529</v>
      </c>
      <c r="G3104" s="89" t="s">
        <v>26</v>
      </c>
      <c r="H3104" s="89" t="s">
        <v>7530</v>
      </c>
      <c r="I3104" s="89" t="s">
        <v>3001</v>
      </c>
      <c r="J3104" s="95">
        <v>1</v>
      </c>
      <c r="K3104" s="95">
        <v>9</v>
      </c>
      <c r="L3104" s="150"/>
      <c r="M3104" s="146" t="s">
        <v>44</v>
      </c>
      <c r="N3104" s="149"/>
      <c r="O3104" s="149">
        <v>25</v>
      </c>
      <c r="P3104" s="149"/>
      <c r="Q3104" s="149"/>
      <c r="R3104" s="149"/>
      <c r="S3104" s="149"/>
      <c r="T3104" s="149"/>
      <c r="U3104" s="149"/>
      <c r="V3104" s="89"/>
      <c r="Z3104" s="26"/>
      <c r="AA3104" s="26"/>
    </row>
    <row r="3105" spans="1:27" ht="15" customHeight="1" x14ac:dyDescent="0.2">
      <c r="A3105" s="93">
        <v>41800.583425925899</v>
      </c>
      <c r="B3105" s="89" t="s">
        <v>16</v>
      </c>
      <c r="C3105" s="52" t="s">
        <v>406</v>
      </c>
      <c r="D3105" s="87" t="s">
        <v>6224</v>
      </c>
      <c r="E3105" s="89" t="s">
        <v>7513</v>
      </c>
      <c r="F3105" s="89" t="s">
        <v>2466</v>
      </c>
      <c r="G3105" s="89" t="s">
        <v>26</v>
      </c>
      <c r="H3105" s="89" t="s">
        <v>7506</v>
      </c>
      <c r="I3105" s="89" t="s">
        <v>3001</v>
      </c>
      <c r="J3105" s="95">
        <v>1</v>
      </c>
      <c r="K3105" s="95">
        <v>3</v>
      </c>
      <c r="L3105" s="150"/>
      <c r="M3105" s="146" t="s">
        <v>44</v>
      </c>
      <c r="N3105" s="149"/>
      <c r="O3105" s="149">
        <v>10</v>
      </c>
      <c r="P3105" s="149"/>
      <c r="Q3105" s="149"/>
      <c r="R3105" s="149"/>
      <c r="S3105" s="149"/>
      <c r="T3105" s="149"/>
      <c r="U3105" s="149"/>
      <c r="V3105" s="89"/>
      <c r="Z3105" s="26"/>
      <c r="AA3105" s="26"/>
    </row>
    <row r="3106" spans="1:27" ht="15" customHeight="1" x14ac:dyDescent="0.2">
      <c r="A3106" s="93">
        <v>41800.583923611099</v>
      </c>
      <c r="B3106" s="89" t="s">
        <v>16</v>
      </c>
      <c r="C3106" s="52" t="s">
        <v>406</v>
      </c>
      <c r="D3106" s="87" t="s">
        <v>6224</v>
      </c>
      <c r="E3106" s="89" t="s">
        <v>7531</v>
      </c>
      <c r="F3106" s="89" t="s">
        <v>373</v>
      </c>
      <c r="G3106" s="89" t="s">
        <v>26</v>
      </c>
      <c r="H3106" s="89" t="s">
        <v>7517</v>
      </c>
      <c r="I3106" s="89" t="s">
        <v>3001</v>
      </c>
      <c r="J3106" s="95">
        <v>1</v>
      </c>
      <c r="K3106" s="95">
        <v>20</v>
      </c>
      <c r="L3106" s="150"/>
      <c r="M3106" s="146" t="s">
        <v>22</v>
      </c>
      <c r="N3106" s="149"/>
      <c r="O3106" s="149"/>
      <c r="P3106" s="149"/>
      <c r="Q3106" s="149"/>
      <c r="R3106" s="149"/>
      <c r="S3106" s="149"/>
      <c r="T3106" s="149"/>
      <c r="U3106" s="149"/>
      <c r="V3106" s="89"/>
      <c r="Z3106" s="26"/>
      <c r="AA3106" s="26"/>
    </row>
    <row r="3107" spans="1:27" ht="15" customHeight="1" x14ac:dyDescent="0.2">
      <c r="A3107" s="93">
        <v>41800.5844097222</v>
      </c>
      <c r="B3107" s="89" t="s">
        <v>16</v>
      </c>
      <c r="C3107" s="52" t="s">
        <v>406</v>
      </c>
      <c r="D3107" s="87" t="s">
        <v>6224</v>
      </c>
      <c r="E3107" s="89" t="s">
        <v>7518</v>
      </c>
      <c r="F3107" s="89" t="s">
        <v>931</v>
      </c>
      <c r="G3107" s="89" t="s">
        <v>26</v>
      </c>
      <c r="H3107" s="89" t="s">
        <v>7525</v>
      </c>
      <c r="I3107" s="89" t="s">
        <v>3001</v>
      </c>
      <c r="J3107" s="95">
        <v>1</v>
      </c>
      <c r="K3107" s="95">
        <v>12</v>
      </c>
      <c r="L3107" s="150"/>
      <c r="M3107" s="146" t="s">
        <v>44</v>
      </c>
      <c r="N3107" s="149"/>
      <c r="O3107" s="149">
        <v>20</v>
      </c>
      <c r="P3107" s="149"/>
      <c r="Q3107" s="149"/>
      <c r="R3107" s="149"/>
      <c r="S3107" s="149"/>
      <c r="T3107" s="149"/>
      <c r="U3107" s="149"/>
      <c r="V3107" s="89"/>
      <c r="Z3107" s="26"/>
      <c r="AA3107" s="26"/>
    </row>
    <row r="3108" spans="1:27" ht="15" customHeight="1" x14ac:dyDescent="0.2">
      <c r="A3108" s="93">
        <v>41800.584826388898</v>
      </c>
      <c r="B3108" s="89" t="s">
        <v>16</v>
      </c>
      <c r="C3108" s="52" t="s">
        <v>406</v>
      </c>
      <c r="D3108" s="87" t="s">
        <v>6224</v>
      </c>
      <c r="E3108" s="89" t="s">
        <v>2175</v>
      </c>
      <c r="F3108" s="89" t="s">
        <v>373</v>
      </c>
      <c r="G3108" s="89" t="s">
        <v>26</v>
      </c>
      <c r="H3108" s="89" t="s">
        <v>7517</v>
      </c>
      <c r="I3108" s="89" t="s">
        <v>3001</v>
      </c>
      <c r="J3108" s="95">
        <v>1</v>
      </c>
      <c r="K3108" s="95">
        <v>16</v>
      </c>
      <c r="L3108" s="150"/>
      <c r="M3108" s="146" t="s">
        <v>22</v>
      </c>
      <c r="N3108" s="149"/>
      <c r="O3108" s="149"/>
      <c r="P3108" s="149"/>
      <c r="Q3108" s="149"/>
      <c r="R3108" s="149"/>
      <c r="S3108" s="149"/>
      <c r="T3108" s="149"/>
      <c r="U3108" s="149"/>
      <c r="V3108" s="89"/>
      <c r="Z3108" s="26"/>
      <c r="AA3108" s="26"/>
    </row>
    <row r="3109" spans="1:27" ht="15" customHeight="1" x14ac:dyDescent="0.2">
      <c r="A3109" s="93">
        <v>41800.585312499999</v>
      </c>
      <c r="B3109" s="89" t="s">
        <v>16</v>
      </c>
      <c r="C3109" s="52" t="s">
        <v>406</v>
      </c>
      <c r="D3109" s="87" t="s">
        <v>6224</v>
      </c>
      <c r="E3109" s="89" t="s">
        <v>1475</v>
      </c>
      <c r="F3109" s="89" t="s">
        <v>7519</v>
      </c>
      <c r="G3109" s="89" t="s">
        <v>26</v>
      </c>
      <c r="H3109" s="89" t="s">
        <v>7520</v>
      </c>
      <c r="I3109" s="89" t="s">
        <v>3001</v>
      </c>
      <c r="J3109" s="95">
        <v>1</v>
      </c>
      <c r="K3109" s="95">
        <v>1</v>
      </c>
      <c r="L3109" s="150"/>
      <c r="M3109" s="146" t="s">
        <v>44</v>
      </c>
      <c r="N3109" s="149"/>
      <c r="O3109" s="149">
        <v>5</v>
      </c>
      <c r="P3109" s="149"/>
      <c r="Q3109" s="149"/>
      <c r="R3109" s="149"/>
      <c r="S3109" s="149"/>
      <c r="T3109" s="149"/>
      <c r="U3109" s="149"/>
      <c r="V3109" s="89"/>
      <c r="Z3109" s="26"/>
      <c r="AA3109" s="26"/>
    </row>
    <row r="3110" spans="1:27" ht="15" customHeight="1" x14ac:dyDescent="0.2">
      <c r="A3110" s="93">
        <v>41800.5868402778</v>
      </c>
      <c r="B3110" s="89" t="s">
        <v>16</v>
      </c>
      <c r="C3110" s="52" t="s">
        <v>406</v>
      </c>
      <c r="D3110" s="87" t="s">
        <v>6224</v>
      </c>
      <c r="E3110" s="89" t="s">
        <v>6299</v>
      </c>
      <c r="F3110" s="89" t="s">
        <v>7526</v>
      </c>
      <c r="G3110" s="89" t="s">
        <v>26</v>
      </c>
      <c r="H3110" s="89" t="s">
        <v>1969</v>
      </c>
      <c r="I3110" s="89" t="s">
        <v>3001</v>
      </c>
      <c r="J3110" s="95">
        <v>1</v>
      </c>
      <c r="K3110" s="95">
        <v>14</v>
      </c>
      <c r="L3110" s="150"/>
      <c r="M3110" s="146" t="s">
        <v>44</v>
      </c>
      <c r="N3110" s="149"/>
      <c r="O3110" s="149">
        <v>60</v>
      </c>
      <c r="P3110" s="149"/>
      <c r="Q3110" s="149"/>
      <c r="R3110" s="149"/>
      <c r="S3110" s="149"/>
      <c r="T3110" s="149"/>
      <c r="U3110" s="149"/>
      <c r="V3110" s="89"/>
      <c r="Z3110" s="26"/>
      <c r="AA3110" s="26"/>
    </row>
    <row r="3111" spans="1:27" ht="15" customHeight="1" x14ac:dyDescent="0.2">
      <c r="A3111" s="93">
        <v>41800.6010185185</v>
      </c>
      <c r="B3111" s="89" t="s">
        <v>16</v>
      </c>
      <c r="C3111" s="52" t="s">
        <v>406</v>
      </c>
      <c r="D3111" s="87" t="s">
        <v>6224</v>
      </c>
      <c r="E3111" s="89" t="s">
        <v>4726</v>
      </c>
      <c r="F3111" s="89" t="s">
        <v>7532</v>
      </c>
      <c r="G3111" s="89" t="s">
        <v>20</v>
      </c>
      <c r="H3111" s="89" t="s">
        <v>6332</v>
      </c>
      <c r="I3111" s="89" t="s">
        <v>3001</v>
      </c>
      <c r="J3111" s="95">
        <v>1</v>
      </c>
      <c r="K3111" s="95">
        <v>146</v>
      </c>
      <c r="L3111" s="150">
        <v>292</v>
      </c>
      <c r="M3111" s="146" t="s">
        <v>22</v>
      </c>
      <c r="N3111" s="149"/>
      <c r="O3111" s="149"/>
      <c r="P3111" s="149"/>
      <c r="Q3111" s="149"/>
      <c r="R3111" s="149"/>
      <c r="S3111" s="149"/>
      <c r="T3111" s="149"/>
      <c r="U3111" s="149"/>
      <c r="V3111" s="89"/>
      <c r="Z3111" s="26"/>
      <c r="AA3111" s="26"/>
    </row>
    <row r="3112" spans="1:27" ht="15" customHeight="1" x14ac:dyDescent="0.2">
      <c r="A3112" s="93">
        <v>41800.601759259298</v>
      </c>
      <c r="B3112" s="89" t="s">
        <v>16</v>
      </c>
      <c r="C3112" s="52" t="s">
        <v>406</v>
      </c>
      <c r="D3112" s="87" t="s">
        <v>6224</v>
      </c>
      <c r="E3112" s="89" t="s">
        <v>4748</v>
      </c>
      <c r="F3112" s="89" t="s">
        <v>4747</v>
      </c>
      <c r="G3112" s="89" t="s">
        <v>26</v>
      </c>
      <c r="H3112" s="89" t="s">
        <v>4743</v>
      </c>
      <c r="I3112" s="89" t="s">
        <v>3001</v>
      </c>
      <c r="J3112" s="95">
        <v>1</v>
      </c>
      <c r="K3112" s="95">
        <v>21</v>
      </c>
      <c r="L3112" s="150">
        <v>84</v>
      </c>
      <c r="M3112" s="146" t="s">
        <v>22</v>
      </c>
      <c r="N3112" s="149"/>
      <c r="O3112" s="149"/>
      <c r="P3112" s="149"/>
      <c r="Q3112" s="149"/>
      <c r="R3112" s="149"/>
      <c r="S3112" s="149"/>
      <c r="T3112" s="149"/>
      <c r="U3112" s="149"/>
      <c r="V3112" s="89"/>
      <c r="Z3112" s="26"/>
      <c r="AA3112" s="26"/>
    </row>
    <row r="3113" spans="1:27" ht="15" customHeight="1" x14ac:dyDescent="0.2">
      <c r="A3113" s="93">
        <v>41800.602430555598</v>
      </c>
      <c r="B3113" s="89" t="s">
        <v>16</v>
      </c>
      <c r="C3113" s="52" t="s">
        <v>406</v>
      </c>
      <c r="D3113" s="87" t="s">
        <v>6224</v>
      </c>
      <c r="E3113" s="89" t="s">
        <v>4738</v>
      </c>
      <c r="F3113" s="89" t="s">
        <v>7533</v>
      </c>
      <c r="G3113" s="89" t="s">
        <v>20</v>
      </c>
      <c r="H3113" s="89" t="s">
        <v>4743</v>
      </c>
      <c r="I3113" s="89" t="s">
        <v>3001</v>
      </c>
      <c r="J3113" s="95">
        <v>1</v>
      </c>
      <c r="K3113" s="95">
        <v>23</v>
      </c>
      <c r="L3113" s="150">
        <v>46</v>
      </c>
      <c r="M3113" s="146" t="s">
        <v>22</v>
      </c>
      <c r="N3113" s="149"/>
      <c r="O3113" s="149"/>
      <c r="P3113" s="149"/>
      <c r="Q3113" s="149"/>
      <c r="R3113" s="149"/>
      <c r="S3113" s="149"/>
      <c r="T3113" s="149"/>
      <c r="U3113" s="149"/>
      <c r="V3113" s="89"/>
      <c r="Z3113" s="26"/>
      <c r="AA3113" s="26"/>
    </row>
    <row r="3114" spans="1:27" ht="15" customHeight="1" x14ac:dyDescent="0.2">
      <c r="A3114" s="93">
        <v>41800.603055555599</v>
      </c>
      <c r="B3114" s="89" t="s">
        <v>16</v>
      </c>
      <c r="C3114" s="52" t="s">
        <v>406</v>
      </c>
      <c r="D3114" s="87" t="s">
        <v>6224</v>
      </c>
      <c r="E3114" s="89" t="s">
        <v>7534</v>
      </c>
      <c r="F3114" s="89" t="s">
        <v>7535</v>
      </c>
      <c r="G3114" s="89" t="s">
        <v>20</v>
      </c>
      <c r="H3114" s="89" t="s">
        <v>4802</v>
      </c>
      <c r="I3114" s="89" t="s">
        <v>3001</v>
      </c>
      <c r="J3114" s="95">
        <v>2</v>
      </c>
      <c r="K3114" s="95">
        <v>31</v>
      </c>
      <c r="L3114" s="150">
        <v>124</v>
      </c>
      <c r="M3114" s="146"/>
      <c r="N3114" s="149"/>
      <c r="O3114" s="149"/>
      <c r="P3114" s="149"/>
      <c r="Q3114" s="149"/>
      <c r="R3114" s="149"/>
      <c r="S3114" s="149"/>
      <c r="T3114" s="149"/>
      <c r="U3114" s="149"/>
      <c r="V3114" s="89"/>
      <c r="Z3114" s="26"/>
      <c r="AA3114" s="26"/>
    </row>
    <row r="3115" spans="1:27" ht="15" customHeight="1" x14ac:dyDescent="0.2">
      <c r="A3115" s="93">
        <v>41800.6167824074</v>
      </c>
      <c r="B3115" s="89" t="s">
        <v>16</v>
      </c>
      <c r="C3115" s="52" t="s">
        <v>406</v>
      </c>
      <c r="D3115" s="87" t="s">
        <v>6224</v>
      </c>
      <c r="E3115" s="89" t="s">
        <v>4741</v>
      </c>
      <c r="F3115" s="89" t="s">
        <v>7536</v>
      </c>
      <c r="G3115" s="89" t="s">
        <v>20</v>
      </c>
      <c r="H3115" s="89" t="s">
        <v>6318</v>
      </c>
      <c r="I3115" s="89" t="s">
        <v>3001</v>
      </c>
      <c r="J3115" s="95">
        <v>1</v>
      </c>
      <c r="K3115" s="95">
        <v>65</v>
      </c>
      <c r="L3115" s="150">
        <v>260</v>
      </c>
      <c r="M3115" s="146" t="s">
        <v>22</v>
      </c>
      <c r="N3115" s="149"/>
      <c r="O3115" s="149"/>
      <c r="P3115" s="149"/>
      <c r="Q3115" s="149"/>
      <c r="R3115" s="149"/>
      <c r="S3115" s="149"/>
      <c r="T3115" s="149"/>
      <c r="U3115" s="149"/>
      <c r="V3115" s="89"/>
      <c r="Z3115" s="26"/>
      <c r="AA3115" s="26"/>
    </row>
    <row r="3116" spans="1:27" ht="15" customHeight="1" x14ac:dyDescent="0.2">
      <c r="A3116" s="93">
        <v>41800.617465277799</v>
      </c>
      <c r="B3116" s="89" t="s">
        <v>16</v>
      </c>
      <c r="C3116" s="52" t="s">
        <v>406</v>
      </c>
      <c r="D3116" s="87" t="s">
        <v>6224</v>
      </c>
      <c r="E3116" s="89" t="s">
        <v>7537</v>
      </c>
      <c r="F3116" s="89" t="s">
        <v>7538</v>
      </c>
      <c r="G3116" s="89" t="s">
        <v>20</v>
      </c>
      <c r="H3116" s="89" t="s">
        <v>6358</v>
      </c>
      <c r="I3116" s="89" t="s">
        <v>3001</v>
      </c>
      <c r="J3116" s="95">
        <v>1</v>
      </c>
      <c r="K3116" s="95">
        <v>34</v>
      </c>
      <c r="L3116" s="150">
        <v>68</v>
      </c>
      <c r="M3116" s="146"/>
      <c r="N3116" s="149"/>
      <c r="O3116" s="149"/>
      <c r="P3116" s="149"/>
      <c r="Q3116" s="149"/>
      <c r="R3116" s="149"/>
      <c r="S3116" s="149"/>
      <c r="T3116" s="149"/>
      <c r="U3116" s="149"/>
      <c r="V3116" s="89"/>
      <c r="Z3116" s="26"/>
      <c r="AA3116" s="26"/>
    </row>
    <row r="3117" spans="1:27" ht="15" customHeight="1" x14ac:dyDescent="0.2">
      <c r="A3117" s="93">
        <v>41800.618148148198</v>
      </c>
      <c r="B3117" s="89" t="s">
        <v>16</v>
      </c>
      <c r="C3117" s="52" t="s">
        <v>406</v>
      </c>
      <c r="D3117" s="87" t="s">
        <v>6224</v>
      </c>
      <c r="E3117" s="89" t="s">
        <v>4741</v>
      </c>
      <c r="F3117" s="89" t="s">
        <v>7539</v>
      </c>
      <c r="G3117" s="89" t="s">
        <v>20</v>
      </c>
      <c r="H3117" s="89" t="s">
        <v>6332</v>
      </c>
      <c r="I3117" s="89" t="s">
        <v>3001</v>
      </c>
      <c r="J3117" s="95">
        <v>1</v>
      </c>
      <c r="K3117" s="95">
        <v>159</v>
      </c>
      <c r="L3117" s="150">
        <v>318</v>
      </c>
      <c r="M3117" s="146" t="s">
        <v>22</v>
      </c>
      <c r="N3117" s="149"/>
      <c r="O3117" s="149"/>
      <c r="P3117" s="149"/>
      <c r="Q3117" s="149"/>
      <c r="R3117" s="149"/>
      <c r="S3117" s="149"/>
      <c r="T3117" s="149"/>
      <c r="U3117" s="149"/>
      <c r="V3117" s="89"/>
      <c r="Z3117" s="26"/>
      <c r="AA3117" s="26"/>
    </row>
    <row r="3118" spans="1:27" ht="15" customHeight="1" x14ac:dyDescent="0.2">
      <c r="A3118" s="93">
        <v>41800.6188078704</v>
      </c>
      <c r="B3118" s="89" t="s">
        <v>16</v>
      </c>
      <c r="C3118" s="52" t="s">
        <v>406</v>
      </c>
      <c r="D3118" s="87" t="s">
        <v>6224</v>
      </c>
      <c r="E3118" s="89" t="s">
        <v>6319</v>
      </c>
      <c r="F3118" s="89" t="s">
        <v>7540</v>
      </c>
      <c r="G3118" s="89" t="s">
        <v>351</v>
      </c>
      <c r="H3118" s="89" t="s">
        <v>7541</v>
      </c>
      <c r="I3118" s="89" t="s">
        <v>2925</v>
      </c>
      <c r="J3118" s="95">
        <v>1</v>
      </c>
      <c r="K3118" s="95">
        <v>740</v>
      </c>
      <c r="L3118" s="150"/>
      <c r="M3118" s="146" t="s">
        <v>22</v>
      </c>
      <c r="N3118" s="149"/>
      <c r="O3118" s="149"/>
      <c r="P3118" s="149"/>
      <c r="Q3118" s="149"/>
      <c r="R3118" s="149"/>
      <c r="S3118" s="149"/>
      <c r="T3118" s="149"/>
      <c r="U3118" s="149"/>
      <c r="V3118" s="89"/>
      <c r="Z3118" s="26"/>
      <c r="AA3118" s="26"/>
    </row>
    <row r="3119" spans="1:27" ht="15" customHeight="1" x14ac:dyDescent="0.2">
      <c r="A3119" s="93">
        <v>41800.619652777801</v>
      </c>
      <c r="B3119" s="89" t="s">
        <v>16</v>
      </c>
      <c r="C3119" s="52" t="s">
        <v>406</v>
      </c>
      <c r="D3119" s="87" t="s">
        <v>6224</v>
      </c>
      <c r="E3119" s="89" t="s">
        <v>6327</v>
      </c>
      <c r="F3119" s="89" t="s">
        <v>7542</v>
      </c>
      <c r="G3119" s="89" t="s">
        <v>20</v>
      </c>
      <c r="H3119" s="89" t="s">
        <v>4743</v>
      </c>
      <c r="I3119" s="89" t="s">
        <v>3001</v>
      </c>
      <c r="J3119" s="95">
        <v>1</v>
      </c>
      <c r="K3119" s="95">
        <v>85</v>
      </c>
      <c r="L3119" s="150">
        <v>170</v>
      </c>
      <c r="M3119" s="146" t="s">
        <v>22</v>
      </c>
      <c r="N3119" s="149"/>
      <c r="O3119" s="149"/>
      <c r="P3119" s="149"/>
      <c r="Q3119" s="149"/>
      <c r="R3119" s="149"/>
      <c r="S3119" s="149"/>
      <c r="T3119" s="149"/>
      <c r="U3119" s="149"/>
      <c r="V3119" s="89"/>
      <c r="Z3119" s="26"/>
      <c r="AA3119" s="26"/>
    </row>
    <row r="3120" spans="1:27" ht="15" customHeight="1" x14ac:dyDescent="0.2">
      <c r="A3120" s="93">
        <v>41800.620370370401</v>
      </c>
      <c r="B3120" s="89" t="s">
        <v>16</v>
      </c>
      <c r="C3120" s="52" t="s">
        <v>406</v>
      </c>
      <c r="D3120" s="87" t="s">
        <v>6224</v>
      </c>
      <c r="E3120" s="89" t="s">
        <v>7543</v>
      </c>
      <c r="F3120" s="89" t="s">
        <v>7544</v>
      </c>
      <c r="G3120" s="89" t="s">
        <v>42</v>
      </c>
      <c r="H3120" s="89" t="s">
        <v>7545</v>
      </c>
      <c r="I3120" s="89" t="s">
        <v>3001</v>
      </c>
      <c r="J3120" s="95">
        <v>1</v>
      </c>
      <c r="K3120" s="95">
        <v>7</v>
      </c>
      <c r="L3120" s="150">
        <v>14</v>
      </c>
      <c r="M3120" s="146" t="s">
        <v>44</v>
      </c>
      <c r="N3120" s="149"/>
      <c r="O3120" s="149">
        <v>15</v>
      </c>
      <c r="P3120" s="149"/>
      <c r="Q3120" s="149"/>
      <c r="R3120" s="149"/>
      <c r="S3120" s="149"/>
      <c r="T3120" s="149"/>
      <c r="U3120" s="149"/>
      <c r="V3120" s="89"/>
      <c r="Z3120" s="26"/>
      <c r="AA3120" s="26"/>
    </row>
    <row r="3121" spans="1:27" ht="15" customHeight="1" x14ac:dyDescent="0.2">
      <c r="A3121" s="93">
        <v>41800.621157407397</v>
      </c>
      <c r="B3121" s="89" t="s">
        <v>16</v>
      </c>
      <c r="C3121" s="52" t="s">
        <v>406</v>
      </c>
      <c r="D3121" s="87" t="s">
        <v>6224</v>
      </c>
      <c r="E3121" s="89" t="s">
        <v>7546</v>
      </c>
      <c r="F3121" s="89" t="s">
        <v>5713</v>
      </c>
      <c r="G3121" s="89" t="s">
        <v>20</v>
      </c>
      <c r="H3121" s="89" t="s">
        <v>7547</v>
      </c>
      <c r="I3121" s="89" t="s">
        <v>3001</v>
      </c>
      <c r="J3121" s="95">
        <v>1</v>
      </c>
      <c r="K3121" s="95">
        <v>14</v>
      </c>
      <c r="L3121" s="150">
        <v>28</v>
      </c>
      <c r="M3121" s="146" t="s">
        <v>22</v>
      </c>
      <c r="N3121" s="149"/>
      <c r="O3121" s="149"/>
      <c r="P3121" s="149"/>
      <c r="Q3121" s="149"/>
      <c r="R3121" s="149"/>
      <c r="S3121" s="149"/>
      <c r="T3121" s="149"/>
      <c r="U3121" s="149"/>
      <c r="V3121" s="89"/>
      <c r="Z3121" s="26"/>
      <c r="AA3121" s="26"/>
    </row>
    <row r="3122" spans="1:27" ht="15" customHeight="1" x14ac:dyDescent="0.2">
      <c r="A3122" s="93">
        <v>41800.737268518496</v>
      </c>
      <c r="B3122" s="89" t="s">
        <v>16</v>
      </c>
      <c r="C3122" s="52" t="s">
        <v>512</v>
      </c>
      <c r="D3122" s="87" t="s">
        <v>6224</v>
      </c>
      <c r="E3122" s="89" t="s">
        <v>2447</v>
      </c>
      <c r="F3122" s="89" t="s">
        <v>7548</v>
      </c>
      <c r="G3122" s="89" t="s">
        <v>156</v>
      </c>
      <c r="H3122" s="89" t="s">
        <v>156</v>
      </c>
      <c r="I3122" s="89" t="s">
        <v>7549</v>
      </c>
      <c r="J3122" s="95">
        <v>1</v>
      </c>
      <c r="K3122" s="95">
        <v>45</v>
      </c>
      <c r="L3122" s="150"/>
      <c r="M3122" s="146" t="s">
        <v>22</v>
      </c>
      <c r="N3122" s="149"/>
      <c r="O3122" s="149"/>
      <c r="P3122" s="149"/>
      <c r="Q3122" s="149"/>
      <c r="R3122" s="149"/>
      <c r="S3122" s="149"/>
      <c r="T3122" s="149"/>
      <c r="U3122" s="149"/>
      <c r="V3122" s="89"/>
      <c r="Z3122" s="26"/>
      <c r="AA3122" s="26"/>
    </row>
    <row r="3123" spans="1:27" ht="15" customHeight="1" x14ac:dyDescent="0.2">
      <c r="A3123" s="93">
        <v>41800.738831018498</v>
      </c>
      <c r="B3123" s="89" t="s">
        <v>16</v>
      </c>
      <c r="C3123" s="52" t="s">
        <v>512</v>
      </c>
      <c r="D3123" s="87" t="s">
        <v>6224</v>
      </c>
      <c r="E3123" s="89" t="s">
        <v>7550</v>
      </c>
      <c r="F3123" s="89" t="s">
        <v>7551</v>
      </c>
      <c r="G3123" s="89" t="s">
        <v>20</v>
      </c>
      <c r="H3123" s="89" t="s">
        <v>7552</v>
      </c>
      <c r="I3123" s="89" t="s">
        <v>7553</v>
      </c>
      <c r="J3123" s="95">
        <v>1</v>
      </c>
      <c r="K3123" s="95">
        <v>83</v>
      </c>
      <c r="L3123" s="150">
        <v>249</v>
      </c>
      <c r="M3123" s="146" t="s">
        <v>22</v>
      </c>
      <c r="N3123" s="149"/>
      <c r="O3123" s="149"/>
      <c r="P3123" s="149"/>
      <c r="Q3123" s="149"/>
      <c r="R3123" s="149"/>
      <c r="S3123" s="149"/>
      <c r="T3123" s="149"/>
      <c r="U3123" s="149"/>
      <c r="V3123" s="89"/>
      <c r="Z3123" s="26"/>
      <c r="AA3123" s="26"/>
    </row>
    <row r="3124" spans="1:27" ht="15" customHeight="1" x14ac:dyDescent="0.2">
      <c r="A3124" s="93">
        <v>41800.7398958333</v>
      </c>
      <c r="B3124" s="89" t="s">
        <v>16</v>
      </c>
      <c r="C3124" s="52" t="s">
        <v>512</v>
      </c>
      <c r="D3124" s="87" t="s">
        <v>6224</v>
      </c>
      <c r="E3124" s="89" t="s">
        <v>3581</v>
      </c>
      <c r="F3124" s="89" t="s">
        <v>7554</v>
      </c>
      <c r="G3124" s="89" t="s">
        <v>20</v>
      </c>
      <c r="H3124" s="89" t="s">
        <v>7555</v>
      </c>
      <c r="I3124" s="89" t="s">
        <v>2986</v>
      </c>
      <c r="J3124" s="95">
        <v>1</v>
      </c>
      <c r="K3124" s="95">
        <v>15</v>
      </c>
      <c r="L3124" s="150">
        <v>22</v>
      </c>
      <c r="M3124" s="146" t="s">
        <v>22</v>
      </c>
      <c r="N3124" s="149"/>
      <c r="O3124" s="149"/>
      <c r="P3124" s="149"/>
      <c r="Q3124" s="149"/>
      <c r="R3124" s="149"/>
      <c r="S3124" s="149"/>
      <c r="T3124" s="149"/>
      <c r="U3124" s="149"/>
      <c r="V3124" s="89"/>
      <c r="Z3124" s="26"/>
      <c r="AA3124" s="26"/>
    </row>
    <row r="3125" spans="1:27" ht="15" customHeight="1" x14ac:dyDescent="0.2">
      <c r="A3125" s="93">
        <v>41800.740590277797</v>
      </c>
      <c r="B3125" s="89" t="s">
        <v>16</v>
      </c>
      <c r="C3125" s="52" t="s">
        <v>512</v>
      </c>
      <c r="D3125" s="87" t="s">
        <v>6224</v>
      </c>
      <c r="E3125" s="89" t="s">
        <v>6712</v>
      </c>
      <c r="F3125" s="89" t="s">
        <v>6713</v>
      </c>
      <c r="G3125" s="94" t="s">
        <v>26</v>
      </c>
      <c r="H3125" s="89"/>
      <c r="I3125" s="89" t="s">
        <v>2812</v>
      </c>
      <c r="J3125" s="95">
        <v>3</v>
      </c>
      <c r="K3125" s="95">
        <v>46</v>
      </c>
      <c r="L3125" s="150"/>
      <c r="M3125" s="146" t="s">
        <v>22</v>
      </c>
      <c r="N3125" s="149"/>
      <c r="O3125" s="149"/>
      <c r="P3125" s="149"/>
      <c r="Q3125" s="149"/>
      <c r="R3125" s="149"/>
      <c r="S3125" s="149"/>
      <c r="T3125" s="149"/>
      <c r="U3125" s="149"/>
      <c r="V3125" s="89"/>
      <c r="Z3125" s="26"/>
      <c r="AA3125" s="26"/>
    </row>
    <row r="3126" spans="1:27" ht="15" customHeight="1" x14ac:dyDescent="0.2">
      <c r="A3126" s="93">
        <v>41800.7419212963</v>
      </c>
      <c r="B3126" s="89" t="s">
        <v>16</v>
      </c>
      <c r="C3126" s="52" t="s">
        <v>512</v>
      </c>
      <c r="D3126" s="87" t="s">
        <v>6224</v>
      </c>
      <c r="E3126" s="89" t="s">
        <v>6947</v>
      </c>
      <c r="F3126" s="89" t="s">
        <v>663</v>
      </c>
      <c r="G3126" s="89" t="s">
        <v>26</v>
      </c>
      <c r="H3126" s="89" t="s">
        <v>7556</v>
      </c>
      <c r="I3126" s="89" t="s">
        <v>2986</v>
      </c>
      <c r="J3126" s="95">
        <v>1</v>
      </c>
      <c r="K3126" s="95">
        <v>9</v>
      </c>
      <c r="L3126" s="150">
        <v>4</v>
      </c>
      <c r="M3126" s="146" t="s">
        <v>22</v>
      </c>
      <c r="N3126" s="149"/>
      <c r="O3126" s="149"/>
      <c r="P3126" s="149"/>
      <c r="Q3126" s="149"/>
      <c r="R3126" s="149"/>
      <c r="S3126" s="149"/>
      <c r="T3126" s="149"/>
      <c r="U3126" s="149"/>
      <c r="V3126" s="89"/>
      <c r="Z3126" s="26"/>
      <c r="AA3126" s="26"/>
    </row>
    <row r="3127" spans="1:27" ht="15" customHeight="1" x14ac:dyDescent="0.2">
      <c r="A3127" s="93">
        <v>41800.742893518502</v>
      </c>
      <c r="B3127" s="89" t="s">
        <v>16</v>
      </c>
      <c r="C3127" s="52" t="s">
        <v>512</v>
      </c>
      <c r="D3127" s="87" t="s">
        <v>6224</v>
      </c>
      <c r="E3127" s="89" t="s">
        <v>7557</v>
      </c>
      <c r="F3127" s="89" t="s">
        <v>7558</v>
      </c>
      <c r="G3127" s="94" t="s">
        <v>26</v>
      </c>
      <c r="H3127" s="89" t="s">
        <v>7559</v>
      </c>
      <c r="I3127" s="89" t="s">
        <v>2986</v>
      </c>
      <c r="J3127" s="95">
        <v>1</v>
      </c>
      <c r="K3127" s="95">
        <v>40</v>
      </c>
      <c r="L3127" s="150">
        <v>20</v>
      </c>
      <c r="M3127" s="146" t="s">
        <v>22</v>
      </c>
      <c r="N3127" s="149"/>
      <c r="O3127" s="149"/>
      <c r="P3127" s="149"/>
      <c r="Q3127" s="149"/>
      <c r="R3127" s="149"/>
      <c r="S3127" s="149"/>
      <c r="T3127" s="149"/>
      <c r="U3127" s="149"/>
      <c r="V3127" s="89"/>
      <c r="Z3127" s="26"/>
      <c r="AA3127" s="26"/>
    </row>
    <row r="3128" spans="1:27" ht="15" customHeight="1" x14ac:dyDescent="0.2">
      <c r="A3128" s="93">
        <v>41800.745567129597</v>
      </c>
      <c r="B3128" s="89" t="s">
        <v>16</v>
      </c>
      <c r="C3128" s="52" t="s">
        <v>512</v>
      </c>
      <c r="D3128" s="87" t="s">
        <v>6224</v>
      </c>
      <c r="E3128" s="89" t="s">
        <v>6716</v>
      </c>
      <c r="F3128" s="89" t="s">
        <v>7560</v>
      </c>
      <c r="G3128" s="89" t="s">
        <v>26</v>
      </c>
      <c r="H3128" s="89"/>
      <c r="I3128" s="89" t="s">
        <v>2986</v>
      </c>
      <c r="J3128" s="95">
        <v>1</v>
      </c>
      <c r="K3128" s="95">
        <v>52</v>
      </c>
      <c r="L3128" s="150"/>
      <c r="M3128" s="146" t="s">
        <v>22</v>
      </c>
      <c r="N3128" s="149"/>
      <c r="O3128" s="149"/>
      <c r="P3128" s="149"/>
      <c r="Q3128" s="149"/>
      <c r="R3128" s="149"/>
      <c r="S3128" s="149"/>
      <c r="T3128" s="149"/>
      <c r="U3128" s="149"/>
      <c r="V3128" s="89"/>
      <c r="Z3128" s="26"/>
      <c r="AA3128" s="26"/>
    </row>
    <row r="3129" spans="1:27" ht="15" customHeight="1" x14ac:dyDescent="0.2">
      <c r="A3129" s="93">
        <v>41800.746145833298</v>
      </c>
      <c r="B3129" s="89" t="s">
        <v>16</v>
      </c>
      <c r="C3129" s="52" t="s">
        <v>512</v>
      </c>
      <c r="D3129" s="87" t="s">
        <v>6224</v>
      </c>
      <c r="E3129" s="89" t="s">
        <v>6719</v>
      </c>
      <c r="F3129" s="89" t="s">
        <v>7560</v>
      </c>
      <c r="G3129" s="94" t="s">
        <v>26</v>
      </c>
      <c r="H3129" s="89" t="s">
        <v>6718</v>
      </c>
      <c r="I3129" s="89" t="s">
        <v>2986</v>
      </c>
      <c r="J3129" s="95">
        <v>1</v>
      </c>
      <c r="K3129" s="95">
        <v>64</v>
      </c>
      <c r="L3129" s="150"/>
      <c r="M3129" s="146" t="s">
        <v>22</v>
      </c>
      <c r="N3129" s="149"/>
      <c r="O3129" s="149"/>
      <c r="P3129" s="149"/>
      <c r="Q3129" s="149"/>
      <c r="R3129" s="149"/>
      <c r="S3129" s="149"/>
      <c r="T3129" s="149"/>
      <c r="U3129" s="149"/>
      <c r="V3129" s="89"/>
      <c r="Z3129" s="26"/>
      <c r="AA3129" s="26"/>
    </row>
    <row r="3130" spans="1:27" ht="15" customHeight="1" x14ac:dyDescent="0.2">
      <c r="A3130" s="93">
        <v>41800.747152777803</v>
      </c>
      <c r="B3130" s="89" t="s">
        <v>16</v>
      </c>
      <c r="C3130" s="52" t="s">
        <v>512</v>
      </c>
      <c r="D3130" s="87" t="s">
        <v>6224</v>
      </c>
      <c r="E3130" s="89" t="s">
        <v>7561</v>
      </c>
      <c r="F3130" s="89" t="s">
        <v>7562</v>
      </c>
      <c r="G3130" s="89" t="s">
        <v>26</v>
      </c>
      <c r="H3130" s="89" t="s">
        <v>7563</v>
      </c>
      <c r="I3130" s="89" t="s">
        <v>2986</v>
      </c>
      <c r="J3130" s="95">
        <v>1</v>
      </c>
      <c r="K3130" s="95">
        <v>11</v>
      </c>
      <c r="L3130" s="150">
        <v>70</v>
      </c>
      <c r="M3130" s="146" t="s">
        <v>22</v>
      </c>
      <c r="N3130" s="149"/>
      <c r="O3130" s="149"/>
      <c r="P3130" s="149"/>
      <c r="Q3130" s="149"/>
      <c r="R3130" s="149"/>
      <c r="S3130" s="149"/>
      <c r="T3130" s="149"/>
      <c r="U3130" s="149"/>
      <c r="V3130" s="89"/>
      <c r="Z3130" s="26"/>
      <c r="AA3130" s="26"/>
    </row>
    <row r="3131" spans="1:27" ht="15" customHeight="1" x14ac:dyDescent="0.2">
      <c r="A3131" s="93">
        <v>41800.748414351801</v>
      </c>
      <c r="B3131" s="89" t="s">
        <v>16</v>
      </c>
      <c r="C3131" s="52" t="s">
        <v>512</v>
      </c>
      <c r="D3131" s="87" t="s">
        <v>6224</v>
      </c>
      <c r="E3131" s="89" t="s">
        <v>7564</v>
      </c>
      <c r="F3131" s="89" t="s">
        <v>7565</v>
      </c>
      <c r="G3131" s="89" t="s">
        <v>26</v>
      </c>
      <c r="H3131" s="89" t="s">
        <v>7566</v>
      </c>
      <c r="I3131" s="89" t="s">
        <v>2986</v>
      </c>
      <c r="J3131" s="95">
        <v>1</v>
      </c>
      <c r="K3131" s="95">
        <v>0</v>
      </c>
      <c r="L3131" s="150"/>
      <c r="M3131" s="146" t="s">
        <v>22</v>
      </c>
      <c r="N3131" s="149"/>
      <c r="O3131" s="149"/>
      <c r="P3131" s="149"/>
      <c r="Q3131" s="149"/>
      <c r="R3131" s="149"/>
      <c r="S3131" s="149"/>
      <c r="T3131" s="149"/>
      <c r="U3131" s="149"/>
      <c r="V3131" s="89"/>
      <c r="Z3131" s="26"/>
      <c r="AA3131" s="26"/>
    </row>
    <row r="3132" spans="1:27" ht="15" customHeight="1" x14ac:dyDescent="0.2">
      <c r="A3132" s="93">
        <v>41800.7491898148</v>
      </c>
      <c r="B3132" s="89" t="s">
        <v>16</v>
      </c>
      <c r="C3132" s="52" t="s">
        <v>512</v>
      </c>
      <c r="D3132" s="87" t="s">
        <v>6224</v>
      </c>
      <c r="E3132" s="89" t="s">
        <v>7567</v>
      </c>
      <c r="F3132" s="89" t="s">
        <v>663</v>
      </c>
      <c r="G3132" s="89" t="s">
        <v>26</v>
      </c>
      <c r="H3132" s="89" t="s">
        <v>7556</v>
      </c>
      <c r="I3132" s="89" t="s">
        <v>2986</v>
      </c>
      <c r="J3132" s="95">
        <v>1</v>
      </c>
      <c r="K3132" s="95">
        <v>0</v>
      </c>
      <c r="L3132" s="150"/>
      <c r="M3132" s="146" t="s">
        <v>22</v>
      </c>
      <c r="N3132" s="149"/>
      <c r="O3132" s="149"/>
      <c r="P3132" s="149"/>
      <c r="Q3132" s="149"/>
      <c r="R3132" s="149"/>
      <c r="S3132" s="149"/>
      <c r="T3132" s="149"/>
      <c r="U3132" s="149"/>
      <c r="V3132" s="89"/>
      <c r="Z3132" s="26"/>
      <c r="AA3132" s="26"/>
    </row>
    <row r="3133" spans="1:27" ht="15" customHeight="1" x14ac:dyDescent="0.2">
      <c r="A3133" s="93">
        <v>41801.349062499998</v>
      </c>
      <c r="B3133" s="89" t="s">
        <v>152</v>
      </c>
      <c r="C3133" s="52" t="s">
        <v>213</v>
      </c>
      <c r="D3133" s="87" t="s">
        <v>6224</v>
      </c>
      <c r="E3133" s="89" t="s">
        <v>7571</v>
      </c>
      <c r="F3133" s="89" t="s">
        <v>7572</v>
      </c>
      <c r="G3133" s="89" t="s">
        <v>26</v>
      </c>
      <c r="H3133" s="89" t="s">
        <v>7573</v>
      </c>
      <c r="I3133" s="89" t="s">
        <v>2986</v>
      </c>
      <c r="J3133" s="95">
        <v>1</v>
      </c>
      <c r="K3133" s="95">
        <v>4</v>
      </c>
      <c r="L3133" s="150"/>
      <c r="M3133" s="146" t="s">
        <v>22</v>
      </c>
      <c r="N3133" s="149"/>
      <c r="O3133" s="149"/>
      <c r="P3133" s="149"/>
      <c r="Q3133" s="149"/>
      <c r="R3133" s="149"/>
      <c r="S3133" s="149"/>
      <c r="T3133" s="149"/>
      <c r="U3133" s="149"/>
      <c r="V3133" s="89"/>
      <c r="Z3133" s="26"/>
      <c r="AA3133" s="26"/>
    </row>
    <row r="3134" spans="1:27" ht="15" customHeight="1" x14ac:dyDescent="0.2">
      <c r="A3134" s="37">
        <v>41494.625462962998</v>
      </c>
      <c r="B3134" s="26" t="s">
        <v>152</v>
      </c>
      <c r="C3134" s="26" t="s">
        <v>1100</v>
      </c>
      <c r="D3134" s="33">
        <v>41456</v>
      </c>
      <c r="E3134" s="26" t="s">
        <v>1101</v>
      </c>
      <c r="F3134" s="26" t="s">
        <v>2004</v>
      </c>
      <c r="G3134" s="26" t="s">
        <v>60</v>
      </c>
      <c r="H3134" s="26" t="s">
        <v>2005</v>
      </c>
      <c r="I3134" s="26"/>
      <c r="J3134" s="115">
        <v>1</v>
      </c>
      <c r="K3134" s="115">
        <v>1</v>
      </c>
      <c r="L3134" s="136"/>
      <c r="M3134" s="137" t="s">
        <v>44</v>
      </c>
      <c r="O3134" s="138">
        <v>5</v>
      </c>
      <c r="V3134" s="26"/>
      <c r="W3134" s="26"/>
      <c r="X3134" s="26"/>
      <c r="Y3134" s="26"/>
      <c r="Z3134" s="26"/>
      <c r="AA3134" s="26"/>
    </row>
    <row r="3135" spans="1:27" ht="15" customHeight="1" x14ac:dyDescent="0.2">
      <c r="A3135" s="37">
        <v>41494.6316435185</v>
      </c>
      <c r="B3135" s="26" t="s">
        <v>152</v>
      </c>
      <c r="C3135" s="26" t="s">
        <v>1100</v>
      </c>
      <c r="D3135" s="33">
        <v>41456</v>
      </c>
      <c r="E3135" s="26" t="s">
        <v>1106</v>
      </c>
      <c r="F3135" s="26" t="s">
        <v>1107</v>
      </c>
      <c r="G3135" s="26" t="s">
        <v>26</v>
      </c>
      <c r="H3135" s="26" t="s">
        <v>1108</v>
      </c>
      <c r="I3135" s="26"/>
      <c r="J3135" s="115">
        <v>5</v>
      </c>
      <c r="K3135" s="115">
        <v>23</v>
      </c>
      <c r="L3135" s="136">
        <v>575</v>
      </c>
      <c r="M3135" s="137" t="s">
        <v>22</v>
      </c>
      <c r="V3135" s="26"/>
      <c r="W3135" s="26"/>
      <c r="X3135" s="26"/>
      <c r="Y3135" s="26"/>
      <c r="Z3135" s="26"/>
      <c r="AA3135" s="26"/>
    </row>
    <row r="3136" spans="1:27" ht="15" customHeight="1" x14ac:dyDescent="0.2">
      <c r="A3136" s="37">
        <v>41494.633726851898</v>
      </c>
      <c r="B3136" s="26" t="s">
        <v>152</v>
      </c>
      <c r="C3136" s="26" t="s">
        <v>1100</v>
      </c>
      <c r="D3136" s="33">
        <v>41456</v>
      </c>
      <c r="E3136" s="26" t="s">
        <v>1109</v>
      </c>
      <c r="F3136" s="26" t="s">
        <v>1110</v>
      </c>
      <c r="G3136" s="26" t="s">
        <v>26</v>
      </c>
      <c r="H3136" s="26" t="s">
        <v>1111</v>
      </c>
      <c r="I3136" s="26"/>
      <c r="J3136" s="115">
        <v>2</v>
      </c>
      <c r="K3136" s="115">
        <v>101</v>
      </c>
      <c r="L3136" s="136">
        <v>505</v>
      </c>
      <c r="M3136" s="137" t="s">
        <v>22</v>
      </c>
      <c r="V3136" s="26"/>
      <c r="W3136" s="26"/>
      <c r="X3136" s="26"/>
      <c r="Y3136" s="26"/>
      <c r="Z3136" s="26"/>
      <c r="AA3136" s="26"/>
    </row>
    <row r="3137" spans="1:27" ht="15" customHeight="1" x14ac:dyDescent="0.2">
      <c r="A3137" s="37">
        <v>41494.635405092602</v>
      </c>
      <c r="B3137" s="26" t="s">
        <v>152</v>
      </c>
      <c r="C3137" s="26" t="s">
        <v>1100</v>
      </c>
      <c r="D3137" s="33">
        <v>41456</v>
      </c>
      <c r="E3137" s="26" t="s">
        <v>1112</v>
      </c>
      <c r="F3137" s="26" t="s">
        <v>1113</v>
      </c>
      <c r="G3137" s="26" t="s">
        <v>42</v>
      </c>
      <c r="H3137" s="26" t="s">
        <v>1114</v>
      </c>
      <c r="I3137" s="26"/>
      <c r="J3137" s="115">
        <v>6</v>
      </c>
      <c r="K3137" s="115">
        <v>144</v>
      </c>
      <c r="L3137" s="136"/>
      <c r="M3137" s="137" t="s">
        <v>22</v>
      </c>
      <c r="V3137" s="26"/>
      <c r="W3137" s="26"/>
      <c r="X3137" s="26"/>
      <c r="Y3137" s="26"/>
      <c r="Z3137" s="26"/>
      <c r="AA3137" s="26"/>
    </row>
    <row r="3138" spans="1:27" ht="15" customHeight="1" x14ac:dyDescent="0.2">
      <c r="A3138" s="37">
        <v>41494.636874999997</v>
      </c>
      <c r="B3138" s="26" t="s">
        <v>152</v>
      </c>
      <c r="C3138" s="26" t="s">
        <v>1100</v>
      </c>
      <c r="D3138" s="33">
        <v>41456</v>
      </c>
      <c r="E3138" s="26" t="s">
        <v>1117</v>
      </c>
      <c r="F3138" s="26" t="s">
        <v>1118</v>
      </c>
      <c r="G3138" s="26" t="s">
        <v>42</v>
      </c>
      <c r="H3138" s="26" t="s">
        <v>1119</v>
      </c>
      <c r="I3138" s="26"/>
      <c r="J3138" s="115">
        <v>1</v>
      </c>
      <c r="K3138" s="115">
        <v>28</v>
      </c>
      <c r="L3138" s="136"/>
      <c r="M3138" s="137" t="s">
        <v>44</v>
      </c>
      <c r="O3138" s="138">
        <v>70</v>
      </c>
      <c r="V3138" s="26"/>
      <c r="W3138" s="26"/>
      <c r="X3138" s="26"/>
      <c r="Y3138" s="26"/>
      <c r="Z3138" s="26"/>
      <c r="AA3138" s="26"/>
    </row>
    <row r="3139" spans="1:27" ht="15" customHeight="1" x14ac:dyDescent="0.2">
      <c r="A3139" s="37">
        <v>41494.6382407407</v>
      </c>
      <c r="B3139" s="26" t="s">
        <v>152</v>
      </c>
      <c r="C3139" s="26" t="s">
        <v>1100</v>
      </c>
      <c r="D3139" s="33">
        <v>41456</v>
      </c>
      <c r="E3139" s="26" t="s">
        <v>1120</v>
      </c>
      <c r="F3139" s="26" t="s">
        <v>1121</v>
      </c>
      <c r="G3139" s="26" t="s">
        <v>42</v>
      </c>
      <c r="H3139" s="26" t="s">
        <v>1122</v>
      </c>
      <c r="I3139" s="26"/>
      <c r="J3139" s="115">
        <v>1</v>
      </c>
      <c r="K3139" s="115">
        <v>20</v>
      </c>
      <c r="L3139" s="136"/>
      <c r="M3139" s="137" t="s">
        <v>44</v>
      </c>
      <c r="O3139" s="138">
        <v>70</v>
      </c>
      <c r="V3139" s="26"/>
      <c r="W3139" s="26"/>
      <c r="X3139" s="26"/>
      <c r="Y3139" s="26"/>
      <c r="Z3139" s="26"/>
      <c r="AA3139" s="26"/>
    </row>
    <row r="3140" spans="1:27" s="26" customFormat="1" ht="15" customHeight="1" x14ac:dyDescent="0.2">
      <c r="A3140" s="37">
        <v>41494.639571759297</v>
      </c>
      <c r="B3140" s="26" t="s">
        <v>152</v>
      </c>
      <c r="C3140" s="26" t="s">
        <v>1100</v>
      </c>
      <c r="D3140" s="33">
        <v>41456</v>
      </c>
      <c r="E3140" s="26" t="s">
        <v>1128</v>
      </c>
      <c r="F3140" s="26" t="s">
        <v>1129</v>
      </c>
      <c r="G3140" s="26" t="s">
        <v>42</v>
      </c>
      <c r="H3140" s="26" t="s">
        <v>1130</v>
      </c>
      <c r="J3140" s="115">
        <v>1</v>
      </c>
      <c r="K3140" s="115">
        <v>56</v>
      </c>
      <c r="L3140" s="136"/>
      <c r="M3140" s="137" t="s">
        <v>44</v>
      </c>
      <c r="N3140" s="138"/>
      <c r="O3140" s="138">
        <v>70</v>
      </c>
      <c r="P3140" s="138"/>
      <c r="Q3140" s="138"/>
      <c r="R3140" s="138"/>
      <c r="S3140" s="138"/>
      <c r="T3140" s="138"/>
      <c r="U3140" s="138"/>
    </row>
    <row r="3141" spans="1:27" ht="15" customHeight="1" x14ac:dyDescent="0.2">
      <c r="A3141" s="28">
        <v>41526.67701388889</v>
      </c>
      <c r="B3141" s="29" t="s">
        <v>152</v>
      </c>
      <c r="C3141" s="29" t="s">
        <v>1100</v>
      </c>
      <c r="D3141" s="30">
        <v>41487</v>
      </c>
      <c r="E3141" s="29" t="s">
        <v>1101</v>
      </c>
      <c r="F3141" s="29" t="s">
        <v>2003</v>
      </c>
      <c r="G3141" s="29" t="s">
        <v>60</v>
      </c>
      <c r="H3141" s="29" t="s">
        <v>2002</v>
      </c>
      <c r="I3141" s="29"/>
      <c r="J3141" s="116">
        <v>3</v>
      </c>
      <c r="K3141" s="116">
        <v>5</v>
      </c>
      <c r="L3141" s="139"/>
      <c r="M3141" s="140" t="s">
        <v>44</v>
      </c>
      <c r="N3141" s="141"/>
      <c r="O3141" s="141">
        <v>15</v>
      </c>
      <c r="P3141" s="141"/>
      <c r="Q3141" s="141"/>
      <c r="R3141" s="141"/>
      <c r="S3141" s="141"/>
      <c r="T3141" s="141"/>
      <c r="U3141" s="141"/>
      <c r="V3141" s="29"/>
      <c r="W3141" s="26"/>
      <c r="X3141" s="26"/>
      <c r="Y3141" s="26"/>
      <c r="Z3141" s="26"/>
      <c r="AA3141" s="26"/>
    </row>
    <row r="3142" spans="1:27" ht="15" customHeight="1" x14ac:dyDescent="0.2">
      <c r="A3142" s="28">
        <v>41526.680752314816</v>
      </c>
      <c r="B3142" s="29" t="s">
        <v>152</v>
      </c>
      <c r="C3142" s="29" t="s">
        <v>1100</v>
      </c>
      <c r="D3142" s="30">
        <v>41487</v>
      </c>
      <c r="E3142" s="29" t="s">
        <v>1863</v>
      </c>
      <c r="F3142" s="29" t="s">
        <v>1864</v>
      </c>
      <c r="G3142" s="29" t="s">
        <v>42</v>
      </c>
      <c r="H3142" s="29" t="s">
        <v>1865</v>
      </c>
      <c r="I3142" s="29"/>
      <c r="J3142" s="116">
        <v>1</v>
      </c>
      <c r="K3142" s="116">
        <v>18</v>
      </c>
      <c r="L3142" s="139">
        <v>95</v>
      </c>
      <c r="M3142" s="140" t="s">
        <v>44</v>
      </c>
      <c r="N3142" s="141"/>
      <c r="O3142" s="141">
        <v>70</v>
      </c>
      <c r="P3142" s="141"/>
      <c r="Q3142" s="141">
        <v>40</v>
      </c>
      <c r="R3142" s="141"/>
      <c r="S3142" s="141"/>
      <c r="T3142" s="141"/>
      <c r="U3142" s="141"/>
      <c r="V3142" s="29"/>
      <c r="W3142" s="26"/>
      <c r="X3142" s="26"/>
      <c r="Y3142" s="26"/>
      <c r="Z3142" s="26"/>
      <c r="AA3142" s="26"/>
    </row>
    <row r="3143" spans="1:27" ht="15" customHeight="1" x14ac:dyDescent="0.2">
      <c r="A3143" s="28">
        <v>41526.68236111111</v>
      </c>
      <c r="B3143" s="29" t="s">
        <v>152</v>
      </c>
      <c r="C3143" s="29" t="s">
        <v>1100</v>
      </c>
      <c r="D3143" s="30">
        <v>41487</v>
      </c>
      <c r="E3143" s="29" t="s">
        <v>1866</v>
      </c>
      <c r="F3143" s="29" t="s">
        <v>1110</v>
      </c>
      <c r="G3143" s="29" t="s">
        <v>26</v>
      </c>
      <c r="H3143" s="29" t="s">
        <v>1867</v>
      </c>
      <c r="I3143" s="29"/>
      <c r="J3143" s="116">
        <v>2</v>
      </c>
      <c r="K3143" s="116">
        <v>132</v>
      </c>
      <c r="L3143" s="139">
        <v>660</v>
      </c>
      <c r="M3143" s="140" t="s">
        <v>44</v>
      </c>
      <c r="N3143" s="141"/>
      <c r="O3143" s="141">
        <v>150</v>
      </c>
      <c r="P3143" s="141"/>
      <c r="Q3143" s="141"/>
      <c r="R3143" s="141"/>
      <c r="S3143" s="141"/>
      <c r="T3143" s="141"/>
      <c r="U3143" s="141"/>
      <c r="V3143" s="29"/>
      <c r="W3143" s="26"/>
      <c r="X3143" s="26"/>
      <c r="Y3143" s="26"/>
      <c r="Z3143" s="26"/>
      <c r="AA3143" s="26"/>
    </row>
    <row r="3144" spans="1:27" ht="15" customHeight="1" x14ac:dyDescent="0.2">
      <c r="A3144" s="28">
        <v>41526.692499999997</v>
      </c>
      <c r="B3144" s="29" t="s">
        <v>152</v>
      </c>
      <c r="C3144" s="29" t="s">
        <v>1100</v>
      </c>
      <c r="D3144" s="30">
        <v>41487</v>
      </c>
      <c r="E3144" s="29" t="s">
        <v>1869</v>
      </c>
      <c r="F3144" s="29" t="s">
        <v>1870</v>
      </c>
      <c r="G3144" s="39" t="s">
        <v>26</v>
      </c>
      <c r="H3144" s="29" t="s">
        <v>1871</v>
      </c>
      <c r="I3144" s="29"/>
      <c r="J3144" s="116">
        <v>1</v>
      </c>
      <c r="K3144" s="116">
        <v>36</v>
      </c>
      <c r="L3144" s="139">
        <v>180</v>
      </c>
      <c r="M3144" s="140" t="s">
        <v>44</v>
      </c>
      <c r="N3144" s="141"/>
      <c r="O3144" s="141">
        <v>65</v>
      </c>
      <c r="P3144" s="141"/>
      <c r="Q3144" s="141"/>
      <c r="R3144" s="141"/>
      <c r="S3144" s="141"/>
      <c r="T3144" s="141"/>
      <c r="U3144" s="141"/>
      <c r="V3144" s="29"/>
      <c r="W3144" s="26"/>
      <c r="X3144" s="26"/>
      <c r="Y3144" s="26"/>
      <c r="Z3144" s="26"/>
      <c r="AA3144" s="26"/>
    </row>
    <row r="3145" spans="1:27" ht="15" customHeight="1" x14ac:dyDescent="0.2">
      <c r="A3145" s="32">
        <v>41556.645694444444</v>
      </c>
      <c r="B3145" s="26" t="s">
        <v>152</v>
      </c>
      <c r="C3145" s="26" t="s">
        <v>1100</v>
      </c>
      <c r="D3145" s="30">
        <v>41518</v>
      </c>
      <c r="E3145" s="26" t="s">
        <v>2661</v>
      </c>
      <c r="F3145" s="26" t="s">
        <v>2662</v>
      </c>
      <c r="G3145" s="26" t="s">
        <v>26</v>
      </c>
      <c r="H3145" s="26" t="s">
        <v>21</v>
      </c>
      <c r="I3145" s="26"/>
      <c r="J3145" s="46">
        <v>1</v>
      </c>
      <c r="K3145" s="46">
        <v>46</v>
      </c>
      <c r="L3145" s="136">
        <v>230</v>
      </c>
      <c r="M3145" s="137" t="s">
        <v>44</v>
      </c>
      <c r="O3145" s="138">
        <v>80</v>
      </c>
      <c r="V3145" s="26"/>
      <c r="W3145" s="26"/>
      <c r="X3145" s="26"/>
      <c r="Y3145" s="26"/>
      <c r="Z3145" s="26"/>
      <c r="AA3145" s="26"/>
    </row>
    <row r="3146" spans="1:27" ht="15" customHeight="1" x14ac:dyDescent="0.2">
      <c r="A3146" s="32">
        <v>41556.646782407406</v>
      </c>
      <c r="B3146" s="26" t="s">
        <v>152</v>
      </c>
      <c r="C3146" s="26" t="s">
        <v>1100</v>
      </c>
      <c r="D3146" s="30">
        <v>41518</v>
      </c>
      <c r="E3146" s="26" t="s">
        <v>2802</v>
      </c>
      <c r="F3146" s="26" t="s">
        <v>2663</v>
      </c>
      <c r="G3146" s="26" t="s">
        <v>26</v>
      </c>
      <c r="H3146" s="26" t="s">
        <v>21</v>
      </c>
      <c r="I3146" s="26"/>
      <c r="J3146" s="46">
        <v>1</v>
      </c>
      <c r="K3146" s="46">
        <v>45</v>
      </c>
      <c r="L3146" s="136">
        <v>225</v>
      </c>
      <c r="M3146" s="137" t="s">
        <v>44</v>
      </c>
      <c r="O3146" s="138">
        <v>75</v>
      </c>
      <c r="V3146" s="26"/>
      <c r="W3146" s="26"/>
      <c r="X3146" s="26"/>
      <c r="Y3146" s="26"/>
      <c r="Z3146" s="26"/>
      <c r="AA3146" s="26"/>
    </row>
    <row r="3147" spans="1:27" ht="15" customHeight="1" x14ac:dyDescent="0.2">
      <c r="A3147" s="32">
        <v>41556.664351851854</v>
      </c>
      <c r="B3147" s="26" t="s">
        <v>152</v>
      </c>
      <c r="C3147" s="26" t="s">
        <v>1100</v>
      </c>
      <c r="D3147" s="30">
        <v>41518</v>
      </c>
      <c r="E3147" s="26" t="s">
        <v>2667</v>
      </c>
      <c r="F3147" s="26" t="s">
        <v>2668</v>
      </c>
      <c r="G3147" s="26" t="s">
        <v>26</v>
      </c>
      <c r="H3147" s="26" t="s">
        <v>2669</v>
      </c>
      <c r="I3147" s="26"/>
      <c r="J3147" s="46">
        <v>1</v>
      </c>
      <c r="K3147" s="46">
        <v>26</v>
      </c>
      <c r="L3147" s="136"/>
      <c r="M3147" s="137" t="s">
        <v>22</v>
      </c>
      <c r="V3147" s="26"/>
      <c r="W3147" s="26"/>
      <c r="X3147" s="26"/>
      <c r="Y3147" s="26"/>
      <c r="Z3147" s="26"/>
      <c r="AA3147" s="26"/>
    </row>
    <row r="3148" spans="1:27" ht="15" customHeight="1" x14ac:dyDescent="0.2">
      <c r="A3148" s="32">
        <v>41556.669525462959</v>
      </c>
      <c r="B3148" s="26" t="s">
        <v>152</v>
      </c>
      <c r="C3148" s="26" t="s">
        <v>1100</v>
      </c>
      <c r="D3148" s="30">
        <v>41518</v>
      </c>
      <c r="E3148" s="26" t="s">
        <v>2670</v>
      </c>
      <c r="F3148" s="26" t="s">
        <v>2671</v>
      </c>
      <c r="G3148" s="26" t="s">
        <v>20</v>
      </c>
      <c r="H3148" s="26" t="s">
        <v>2672</v>
      </c>
      <c r="I3148" s="26"/>
      <c r="J3148" s="46">
        <v>3</v>
      </c>
      <c r="K3148" s="46">
        <v>32</v>
      </c>
      <c r="L3148" s="136">
        <v>96</v>
      </c>
      <c r="M3148" s="137" t="s">
        <v>44</v>
      </c>
      <c r="V3148" s="26"/>
      <c r="W3148" s="26"/>
      <c r="X3148" s="26"/>
      <c r="Y3148" s="26"/>
      <c r="Z3148" s="26"/>
      <c r="AA3148" s="26"/>
    </row>
    <row r="3149" spans="1:27" ht="15" customHeight="1" x14ac:dyDescent="0.2">
      <c r="A3149" s="32">
        <v>41556.67082175926</v>
      </c>
      <c r="B3149" s="26" t="s">
        <v>152</v>
      </c>
      <c r="C3149" s="26" t="s">
        <v>1100</v>
      </c>
      <c r="D3149" s="30">
        <v>41518</v>
      </c>
      <c r="E3149" s="26" t="s">
        <v>2673</v>
      </c>
      <c r="F3149" s="26" t="s">
        <v>2674</v>
      </c>
      <c r="G3149" s="26" t="s">
        <v>26</v>
      </c>
      <c r="H3149" s="26" t="s">
        <v>21</v>
      </c>
      <c r="I3149" s="26"/>
      <c r="J3149" s="46">
        <v>1</v>
      </c>
      <c r="K3149" s="46">
        <v>28</v>
      </c>
      <c r="L3149" s="136">
        <v>84</v>
      </c>
      <c r="M3149" s="137" t="s">
        <v>44</v>
      </c>
      <c r="O3149" s="138">
        <v>50</v>
      </c>
      <c r="V3149" s="26"/>
      <c r="W3149" s="26"/>
      <c r="X3149" s="26"/>
      <c r="Y3149" s="26"/>
      <c r="Z3149" s="26"/>
      <c r="AA3149" s="26"/>
    </row>
    <row r="3150" spans="1:27" ht="15" customHeight="1" x14ac:dyDescent="0.2">
      <c r="A3150" s="32">
        <v>41556.672743055555</v>
      </c>
      <c r="B3150" s="26" t="s">
        <v>152</v>
      </c>
      <c r="C3150" s="26" t="s">
        <v>1100</v>
      </c>
      <c r="D3150" s="30">
        <v>41518</v>
      </c>
      <c r="E3150" s="26" t="s">
        <v>2675</v>
      </c>
      <c r="F3150" s="26" t="s">
        <v>2676</v>
      </c>
      <c r="G3150" s="26" t="s">
        <v>26</v>
      </c>
      <c r="H3150" s="26" t="s">
        <v>21</v>
      </c>
      <c r="I3150" s="26"/>
      <c r="J3150" s="46">
        <v>1</v>
      </c>
      <c r="K3150" s="46">
        <v>55</v>
      </c>
      <c r="L3150" s="136">
        <v>275</v>
      </c>
      <c r="M3150" s="137" t="s">
        <v>44</v>
      </c>
      <c r="O3150" s="138">
        <v>135</v>
      </c>
      <c r="V3150" s="26"/>
      <c r="W3150" s="26"/>
      <c r="X3150" s="26"/>
      <c r="Y3150" s="26"/>
      <c r="Z3150" s="26"/>
      <c r="AA3150" s="26"/>
    </row>
    <row r="3151" spans="1:27" ht="15" customHeight="1" x14ac:dyDescent="0.2">
      <c r="A3151" s="32">
        <v>41556.677673611113</v>
      </c>
      <c r="B3151" s="26" t="s">
        <v>152</v>
      </c>
      <c r="C3151" s="26" t="s">
        <v>1100</v>
      </c>
      <c r="D3151" s="30">
        <v>41518</v>
      </c>
      <c r="E3151" s="26" t="s">
        <v>2684</v>
      </c>
      <c r="F3151" s="26" t="s">
        <v>2685</v>
      </c>
      <c r="G3151" s="26" t="s">
        <v>20</v>
      </c>
      <c r="H3151" s="26" t="s">
        <v>2686</v>
      </c>
      <c r="I3151" s="26"/>
      <c r="J3151" s="46">
        <v>3</v>
      </c>
      <c r="K3151" s="46">
        <v>90</v>
      </c>
      <c r="L3151" s="136">
        <v>270</v>
      </c>
      <c r="M3151" s="137" t="s">
        <v>22</v>
      </c>
      <c r="V3151" s="26"/>
      <c r="W3151" s="26"/>
      <c r="X3151" s="26"/>
      <c r="Y3151" s="26"/>
      <c r="Z3151" s="26"/>
      <c r="AA3151" s="26"/>
    </row>
    <row r="3152" spans="1:27" ht="15" customHeight="1" x14ac:dyDescent="0.2">
      <c r="A3152" s="32">
        <v>41556.679039351853</v>
      </c>
      <c r="B3152" s="26" t="s">
        <v>152</v>
      </c>
      <c r="C3152" s="26" t="s">
        <v>1100</v>
      </c>
      <c r="D3152" s="30">
        <v>41518</v>
      </c>
      <c r="E3152" s="26" t="s">
        <v>2690</v>
      </c>
      <c r="F3152" s="26" t="s">
        <v>2691</v>
      </c>
      <c r="G3152" s="26" t="s">
        <v>20</v>
      </c>
      <c r="H3152" s="26" t="s">
        <v>2692</v>
      </c>
      <c r="I3152" s="26"/>
      <c r="J3152" s="46">
        <v>3</v>
      </c>
      <c r="K3152" s="46">
        <v>95</v>
      </c>
      <c r="L3152" s="136">
        <v>285</v>
      </c>
      <c r="M3152" s="137" t="s">
        <v>22</v>
      </c>
      <c r="V3152" s="26"/>
      <c r="W3152" s="26"/>
      <c r="X3152" s="26"/>
      <c r="Y3152" s="26"/>
      <c r="Z3152" s="26"/>
      <c r="AA3152" s="26"/>
    </row>
    <row r="3153" spans="1:27" ht="15" customHeight="1" x14ac:dyDescent="0.2">
      <c r="A3153" s="32">
        <v>41556.680925925924</v>
      </c>
      <c r="B3153" s="26" t="s">
        <v>152</v>
      </c>
      <c r="C3153" s="26" t="s">
        <v>1100</v>
      </c>
      <c r="D3153" s="30">
        <v>41518</v>
      </c>
      <c r="E3153" s="26" t="s">
        <v>2697</v>
      </c>
      <c r="F3153" s="26" t="s">
        <v>2698</v>
      </c>
      <c r="G3153" s="26" t="s">
        <v>20</v>
      </c>
      <c r="H3153" s="26" t="s">
        <v>2699</v>
      </c>
      <c r="I3153" s="26"/>
      <c r="J3153" s="46">
        <v>1</v>
      </c>
      <c r="K3153" s="46">
        <v>16</v>
      </c>
      <c r="L3153" s="136">
        <v>48</v>
      </c>
      <c r="M3153" s="137" t="s">
        <v>22</v>
      </c>
      <c r="V3153" s="26"/>
      <c r="W3153" s="26"/>
      <c r="X3153" s="26"/>
      <c r="Y3153" s="26"/>
      <c r="Z3153" s="26"/>
      <c r="AA3153" s="26"/>
    </row>
    <row r="3154" spans="1:27" ht="15" customHeight="1" x14ac:dyDescent="0.2">
      <c r="A3154" s="32">
        <v>41556.685370370367</v>
      </c>
      <c r="B3154" s="26" t="s">
        <v>152</v>
      </c>
      <c r="C3154" s="26" t="s">
        <v>1100</v>
      </c>
      <c r="D3154" s="30">
        <v>41518</v>
      </c>
      <c r="E3154" s="26" t="s">
        <v>2715</v>
      </c>
      <c r="F3154" s="26" t="s">
        <v>2716</v>
      </c>
      <c r="G3154" s="26" t="s">
        <v>26</v>
      </c>
      <c r="H3154" s="26" t="s">
        <v>2717</v>
      </c>
      <c r="I3154" s="26"/>
      <c r="J3154" s="46">
        <v>1</v>
      </c>
      <c r="K3154" s="46">
        <v>25</v>
      </c>
      <c r="L3154" s="136"/>
      <c r="M3154" s="137" t="s">
        <v>22</v>
      </c>
      <c r="V3154" s="26"/>
      <c r="W3154" s="26"/>
      <c r="X3154" s="26"/>
      <c r="Y3154" s="26"/>
      <c r="Z3154" s="26"/>
      <c r="AA3154" s="26"/>
    </row>
    <row r="3155" spans="1:27" ht="15" customHeight="1" x14ac:dyDescent="0.2">
      <c r="A3155" s="48">
        <v>41616.5617824074</v>
      </c>
      <c r="B3155" s="49" t="s">
        <v>152</v>
      </c>
      <c r="C3155" s="50" t="s">
        <v>1100</v>
      </c>
      <c r="D3155" s="67">
        <v>41579</v>
      </c>
      <c r="E3155" s="50" t="s">
        <v>3563</v>
      </c>
      <c r="F3155" s="50" t="s">
        <v>3564</v>
      </c>
      <c r="G3155" s="49" t="s">
        <v>20</v>
      </c>
      <c r="H3155" s="50" t="s">
        <v>3565</v>
      </c>
      <c r="I3155" s="50" t="s">
        <v>2986</v>
      </c>
      <c r="J3155" s="117">
        <v>2</v>
      </c>
      <c r="K3155" s="117">
        <v>130</v>
      </c>
      <c r="L3155" s="142"/>
      <c r="M3155" s="143" t="s">
        <v>22</v>
      </c>
      <c r="N3155" s="144"/>
      <c r="O3155" s="144"/>
      <c r="P3155" s="144"/>
      <c r="Q3155" s="144"/>
      <c r="R3155" s="144"/>
      <c r="S3155" s="144"/>
      <c r="T3155" s="144"/>
      <c r="U3155" s="144"/>
      <c r="V3155" s="50"/>
      <c r="W3155" s="26"/>
      <c r="X3155" s="26"/>
      <c r="Y3155" s="26"/>
      <c r="Z3155" s="26"/>
      <c r="AA3155" s="26"/>
    </row>
    <row r="3156" spans="1:27" ht="15" customHeight="1" x14ac:dyDescent="0.2">
      <c r="A3156" s="48">
        <v>41616.563275462999</v>
      </c>
      <c r="B3156" s="49" t="s">
        <v>152</v>
      </c>
      <c r="C3156" s="50" t="s">
        <v>1100</v>
      </c>
      <c r="D3156" s="67">
        <v>41579</v>
      </c>
      <c r="E3156" s="50" t="s">
        <v>3566</v>
      </c>
      <c r="F3156" s="50" t="s">
        <v>3567</v>
      </c>
      <c r="G3156" s="49" t="s">
        <v>20</v>
      </c>
      <c r="H3156" s="50" t="s">
        <v>3568</v>
      </c>
      <c r="I3156" s="50" t="s">
        <v>2986</v>
      </c>
      <c r="J3156" s="117">
        <v>3</v>
      </c>
      <c r="K3156" s="117">
        <v>48</v>
      </c>
      <c r="L3156" s="142">
        <v>144</v>
      </c>
      <c r="M3156" s="143" t="s">
        <v>22</v>
      </c>
      <c r="N3156" s="144"/>
      <c r="O3156" s="144"/>
      <c r="P3156" s="144"/>
      <c r="Q3156" s="144"/>
      <c r="R3156" s="144"/>
      <c r="S3156" s="144"/>
      <c r="T3156" s="144"/>
      <c r="U3156" s="144"/>
      <c r="V3156" s="50"/>
      <c r="W3156" s="26"/>
      <c r="X3156" s="26"/>
      <c r="Y3156" s="26"/>
      <c r="Z3156" s="26"/>
      <c r="AA3156" s="26"/>
    </row>
    <row r="3157" spans="1:27" ht="15" customHeight="1" x14ac:dyDescent="0.2">
      <c r="A3157" s="48">
        <v>41616.564351851899</v>
      </c>
      <c r="B3157" s="49" t="s">
        <v>152</v>
      </c>
      <c r="C3157" s="50" t="s">
        <v>1100</v>
      </c>
      <c r="D3157" s="67">
        <v>41579</v>
      </c>
      <c r="E3157" s="50" t="s">
        <v>3566</v>
      </c>
      <c r="F3157" s="50" t="s">
        <v>3569</v>
      </c>
      <c r="G3157" s="49" t="s">
        <v>20</v>
      </c>
      <c r="H3157" s="50" t="s">
        <v>3570</v>
      </c>
      <c r="I3157" s="50" t="s">
        <v>2986</v>
      </c>
      <c r="J3157" s="117">
        <v>3</v>
      </c>
      <c r="K3157" s="117">
        <v>39</v>
      </c>
      <c r="L3157" s="142">
        <v>117</v>
      </c>
      <c r="M3157" s="143" t="s">
        <v>22</v>
      </c>
      <c r="N3157" s="144"/>
      <c r="O3157" s="144"/>
      <c r="P3157" s="144"/>
      <c r="Q3157" s="144"/>
      <c r="R3157" s="144"/>
      <c r="S3157" s="144"/>
      <c r="T3157" s="144"/>
      <c r="U3157" s="144"/>
      <c r="V3157" s="50"/>
      <c r="W3157" s="26"/>
      <c r="X3157" s="26"/>
      <c r="Y3157" s="26"/>
      <c r="Z3157" s="26"/>
      <c r="AA3157" s="26"/>
    </row>
    <row r="3158" spans="1:27" ht="15" customHeight="1" x14ac:dyDescent="0.2">
      <c r="A3158" s="48">
        <v>41616.565300925897</v>
      </c>
      <c r="B3158" s="49" t="s">
        <v>152</v>
      </c>
      <c r="C3158" s="50" t="s">
        <v>1100</v>
      </c>
      <c r="D3158" s="67">
        <v>41579</v>
      </c>
      <c r="E3158" s="50" t="s">
        <v>3571</v>
      </c>
      <c r="F3158" s="50" t="s">
        <v>3572</v>
      </c>
      <c r="G3158" s="49" t="s">
        <v>20</v>
      </c>
      <c r="H3158" s="50" t="s">
        <v>3573</v>
      </c>
      <c r="I3158" s="50" t="s">
        <v>2986</v>
      </c>
      <c r="J3158" s="117">
        <v>3</v>
      </c>
      <c r="K3158" s="117">
        <v>120</v>
      </c>
      <c r="L3158" s="142">
        <v>360</v>
      </c>
      <c r="M3158" s="143" t="s">
        <v>22</v>
      </c>
      <c r="N3158" s="144"/>
      <c r="O3158" s="144"/>
      <c r="P3158" s="144"/>
      <c r="Q3158" s="144"/>
      <c r="R3158" s="144"/>
      <c r="S3158" s="144"/>
      <c r="T3158" s="144"/>
      <c r="U3158" s="144"/>
      <c r="V3158" s="50"/>
      <c r="W3158" s="26"/>
      <c r="X3158" s="26"/>
      <c r="Y3158" s="26"/>
      <c r="Z3158" s="26"/>
      <c r="AA3158" s="26"/>
    </row>
    <row r="3159" spans="1:27" ht="15" customHeight="1" x14ac:dyDescent="0.2">
      <c r="A3159" s="48">
        <v>41616.566759259302</v>
      </c>
      <c r="B3159" s="49" t="s">
        <v>152</v>
      </c>
      <c r="C3159" s="50" t="s">
        <v>1100</v>
      </c>
      <c r="D3159" s="67">
        <v>41579</v>
      </c>
      <c r="E3159" s="50" t="s">
        <v>3563</v>
      </c>
      <c r="F3159" s="50" t="s">
        <v>3574</v>
      </c>
      <c r="G3159" s="49" t="s">
        <v>20</v>
      </c>
      <c r="H3159" s="34" t="s">
        <v>3575</v>
      </c>
      <c r="I3159" s="50" t="s">
        <v>2986</v>
      </c>
      <c r="J3159" s="117">
        <v>2</v>
      </c>
      <c r="K3159" s="117">
        <v>120</v>
      </c>
      <c r="L3159" s="142"/>
      <c r="M3159" s="143" t="s">
        <v>22</v>
      </c>
      <c r="N3159" s="144"/>
      <c r="O3159" s="144"/>
      <c r="P3159" s="144"/>
      <c r="Q3159" s="144"/>
      <c r="R3159" s="144"/>
      <c r="S3159" s="144"/>
      <c r="T3159" s="144"/>
      <c r="U3159" s="144"/>
      <c r="V3159" s="50"/>
      <c r="W3159" s="26"/>
      <c r="X3159" s="26"/>
      <c r="Y3159" s="26"/>
      <c r="Z3159" s="26"/>
      <c r="AA3159" s="26"/>
    </row>
    <row r="3160" spans="1:27" ht="15" customHeight="1" x14ac:dyDescent="0.2">
      <c r="A3160" s="60">
        <v>41586.647905092599</v>
      </c>
      <c r="B3160" s="62" t="s">
        <v>152</v>
      </c>
      <c r="C3160" s="112" t="s">
        <v>1100</v>
      </c>
      <c r="D3160" s="70">
        <v>41548</v>
      </c>
      <c r="E3160" s="64" t="s">
        <v>1407</v>
      </c>
      <c r="F3160" s="64" t="s">
        <v>1110</v>
      </c>
      <c r="G3160" s="62" t="s">
        <v>26</v>
      </c>
      <c r="H3160" s="64" t="s">
        <v>2879</v>
      </c>
      <c r="I3160" s="64"/>
      <c r="J3160" s="123">
        <v>1</v>
      </c>
      <c r="K3160" s="123">
        <v>31</v>
      </c>
      <c r="L3160" s="164">
        <v>155</v>
      </c>
      <c r="M3160" s="165" t="s">
        <v>44</v>
      </c>
      <c r="N3160" s="166"/>
      <c r="O3160" s="166">
        <v>55</v>
      </c>
      <c r="P3160" s="166"/>
      <c r="Q3160" s="166"/>
      <c r="R3160" s="166"/>
      <c r="S3160" s="167"/>
      <c r="T3160" s="166"/>
      <c r="U3160" s="166"/>
      <c r="V3160" s="64"/>
      <c r="W3160" s="26"/>
      <c r="X3160" s="26"/>
      <c r="Y3160" s="26"/>
      <c r="Z3160" s="26"/>
      <c r="AA3160" s="26"/>
    </row>
    <row r="3161" spans="1:27" ht="15" customHeight="1" x14ac:dyDescent="0.2">
      <c r="A3161" s="60">
        <v>41586.649791666699</v>
      </c>
      <c r="B3161" s="62" t="s">
        <v>152</v>
      </c>
      <c r="C3161" s="112" t="s">
        <v>1100</v>
      </c>
      <c r="D3161" s="70">
        <v>41548</v>
      </c>
      <c r="E3161" s="64" t="s">
        <v>2880</v>
      </c>
      <c r="F3161" s="64" t="s">
        <v>2881</v>
      </c>
      <c r="G3161" s="62" t="s">
        <v>26</v>
      </c>
      <c r="H3161" s="64" t="s">
        <v>2882</v>
      </c>
      <c r="I3161" s="64"/>
      <c r="J3161" s="123">
        <v>1</v>
      </c>
      <c r="K3161" s="123">
        <v>48</v>
      </c>
      <c r="L3161" s="164">
        <v>240</v>
      </c>
      <c r="M3161" s="165" t="s">
        <v>44</v>
      </c>
      <c r="N3161" s="166"/>
      <c r="O3161" s="166">
        <v>80</v>
      </c>
      <c r="P3161" s="166"/>
      <c r="Q3161" s="166"/>
      <c r="R3161" s="166"/>
      <c r="S3161" s="167"/>
      <c r="T3161" s="166"/>
      <c r="U3161" s="166"/>
      <c r="V3161" s="64"/>
      <c r="W3161" s="26"/>
      <c r="X3161" s="26"/>
      <c r="Y3161" s="26"/>
      <c r="Z3161" s="26"/>
      <c r="AA3161" s="26"/>
    </row>
    <row r="3162" spans="1:27" ht="15" customHeight="1" x14ac:dyDescent="0.2">
      <c r="A3162" s="60">
        <v>41586.651631944398</v>
      </c>
      <c r="B3162" s="62" t="s">
        <v>152</v>
      </c>
      <c r="C3162" s="112" t="s">
        <v>1100</v>
      </c>
      <c r="D3162" s="70">
        <v>41548</v>
      </c>
      <c r="E3162" s="64" t="s">
        <v>2827</v>
      </c>
      <c r="F3162" s="64" t="s">
        <v>1110</v>
      </c>
      <c r="G3162" s="62" t="s">
        <v>26</v>
      </c>
      <c r="H3162" s="64" t="s">
        <v>2883</v>
      </c>
      <c r="I3162" s="64"/>
      <c r="J3162" s="123">
        <v>1</v>
      </c>
      <c r="K3162" s="123">
        <v>36</v>
      </c>
      <c r="L3162" s="164">
        <v>180</v>
      </c>
      <c r="M3162" s="165" t="s">
        <v>44</v>
      </c>
      <c r="N3162" s="166"/>
      <c r="O3162" s="166">
        <v>65</v>
      </c>
      <c r="P3162" s="166"/>
      <c r="Q3162" s="166"/>
      <c r="R3162" s="166"/>
      <c r="S3162" s="167"/>
      <c r="T3162" s="166"/>
      <c r="U3162" s="166"/>
      <c r="V3162" s="64"/>
      <c r="W3162" s="26"/>
      <c r="X3162" s="26"/>
      <c r="Y3162" s="26"/>
      <c r="Z3162" s="26"/>
      <c r="AA3162" s="26"/>
    </row>
    <row r="3163" spans="1:27" ht="15" customHeight="1" x14ac:dyDescent="0.2">
      <c r="A3163" s="60">
        <v>41586.653113425898</v>
      </c>
      <c r="B3163" s="62" t="s">
        <v>152</v>
      </c>
      <c r="C3163" s="112" t="s">
        <v>1100</v>
      </c>
      <c r="D3163" s="70">
        <v>41548</v>
      </c>
      <c r="E3163" s="64" t="s">
        <v>2884</v>
      </c>
      <c r="F3163" s="64" t="s">
        <v>2885</v>
      </c>
      <c r="G3163" s="62" t="s">
        <v>26</v>
      </c>
      <c r="H3163" s="64" t="s">
        <v>2886</v>
      </c>
      <c r="I3163" s="64"/>
      <c r="J3163" s="123">
        <v>1</v>
      </c>
      <c r="K3163" s="123">
        <v>20</v>
      </c>
      <c r="L3163" s="164"/>
      <c r="M3163" s="165" t="s">
        <v>44</v>
      </c>
      <c r="N3163" s="166"/>
      <c r="O3163" s="166">
        <v>70</v>
      </c>
      <c r="P3163" s="166"/>
      <c r="Q3163" s="166"/>
      <c r="R3163" s="166"/>
      <c r="S3163" s="167"/>
      <c r="T3163" s="166"/>
      <c r="U3163" s="166"/>
      <c r="V3163" s="64"/>
      <c r="W3163" s="26"/>
      <c r="X3163" s="26"/>
      <c r="Y3163" s="26"/>
      <c r="Z3163" s="26"/>
      <c r="AA3163" s="26"/>
    </row>
    <row r="3164" spans="1:27" ht="15" customHeight="1" x14ac:dyDescent="0.2">
      <c r="A3164" s="60">
        <v>41586.6543634259</v>
      </c>
      <c r="B3164" s="62" t="s">
        <v>152</v>
      </c>
      <c r="C3164" s="112" t="s">
        <v>1100</v>
      </c>
      <c r="D3164" s="70">
        <v>41548</v>
      </c>
      <c r="E3164" s="64" t="s">
        <v>2887</v>
      </c>
      <c r="F3164" s="64" t="s">
        <v>2888</v>
      </c>
      <c r="G3164" s="62" t="s">
        <v>42</v>
      </c>
      <c r="H3164" s="64" t="s">
        <v>2889</v>
      </c>
      <c r="I3164" s="64"/>
      <c r="J3164" s="123">
        <v>1</v>
      </c>
      <c r="K3164" s="123">
        <v>15</v>
      </c>
      <c r="L3164" s="164">
        <v>75</v>
      </c>
      <c r="M3164" s="165" t="s">
        <v>44</v>
      </c>
      <c r="N3164" s="166"/>
      <c r="O3164" s="166">
        <v>30</v>
      </c>
      <c r="P3164" s="166"/>
      <c r="Q3164" s="166"/>
      <c r="R3164" s="166"/>
      <c r="S3164" s="167"/>
      <c r="T3164" s="166"/>
      <c r="U3164" s="166"/>
      <c r="V3164" s="64"/>
      <c r="W3164" s="26"/>
      <c r="X3164" s="26"/>
      <c r="Y3164" s="26"/>
      <c r="Z3164" s="26"/>
      <c r="AA3164" s="26"/>
    </row>
    <row r="3165" spans="1:27" ht="15" customHeight="1" x14ac:dyDescent="0.2">
      <c r="A3165" s="60">
        <v>41586.6555324074</v>
      </c>
      <c r="B3165" s="62" t="s">
        <v>152</v>
      </c>
      <c r="C3165" s="112" t="s">
        <v>1100</v>
      </c>
      <c r="D3165" s="70">
        <v>41548</v>
      </c>
      <c r="E3165" s="64" t="s">
        <v>2670</v>
      </c>
      <c r="F3165" s="64" t="s">
        <v>2890</v>
      </c>
      <c r="G3165" s="62" t="s">
        <v>20</v>
      </c>
      <c r="H3165" s="64" t="s">
        <v>2891</v>
      </c>
      <c r="I3165" s="64"/>
      <c r="J3165" s="123">
        <v>2</v>
      </c>
      <c r="K3165" s="123">
        <v>25</v>
      </c>
      <c r="L3165" s="164"/>
      <c r="M3165" s="165" t="s">
        <v>22</v>
      </c>
      <c r="N3165" s="166"/>
      <c r="O3165" s="166"/>
      <c r="P3165" s="166"/>
      <c r="Q3165" s="166"/>
      <c r="R3165" s="166"/>
      <c r="S3165" s="167"/>
      <c r="T3165" s="166"/>
      <c r="U3165" s="166"/>
      <c r="V3165" s="64"/>
      <c r="W3165" s="26"/>
      <c r="X3165" s="26"/>
      <c r="Y3165" s="26"/>
      <c r="Z3165" s="26"/>
      <c r="AA3165" s="26"/>
    </row>
    <row r="3166" spans="1:27" ht="15" customHeight="1" x14ac:dyDescent="0.2">
      <c r="A3166" s="60">
        <v>41586.656643518501</v>
      </c>
      <c r="B3166" s="62" t="s">
        <v>152</v>
      </c>
      <c r="C3166" s="112" t="s">
        <v>1100</v>
      </c>
      <c r="D3166" s="70">
        <v>41548</v>
      </c>
      <c r="E3166" s="64" t="s">
        <v>2892</v>
      </c>
      <c r="F3166" s="64" t="s">
        <v>2893</v>
      </c>
      <c r="G3166" s="62" t="s">
        <v>20</v>
      </c>
      <c r="H3166" s="64" t="s">
        <v>2894</v>
      </c>
      <c r="I3166" s="64"/>
      <c r="J3166" s="123">
        <v>3</v>
      </c>
      <c r="K3166" s="123">
        <v>113</v>
      </c>
      <c r="L3166" s="164">
        <v>339</v>
      </c>
      <c r="M3166" s="165" t="s">
        <v>22</v>
      </c>
      <c r="N3166" s="166"/>
      <c r="O3166" s="166"/>
      <c r="P3166" s="166"/>
      <c r="Q3166" s="166"/>
      <c r="R3166" s="166"/>
      <c r="S3166" s="167"/>
      <c r="T3166" s="166"/>
      <c r="U3166" s="166"/>
      <c r="V3166" s="64"/>
      <c r="W3166" s="26"/>
      <c r="X3166" s="26"/>
      <c r="Y3166" s="26"/>
      <c r="Z3166" s="26"/>
      <c r="AA3166" s="26"/>
    </row>
    <row r="3167" spans="1:27" ht="15" customHeight="1" x14ac:dyDescent="0.2">
      <c r="A3167" s="60">
        <v>41586.666967592602</v>
      </c>
      <c r="B3167" s="62" t="s">
        <v>152</v>
      </c>
      <c r="C3167" s="112" t="s">
        <v>1100</v>
      </c>
      <c r="D3167" s="70">
        <v>41548</v>
      </c>
      <c r="E3167" s="64" t="s">
        <v>2895</v>
      </c>
      <c r="F3167" s="64" t="s">
        <v>2896</v>
      </c>
      <c r="G3167" s="62" t="s">
        <v>20</v>
      </c>
      <c r="H3167" s="64" t="s">
        <v>2897</v>
      </c>
      <c r="I3167" s="64"/>
      <c r="J3167" s="123">
        <v>2</v>
      </c>
      <c r="K3167" s="123">
        <v>120</v>
      </c>
      <c r="L3167" s="164"/>
      <c r="M3167" s="165" t="s">
        <v>22</v>
      </c>
      <c r="N3167" s="166"/>
      <c r="O3167" s="166"/>
      <c r="P3167" s="166"/>
      <c r="Q3167" s="166"/>
      <c r="R3167" s="166"/>
      <c r="S3167" s="167"/>
      <c r="T3167" s="166"/>
      <c r="U3167" s="166"/>
      <c r="V3167" s="64"/>
      <c r="W3167" s="26"/>
      <c r="X3167" s="26"/>
      <c r="Y3167" s="26"/>
      <c r="Z3167" s="26"/>
      <c r="AA3167" s="26"/>
    </row>
    <row r="3168" spans="1:27" ht="15" customHeight="1" x14ac:dyDescent="0.2">
      <c r="A3168" s="60">
        <v>41586.668113425898</v>
      </c>
      <c r="B3168" s="62" t="s">
        <v>152</v>
      </c>
      <c r="C3168" s="112" t="s">
        <v>1100</v>
      </c>
      <c r="D3168" s="70">
        <v>41548</v>
      </c>
      <c r="E3168" s="64" t="s">
        <v>2898</v>
      </c>
      <c r="F3168" s="64" t="s">
        <v>2899</v>
      </c>
      <c r="G3168" s="62" t="s">
        <v>20</v>
      </c>
      <c r="H3168" s="64" t="s">
        <v>2900</v>
      </c>
      <c r="I3168" s="64"/>
      <c r="J3168" s="123">
        <v>2</v>
      </c>
      <c r="K3168" s="123">
        <v>96</v>
      </c>
      <c r="L3168" s="164"/>
      <c r="M3168" s="165" t="s">
        <v>22</v>
      </c>
      <c r="N3168" s="166"/>
      <c r="O3168" s="166"/>
      <c r="P3168" s="166"/>
      <c r="Q3168" s="166"/>
      <c r="R3168" s="166"/>
      <c r="S3168" s="167"/>
      <c r="T3168" s="166"/>
      <c r="U3168" s="166"/>
      <c r="V3168" s="64"/>
      <c r="W3168" s="26"/>
      <c r="X3168" s="26"/>
      <c r="Y3168" s="26"/>
      <c r="Z3168" s="26"/>
      <c r="AA3168" s="26"/>
    </row>
    <row r="3169" spans="1:27" ht="15" customHeight="1" x14ac:dyDescent="0.2">
      <c r="A3169" s="60">
        <v>41586.670590277798</v>
      </c>
      <c r="B3169" s="62" t="s">
        <v>152</v>
      </c>
      <c r="C3169" s="112" t="s">
        <v>1100</v>
      </c>
      <c r="D3169" s="70">
        <v>41548</v>
      </c>
      <c r="E3169" s="64" t="s">
        <v>2901</v>
      </c>
      <c r="F3169" s="64" t="s">
        <v>2902</v>
      </c>
      <c r="G3169" s="62" t="s">
        <v>26</v>
      </c>
      <c r="H3169" s="64" t="s">
        <v>2903</v>
      </c>
      <c r="I3169" s="64"/>
      <c r="J3169" s="123">
        <v>1</v>
      </c>
      <c r="K3169" s="123">
        <v>25</v>
      </c>
      <c r="L3169" s="164"/>
      <c r="M3169" s="165" t="s">
        <v>44</v>
      </c>
      <c r="N3169" s="166"/>
      <c r="O3169" s="166">
        <v>100</v>
      </c>
      <c r="P3169" s="166"/>
      <c r="Q3169" s="166"/>
      <c r="R3169" s="166"/>
      <c r="S3169" s="167"/>
      <c r="T3169" s="166"/>
      <c r="U3169" s="166"/>
      <c r="V3169" s="64"/>
      <c r="W3169" s="26"/>
      <c r="X3169" s="26"/>
      <c r="Y3169" s="26"/>
      <c r="Z3169" s="26"/>
      <c r="AA3169" s="26"/>
    </row>
    <row r="3170" spans="1:27" s="26" customFormat="1" ht="15" customHeight="1" x14ac:dyDescent="0.2">
      <c r="A3170" s="60">
        <v>41586.671793981499</v>
      </c>
      <c r="B3170" s="62" t="s">
        <v>152</v>
      </c>
      <c r="C3170" s="112" t="s">
        <v>1100</v>
      </c>
      <c r="D3170" s="70">
        <v>41548</v>
      </c>
      <c r="E3170" s="64" t="s">
        <v>2904</v>
      </c>
      <c r="F3170" s="64" t="s">
        <v>2905</v>
      </c>
      <c r="G3170" s="62" t="s">
        <v>26</v>
      </c>
      <c r="H3170" s="64" t="s">
        <v>2906</v>
      </c>
      <c r="I3170" s="64"/>
      <c r="J3170" s="123">
        <v>1</v>
      </c>
      <c r="K3170" s="123">
        <v>15</v>
      </c>
      <c r="L3170" s="164"/>
      <c r="M3170" s="165" t="s">
        <v>44</v>
      </c>
      <c r="N3170" s="166"/>
      <c r="O3170" s="166">
        <v>40</v>
      </c>
      <c r="P3170" s="166"/>
      <c r="Q3170" s="166"/>
      <c r="R3170" s="166"/>
      <c r="S3170" s="167"/>
      <c r="T3170" s="166"/>
      <c r="U3170" s="166"/>
      <c r="V3170" s="64"/>
    </row>
    <row r="3171" spans="1:27" ht="15" customHeight="1" x14ac:dyDescent="0.2">
      <c r="A3171" s="32">
        <v>41646.572118055556</v>
      </c>
      <c r="B3171" s="26" t="s">
        <v>152</v>
      </c>
      <c r="C3171" s="26" t="s">
        <v>1100</v>
      </c>
      <c r="D3171" s="68">
        <v>41609</v>
      </c>
      <c r="E3171" s="26" t="s">
        <v>4003</v>
      </c>
      <c r="F3171" s="26" t="s">
        <v>4004</v>
      </c>
      <c r="G3171" s="26" t="s">
        <v>156</v>
      </c>
      <c r="H3171" s="26" t="s">
        <v>4005</v>
      </c>
      <c r="I3171" s="26" t="s">
        <v>2812</v>
      </c>
      <c r="J3171" s="46">
        <v>1</v>
      </c>
      <c r="K3171" s="46">
        <v>37</v>
      </c>
      <c r="L3171" s="136"/>
      <c r="M3171" s="137" t="s">
        <v>44</v>
      </c>
      <c r="O3171" s="138">
        <v>50</v>
      </c>
      <c r="V3171" s="26"/>
      <c r="W3171" s="26"/>
      <c r="X3171" s="26"/>
      <c r="Y3171" s="26"/>
      <c r="Z3171" s="26"/>
      <c r="AA3171" s="26"/>
    </row>
    <row r="3172" spans="1:27" ht="15" customHeight="1" x14ac:dyDescent="0.2">
      <c r="A3172" s="32">
        <v>41646.574328703704</v>
      </c>
      <c r="B3172" s="26" t="s">
        <v>152</v>
      </c>
      <c r="C3172" s="26" t="s">
        <v>1100</v>
      </c>
      <c r="D3172" s="68">
        <v>41609</v>
      </c>
      <c r="E3172" s="26" t="s">
        <v>4006</v>
      </c>
      <c r="F3172" s="26" t="s">
        <v>4007</v>
      </c>
      <c r="G3172" s="26" t="s">
        <v>26</v>
      </c>
      <c r="H3172" s="26" t="s">
        <v>4008</v>
      </c>
      <c r="I3172" s="26" t="s">
        <v>4009</v>
      </c>
      <c r="J3172" s="46">
        <v>1</v>
      </c>
      <c r="K3172" s="46">
        <v>22</v>
      </c>
      <c r="L3172" s="136"/>
      <c r="M3172" s="137" t="s">
        <v>44</v>
      </c>
      <c r="O3172" s="138">
        <v>90</v>
      </c>
      <c r="V3172" s="26"/>
      <c r="W3172" s="26"/>
      <c r="X3172" s="26"/>
      <c r="Y3172" s="26"/>
      <c r="Z3172" s="26"/>
      <c r="AA3172" s="26"/>
    </row>
    <row r="3173" spans="1:27" ht="15" customHeight="1" x14ac:dyDescent="0.2">
      <c r="A3173" s="55">
        <v>41680.748668981498</v>
      </c>
      <c r="B3173" s="52" t="s">
        <v>152</v>
      </c>
      <c r="C3173" s="52" t="s">
        <v>1100</v>
      </c>
      <c r="D3173" s="69">
        <v>41640</v>
      </c>
      <c r="E3173" s="52" t="s">
        <v>4505</v>
      </c>
      <c r="F3173" s="52" t="s">
        <v>4506</v>
      </c>
      <c r="G3173" s="52" t="s">
        <v>26</v>
      </c>
      <c r="H3173" s="52" t="s">
        <v>4507</v>
      </c>
      <c r="I3173" s="52" t="s">
        <v>2986</v>
      </c>
      <c r="J3173" s="95">
        <v>1</v>
      </c>
      <c r="K3173" s="118">
        <v>36</v>
      </c>
      <c r="L3173" s="148">
        <v>180</v>
      </c>
      <c r="M3173" s="146" t="s">
        <v>44</v>
      </c>
      <c r="N3173" s="147"/>
      <c r="O3173" s="147">
        <v>50</v>
      </c>
      <c r="P3173" s="147"/>
      <c r="Q3173" s="147"/>
      <c r="R3173" s="147"/>
      <c r="S3173" s="147"/>
      <c r="T3173" s="147"/>
      <c r="U3173" s="149"/>
      <c r="V3173" s="52"/>
      <c r="W3173" s="52"/>
      <c r="X3173" s="52"/>
      <c r="Y3173" s="52"/>
      <c r="Z3173" s="26"/>
      <c r="AA3173" s="26"/>
    </row>
    <row r="3174" spans="1:27" ht="15" customHeight="1" x14ac:dyDescent="0.2">
      <c r="A3174" s="55">
        <v>41680.750127314801</v>
      </c>
      <c r="B3174" s="52" t="s">
        <v>152</v>
      </c>
      <c r="C3174" s="52" t="s">
        <v>1100</v>
      </c>
      <c r="D3174" s="69">
        <v>41640</v>
      </c>
      <c r="E3174" s="52" t="s">
        <v>4508</v>
      </c>
      <c r="F3174" s="52" t="s">
        <v>4509</v>
      </c>
      <c r="G3174" s="52" t="s">
        <v>26</v>
      </c>
      <c r="H3174" s="52" t="s">
        <v>4510</v>
      </c>
      <c r="I3174" s="52" t="s">
        <v>4511</v>
      </c>
      <c r="J3174" s="95">
        <v>1</v>
      </c>
      <c r="K3174" s="118">
        <v>25</v>
      </c>
      <c r="L3174" s="148"/>
      <c r="M3174" s="146" t="s">
        <v>44</v>
      </c>
      <c r="N3174" s="147"/>
      <c r="O3174" s="147">
        <v>75</v>
      </c>
      <c r="P3174" s="147"/>
      <c r="Q3174" s="147"/>
      <c r="R3174" s="147"/>
      <c r="S3174" s="147"/>
      <c r="T3174" s="147"/>
      <c r="U3174" s="149"/>
      <c r="V3174" s="52"/>
      <c r="W3174" s="52"/>
      <c r="X3174" s="52"/>
      <c r="Y3174" s="52"/>
      <c r="Z3174" s="26"/>
      <c r="AA3174" s="26"/>
    </row>
    <row r="3175" spans="1:27" ht="15" customHeight="1" x14ac:dyDescent="0.2">
      <c r="A3175" s="32">
        <v>41734.494756944441</v>
      </c>
      <c r="B3175" s="26" t="s">
        <v>152</v>
      </c>
      <c r="C3175" s="26" t="s">
        <v>1100</v>
      </c>
      <c r="D3175" s="33">
        <v>41699</v>
      </c>
      <c r="E3175" s="26" t="s">
        <v>3566</v>
      </c>
      <c r="F3175" s="26" t="s">
        <v>4834</v>
      </c>
      <c r="G3175" s="26" t="s">
        <v>20</v>
      </c>
      <c r="H3175" s="26" t="s">
        <v>5675</v>
      </c>
      <c r="I3175" s="26" t="s">
        <v>2986</v>
      </c>
      <c r="J3175" s="46">
        <v>3</v>
      </c>
      <c r="K3175" s="46">
        <v>32</v>
      </c>
      <c r="L3175" s="136">
        <v>96</v>
      </c>
      <c r="M3175" s="137" t="s">
        <v>44</v>
      </c>
      <c r="P3175" s="138" t="s">
        <v>5676</v>
      </c>
      <c r="V3175" s="26"/>
      <c r="W3175" s="26"/>
      <c r="X3175" s="26"/>
      <c r="Y3175" s="26"/>
      <c r="Z3175" s="26"/>
      <c r="AA3175" s="26"/>
    </row>
    <row r="3176" spans="1:27" ht="15" customHeight="1" x14ac:dyDescent="0.2">
      <c r="A3176" s="32">
        <v>41734.496111111112</v>
      </c>
      <c r="B3176" s="26" t="s">
        <v>152</v>
      </c>
      <c r="C3176" s="26" t="s">
        <v>1100</v>
      </c>
      <c r="D3176" s="33">
        <v>41699</v>
      </c>
      <c r="E3176" s="26" t="s">
        <v>5677</v>
      </c>
      <c r="F3176" s="26" t="s">
        <v>4513</v>
      </c>
      <c r="G3176" s="26" t="s">
        <v>26</v>
      </c>
      <c r="H3176" s="26" t="s">
        <v>2883</v>
      </c>
      <c r="I3176" s="26" t="s">
        <v>2986</v>
      </c>
      <c r="J3176" s="46">
        <v>1</v>
      </c>
      <c r="K3176" s="46">
        <v>24</v>
      </c>
      <c r="L3176" s="136">
        <v>120</v>
      </c>
      <c r="M3176" s="137" t="s">
        <v>44</v>
      </c>
      <c r="O3176" s="138">
        <v>45</v>
      </c>
      <c r="V3176" s="26"/>
      <c r="W3176" s="26"/>
      <c r="X3176" s="26"/>
      <c r="Y3176" s="26"/>
      <c r="Z3176" s="26"/>
      <c r="AA3176" s="26"/>
    </row>
    <row r="3177" spans="1:27" ht="15" customHeight="1" x14ac:dyDescent="0.2">
      <c r="A3177" s="32">
        <v>41734.49726851852</v>
      </c>
      <c r="B3177" s="26" t="s">
        <v>152</v>
      </c>
      <c r="C3177" s="26" t="s">
        <v>1100</v>
      </c>
      <c r="D3177" s="33">
        <v>41699</v>
      </c>
      <c r="E3177" s="26" t="s">
        <v>4501</v>
      </c>
      <c r="F3177" s="26" t="s">
        <v>5678</v>
      </c>
      <c r="G3177" s="26" t="s">
        <v>26</v>
      </c>
      <c r="H3177" s="26" t="s">
        <v>2883</v>
      </c>
      <c r="I3177" s="26" t="s">
        <v>2986</v>
      </c>
      <c r="J3177" s="46">
        <v>1</v>
      </c>
      <c r="K3177" s="46">
        <v>72</v>
      </c>
      <c r="L3177" s="136">
        <v>360</v>
      </c>
      <c r="M3177" s="137" t="s">
        <v>44</v>
      </c>
      <c r="O3177" s="138">
        <v>120</v>
      </c>
      <c r="V3177" s="26"/>
      <c r="W3177" s="26"/>
      <c r="X3177" s="26"/>
      <c r="Y3177" s="26"/>
      <c r="Z3177" s="26"/>
      <c r="AA3177" s="26"/>
    </row>
    <row r="3178" spans="1:27" ht="15" customHeight="1" x14ac:dyDescent="0.2">
      <c r="A3178" s="32">
        <v>41734.498784722222</v>
      </c>
      <c r="B3178" s="26" t="s">
        <v>152</v>
      </c>
      <c r="C3178" s="26" t="s">
        <v>1100</v>
      </c>
      <c r="D3178" s="33">
        <v>41699</v>
      </c>
      <c r="E3178" s="26" t="s">
        <v>5679</v>
      </c>
      <c r="F3178" s="26" t="s">
        <v>5680</v>
      </c>
      <c r="G3178" s="26" t="s">
        <v>20</v>
      </c>
      <c r="H3178" s="26" t="s">
        <v>5681</v>
      </c>
      <c r="I3178" s="26" t="s">
        <v>2986</v>
      </c>
      <c r="J3178" s="46">
        <v>3</v>
      </c>
      <c r="K3178" s="46">
        <v>38</v>
      </c>
      <c r="L3178" s="136">
        <v>114</v>
      </c>
      <c r="M3178" s="137" t="s">
        <v>22</v>
      </c>
      <c r="V3178" s="26"/>
      <c r="W3178" s="26"/>
      <c r="X3178" s="26"/>
      <c r="Y3178" s="26"/>
      <c r="Z3178" s="26"/>
      <c r="AA3178" s="26"/>
    </row>
    <row r="3179" spans="1:27" ht="15" customHeight="1" x14ac:dyDescent="0.2">
      <c r="A3179" s="32">
        <v>41734.500324074077</v>
      </c>
      <c r="B3179" s="26" t="s">
        <v>152</v>
      </c>
      <c r="C3179" s="26" t="s">
        <v>1100</v>
      </c>
      <c r="D3179" s="33">
        <v>41699</v>
      </c>
      <c r="E3179" s="26" t="s">
        <v>5682</v>
      </c>
      <c r="F3179" s="26" t="s">
        <v>5683</v>
      </c>
      <c r="G3179" s="26" t="s">
        <v>26</v>
      </c>
      <c r="H3179" s="26"/>
      <c r="I3179" s="26" t="s">
        <v>5684</v>
      </c>
      <c r="J3179" s="46">
        <v>1</v>
      </c>
      <c r="K3179" s="46">
        <v>8</v>
      </c>
      <c r="L3179" s="136">
        <v>250</v>
      </c>
      <c r="M3179" s="137" t="s">
        <v>22</v>
      </c>
      <c r="V3179" s="26"/>
      <c r="W3179" s="26"/>
      <c r="X3179" s="26"/>
      <c r="Y3179" s="26"/>
      <c r="Z3179" s="26"/>
      <c r="AA3179" s="26"/>
    </row>
    <row r="3180" spans="1:27" ht="15" customHeight="1" x14ac:dyDescent="0.2">
      <c r="A3180" s="32">
        <v>41734.501261574071</v>
      </c>
      <c r="B3180" s="26" t="s">
        <v>152</v>
      </c>
      <c r="C3180" s="26" t="s">
        <v>1100</v>
      </c>
      <c r="D3180" s="33">
        <v>41699</v>
      </c>
      <c r="E3180" s="26" t="s">
        <v>5685</v>
      </c>
      <c r="F3180" s="26" t="s">
        <v>5683</v>
      </c>
      <c r="G3180" s="26" t="s">
        <v>26</v>
      </c>
      <c r="H3180" s="26" t="s">
        <v>5686</v>
      </c>
      <c r="I3180" s="26" t="s">
        <v>5684</v>
      </c>
      <c r="J3180" s="46">
        <v>1</v>
      </c>
      <c r="K3180" s="46">
        <v>8</v>
      </c>
      <c r="L3180" s="136"/>
      <c r="M3180" s="137" t="s">
        <v>22</v>
      </c>
      <c r="V3180" s="26"/>
      <c r="W3180" s="26"/>
      <c r="X3180" s="26"/>
      <c r="Y3180" s="26"/>
      <c r="Z3180" s="26"/>
      <c r="AA3180" s="26"/>
    </row>
    <row r="3181" spans="1:27" ht="15" customHeight="1" x14ac:dyDescent="0.2">
      <c r="A3181" s="32">
        <v>41734.502546296295</v>
      </c>
      <c r="B3181" s="26" t="s">
        <v>152</v>
      </c>
      <c r="C3181" s="26" t="s">
        <v>1100</v>
      </c>
      <c r="D3181" s="33">
        <v>41699</v>
      </c>
      <c r="E3181" s="26" t="s">
        <v>5673</v>
      </c>
      <c r="F3181" s="26" t="s">
        <v>5687</v>
      </c>
      <c r="G3181" s="26" t="s">
        <v>20</v>
      </c>
      <c r="H3181" s="26" t="s">
        <v>5688</v>
      </c>
      <c r="I3181" s="26" t="s">
        <v>2986</v>
      </c>
      <c r="J3181" s="46">
        <v>3</v>
      </c>
      <c r="K3181" s="46">
        <v>109</v>
      </c>
      <c r="L3181" s="136">
        <v>327</v>
      </c>
      <c r="M3181" s="137" t="s">
        <v>22</v>
      </c>
      <c r="V3181" s="26"/>
      <c r="W3181" s="26"/>
      <c r="X3181" s="26"/>
      <c r="Y3181" s="26"/>
      <c r="Z3181" s="26"/>
      <c r="AA3181" s="26"/>
    </row>
    <row r="3182" spans="1:27" ht="15" customHeight="1" x14ac:dyDescent="0.2">
      <c r="A3182" s="32">
        <v>41734.458819444444</v>
      </c>
      <c r="B3182" s="26" t="s">
        <v>152</v>
      </c>
      <c r="C3182" s="26" t="s">
        <v>1100</v>
      </c>
      <c r="D3182" s="33">
        <v>41730</v>
      </c>
      <c r="E3182" s="26" t="s">
        <v>5673</v>
      </c>
      <c r="F3182" s="26" t="s">
        <v>5674</v>
      </c>
      <c r="G3182" s="26" t="s">
        <v>20</v>
      </c>
      <c r="H3182" s="26" t="s">
        <v>5675</v>
      </c>
      <c r="I3182" s="26" t="s">
        <v>2986</v>
      </c>
      <c r="J3182" s="46">
        <v>3</v>
      </c>
      <c r="K3182" s="46">
        <v>8</v>
      </c>
      <c r="L3182" s="138">
        <v>24</v>
      </c>
      <c r="M3182" s="137" t="s">
        <v>44</v>
      </c>
      <c r="V3182" s="26"/>
      <c r="W3182" s="26"/>
      <c r="X3182" s="26"/>
      <c r="Y3182" s="26"/>
      <c r="Z3182" s="26"/>
      <c r="AA3182" s="26"/>
    </row>
    <row r="3183" spans="1:27" ht="15" customHeight="1" x14ac:dyDescent="0.2">
      <c r="A3183" s="55">
        <v>41768.638587963003</v>
      </c>
      <c r="B3183" s="52" t="s">
        <v>152</v>
      </c>
      <c r="C3183" s="52" t="s">
        <v>1100</v>
      </c>
      <c r="D3183" s="88" t="s">
        <v>6076</v>
      </c>
      <c r="E3183" s="52" t="s">
        <v>6597</v>
      </c>
      <c r="F3183" s="52" t="s">
        <v>6598</v>
      </c>
      <c r="G3183" s="52" t="s">
        <v>20</v>
      </c>
      <c r="H3183" s="52" t="s">
        <v>3573</v>
      </c>
      <c r="I3183" s="52" t="s">
        <v>2986</v>
      </c>
      <c r="J3183" s="95">
        <v>3</v>
      </c>
      <c r="K3183" s="95">
        <v>84</v>
      </c>
      <c r="L3183" s="149">
        <v>252</v>
      </c>
      <c r="M3183" s="146" t="s">
        <v>22</v>
      </c>
      <c r="N3183" s="149"/>
      <c r="O3183" s="149"/>
      <c r="P3183" s="149"/>
      <c r="Q3183" s="149"/>
      <c r="R3183" s="149"/>
      <c r="S3183" s="149"/>
      <c r="T3183" s="149"/>
      <c r="U3183" s="149"/>
      <c r="V3183" s="52"/>
      <c r="W3183" s="26"/>
      <c r="X3183" s="26"/>
      <c r="Y3183" s="26"/>
      <c r="Z3183" s="26"/>
      <c r="AA3183" s="26"/>
    </row>
    <row r="3184" spans="1:27" s="26" customFormat="1" ht="15" customHeight="1" x14ac:dyDescent="0.2">
      <c r="A3184" s="55">
        <v>41768.639837962997</v>
      </c>
      <c r="B3184" s="52" t="s">
        <v>152</v>
      </c>
      <c r="C3184" s="52" t="s">
        <v>1100</v>
      </c>
      <c r="D3184" s="88" t="s">
        <v>6076</v>
      </c>
      <c r="E3184" s="52" t="s">
        <v>5673</v>
      </c>
      <c r="F3184" s="52" t="s">
        <v>2896</v>
      </c>
      <c r="G3184" s="52" t="s">
        <v>20</v>
      </c>
      <c r="H3184" s="52" t="s">
        <v>4926</v>
      </c>
      <c r="I3184" s="52" t="s">
        <v>2986</v>
      </c>
      <c r="J3184" s="95">
        <v>3</v>
      </c>
      <c r="K3184" s="95">
        <v>90</v>
      </c>
      <c r="L3184" s="149">
        <v>360</v>
      </c>
      <c r="M3184" s="146" t="s">
        <v>22</v>
      </c>
      <c r="N3184" s="149"/>
      <c r="O3184" s="149"/>
      <c r="P3184" s="149"/>
      <c r="Q3184" s="149"/>
      <c r="R3184" s="149"/>
      <c r="S3184" s="149"/>
      <c r="T3184" s="149"/>
      <c r="U3184" s="149"/>
      <c r="V3184" s="52"/>
    </row>
    <row r="3185" spans="1:27" s="26" customFormat="1" ht="15" customHeight="1" x14ac:dyDescent="0.2">
      <c r="A3185" s="55">
        <v>41768.641064814801</v>
      </c>
      <c r="B3185" s="52" t="s">
        <v>152</v>
      </c>
      <c r="C3185" s="52" t="s">
        <v>1100</v>
      </c>
      <c r="D3185" s="88" t="s">
        <v>6076</v>
      </c>
      <c r="E3185" s="52" t="s">
        <v>3335</v>
      </c>
      <c r="F3185" s="52" t="s">
        <v>6599</v>
      </c>
      <c r="G3185" s="52" t="s">
        <v>20</v>
      </c>
      <c r="H3185" s="52" t="s">
        <v>6600</v>
      </c>
      <c r="I3185" s="52" t="s">
        <v>2986</v>
      </c>
      <c r="J3185" s="95">
        <v>3</v>
      </c>
      <c r="K3185" s="95">
        <v>28</v>
      </c>
      <c r="L3185" s="149">
        <v>84</v>
      </c>
      <c r="M3185" s="146" t="s">
        <v>22</v>
      </c>
      <c r="N3185" s="149"/>
      <c r="O3185" s="149"/>
      <c r="P3185" s="149"/>
      <c r="Q3185" s="149"/>
      <c r="R3185" s="149"/>
      <c r="S3185" s="149"/>
      <c r="T3185" s="149"/>
      <c r="U3185" s="149"/>
      <c r="V3185" s="52"/>
    </row>
    <row r="3186" spans="1:27" ht="15" customHeight="1" x14ac:dyDescent="0.2">
      <c r="A3186" s="55">
        <v>41768.642025462999</v>
      </c>
      <c r="B3186" s="52" t="s">
        <v>152</v>
      </c>
      <c r="C3186" s="52" t="s">
        <v>1100</v>
      </c>
      <c r="D3186" s="88" t="s">
        <v>6076</v>
      </c>
      <c r="E3186" s="52" t="s">
        <v>3335</v>
      </c>
      <c r="F3186" s="52" t="s">
        <v>6601</v>
      </c>
      <c r="G3186" s="52" t="s">
        <v>20</v>
      </c>
      <c r="H3186" s="52" t="s">
        <v>6602</v>
      </c>
      <c r="I3186" s="52"/>
      <c r="J3186" s="95">
        <v>3</v>
      </c>
      <c r="K3186" s="95">
        <v>85</v>
      </c>
      <c r="L3186" s="149"/>
      <c r="M3186" s="146" t="s">
        <v>22</v>
      </c>
      <c r="N3186" s="149"/>
      <c r="O3186" s="149"/>
      <c r="P3186" s="149"/>
      <c r="Q3186" s="149"/>
      <c r="R3186" s="149"/>
      <c r="S3186" s="149"/>
      <c r="T3186" s="149"/>
      <c r="U3186" s="149"/>
      <c r="V3186" s="52"/>
      <c r="W3186" s="26"/>
      <c r="X3186" s="26"/>
      <c r="Y3186" s="26"/>
      <c r="Z3186" s="26"/>
      <c r="AA3186" s="26"/>
    </row>
    <row r="3187" spans="1:27" ht="15" customHeight="1" x14ac:dyDescent="0.2">
      <c r="A3187" s="55">
        <v>41768.642777777801</v>
      </c>
      <c r="B3187" s="52" t="s">
        <v>152</v>
      </c>
      <c r="C3187" s="52" t="s">
        <v>1100</v>
      </c>
      <c r="D3187" s="88" t="s">
        <v>6076</v>
      </c>
      <c r="E3187" s="52" t="s">
        <v>5679</v>
      </c>
      <c r="F3187" s="52" t="s">
        <v>6603</v>
      </c>
      <c r="G3187" s="52" t="s">
        <v>20</v>
      </c>
      <c r="H3187" s="52" t="s">
        <v>2885</v>
      </c>
      <c r="I3187" s="52" t="s">
        <v>2986</v>
      </c>
      <c r="J3187" s="95">
        <v>3</v>
      </c>
      <c r="K3187" s="95">
        <v>73</v>
      </c>
      <c r="L3187" s="149"/>
      <c r="M3187" s="146" t="s">
        <v>22</v>
      </c>
      <c r="N3187" s="149"/>
      <c r="O3187" s="149"/>
      <c r="P3187" s="149"/>
      <c r="Q3187" s="149"/>
      <c r="R3187" s="149"/>
      <c r="S3187" s="149"/>
      <c r="T3187" s="149"/>
      <c r="U3187" s="149"/>
      <c r="V3187" s="52"/>
      <c r="W3187" s="26"/>
      <c r="X3187" s="26"/>
      <c r="Y3187" s="26"/>
      <c r="Z3187" s="26"/>
      <c r="AA3187" s="26"/>
    </row>
    <row r="3188" spans="1:27" ht="15" customHeight="1" x14ac:dyDescent="0.2">
      <c r="A3188" s="93">
        <v>41801.350277777798</v>
      </c>
      <c r="B3188" s="89" t="s">
        <v>152</v>
      </c>
      <c r="C3188" s="52" t="s">
        <v>213</v>
      </c>
      <c r="D3188" s="87" t="s">
        <v>6224</v>
      </c>
      <c r="E3188" s="89" t="s">
        <v>7574</v>
      </c>
      <c r="F3188" s="89" t="s">
        <v>4151</v>
      </c>
      <c r="G3188" s="89" t="s">
        <v>26</v>
      </c>
      <c r="H3188" s="89" t="s">
        <v>6068</v>
      </c>
      <c r="I3188" s="89" t="s">
        <v>2986</v>
      </c>
      <c r="J3188" s="95">
        <v>2</v>
      </c>
      <c r="K3188" s="95">
        <v>5</v>
      </c>
      <c r="L3188" s="150"/>
      <c r="M3188" s="146" t="s">
        <v>22</v>
      </c>
      <c r="N3188" s="149"/>
      <c r="O3188" s="149"/>
      <c r="P3188" s="149"/>
      <c r="Q3188" s="149"/>
      <c r="R3188" s="149"/>
      <c r="S3188" s="149"/>
      <c r="T3188" s="149"/>
      <c r="U3188" s="149"/>
      <c r="V3188" s="89"/>
      <c r="Z3188" s="26"/>
      <c r="AA3188" s="26"/>
    </row>
    <row r="3189" spans="1:27" ht="15" customHeight="1" x14ac:dyDescent="0.2">
      <c r="A3189" s="93">
        <v>41801.352187500001</v>
      </c>
      <c r="B3189" s="89" t="s">
        <v>152</v>
      </c>
      <c r="C3189" s="52" t="s">
        <v>213</v>
      </c>
      <c r="D3189" s="87" t="s">
        <v>6224</v>
      </c>
      <c r="E3189" s="89" t="s">
        <v>4275</v>
      </c>
      <c r="F3189" s="89" t="s">
        <v>2074</v>
      </c>
      <c r="G3189" s="89" t="s">
        <v>60</v>
      </c>
      <c r="H3189" s="89" t="s">
        <v>6068</v>
      </c>
      <c r="I3189" s="89" t="s">
        <v>2986</v>
      </c>
      <c r="J3189" s="95">
        <v>2</v>
      </c>
      <c r="K3189" s="95">
        <v>6</v>
      </c>
      <c r="L3189" s="150"/>
      <c r="M3189" s="146" t="s">
        <v>22</v>
      </c>
      <c r="N3189" s="149"/>
      <c r="O3189" s="149"/>
      <c r="P3189" s="149"/>
      <c r="Q3189" s="149"/>
      <c r="R3189" s="149"/>
      <c r="S3189" s="149"/>
      <c r="T3189" s="149"/>
      <c r="U3189" s="149"/>
      <c r="V3189" s="89"/>
      <c r="Z3189" s="26"/>
      <c r="AA3189" s="26"/>
    </row>
    <row r="3190" spans="1:27" ht="15" customHeight="1" x14ac:dyDescent="0.2">
      <c r="A3190" s="93">
        <v>41801.354537036997</v>
      </c>
      <c r="B3190" s="89" t="s">
        <v>152</v>
      </c>
      <c r="C3190" s="52" t="s">
        <v>213</v>
      </c>
      <c r="D3190" s="87" t="s">
        <v>6224</v>
      </c>
      <c r="E3190" s="89" t="s">
        <v>1215</v>
      </c>
      <c r="F3190" s="89" t="s">
        <v>4239</v>
      </c>
      <c r="G3190" s="89" t="s">
        <v>60</v>
      </c>
      <c r="H3190" s="89" t="s">
        <v>7575</v>
      </c>
      <c r="I3190" s="89" t="s">
        <v>3140</v>
      </c>
      <c r="J3190" s="95">
        <v>6</v>
      </c>
      <c r="K3190" s="95">
        <v>13</v>
      </c>
      <c r="L3190" s="150"/>
      <c r="M3190" s="146" t="s">
        <v>44</v>
      </c>
      <c r="N3190" s="149"/>
      <c r="O3190" s="149"/>
      <c r="P3190" s="149">
        <v>10</v>
      </c>
      <c r="Q3190" s="149"/>
      <c r="R3190" s="149"/>
      <c r="S3190" s="149"/>
      <c r="T3190" s="149"/>
      <c r="U3190" s="149"/>
      <c r="V3190" s="89"/>
      <c r="Z3190" s="26"/>
      <c r="AA3190" s="26"/>
    </row>
    <row r="3191" spans="1:27" ht="15" customHeight="1" x14ac:dyDescent="0.2">
      <c r="A3191" s="93">
        <v>41801.356041666702</v>
      </c>
      <c r="B3191" s="89" t="s">
        <v>152</v>
      </c>
      <c r="C3191" s="52" t="s">
        <v>213</v>
      </c>
      <c r="D3191" s="87" t="s">
        <v>6224</v>
      </c>
      <c r="E3191" s="89" t="s">
        <v>1215</v>
      </c>
      <c r="F3191" s="89" t="s">
        <v>2133</v>
      </c>
      <c r="G3191" s="89" t="s">
        <v>26</v>
      </c>
      <c r="H3191" s="89" t="s">
        <v>7576</v>
      </c>
      <c r="I3191" s="89" t="s">
        <v>2986</v>
      </c>
      <c r="J3191" s="95">
        <v>1</v>
      </c>
      <c r="K3191" s="95">
        <v>1</v>
      </c>
      <c r="L3191" s="150"/>
      <c r="M3191" s="146" t="s">
        <v>44</v>
      </c>
      <c r="N3191" s="149"/>
      <c r="O3191" s="149"/>
      <c r="P3191" s="149">
        <v>5</v>
      </c>
      <c r="Q3191" s="149"/>
      <c r="R3191" s="149"/>
      <c r="S3191" s="149"/>
      <c r="T3191" s="149"/>
      <c r="U3191" s="149"/>
      <c r="V3191" s="89"/>
      <c r="Z3191" s="26"/>
      <c r="AA3191" s="26"/>
    </row>
    <row r="3192" spans="1:27" ht="15" customHeight="1" x14ac:dyDescent="0.2">
      <c r="A3192" s="93">
        <v>41801.358460648102</v>
      </c>
      <c r="B3192" s="89" t="s">
        <v>152</v>
      </c>
      <c r="C3192" s="52" t="s">
        <v>213</v>
      </c>
      <c r="D3192" s="87" t="s">
        <v>6224</v>
      </c>
      <c r="E3192" s="89" t="s">
        <v>7577</v>
      </c>
      <c r="F3192" s="89" t="s">
        <v>2074</v>
      </c>
      <c r="G3192" s="89" t="s">
        <v>60</v>
      </c>
      <c r="H3192" s="89" t="s">
        <v>7578</v>
      </c>
      <c r="I3192" s="89" t="s">
        <v>3778</v>
      </c>
      <c r="J3192" s="95">
        <v>1</v>
      </c>
      <c r="K3192" s="95">
        <v>2</v>
      </c>
      <c r="L3192" s="150"/>
      <c r="M3192" s="146" t="s">
        <v>22</v>
      </c>
      <c r="N3192" s="149"/>
      <c r="O3192" s="149"/>
      <c r="P3192" s="149"/>
      <c r="Q3192" s="149"/>
      <c r="R3192" s="149"/>
      <c r="S3192" s="149"/>
      <c r="T3192" s="149"/>
      <c r="U3192" s="149"/>
      <c r="V3192" s="89"/>
      <c r="Z3192" s="26"/>
      <c r="AA3192" s="26"/>
    </row>
    <row r="3193" spans="1:27" ht="15" customHeight="1" x14ac:dyDescent="0.2">
      <c r="A3193" s="93">
        <v>41801.360000000001</v>
      </c>
      <c r="B3193" s="89" t="s">
        <v>152</v>
      </c>
      <c r="C3193" s="52" t="s">
        <v>213</v>
      </c>
      <c r="D3193" s="87" t="s">
        <v>6224</v>
      </c>
      <c r="E3193" s="89" t="s">
        <v>7574</v>
      </c>
      <c r="F3193" s="89" t="s">
        <v>2135</v>
      </c>
      <c r="G3193" s="89" t="s">
        <v>26</v>
      </c>
      <c r="H3193" s="89" t="s">
        <v>3807</v>
      </c>
      <c r="I3193" s="89" t="s">
        <v>2986</v>
      </c>
      <c r="J3193" s="95">
        <v>3</v>
      </c>
      <c r="K3193" s="95">
        <v>6</v>
      </c>
      <c r="L3193" s="150"/>
      <c r="M3193" s="146" t="s">
        <v>22</v>
      </c>
      <c r="N3193" s="149"/>
      <c r="O3193" s="149"/>
      <c r="P3193" s="149"/>
      <c r="Q3193" s="149"/>
      <c r="R3193" s="149"/>
      <c r="S3193" s="149"/>
      <c r="T3193" s="149"/>
      <c r="U3193" s="149"/>
      <c r="V3193" s="89"/>
      <c r="Z3193" s="26"/>
      <c r="AA3193" s="26"/>
    </row>
    <row r="3194" spans="1:27" ht="15" customHeight="1" x14ac:dyDescent="0.2">
      <c r="A3194" s="93">
        <v>41801.363067129598</v>
      </c>
      <c r="B3194" s="89" t="s">
        <v>152</v>
      </c>
      <c r="C3194" s="52" t="s">
        <v>213</v>
      </c>
      <c r="D3194" s="87" t="s">
        <v>6224</v>
      </c>
      <c r="E3194" s="89" t="s">
        <v>3111</v>
      </c>
      <c r="F3194" s="89" t="s">
        <v>7579</v>
      </c>
      <c r="G3194" s="89" t="s">
        <v>60</v>
      </c>
      <c r="H3194" s="89" t="s">
        <v>7580</v>
      </c>
      <c r="I3194" s="89" t="s">
        <v>2986</v>
      </c>
      <c r="J3194" s="95">
        <v>2</v>
      </c>
      <c r="K3194" s="95">
        <v>5</v>
      </c>
      <c r="L3194" s="150"/>
      <c r="M3194" s="146" t="s">
        <v>22</v>
      </c>
      <c r="N3194" s="149"/>
      <c r="O3194" s="149"/>
      <c r="P3194" s="149"/>
      <c r="Q3194" s="149"/>
      <c r="R3194" s="149"/>
      <c r="S3194" s="149"/>
      <c r="T3194" s="149"/>
      <c r="U3194" s="149"/>
      <c r="V3194" s="89"/>
      <c r="Z3194" s="26"/>
      <c r="AA3194" s="26"/>
    </row>
    <row r="3195" spans="1:27" ht="15" customHeight="1" x14ac:dyDescent="0.2">
      <c r="A3195" s="93">
        <v>41801.363958333299</v>
      </c>
      <c r="B3195" s="89" t="s">
        <v>152</v>
      </c>
      <c r="C3195" s="52" t="s">
        <v>213</v>
      </c>
      <c r="D3195" s="87" t="s">
        <v>6224</v>
      </c>
      <c r="E3195" s="89" t="s">
        <v>4275</v>
      </c>
      <c r="F3195" s="89" t="s">
        <v>7579</v>
      </c>
      <c r="G3195" s="89" t="s">
        <v>60</v>
      </c>
      <c r="H3195" s="89" t="s">
        <v>7575</v>
      </c>
      <c r="I3195" s="89" t="s">
        <v>3140</v>
      </c>
      <c r="J3195" s="95">
        <v>2</v>
      </c>
      <c r="K3195" s="95">
        <v>7</v>
      </c>
      <c r="L3195" s="150"/>
      <c r="M3195" s="146" t="s">
        <v>22</v>
      </c>
      <c r="N3195" s="149"/>
      <c r="O3195" s="149"/>
      <c r="P3195" s="149"/>
      <c r="Q3195" s="149"/>
      <c r="R3195" s="149"/>
      <c r="S3195" s="149"/>
      <c r="T3195" s="149"/>
      <c r="U3195" s="149"/>
      <c r="V3195" s="89"/>
      <c r="Z3195" s="26"/>
      <c r="AA3195" s="26"/>
    </row>
    <row r="3196" spans="1:27" ht="15" customHeight="1" x14ac:dyDescent="0.2">
      <c r="A3196" s="93">
        <v>41801.364872685197</v>
      </c>
      <c r="B3196" s="89" t="s">
        <v>152</v>
      </c>
      <c r="C3196" s="52" t="s">
        <v>213</v>
      </c>
      <c r="D3196" s="87" t="s">
        <v>6224</v>
      </c>
      <c r="E3196" s="89" t="s">
        <v>1215</v>
      </c>
      <c r="F3196" s="89" t="s">
        <v>7579</v>
      </c>
      <c r="G3196" s="89" t="s">
        <v>60</v>
      </c>
      <c r="H3196" s="89" t="s">
        <v>7581</v>
      </c>
      <c r="I3196" s="89" t="s">
        <v>3140</v>
      </c>
      <c r="J3196" s="95">
        <v>2</v>
      </c>
      <c r="K3196" s="95">
        <v>6</v>
      </c>
      <c r="L3196" s="150"/>
      <c r="M3196" s="146" t="s">
        <v>22</v>
      </c>
      <c r="N3196" s="149"/>
      <c r="O3196" s="149"/>
      <c r="P3196" s="149"/>
      <c r="Q3196" s="149"/>
      <c r="R3196" s="149"/>
      <c r="S3196" s="149"/>
      <c r="T3196" s="149"/>
      <c r="U3196" s="149"/>
      <c r="V3196" s="89"/>
      <c r="Z3196" s="26"/>
      <c r="AA3196" s="26"/>
    </row>
    <row r="3197" spans="1:27" ht="15" customHeight="1" x14ac:dyDescent="0.2">
      <c r="A3197" s="93">
        <v>41801.366678240702</v>
      </c>
      <c r="B3197" s="89" t="s">
        <v>152</v>
      </c>
      <c r="C3197" s="52" t="s">
        <v>213</v>
      </c>
      <c r="D3197" s="87" t="s">
        <v>6224</v>
      </c>
      <c r="E3197" s="89" t="s">
        <v>3111</v>
      </c>
      <c r="F3197" s="89" t="s">
        <v>2133</v>
      </c>
      <c r="G3197" s="89" t="s">
        <v>26</v>
      </c>
      <c r="H3197" s="89" t="s">
        <v>7582</v>
      </c>
      <c r="I3197" s="89" t="s">
        <v>2986</v>
      </c>
      <c r="J3197" s="95">
        <v>2</v>
      </c>
      <c r="K3197" s="95">
        <v>13</v>
      </c>
      <c r="L3197" s="150"/>
      <c r="M3197" s="146" t="s">
        <v>44</v>
      </c>
      <c r="N3197" s="149"/>
      <c r="O3197" s="149"/>
      <c r="P3197" s="149">
        <v>15</v>
      </c>
      <c r="Q3197" s="149"/>
      <c r="R3197" s="149"/>
      <c r="S3197" s="149"/>
      <c r="T3197" s="149"/>
      <c r="U3197" s="149"/>
      <c r="V3197" s="89"/>
      <c r="Z3197" s="26"/>
      <c r="AA3197" s="26"/>
    </row>
    <row r="3198" spans="1:27" ht="15" customHeight="1" x14ac:dyDescent="0.2">
      <c r="A3198" s="93">
        <v>41801.367604166699</v>
      </c>
      <c r="B3198" s="89" t="s">
        <v>152</v>
      </c>
      <c r="C3198" s="52" t="s">
        <v>213</v>
      </c>
      <c r="D3198" s="87" t="s">
        <v>6224</v>
      </c>
      <c r="E3198" s="89" t="s">
        <v>3111</v>
      </c>
      <c r="F3198" s="89" t="s">
        <v>21</v>
      </c>
      <c r="G3198" s="89" t="s">
        <v>26</v>
      </c>
      <c r="H3198" s="89" t="s">
        <v>7583</v>
      </c>
      <c r="I3198" s="89" t="s">
        <v>2986</v>
      </c>
      <c r="J3198" s="95">
        <v>2</v>
      </c>
      <c r="K3198" s="95">
        <v>2</v>
      </c>
      <c r="L3198" s="150"/>
      <c r="M3198" s="146" t="s">
        <v>22</v>
      </c>
      <c r="N3198" s="149"/>
      <c r="O3198" s="149"/>
      <c r="P3198" s="149"/>
      <c r="Q3198" s="149"/>
      <c r="R3198" s="149"/>
      <c r="S3198" s="149"/>
      <c r="T3198" s="149"/>
      <c r="U3198" s="149"/>
      <c r="V3198" s="89"/>
      <c r="Z3198" s="26"/>
      <c r="AA3198" s="26"/>
    </row>
    <row r="3199" spans="1:27" ht="15" customHeight="1" x14ac:dyDescent="0.2">
      <c r="A3199" s="37">
        <v>41491.516678240703</v>
      </c>
      <c r="B3199" s="26" t="s">
        <v>152</v>
      </c>
      <c r="C3199" s="26" t="s">
        <v>707</v>
      </c>
      <c r="D3199" s="33">
        <v>41456</v>
      </c>
      <c r="E3199" s="26" t="s">
        <v>708</v>
      </c>
      <c r="F3199" s="26" t="s">
        <v>709</v>
      </c>
      <c r="G3199" s="26" t="s">
        <v>42</v>
      </c>
      <c r="H3199" s="26" t="s">
        <v>710</v>
      </c>
      <c r="I3199" s="26"/>
      <c r="J3199" s="115">
        <v>1</v>
      </c>
      <c r="K3199" s="115">
        <v>15</v>
      </c>
      <c r="L3199" s="136"/>
      <c r="M3199" s="137" t="s">
        <v>44</v>
      </c>
      <c r="O3199" s="138">
        <v>20</v>
      </c>
      <c r="V3199" s="26" t="s">
        <v>711</v>
      </c>
      <c r="W3199" s="26"/>
      <c r="X3199" s="26"/>
      <c r="Y3199" s="26"/>
      <c r="Z3199" s="26"/>
      <c r="AA3199" s="26"/>
    </row>
    <row r="3200" spans="1:27" ht="15" customHeight="1" x14ac:dyDescent="0.2">
      <c r="A3200" s="37">
        <v>41491.519525463002</v>
      </c>
      <c r="B3200" s="26" t="s">
        <v>152</v>
      </c>
      <c r="C3200" s="26" t="s">
        <v>707</v>
      </c>
      <c r="D3200" s="33">
        <v>41456</v>
      </c>
      <c r="E3200" s="26" t="s">
        <v>712</v>
      </c>
      <c r="F3200" s="26" t="s">
        <v>373</v>
      </c>
      <c r="G3200" s="26" t="s">
        <v>26</v>
      </c>
      <c r="H3200" s="26" t="s">
        <v>713</v>
      </c>
      <c r="I3200" s="26"/>
      <c r="J3200" s="115">
        <v>3</v>
      </c>
      <c r="K3200" s="115">
        <v>103</v>
      </c>
      <c r="L3200" s="136"/>
      <c r="M3200" s="137" t="s">
        <v>22</v>
      </c>
      <c r="V3200" s="26" t="s">
        <v>714</v>
      </c>
      <c r="W3200" s="26"/>
      <c r="X3200" s="26"/>
      <c r="Y3200" s="26"/>
      <c r="Z3200" s="26"/>
      <c r="AA3200" s="26"/>
    </row>
    <row r="3201" spans="1:27" ht="15" customHeight="1" x14ac:dyDescent="0.2">
      <c r="A3201" s="37">
        <v>41491.522407407399</v>
      </c>
      <c r="B3201" s="26" t="s">
        <v>152</v>
      </c>
      <c r="C3201" s="26" t="s">
        <v>707</v>
      </c>
      <c r="D3201" s="33">
        <v>41456</v>
      </c>
      <c r="E3201" s="26" t="s">
        <v>715</v>
      </c>
      <c r="F3201" s="26" t="s">
        <v>373</v>
      </c>
      <c r="G3201" s="26" t="s">
        <v>26</v>
      </c>
      <c r="H3201" s="26" t="s">
        <v>716</v>
      </c>
      <c r="I3201" s="26"/>
      <c r="J3201" s="115">
        <v>2</v>
      </c>
      <c r="K3201" s="115">
        <v>34</v>
      </c>
      <c r="L3201" s="136"/>
      <c r="M3201" s="137" t="s">
        <v>22</v>
      </c>
      <c r="V3201" s="26" t="s">
        <v>717</v>
      </c>
      <c r="W3201" s="26"/>
      <c r="X3201" s="26"/>
      <c r="Y3201" s="26"/>
      <c r="Z3201" s="26"/>
      <c r="AA3201" s="26"/>
    </row>
    <row r="3202" spans="1:27" ht="15" customHeight="1" x14ac:dyDescent="0.2">
      <c r="A3202" s="37">
        <v>41491.524710648198</v>
      </c>
      <c r="B3202" s="26" t="s">
        <v>152</v>
      </c>
      <c r="C3202" s="26" t="s">
        <v>707</v>
      </c>
      <c r="D3202" s="33">
        <v>41456</v>
      </c>
      <c r="E3202" s="26" t="s">
        <v>48</v>
      </c>
      <c r="F3202" s="26" t="s">
        <v>373</v>
      </c>
      <c r="G3202" s="26" t="s">
        <v>26</v>
      </c>
      <c r="H3202" s="26" t="s">
        <v>718</v>
      </c>
      <c r="I3202" s="26"/>
      <c r="J3202" s="115">
        <v>2</v>
      </c>
      <c r="K3202" s="115">
        <v>96</v>
      </c>
      <c r="L3202" s="136"/>
      <c r="M3202" s="137" t="s">
        <v>22</v>
      </c>
      <c r="V3202" s="26" t="s">
        <v>719</v>
      </c>
      <c r="W3202" s="26"/>
      <c r="X3202" s="26"/>
      <c r="Y3202" s="26"/>
      <c r="Z3202" s="26"/>
      <c r="AA3202" s="26"/>
    </row>
    <row r="3203" spans="1:27" ht="15" customHeight="1" x14ac:dyDescent="0.2">
      <c r="A3203" s="37">
        <v>41491.528634259303</v>
      </c>
      <c r="B3203" s="26" t="s">
        <v>152</v>
      </c>
      <c r="C3203" s="26" t="s">
        <v>707</v>
      </c>
      <c r="D3203" s="33">
        <v>41456</v>
      </c>
      <c r="E3203" s="26" t="s">
        <v>720</v>
      </c>
      <c r="F3203" s="26" t="s">
        <v>721</v>
      </c>
      <c r="G3203" s="26" t="s">
        <v>26</v>
      </c>
      <c r="H3203" s="26" t="s">
        <v>722</v>
      </c>
      <c r="I3203" s="26"/>
      <c r="J3203" s="115">
        <v>2</v>
      </c>
      <c r="K3203" s="115">
        <v>71</v>
      </c>
      <c r="L3203" s="136"/>
      <c r="M3203" s="137" t="s">
        <v>44</v>
      </c>
      <c r="O3203" s="138">
        <v>25</v>
      </c>
      <c r="V3203" s="26" t="s">
        <v>723</v>
      </c>
      <c r="W3203" s="26"/>
      <c r="X3203" s="26"/>
      <c r="Y3203" s="26"/>
      <c r="Z3203" s="26"/>
      <c r="AA3203" s="26"/>
    </row>
    <row r="3204" spans="1:27" ht="15" customHeight="1" x14ac:dyDescent="0.2">
      <c r="A3204" s="37">
        <v>41491.531099537002</v>
      </c>
      <c r="B3204" s="26" t="s">
        <v>152</v>
      </c>
      <c r="C3204" s="26" t="s">
        <v>707</v>
      </c>
      <c r="D3204" s="33">
        <v>41456</v>
      </c>
      <c r="E3204" s="26" t="s">
        <v>724</v>
      </c>
      <c r="F3204" s="26" t="s">
        <v>721</v>
      </c>
      <c r="G3204" s="26" t="s">
        <v>26</v>
      </c>
      <c r="H3204" s="26" t="s">
        <v>722</v>
      </c>
      <c r="I3204" s="26"/>
      <c r="J3204" s="115">
        <v>1</v>
      </c>
      <c r="K3204" s="115">
        <v>31</v>
      </c>
      <c r="L3204" s="136"/>
      <c r="M3204" s="137" t="s">
        <v>22</v>
      </c>
      <c r="V3204" s="26"/>
      <c r="W3204" s="26"/>
      <c r="X3204" s="26"/>
      <c r="Y3204" s="26"/>
      <c r="Z3204" s="26"/>
      <c r="AA3204" s="26"/>
    </row>
    <row r="3205" spans="1:27" ht="15" customHeight="1" x14ac:dyDescent="0.2">
      <c r="A3205" s="37">
        <v>41491.534456018497</v>
      </c>
      <c r="B3205" s="26" t="s">
        <v>152</v>
      </c>
      <c r="C3205" s="26" t="s">
        <v>707</v>
      </c>
      <c r="D3205" s="33">
        <v>41456</v>
      </c>
      <c r="E3205" s="26" t="s">
        <v>529</v>
      </c>
      <c r="F3205" s="26" t="s">
        <v>721</v>
      </c>
      <c r="G3205" s="26" t="s">
        <v>26</v>
      </c>
      <c r="H3205" s="26" t="s">
        <v>722</v>
      </c>
      <c r="I3205" s="26"/>
      <c r="J3205" s="115">
        <v>4</v>
      </c>
      <c r="K3205" s="115">
        <v>165</v>
      </c>
      <c r="L3205" s="136"/>
      <c r="M3205" s="137" t="s">
        <v>44</v>
      </c>
      <c r="O3205" s="138">
        <v>65</v>
      </c>
      <c r="V3205" s="26" t="s">
        <v>725</v>
      </c>
      <c r="W3205" s="26"/>
      <c r="X3205" s="26"/>
      <c r="Y3205" s="26"/>
      <c r="Z3205" s="26"/>
      <c r="AA3205" s="26"/>
    </row>
    <row r="3206" spans="1:27" ht="15" customHeight="1" x14ac:dyDescent="0.2">
      <c r="A3206" s="37">
        <v>41491.536932870396</v>
      </c>
      <c r="B3206" s="26" t="s">
        <v>152</v>
      </c>
      <c r="C3206" s="26" t="s">
        <v>707</v>
      </c>
      <c r="D3206" s="33">
        <v>41456</v>
      </c>
      <c r="E3206" s="26" t="s">
        <v>726</v>
      </c>
      <c r="F3206" s="26" t="s">
        <v>727</v>
      </c>
      <c r="G3206" s="26" t="s">
        <v>26</v>
      </c>
      <c r="H3206" s="26" t="s">
        <v>728</v>
      </c>
      <c r="I3206" s="26"/>
      <c r="J3206" s="115">
        <v>1</v>
      </c>
      <c r="K3206" s="115">
        <v>9</v>
      </c>
      <c r="L3206" s="136">
        <v>9</v>
      </c>
      <c r="M3206" s="137" t="s">
        <v>22</v>
      </c>
      <c r="V3206" s="26" t="s">
        <v>729</v>
      </c>
      <c r="W3206" s="26"/>
      <c r="X3206" s="26"/>
      <c r="Y3206" s="26"/>
      <c r="Z3206" s="26"/>
      <c r="AA3206" s="26"/>
    </row>
    <row r="3207" spans="1:27" ht="15" customHeight="1" x14ac:dyDescent="0.2">
      <c r="A3207" s="37">
        <v>41491.540532407402</v>
      </c>
      <c r="B3207" s="26" t="s">
        <v>152</v>
      </c>
      <c r="C3207" s="26" t="s">
        <v>707</v>
      </c>
      <c r="D3207" s="33">
        <v>41456</v>
      </c>
      <c r="E3207" s="26" t="s">
        <v>730</v>
      </c>
      <c r="F3207" s="26" t="s">
        <v>731</v>
      </c>
      <c r="G3207" s="26" t="s">
        <v>26</v>
      </c>
      <c r="H3207" s="26" t="s">
        <v>732</v>
      </c>
      <c r="I3207" s="26"/>
      <c r="J3207" s="115">
        <v>3</v>
      </c>
      <c r="K3207" s="115">
        <v>114</v>
      </c>
      <c r="L3207" s="136"/>
      <c r="M3207" s="137" t="s">
        <v>44</v>
      </c>
      <c r="O3207" s="138">
        <v>35</v>
      </c>
      <c r="V3207" s="26" t="s">
        <v>733</v>
      </c>
      <c r="W3207" s="26"/>
      <c r="X3207" s="26"/>
      <c r="Y3207" s="26"/>
      <c r="Z3207" s="26"/>
      <c r="AA3207" s="26"/>
    </row>
    <row r="3208" spans="1:27" ht="15" customHeight="1" x14ac:dyDescent="0.2">
      <c r="A3208" s="37">
        <v>41491.566226851799</v>
      </c>
      <c r="B3208" s="26" t="s">
        <v>152</v>
      </c>
      <c r="C3208" s="26" t="s">
        <v>707</v>
      </c>
      <c r="D3208" s="33">
        <v>41456</v>
      </c>
      <c r="E3208" s="26" t="s">
        <v>741</v>
      </c>
      <c r="F3208" s="26" t="s">
        <v>742</v>
      </c>
      <c r="G3208" s="26" t="s">
        <v>26</v>
      </c>
      <c r="H3208" s="26" t="s">
        <v>743</v>
      </c>
      <c r="I3208" s="26"/>
      <c r="J3208" s="115">
        <v>2</v>
      </c>
      <c r="K3208" s="115">
        <v>31</v>
      </c>
      <c r="L3208" s="136"/>
      <c r="M3208" s="137" t="s">
        <v>44</v>
      </c>
      <c r="O3208" s="138">
        <v>10</v>
      </c>
      <c r="V3208" s="26" t="s">
        <v>744</v>
      </c>
      <c r="W3208" s="26"/>
      <c r="X3208" s="26"/>
      <c r="Y3208" s="26"/>
      <c r="Z3208" s="26"/>
      <c r="AA3208" s="26"/>
    </row>
    <row r="3209" spans="1:27" ht="15" customHeight="1" x14ac:dyDescent="0.2">
      <c r="A3209" s="37">
        <v>41491.5680208333</v>
      </c>
      <c r="B3209" s="26" t="s">
        <v>152</v>
      </c>
      <c r="C3209" s="26" t="s">
        <v>707</v>
      </c>
      <c r="D3209" s="33">
        <v>41456</v>
      </c>
      <c r="E3209" s="26" t="s">
        <v>745</v>
      </c>
      <c r="F3209" s="26" t="s">
        <v>746</v>
      </c>
      <c r="G3209" s="26" t="s">
        <v>42</v>
      </c>
      <c r="H3209" s="26" t="s">
        <v>747</v>
      </c>
      <c r="I3209" s="26"/>
      <c r="J3209" s="115">
        <v>1</v>
      </c>
      <c r="K3209" s="115">
        <v>43</v>
      </c>
      <c r="L3209" s="136"/>
      <c r="M3209" s="137" t="s">
        <v>22</v>
      </c>
      <c r="V3209" s="26" t="s">
        <v>748</v>
      </c>
      <c r="W3209" s="26"/>
      <c r="X3209" s="26"/>
      <c r="Y3209" s="26"/>
      <c r="Z3209" s="26"/>
      <c r="AA3209" s="26"/>
    </row>
    <row r="3210" spans="1:27" ht="15" customHeight="1" x14ac:dyDescent="0.2">
      <c r="A3210" s="37">
        <v>41491.570787037002</v>
      </c>
      <c r="B3210" s="26" t="s">
        <v>152</v>
      </c>
      <c r="C3210" s="26" t="s">
        <v>707</v>
      </c>
      <c r="D3210" s="33">
        <v>41456</v>
      </c>
      <c r="E3210" s="26" t="s">
        <v>749</v>
      </c>
      <c r="F3210" s="26" t="s">
        <v>750</v>
      </c>
      <c r="G3210" s="26" t="s">
        <v>26</v>
      </c>
      <c r="H3210" s="26" t="s">
        <v>751</v>
      </c>
      <c r="I3210" s="26"/>
      <c r="J3210" s="115">
        <v>1</v>
      </c>
      <c r="K3210" s="115">
        <v>22</v>
      </c>
      <c r="L3210" s="136"/>
      <c r="M3210" s="137" t="s">
        <v>22</v>
      </c>
      <c r="V3210" s="26"/>
      <c r="W3210" s="26"/>
      <c r="X3210" s="26"/>
      <c r="Y3210" s="26"/>
      <c r="Z3210" s="26"/>
      <c r="AA3210" s="26"/>
    </row>
    <row r="3211" spans="1:27" ht="15" customHeight="1" x14ac:dyDescent="0.2">
      <c r="A3211" s="37">
        <v>41491.570798611101</v>
      </c>
      <c r="B3211" s="26" t="s">
        <v>152</v>
      </c>
      <c r="C3211" s="26" t="s">
        <v>707</v>
      </c>
      <c r="D3211" s="33">
        <v>41456</v>
      </c>
      <c r="E3211" s="26" t="s">
        <v>749</v>
      </c>
      <c r="F3211" s="26" t="s">
        <v>750</v>
      </c>
      <c r="G3211" s="26" t="s">
        <v>26</v>
      </c>
      <c r="H3211" s="26" t="s">
        <v>751</v>
      </c>
      <c r="I3211" s="26"/>
      <c r="J3211" s="115">
        <v>1</v>
      </c>
      <c r="K3211" s="115">
        <v>22</v>
      </c>
      <c r="L3211" s="136"/>
      <c r="M3211" s="137" t="s">
        <v>22</v>
      </c>
      <c r="V3211" s="26"/>
      <c r="W3211" s="26"/>
      <c r="X3211" s="26"/>
      <c r="Y3211" s="26"/>
      <c r="Z3211" s="26"/>
      <c r="AA3211" s="26"/>
    </row>
    <row r="3212" spans="1:27" ht="15" customHeight="1" x14ac:dyDescent="0.2">
      <c r="A3212" s="37">
        <v>41491.572962963</v>
      </c>
      <c r="B3212" s="26" t="s">
        <v>152</v>
      </c>
      <c r="C3212" s="26" t="s">
        <v>707</v>
      </c>
      <c r="D3212" s="33">
        <v>41456</v>
      </c>
      <c r="E3212" s="26" t="s">
        <v>752</v>
      </c>
      <c r="F3212" s="26" t="s">
        <v>753</v>
      </c>
      <c r="G3212" s="26" t="s">
        <v>26</v>
      </c>
      <c r="H3212" s="26" t="s">
        <v>754</v>
      </c>
      <c r="I3212" s="26"/>
      <c r="J3212" s="115">
        <v>2</v>
      </c>
      <c r="K3212" s="115">
        <v>15</v>
      </c>
      <c r="L3212" s="136">
        <v>15</v>
      </c>
      <c r="M3212" s="137" t="s">
        <v>22</v>
      </c>
      <c r="V3212" s="26"/>
      <c r="W3212" s="26"/>
      <c r="X3212" s="26"/>
      <c r="Y3212" s="26"/>
      <c r="Z3212" s="26"/>
      <c r="AA3212" s="26"/>
    </row>
    <row r="3213" spans="1:27" ht="15" customHeight="1" x14ac:dyDescent="0.2">
      <c r="A3213" s="37">
        <v>41491.574548611097</v>
      </c>
      <c r="B3213" s="26" t="s">
        <v>152</v>
      </c>
      <c r="C3213" s="26" t="s">
        <v>707</v>
      </c>
      <c r="D3213" s="33">
        <v>41456</v>
      </c>
      <c r="E3213" s="26" t="s">
        <v>755</v>
      </c>
      <c r="F3213" s="26" t="s">
        <v>753</v>
      </c>
      <c r="G3213" s="26" t="s">
        <v>26</v>
      </c>
      <c r="H3213" s="26" t="s">
        <v>754</v>
      </c>
      <c r="I3213" s="26"/>
      <c r="J3213" s="115">
        <v>1</v>
      </c>
      <c r="K3213" s="115">
        <v>33</v>
      </c>
      <c r="L3213" s="136">
        <v>33</v>
      </c>
      <c r="M3213" s="137" t="s">
        <v>22</v>
      </c>
      <c r="V3213" s="26" t="s">
        <v>756</v>
      </c>
      <c r="W3213" s="26"/>
      <c r="X3213" s="26"/>
      <c r="Y3213" s="26"/>
      <c r="Z3213" s="26"/>
      <c r="AA3213" s="26"/>
    </row>
    <row r="3214" spans="1:27" ht="15" customHeight="1" x14ac:dyDescent="0.2">
      <c r="A3214" s="37">
        <v>41491.576249999998</v>
      </c>
      <c r="B3214" s="26" t="s">
        <v>152</v>
      </c>
      <c r="C3214" s="26" t="s">
        <v>707</v>
      </c>
      <c r="D3214" s="33">
        <v>41456</v>
      </c>
      <c r="E3214" s="26" t="s">
        <v>757</v>
      </c>
      <c r="F3214" s="26" t="s">
        <v>120</v>
      </c>
      <c r="G3214" s="26" t="s">
        <v>26</v>
      </c>
      <c r="H3214" s="26" t="s">
        <v>758</v>
      </c>
      <c r="I3214" s="26"/>
      <c r="J3214" s="115">
        <v>1</v>
      </c>
      <c r="K3214" s="115">
        <v>42</v>
      </c>
      <c r="L3214" s="136"/>
      <c r="M3214" s="137" t="s">
        <v>22</v>
      </c>
      <c r="V3214" s="26" t="s">
        <v>759</v>
      </c>
      <c r="W3214" s="26"/>
      <c r="X3214" s="26"/>
      <c r="Y3214" s="26"/>
      <c r="Z3214" s="26"/>
      <c r="AA3214" s="26"/>
    </row>
    <row r="3215" spans="1:27" ht="15" customHeight="1" x14ac:dyDescent="0.2">
      <c r="A3215" s="37">
        <v>41491.577557870398</v>
      </c>
      <c r="B3215" s="26" t="s">
        <v>152</v>
      </c>
      <c r="C3215" s="26" t="s">
        <v>707</v>
      </c>
      <c r="D3215" s="33">
        <v>41456</v>
      </c>
      <c r="E3215" s="26" t="s">
        <v>760</v>
      </c>
      <c r="F3215" s="26" t="s">
        <v>120</v>
      </c>
      <c r="G3215" s="26" t="s">
        <v>26</v>
      </c>
      <c r="H3215" s="26" t="s">
        <v>761</v>
      </c>
      <c r="I3215" s="26"/>
      <c r="J3215" s="115">
        <v>1</v>
      </c>
      <c r="K3215" s="115">
        <v>27</v>
      </c>
      <c r="L3215" s="136"/>
      <c r="M3215" s="137" t="s">
        <v>22</v>
      </c>
      <c r="V3215" s="26"/>
      <c r="W3215" s="26"/>
      <c r="X3215" s="26"/>
      <c r="Y3215" s="26"/>
      <c r="Z3215" s="26"/>
      <c r="AA3215" s="26"/>
    </row>
    <row r="3216" spans="1:27" ht="15" customHeight="1" x14ac:dyDescent="0.2">
      <c r="A3216" s="37">
        <v>41491.5785300926</v>
      </c>
      <c r="B3216" s="26" t="s">
        <v>152</v>
      </c>
      <c r="C3216" s="26" t="s">
        <v>707</v>
      </c>
      <c r="D3216" s="33">
        <v>41456</v>
      </c>
      <c r="E3216" s="26" t="s">
        <v>755</v>
      </c>
      <c r="F3216" s="26" t="s">
        <v>762</v>
      </c>
      <c r="G3216" s="26" t="s">
        <v>26</v>
      </c>
      <c r="H3216" s="26" t="s">
        <v>763</v>
      </c>
      <c r="I3216" s="26"/>
      <c r="J3216" s="115">
        <v>1</v>
      </c>
      <c r="K3216" s="115">
        <v>5</v>
      </c>
      <c r="L3216" s="136"/>
      <c r="M3216" s="137" t="s">
        <v>22</v>
      </c>
      <c r="V3216" s="26" t="s">
        <v>764</v>
      </c>
      <c r="W3216" s="26"/>
      <c r="X3216" s="26"/>
      <c r="Y3216" s="26"/>
      <c r="Z3216" s="26"/>
      <c r="AA3216" s="26"/>
    </row>
    <row r="3217" spans="1:27" ht="15" customHeight="1" x14ac:dyDescent="0.2">
      <c r="A3217" s="37">
        <v>41491.581446759301</v>
      </c>
      <c r="B3217" s="26" t="s">
        <v>152</v>
      </c>
      <c r="C3217" s="26" t="s">
        <v>707</v>
      </c>
      <c r="D3217" s="33">
        <v>41456</v>
      </c>
      <c r="E3217" s="26" t="s">
        <v>765</v>
      </c>
      <c r="F3217" s="26" t="s">
        <v>766</v>
      </c>
      <c r="G3217" s="26" t="s">
        <v>42</v>
      </c>
      <c r="H3217" s="26" t="s">
        <v>767</v>
      </c>
      <c r="I3217" s="26"/>
      <c r="J3217" s="115">
        <v>1</v>
      </c>
      <c r="K3217" s="115">
        <v>7</v>
      </c>
      <c r="L3217" s="136"/>
      <c r="M3217" s="137" t="s">
        <v>44</v>
      </c>
      <c r="N3217" s="138">
        <v>28</v>
      </c>
      <c r="P3217" s="138">
        <v>42</v>
      </c>
      <c r="S3217" s="138">
        <v>30</v>
      </c>
      <c r="V3217" s="26"/>
      <c r="W3217" s="26"/>
      <c r="X3217" s="26"/>
      <c r="Y3217" s="26"/>
      <c r="Z3217" s="26"/>
      <c r="AA3217" s="26"/>
    </row>
    <row r="3218" spans="1:27" ht="15" customHeight="1" x14ac:dyDescent="0.2">
      <c r="A3218" s="37">
        <v>41491.582754629599</v>
      </c>
      <c r="B3218" s="26" t="s">
        <v>152</v>
      </c>
      <c r="C3218" s="26" t="s">
        <v>707</v>
      </c>
      <c r="D3218" s="33">
        <v>41456</v>
      </c>
      <c r="E3218" s="26" t="s">
        <v>768</v>
      </c>
      <c r="F3218" s="26" t="s">
        <v>769</v>
      </c>
      <c r="G3218" s="26" t="s">
        <v>26</v>
      </c>
      <c r="H3218" s="26" t="s">
        <v>770</v>
      </c>
      <c r="I3218" s="26"/>
      <c r="J3218" s="115">
        <v>1</v>
      </c>
      <c r="K3218" s="115">
        <v>10</v>
      </c>
      <c r="L3218" s="136"/>
      <c r="M3218" s="137" t="s">
        <v>22</v>
      </c>
      <c r="V3218" s="26" t="s">
        <v>771</v>
      </c>
      <c r="W3218" s="26"/>
      <c r="X3218" s="26"/>
      <c r="Y3218" s="26"/>
      <c r="Z3218" s="26"/>
      <c r="AA3218" s="26"/>
    </row>
    <row r="3219" spans="1:27" ht="15" customHeight="1" x14ac:dyDescent="0.2">
      <c r="A3219" s="37">
        <v>41491.583900463003</v>
      </c>
      <c r="B3219" s="26" t="s">
        <v>152</v>
      </c>
      <c r="C3219" s="26" t="s">
        <v>707</v>
      </c>
      <c r="D3219" s="33">
        <v>41456</v>
      </c>
      <c r="E3219" s="26" t="s">
        <v>772</v>
      </c>
      <c r="F3219" s="26" t="s">
        <v>773</v>
      </c>
      <c r="G3219" s="26" t="s">
        <v>26</v>
      </c>
      <c r="H3219" s="26" t="s">
        <v>774</v>
      </c>
      <c r="I3219" s="26"/>
      <c r="J3219" s="115">
        <v>1</v>
      </c>
      <c r="K3219" s="115">
        <v>0</v>
      </c>
      <c r="L3219" s="136"/>
      <c r="M3219" s="137" t="s">
        <v>22</v>
      </c>
      <c r="V3219" s="26" t="s">
        <v>775</v>
      </c>
      <c r="W3219" s="26"/>
      <c r="X3219" s="26"/>
      <c r="Y3219" s="26"/>
      <c r="Z3219" s="26"/>
      <c r="AA3219" s="26"/>
    </row>
    <row r="3220" spans="1:27" ht="15" customHeight="1" x14ac:dyDescent="0.2">
      <c r="A3220" s="37">
        <v>41491.585300925901</v>
      </c>
      <c r="B3220" s="26" t="s">
        <v>152</v>
      </c>
      <c r="C3220" s="26" t="s">
        <v>707</v>
      </c>
      <c r="D3220" s="33">
        <v>41456</v>
      </c>
      <c r="E3220" s="26" t="s">
        <v>776</v>
      </c>
      <c r="F3220" s="26" t="s">
        <v>777</v>
      </c>
      <c r="G3220" s="26" t="s">
        <v>26</v>
      </c>
      <c r="H3220" s="26" t="s">
        <v>777</v>
      </c>
      <c r="I3220" s="26"/>
      <c r="J3220" s="115">
        <v>1</v>
      </c>
      <c r="K3220" s="115">
        <v>3</v>
      </c>
      <c r="L3220" s="136">
        <v>15</v>
      </c>
      <c r="M3220" s="137" t="s">
        <v>44</v>
      </c>
      <c r="O3220" s="138">
        <v>5</v>
      </c>
      <c r="V3220" s="26" t="s">
        <v>778</v>
      </c>
      <c r="W3220" s="26"/>
      <c r="X3220" s="26"/>
      <c r="Y3220" s="26"/>
      <c r="Z3220" s="26"/>
      <c r="AA3220" s="26"/>
    </row>
    <row r="3221" spans="1:27" ht="15" customHeight="1" x14ac:dyDescent="0.2">
      <c r="A3221" s="37">
        <v>41491.593460648102</v>
      </c>
      <c r="B3221" s="26" t="s">
        <v>152</v>
      </c>
      <c r="C3221" s="26" t="s">
        <v>707</v>
      </c>
      <c r="D3221" s="33">
        <v>41456</v>
      </c>
      <c r="E3221" s="26" t="s">
        <v>779</v>
      </c>
      <c r="F3221" s="26" t="s">
        <v>780</v>
      </c>
      <c r="G3221" s="26" t="s">
        <v>26</v>
      </c>
      <c r="H3221" s="26" t="s">
        <v>781</v>
      </c>
      <c r="I3221" s="26"/>
      <c r="J3221" s="115">
        <v>1</v>
      </c>
      <c r="K3221" s="115">
        <v>20</v>
      </c>
      <c r="L3221" s="136"/>
      <c r="M3221" s="137" t="s">
        <v>22</v>
      </c>
      <c r="V3221" s="26" t="s">
        <v>782</v>
      </c>
      <c r="W3221" s="26"/>
      <c r="X3221" s="26"/>
      <c r="Y3221" s="26"/>
      <c r="Z3221" s="26"/>
      <c r="AA3221" s="26"/>
    </row>
    <row r="3222" spans="1:27" ht="15" customHeight="1" x14ac:dyDescent="0.2">
      <c r="A3222" s="37">
        <v>41491.595300925903</v>
      </c>
      <c r="B3222" s="26" t="s">
        <v>152</v>
      </c>
      <c r="C3222" s="26" t="s">
        <v>707</v>
      </c>
      <c r="D3222" s="33">
        <v>41456</v>
      </c>
      <c r="E3222" s="26" t="s">
        <v>783</v>
      </c>
      <c r="F3222" s="26" t="s">
        <v>784</v>
      </c>
      <c r="G3222" s="26" t="s">
        <v>26</v>
      </c>
      <c r="H3222" s="26" t="s">
        <v>785</v>
      </c>
      <c r="I3222" s="26"/>
      <c r="J3222" s="115">
        <v>5</v>
      </c>
      <c r="K3222" s="115">
        <v>11</v>
      </c>
      <c r="L3222" s="136">
        <v>330</v>
      </c>
      <c r="M3222" s="137" t="s">
        <v>22</v>
      </c>
      <c r="V3222" s="26" t="s">
        <v>786</v>
      </c>
      <c r="W3222" s="26"/>
      <c r="X3222" s="26"/>
      <c r="Y3222" s="26"/>
      <c r="Z3222" s="26"/>
      <c r="AA3222" s="26"/>
    </row>
    <row r="3223" spans="1:27" ht="15" customHeight="1" x14ac:dyDescent="0.2">
      <c r="A3223" s="37">
        <v>41491.5965856482</v>
      </c>
      <c r="B3223" s="26" t="s">
        <v>152</v>
      </c>
      <c r="C3223" s="26" t="s">
        <v>707</v>
      </c>
      <c r="D3223" s="33">
        <v>41456</v>
      </c>
      <c r="E3223" s="26" t="s">
        <v>787</v>
      </c>
      <c r="F3223" s="26" t="s">
        <v>788</v>
      </c>
      <c r="G3223" s="26" t="s">
        <v>26</v>
      </c>
      <c r="H3223" s="26" t="s">
        <v>789</v>
      </c>
      <c r="I3223" s="26"/>
      <c r="J3223" s="115">
        <v>1</v>
      </c>
      <c r="K3223" s="115">
        <v>52</v>
      </c>
      <c r="L3223" s="136"/>
      <c r="M3223" s="137" t="s">
        <v>22</v>
      </c>
      <c r="V3223" s="26"/>
      <c r="W3223" s="26"/>
      <c r="X3223" s="26"/>
      <c r="Y3223" s="26"/>
      <c r="Z3223" s="26"/>
      <c r="AA3223" s="26"/>
    </row>
    <row r="3224" spans="1:27" ht="15" customHeight="1" x14ac:dyDescent="0.2">
      <c r="A3224" s="37">
        <v>41491.597696759301</v>
      </c>
      <c r="B3224" s="26" t="s">
        <v>152</v>
      </c>
      <c r="C3224" s="26" t="s">
        <v>707</v>
      </c>
      <c r="D3224" s="33">
        <v>41456</v>
      </c>
      <c r="E3224" s="26" t="s">
        <v>526</v>
      </c>
      <c r="F3224" s="26" t="s">
        <v>790</v>
      </c>
      <c r="G3224" s="26" t="s">
        <v>26</v>
      </c>
      <c r="H3224" s="26" t="s">
        <v>791</v>
      </c>
      <c r="I3224" s="26"/>
      <c r="J3224" s="115">
        <v>1</v>
      </c>
      <c r="K3224" s="115">
        <v>75</v>
      </c>
      <c r="L3224" s="136"/>
      <c r="M3224" s="137" t="s">
        <v>44</v>
      </c>
      <c r="O3224" s="138">
        <v>30</v>
      </c>
      <c r="V3224" s="26"/>
      <c r="W3224" s="26"/>
      <c r="X3224" s="26"/>
      <c r="Y3224" s="26"/>
      <c r="Z3224" s="26"/>
      <c r="AA3224" s="26"/>
    </row>
    <row r="3225" spans="1:27" ht="15" customHeight="1" x14ac:dyDescent="0.2">
      <c r="A3225" s="37">
        <v>41491.599513888897</v>
      </c>
      <c r="B3225" s="26" t="s">
        <v>152</v>
      </c>
      <c r="C3225" s="26" t="s">
        <v>707</v>
      </c>
      <c r="D3225" s="33">
        <v>41456</v>
      </c>
      <c r="E3225" s="26" t="s">
        <v>792</v>
      </c>
      <c r="F3225" s="26" t="s">
        <v>793</v>
      </c>
      <c r="G3225" s="26" t="s">
        <v>26</v>
      </c>
      <c r="H3225" s="26" t="s">
        <v>794</v>
      </c>
      <c r="I3225" s="26"/>
      <c r="J3225" s="115">
        <v>1</v>
      </c>
      <c r="K3225" s="115">
        <v>55</v>
      </c>
      <c r="L3225" s="136"/>
      <c r="M3225" s="137" t="s">
        <v>44</v>
      </c>
      <c r="N3225" s="138">
        <v>135</v>
      </c>
      <c r="P3225" s="138">
        <v>10</v>
      </c>
      <c r="V3225" s="26" t="s">
        <v>795</v>
      </c>
      <c r="W3225" s="26"/>
      <c r="X3225" s="26"/>
      <c r="Y3225" s="26"/>
      <c r="Z3225" s="26"/>
      <c r="AA3225" s="26"/>
    </row>
    <row r="3226" spans="1:27" ht="15" customHeight="1" x14ac:dyDescent="0.2">
      <c r="A3226" s="37">
        <v>41491.601226851897</v>
      </c>
      <c r="B3226" s="26" t="s">
        <v>152</v>
      </c>
      <c r="C3226" s="26" t="s">
        <v>707</v>
      </c>
      <c r="D3226" s="33">
        <v>41456</v>
      </c>
      <c r="E3226" s="26" t="s">
        <v>526</v>
      </c>
      <c r="F3226" s="26" t="s">
        <v>796</v>
      </c>
      <c r="G3226" s="26" t="s">
        <v>26</v>
      </c>
      <c r="H3226" s="26" t="s">
        <v>797</v>
      </c>
      <c r="I3226" s="26"/>
      <c r="J3226" s="115">
        <v>1</v>
      </c>
      <c r="K3226" s="115">
        <v>72</v>
      </c>
      <c r="L3226" s="136"/>
      <c r="M3226" s="137" t="s">
        <v>44</v>
      </c>
      <c r="O3226" s="138">
        <v>200</v>
      </c>
      <c r="V3226" s="26" t="s">
        <v>798</v>
      </c>
      <c r="W3226" s="26"/>
      <c r="X3226" s="26"/>
      <c r="Y3226" s="26"/>
      <c r="Z3226" s="26"/>
      <c r="AA3226" s="26"/>
    </row>
    <row r="3227" spans="1:27" ht="15" customHeight="1" x14ac:dyDescent="0.2">
      <c r="A3227" s="28">
        <v>41526.690289351849</v>
      </c>
      <c r="B3227" s="29" t="s">
        <v>152</v>
      </c>
      <c r="C3227" s="29" t="s">
        <v>707</v>
      </c>
      <c r="D3227" s="30">
        <v>41487</v>
      </c>
      <c r="E3227" s="29" t="s">
        <v>712</v>
      </c>
      <c r="F3227" s="29" t="s">
        <v>373</v>
      </c>
      <c r="G3227" s="29" t="s">
        <v>26</v>
      </c>
      <c r="H3227" s="29" t="s">
        <v>1868</v>
      </c>
      <c r="I3227" s="29"/>
      <c r="J3227" s="116">
        <v>3</v>
      </c>
      <c r="K3227" s="116">
        <v>127</v>
      </c>
      <c r="L3227" s="139"/>
      <c r="M3227" s="140" t="s">
        <v>22</v>
      </c>
      <c r="N3227" s="141"/>
      <c r="O3227" s="141"/>
      <c r="P3227" s="141"/>
      <c r="Q3227" s="141"/>
      <c r="R3227" s="141"/>
      <c r="S3227" s="141"/>
      <c r="T3227" s="141"/>
      <c r="U3227" s="141"/>
      <c r="V3227" s="29"/>
      <c r="W3227" s="26"/>
      <c r="X3227" s="26"/>
      <c r="Y3227" s="26"/>
      <c r="Z3227" s="26"/>
      <c r="AA3227" s="26"/>
    </row>
    <row r="3228" spans="1:27" ht="15" customHeight="1" x14ac:dyDescent="0.2">
      <c r="A3228" s="28">
        <v>41526.69290509259</v>
      </c>
      <c r="B3228" s="29" t="s">
        <v>152</v>
      </c>
      <c r="C3228" s="29" t="s">
        <v>707</v>
      </c>
      <c r="D3228" s="30">
        <v>41487</v>
      </c>
      <c r="E3228" s="29" t="s">
        <v>724</v>
      </c>
      <c r="F3228" s="29" t="s">
        <v>721</v>
      </c>
      <c r="G3228" s="29" t="s">
        <v>26</v>
      </c>
      <c r="H3228" s="29" t="s">
        <v>1872</v>
      </c>
      <c r="I3228" s="29"/>
      <c r="J3228" s="116">
        <v>3</v>
      </c>
      <c r="K3228" s="116">
        <v>72</v>
      </c>
      <c r="L3228" s="139"/>
      <c r="M3228" s="140" t="s">
        <v>22</v>
      </c>
      <c r="N3228" s="141"/>
      <c r="O3228" s="141"/>
      <c r="P3228" s="141"/>
      <c r="Q3228" s="141"/>
      <c r="R3228" s="141"/>
      <c r="S3228" s="141"/>
      <c r="T3228" s="141"/>
      <c r="U3228" s="141"/>
      <c r="V3228" s="29"/>
      <c r="W3228" s="26"/>
      <c r="X3228" s="26"/>
      <c r="Y3228" s="26"/>
      <c r="Z3228" s="26"/>
      <c r="AA3228" s="26"/>
    </row>
    <row r="3229" spans="1:27" ht="15" customHeight="1" x14ac:dyDescent="0.2">
      <c r="A3229" s="28">
        <v>41526.695023148146</v>
      </c>
      <c r="B3229" s="29" t="s">
        <v>152</v>
      </c>
      <c r="C3229" s="29" t="s">
        <v>707</v>
      </c>
      <c r="D3229" s="30">
        <v>41487</v>
      </c>
      <c r="E3229" s="29" t="s">
        <v>726</v>
      </c>
      <c r="F3229" s="29" t="s">
        <v>1873</v>
      </c>
      <c r="G3229" s="29" t="s">
        <v>26</v>
      </c>
      <c r="H3229" s="29" t="s">
        <v>1873</v>
      </c>
      <c r="I3229" s="29"/>
      <c r="J3229" s="116">
        <v>2</v>
      </c>
      <c r="K3229" s="116">
        <v>13</v>
      </c>
      <c r="L3229" s="139">
        <v>13</v>
      </c>
      <c r="M3229" s="140" t="s">
        <v>22</v>
      </c>
      <c r="N3229" s="141"/>
      <c r="O3229" s="141"/>
      <c r="P3229" s="141"/>
      <c r="Q3229" s="141"/>
      <c r="R3229" s="141"/>
      <c r="S3229" s="141"/>
      <c r="T3229" s="141"/>
      <c r="U3229" s="141"/>
      <c r="V3229" s="29"/>
      <c r="W3229" s="26"/>
      <c r="X3229" s="26"/>
      <c r="Y3229" s="26"/>
      <c r="Z3229" s="26"/>
      <c r="AA3229" s="26"/>
    </row>
    <row r="3230" spans="1:27" ht="15" customHeight="1" x14ac:dyDescent="0.2">
      <c r="A3230" s="28">
        <v>41526.697743055556</v>
      </c>
      <c r="B3230" s="29" t="s">
        <v>152</v>
      </c>
      <c r="C3230" s="29" t="s">
        <v>707</v>
      </c>
      <c r="D3230" s="30">
        <v>41487</v>
      </c>
      <c r="E3230" s="29" t="s">
        <v>730</v>
      </c>
      <c r="F3230" s="29" t="s">
        <v>731</v>
      </c>
      <c r="G3230" s="29" t="s">
        <v>26</v>
      </c>
      <c r="H3230" s="29" t="s">
        <v>1874</v>
      </c>
      <c r="I3230" s="29"/>
      <c r="J3230" s="116">
        <v>3</v>
      </c>
      <c r="K3230" s="116">
        <v>80</v>
      </c>
      <c r="L3230" s="139"/>
      <c r="M3230" s="140" t="s">
        <v>22</v>
      </c>
      <c r="N3230" s="141"/>
      <c r="O3230" s="141"/>
      <c r="P3230" s="141"/>
      <c r="Q3230" s="141"/>
      <c r="R3230" s="141"/>
      <c r="S3230" s="141"/>
      <c r="T3230" s="141"/>
      <c r="U3230" s="141"/>
      <c r="V3230" s="29"/>
      <c r="W3230" s="26"/>
      <c r="X3230" s="26"/>
      <c r="Y3230" s="26"/>
      <c r="Z3230" s="26"/>
      <c r="AA3230" s="26"/>
    </row>
    <row r="3231" spans="1:27" ht="15" customHeight="1" x14ac:dyDescent="0.2">
      <c r="A3231" s="28">
        <v>41526.700312499997</v>
      </c>
      <c r="B3231" s="29" t="s">
        <v>152</v>
      </c>
      <c r="C3231" s="29" t="s">
        <v>707</v>
      </c>
      <c r="D3231" s="30">
        <v>41487</v>
      </c>
      <c r="E3231" s="29" t="s">
        <v>760</v>
      </c>
      <c r="F3231" s="29" t="s">
        <v>120</v>
      </c>
      <c r="G3231" s="29" t="s">
        <v>26</v>
      </c>
      <c r="H3231" s="29" t="s">
        <v>1875</v>
      </c>
      <c r="I3231" s="29"/>
      <c r="J3231" s="116">
        <v>2</v>
      </c>
      <c r="K3231" s="116">
        <v>10</v>
      </c>
      <c r="L3231" s="139"/>
      <c r="M3231" s="140" t="s">
        <v>22</v>
      </c>
      <c r="N3231" s="141"/>
      <c r="O3231" s="141"/>
      <c r="P3231" s="141"/>
      <c r="Q3231" s="141"/>
      <c r="R3231" s="141"/>
      <c r="S3231" s="141"/>
      <c r="T3231" s="141"/>
      <c r="U3231" s="141"/>
      <c r="V3231" s="29" t="s">
        <v>1876</v>
      </c>
      <c r="W3231" s="26"/>
      <c r="X3231" s="26"/>
      <c r="Y3231" s="26"/>
      <c r="Z3231" s="26"/>
      <c r="AA3231" s="26"/>
    </row>
    <row r="3232" spans="1:27" ht="15" customHeight="1" x14ac:dyDescent="0.2">
      <c r="A3232" s="28">
        <v>41526.703460648147</v>
      </c>
      <c r="B3232" s="29" t="s">
        <v>152</v>
      </c>
      <c r="C3232" s="29" t="s">
        <v>707</v>
      </c>
      <c r="D3232" s="30">
        <v>41487</v>
      </c>
      <c r="E3232" s="29" t="s">
        <v>1877</v>
      </c>
      <c r="F3232" s="29" t="s">
        <v>373</v>
      </c>
      <c r="G3232" s="29" t="s">
        <v>26</v>
      </c>
      <c r="H3232" s="29" t="s">
        <v>1878</v>
      </c>
      <c r="I3232" s="29"/>
      <c r="J3232" s="116">
        <v>3</v>
      </c>
      <c r="K3232" s="116">
        <v>173</v>
      </c>
      <c r="L3232" s="139"/>
      <c r="M3232" s="140" t="s">
        <v>22</v>
      </c>
      <c r="N3232" s="141"/>
      <c r="O3232" s="141"/>
      <c r="P3232" s="141"/>
      <c r="Q3232" s="141"/>
      <c r="R3232" s="141"/>
      <c r="S3232" s="141"/>
      <c r="T3232" s="141"/>
      <c r="U3232" s="141"/>
      <c r="V3232" s="29"/>
      <c r="W3232" s="26"/>
      <c r="X3232" s="26"/>
      <c r="Y3232" s="26"/>
      <c r="Z3232" s="26"/>
      <c r="AA3232" s="26"/>
    </row>
    <row r="3233" spans="1:27" ht="15" customHeight="1" x14ac:dyDescent="0.2">
      <c r="A3233" s="28">
        <v>41526.705752314818</v>
      </c>
      <c r="B3233" s="29" t="s">
        <v>152</v>
      </c>
      <c r="C3233" s="29" t="s">
        <v>707</v>
      </c>
      <c r="D3233" s="30">
        <v>41487</v>
      </c>
      <c r="E3233" s="29" t="s">
        <v>529</v>
      </c>
      <c r="F3233" s="29" t="s">
        <v>721</v>
      </c>
      <c r="G3233" s="29" t="s">
        <v>26</v>
      </c>
      <c r="H3233" s="29" t="s">
        <v>1879</v>
      </c>
      <c r="I3233" s="29"/>
      <c r="J3233" s="116">
        <v>5</v>
      </c>
      <c r="K3233" s="116">
        <v>127</v>
      </c>
      <c r="L3233" s="139"/>
      <c r="M3233" s="140" t="s">
        <v>22</v>
      </c>
      <c r="N3233" s="141"/>
      <c r="O3233" s="141"/>
      <c r="P3233" s="141"/>
      <c r="Q3233" s="141"/>
      <c r="R3233" s="141"/>
      <c r="S3233" s="141"/>
      <c r="T3233" s="141"/>
      <c r="U3233" s="141"/>
      <c r="V3233" s="29"/>
      <c r="W3233" s="26"/>
      <c r="X3233" s="26"/>
      <c r="Y3233" s="26"/>
      <c r="Z3233" s="26"/>
      <c r="AA3233" s="26"/>
    </row>
    <row r="3234" spans="1:27" ht="15" customHeight="1" x14ac:dyDescent="0.2">
      <c r="A3234" s="28">
        <v>41526.707881944443</v>
      </c>
      <c r="B3234" s="29" t="s">
        <v>152</v>
      </c>
      <c r="C3234" s="29" t="s">
        <v>707</v>
      </c>
      <c r="D3234" s="30">
        <v>41487</v>
      </c>
      <c r="E3234" s="29" t="s">
        <v>1880</v>
      </c>
      <c r="F3234" s="29" t="s">
        <v>1881</v>
      </c>
      <c r="G3234" s="39" t="s">
        <v>26</v>
      </c>
      <c r="H3234" s="29" t="s">
        <v>1882</v>
      </c>
      <c r="I3234" s="29"/>
      <c r="J3234" s="116">
        <v>1</v>
      </c>
      <c r="K3234" s="116">
        <v>43</v>
      </c>
      <c r="L3234" s="139"/>
      <c r="M3234" s="140" t="s">
        <v>44</v>
      </c>
      <c r="N3234" s="141"/>
      <c r="O3234" s="141">
        <v>25</v>
      </c>
      <c r="P3234" s="141"/>
      <c r="Q3234" s="141"/>
      <c r="R3234" s="141"/>
      <c r="S3234" s="141"/>
      <c r="T3234" s="141"/>
      <c r="U3234" s="141"/>
      <c r="V3234" s="29"/>
      <c r="W3234" s="26"/>
      <c r="X3234" s="26"/>
      <c r="Y3234" s="26"/>
      <c r="Z3234" s="26"/>
      <c r="AA3234" s="26"/>
    </row>
    <row r="3235" spans="1:27" ht="15" customHeight="1" x14ac:dyDescent="0.2">
      <c r="A3235" s="28">
        <v>41526.70957175926</v>
      </c>
      <c r="B3235" s="29" t="s">
        <v>152</v>
      </c>
      <c r="C3235" s="29" t="s">
        <v>707</v>
      </c>
      <c r="D3235" s="30">
        <v>41487</v>
      </c>
      <c r="E3235" s="29" t="s">
        <v>741</v>
      </c>
      <c r="F3235" s="29" t="s">
        <v>727</v>
      </c>
      <c r="G3235" s="29" t="s">
        <v>26</v>
      </c>
      <c r="H3235" s="29" t="s">
        <v>1883</v>
      </c>
      <c r="I3235" s="29"/>
      <c r="J3235" s="116">
        <v>1</v>
      </c>
      <c r="K3235" s="116">
        <v>14</v>
      </c>
      <c r="L3235" s="139">
        <v>14</v>
      </c>
      <c r="M3235" s="140" t="s">
        <v>22</v>
      </c>
      <c r="N3235" s="141"/>
      <c r="O3235" s="141"/>
      <c r="P3235" s="141"/>
      <c r="Q3235" s="141"/>
      <c r="R3235" s="141"/>
      <c r="S3235" s="141"/>
      <c r="T3235" s="141"/>
      <c r="U3235" s="141"/>
      <c r="V3235" s="29"/>
      <c r="W3235" s="26"/>
      <c r="X3235" s="26"/>
      <c r="Y3235" s="26"/>
      <c r="Z3235" s="26"/>
      <c r="AA3235" s="26"/>
    </row>
    <row r="3236" spans="1:27" ht="15" customHeight="1" x14ac:dyDescent="0.2">
      <c r="A3236" s="28">
        <v>41526.711053240739</v>
      </c>
      <c r="B3236" s="29" t="s">
        <v>152</v>
      </c>
      <c r="C3236" s="29" t="s">
        <v>707</v>
      </c>
      <c r="D3236" s="30">
        <v>41487</v>
      </c>
      <c r="E3236" s="29" t="s">
        <v>779</v>
      </c>
      <c r="F3236" s="29" t="s">
        <v>1884</v>
      </c>
      <c r="G3236" s="29" t="s">
        <v>26</v>
      </c>
      <c r="H3236" s="29" t="s">
        <v>1884</v>
      </c>
      <c r="I3236" s="29"/>
      <c r="J3236" s="116">
        <v>1</v>
      </c>
      <c r="K3236" s="116">
        <v>15</v>
      </c>
      <c r="L3236" s="139"/>
      <c r="M3236" s="140" t="s">
        <v>22</v>
      </c>
      <c r="N3236" s="141"/>
      <c r="O3236" s="141"/>
      <c r="P3236" s="141"/>
      <c r="Q3236" s="141"/>
      <c r="R3236" s="141"/>
      <c r="S3236" s="141"/>
      <c r="T3236" s="141"/>
      <c r="U3236" s="141"/>
      <c r="V3236" s="29"/>
      <c r="W3236" s="26"/>
      <c r="X3236" s="26"/>
      <c r="Y3236" s="26"/>
      <c r="Z3236" s="26"/>
      <c r="AA3236" s="26"/>
    </row>
    <row r="3237" spans="1:27" s="26" customFormat="1" ht="15" customHeight="1" x14ac:dyDescent="0.2">
      <c r="A3237" s="28">
        <v>41526.713101851848</v>
      </c>
      <c r="B3237" s="29" t="s">
        <v>152</v>
      </c>
      <c r="C3237" s="29" t="s">
        <v>707</v>
      </c>
      <c r="D3237" s="30">
        <v>41487</v>
      </c>
      <c r="E3237" s="29" t="s">
        <v>1720</v>
      </c>
      <c r="F3237" s="29" t="s">
        <v>1885</v>
      </c>
      <c r="G3237" s="29" t="s">
        <v>26</v>
      </c>
      <c r="H3237" s="29" t="s">
        <v>1885</v>
      </c>
      <c r="I3237" s="29"/>
      <c r="J3237" s="116">
        <v>1</v>
      </c>
      <c r="K3237" s="116">
        <v>4</v>
      </c>
      <c r="L3237" s="139">
        <v>20</v>
      </c>
      <c r="M3237" s="140" t="s">
        <v>44</v>
      </c>
      <c r="N3237" s="141"/>
      <c r="O3237" s="141">
        <v>10</v>
      </c>
      <c r="P3237" s="141"/>
      <c r="Q3237" s="141">
        <v>25</v>
      </c>
      <c r="R3237" s="141"/>
      <c r="S3237" s="141"/>
      <c r="T3237" s="141"/>
      <c r="U3237" s="141"/>
      <c r="V3237" s="29"/>
    </row>
    <row r="3238" spans="1:27" ht="15" customHeight="1" x14ac:dyDescent="0.2">
      <c r="A3238" s="28">
        <v>41526.717916666668</v>
      </c>
      <c r="B3238" s="29" t="s">
        <v>152</v>
      </c>
      <c r="C3238" s="29" t="s">
        <v>707</v>
      </c>
      <c r="D3238" s="30">
        <v>41487</v>
      </c>
      <c r="E3238" s="29" t="s">
        <v>757</v>
      </c>
      <c r="F3238" s="29" t="s">
        <v>120</v>
      </c>
      <c r="G3238" s="29" t="s">
        <v>26</v>
      </c>
      <c r="H3238" s="29" t="s">
        <v>1886</v>
      </c>
      <c r="I3238" s="29"/>
      <c r="J3238" s="116">
        <v>2</v>
      </c>
      <c r="K3238" s="116">
        <v>46</v>
      </c>
      <c r="L3238" s="139"/>
      <c r="M3238" s="140" t="s">
        <v>22</v>
      </c>
      <c r="N3238" s="141"/>
      <c r="O3238" s="141"/>
      <c r="P3238" s="141"/>
      <c r="Q3238" s="141"/>
      <c r="R3238" s="141"/>
      <c r="S3238" s="141"/>
      <c r="T3238" s="141"/>
      <c r="U3238" s="141"/>
      <c r="V3238" s="29" t="s">
        <v>1887</v>
      </c>
      <c r="W3238" s="26"/>
      <c r="X3238" s="26"/>
      <c r="Y3238" s="26"/>
      <c r="Z3238" s="26"/>
      <c r="AA3238" s="26"/>
    </row>
    <row r="3239" spans="1:27" ht="15" customHeight="1" x14ac:dyDescent="0.2">
      <c r="A3239" s="28">
        <v>41526.719687500001</v>
      </c>
      <c r="B3239" s="29" t="s">
        <v>152</v>
      </c>
      <c r="C3239" s="29" t="s">
        <v>707</v>
      </c>
      <c r="D3239" s="30">
        <v>41487</v>
      </c>
      <c r="E3239" s="29" t="s">
        <v>755</v>
      </c>
      <c r="F3239" s="29" t="s">
        <v>731</v>
      </c>
      <c r="G3239" s="29" t="s">
        <v>26</v>
      </c>
      <c r="H3239" s="29" t="s">
        <v>732</v>
      </c>
      <c r="I3239" s="29"/>
      <c r="J3239" s="116">
        <v>3</v>
      </c>
      <c r="K3239" s="116">
        <v>52</v>
      </c>
      <c r="L3239" s="139"/>
      <c r="M3239" s="140" t="s">
        <v>22</v>
      </c>
      <c r="N3239" s="141"/>
      <c r="O3239" s="141"/>
      <c r="P3239" s="141"/>
      <c r="Q3239" s="141"/>
      <c r="R3239" s="141"/>
      <c r="S3239" s="141"/>
      <c r="T3239" s="141"/>
      <c r="U3239" s="141"/>
      <c r="V3239" s="29"/>
      <c r="W3239" s="26"/>
      <c r="X3239" s="26"/>
      <c r="Y3239" s="26"/>
      <c r="Z3239" s="26"/>
      <c r="AA3239" s="26"/>
    </row>
    <row r="3240" spans="1:27" ht="15" customHeight="1" x14ac:dyDescent="0.2">
      <c r="A3240" s="28">
        <v>41526.721145833333</v>
      </c>
      <c r="B3240" s="29" t="s">
        <v>152</v>
      </c>
      <c r="C3240" s="29" t="s">
        <v>707</v>
      </c>
      <c r="D3240" s="30">
        <v>41487</v>
      </c>
      <c r="E3240" s="29" t="s">
        <v>779</v>
      </c>
      <c r="F3240" s="29" t="s">
        <v>1888</v>
      </c>
      <c r="G3240" s="29" t="s">
        <v>26</v>
      </c>
      <c r="H3240" s="29" t="s">
        <v>1889</v>
      </c>
      <c r="I3240" s="29"/>
      <c r="J3240" s="116">
        <v>1</v>
      </c>
      <c r="K3240" s="116">
        <v>5</v>
      </c>
      <c r="L3240" s="139"/>
      <c r="M3240" s="140" t="s">
        <v>22</v>
      </c>
      <c r="N3240" s="141"/>
      <c r="O3240" s="141"/>
      <c r="P3240" s="141"/>
      <c r="Q3240" s="141"/>
      <c r="R3240" s="141"/>
      <c r="S3240" s="141"/>
      <c r="T3240" s="141"/>
      <c r="U3240" s="141"/>
      <c r="V3240" s="29"/>
      <c r="W3240" s="26"/>
      <c r="X3240" s="26"/>
      <c r="Y3240" s="26"/>
      <c r="Z3240" s="26"/>
      <c r="AA3240" s="26"/>
    </row>
    <row r="3241" spans="1:27" ht="15" customHeight="1" x14ac:dyDescent="0.2">
      <c r="A3241" s="28">
        <v>41526.724780092591</v>
      </c>
      <c r="B3241" s="29" t="s">
        <v>152</v>
      </c>
      <c r="C3241" s="29" t="s">
        <v>707</v>
      </c>
      <c r="D3241" s="30">
        <v>41487</v>
      </c>
      <c r="E3241" s="29" t="s">
        <v>1890</v>
      </c>
      <c r="F3241" s="29" t="s">
        <v>1891</v>
      </c>
      <c r="G3241" s="29" t="s">
        <v>26</v>
      </c>
      <c r="H3241" s="29" t="s">
        <v>1892</v>
      </c>
      <c r="I3241" s="29"/>
      <c r="J3241" s="116">
        <v>1</v>
      </c>
      <c r="K3241" s="116">
        <v>27</v>
      </c>
      <c r="L3241" s="139"/>
      <c r="M3241" s="140" t="s">
        <v>22</v>
      </c>
      <c r="N3241" s="141"/>
      <c r="O3241" s="141"/>
      <c r="P3241" s="141"/>
      <c r="Q3241" s="141"/>
      <c r="R3241" s="141"/>
      <c r="S3241" s="141"/>
      <c r="T3241" s="141"/>
      <c r="U3241" s="141"/>
      <c r="V3241" s="29"/>
      <c r="W3241" s="26"/>
      <c r="X3241" s="26"/>
      <c r="Y3241" s="26"/>
      <c r="Z3241" s="26"/>
      <c r="AA3241" s="26"/>
    </row>
    <row r="3242" spans="1:27" ht="15" customHeight="1" x14ac:dyDescent="0.2">
      <c r="A3242" s="28">
        <v>41526.728078703702</v>
      </c>
      <c r="B3242" s="29" t="s">
        <v>152</v>
      </c>
      <c r="C3242" s="29" t="s">
        <v>707</v>
      </c>
      <c r="D3242" s="30">
        <v>41487</v>
      </c>
      <c r="E3242" s="29" t="s">
        <v>1893</v>
      </c>
      <c r="F3242" s="29" t="s">
        <v>1894</v>
      </c>
      <c r="G3242" s="39" t="s">
        <v>26</v>
      </c>
      <c r="H3242" s="29" t="s">
        <v>1895</v>
      </c>
      <c r="I3242" s="29"/>
      <c r="J3242" s="116">
        <v>1</v>
      </c>
      <c r="K3242" s="116">
        <v>15</v>
      </c>
      <c r="L3242" s="139"/>
      <c r="M3242" s="140" t="s">
        <v>44</v>
      </c>
      <c r="N3242" s="141"/>
      <c r="O3242" s="141">
        <v>25</v>
      </c>
      <c r="P3242" s="141"/>
      <c r="Q3242" s="141"/>
      <c r="R3242" s="141"/>
      <c r="S3242" s="141"/>
      <c r="T3242" s="141"/>
      <c r="U3242" s="141"/>
      <c r="V3242" s="29" t="s">
        <v>1896</v>
      </c>
      <c r="W3242" s="26"/>
      <c r="X3242" s="26"/>
      <c r="Y3242" s="26"/>
      <c r="Z3242" s="26"/>
      <c r="AA3242" s="26"/>
    </row>
    <row r="3243" spans="1:27" ht="15" customHeight="1" x14ac:dyDescent="0.2">
      <c r="A3243" s="28">
        <v>41526.731053240743</v>
      </c>
      <c r="B3243" s="29" t="s">
        <v>152</v>
      </c>
      <c r="C3243" s="29" t="s">
        <v>707</v>
      </c>
      <c r="D3243" s="30">
        <v>41487</v>
      </c>
      <c r="E3243" s="29" t="s">
        <v>1897</v>
      </c>
      <c r="F3243" s="29" t="s">
        <v>1898</v>
      </c>
      <c r="G3243" s="29" t="s">
        <v>156</v>
      </c>
      <c r="H3243" s="29" t="s">
        <v>1898</v>
      </c>
      <c r="I3243" s="29"/>
      <c r="J3243" s="116">
        <v>1</v>
      </c>
      <c r="K3243" s="116">
        <v>97</v>
      </c>
      <c r="L3243" s="139">
        <v>30</v>
      </c>
      <c r="M3243" s="140" t="s">
        <v>44</v>
      </c>
      <c r="N3243" s="141"/>
      <c r="O3243" s="141">
        <v>50</v>
      </c>
      <c r="P3243" s="141"/>
      <c r="Q3243" s="141"/>
      <c r="R3243" s="141"/>
      <c r="S3243" s="141"/>
      <c r="T3243" s="141"/>
      <c r="U3243" s="141"/>
      <c r="V3243" s="29" t="s">
        <v>1899</v>
      </c>
      <c r="W3243" s="26"/>
      <c r="X3243" s="26"/>
      <c r="Y3243" s="26"/>
      <c r="Z3243" s="26"/>
      <c r="AA3243" s="26"/>
    </row>
    <row r="3244" spans="1:27" ht="15" customHeight="1" x14ac:dyDescent="0.2">
      <c r="A3244" s="28">
        <v>41526.733472222222</v>
      </c>
      <c r="B3244" s="29" t="s">
        <v>152</v>
      </c>
      <c r="C3244" s="29" t="s">
        <v>707</v>
      </c>
      <c r="D3244" s="30">
        <v>41487</v>
      </c>
      <c r="E3244" s="29" t="s">
        <v>1900</v>
      </c>
      <c r="F3244" s="29" t="s">
        <v>1901</v>
      </c>
      <c r="G3244" s="39" t="s">
        <v>26</v>
      </c>
      <c r="H3244" s="29" t="s">
        <v>1902</v>
      </c>
      <c r="I3244" s="29"/>
      <c r="J3244" s="116">
        <v>1</v>
      </c>
      <c r="K3244" s="116">
        <v>4</v>
      </c>
      <c r="L3244" s="139">
        <v>60</v>
      </c>
      <c r="M3244" s="140" t="s">
        <v>22</v>
      </c>
      <c r="N3244" s="141"/>
      <c r="O3244" s="141"/>
      <c r="P3244" s="141"/>
      <c r="Q3244" s="141"/>
      <c r="R3244" s="141"/>
      <c r="S3244" s="141"/>
      <c r="T3244" s="141"/>
      <c r="U3244" s="141"/>
      <c r="V3244" s="29" t="s">
        <v>1903</v>
      </c>
      <c r="W3244" s="26"/>
      <c r="X3244" s="26"/>
      <c r="Y3244" s="26"/>
      <c r="Z3244" s="26"/>
      <c r="AA3244" s="26"/>
    </row>
    <row r="3245" spans="1:27" ht="15" customHeight="1" x14ac:dyDescent="0.2">
      <c r="A3245" s="28">
        <v>41526.736643518518</v>
      </c>
      <c r="B3245" s="29" t="s">
        <v>152</v>
      </c>
      <c r="C3245" s="29" t="s">
        <v>707</v>
      </c>
      <c r="D3245" s="30">
        <v>41487</v>
      </c>
      <c r="E3245" s="29" t="s">
        <v>1904</v>
      </c>
      <c r="F3245" s="29" t="s">
        <v>1905</v>
      </c>
      <c r="G3245" s="39" t="s">
        <v>26</v>
      </c>
      <c r="H3245" s="29" t="s">
        <v>1906</v>
      </c>
      <c r="I3245" s="29"/>
      <c r="J3245" s="116">
        <v>1</v>
      </c>
      <c r="K3245" s="116">
        <v>25</v>
      </c>
      <c r="L3245" s="139"/>
      <c r="M3245" s="140" t="s">
        <v>44</v>
      </c>
      <c r="N3245" s="141"/>
      <c r="O3245" s="141">
        <v>40</v>
      </c>
      <c r="P3245" s="141"/>
      <c r="Q3245" s="141">
        <v>125</v>
      </c>
      <c r="R3245" s="141"/>
      <c r="S3245" s="141"/>
      <c r="T3245" s="141"/>
      <c r="U3245" s="141"/>
      <c r="V3245" s="29" t="s">
        <v>1907</v>
      </c>
      <c r="W3245" s="26"/>
      <c r="X3245" s="26"/>
      <c r="Y3245" s="26"/>
      <c r="Z3245" s="26"/>
      <c r="AA3245" s="26"/>
    </row>
    <row r="3246" spans="1:27" ht="15" customHeight="1" x14ac:dyDescent="0.2">
      <c r="A3246" s="28">
        <v>41526.737893518519</v>
      </c>
      <c r="B3246" s="29" t="s">
        <v>152</v>
      </c>
      <c r="C3246" s="29" t="s">
        <v>707</v>
      </c>
      <c r="D3246" s="30">
        <v>41487</v>
      </c>
      <c r="E3246" s="29" t="s">
        <v>1908</v>
      </c>
      <c r="F3246" s="29" t="s">
        <v>1909</v>
      </c>
      <c r="G3246" s="39" t="s">
        <v>26</v>
      </c>
      <c r="H3246" s="29" t="s">
        <v>1910</v>
      </c>
      <c r="I3246" s="29"/>
      <c r="J3246" s="116">
        <v>1</v>
      </c>
      <c r="K3246" s="116">
        <v>12</v>
      </c>
      <c r="L3246" s="139"/>
      <c r="M3246" s="140" t="s">
        <v>22</v>
      </c>
      <c r="N3246" s="141"/>
      <c r="O3246" s="141"/>
      <c r="P3246" s="141"/>
      <c r="Q3246" s="141"/>
      <c r="R3246" s="141"/>
      <c r="S3246" s="141"/>
      <c r="T3246" s="141"/>
      <c r="U3246" s="141"/>
      <c r="V3246" s="29" t="s">
        <v>1911</v>
      </c>
      <c r="W3246" s="26"/>
      <c r="X3246" s="26"/>
      <c r="Y3246" s="26"/>
      <c r="Z3246" s="26"/>
      <c r="AA3246" s="26"/>
    </row>
    <row r="3247" spans="1:27" ht="15" customHeight="1" x14ac:dyDescent="0.2">
      <c r="A3247" s="28">
        <v>41526.739988425928</v>
      </c>
      <c r="B3247" s="29" t="s">
        <v>152</v>
      </c>
      <c r="C3247" s="29" t="s">
        <v>707</v>
      </c>
      <c r="D3247" s="30">
        <v>41487</v>
      </c>
      <c r="E3247" s="29" t="s">
        <v>1912</v>
      </c>
      <c r="F3247" s="29" t="s">
        <v>1885</v>
      </c>
      <c r="G3247" s="39" t="s">
        <v>26</v>
      </c>
      <c r="H3247" s="29" t="s">
        <v>1885</v>
      </c>
      <c r="I3247" s="29"/>
      <c r="J3247" s="116">
        <v>1</v>
      </c>
      <c r="K3247" s="116">
        <v>10</v>
      </c>
      <c r="L3247" s="139">
        <v>50</v>
      </c>
      <c r="M3247" s="140" t="s">
        <v>44</v>
      </c>
      <c r="N3247" s="141"/>
      <c r="O3247" s="141">
        <v>25</v>
      </c>
      <c r="P3247" s="141"/>
      <c r="Q3247" s="141"/>
      <c r="R3247" s="141"/>
      <c r="S3247" s="141"/>
      <c r="T3247" s="141"/>
      <c r="U3247" s="141"/>
      <c r="V3247" s="29" t="s">
        <v>1913</v>
      </c>
      <c r="W3247" s="26"/>
      <c r="X3247" s="26"/>
      <c r="Y3247" s="26"/>
      <c r="Z3247" s="26"/>
      <c r="AA3247" s="26"/>
    </row>
    <row r="3248" spans="1:27" ht="15" customHeight="1" x14ac:dyDescent="0.2">
      <c r="A3248" s="32">
        <v>41555.544247685182</v>
      </c>
      <c r="B3248" s="26" t="s">
        <v>152</v>
      </c>
      <c r="C3248" s="26" t="s">
        <v>707</v>
      </c>
      <c r="D3248" s="30">
        <v>41518</v>
      </c>
      <c r="E3248" s="26" t="s">
        <v>1912</v>
      </c>
      <c r="F3248" s="26" t="s">
        <v>1885</v>
      </c>
      <c r="G3248" s="26" t="s">
        <v>26</v>
      </c>
      <c r="H3248" s="26" t="s">
        <v>2571</v>
      </c>
      <c r="I3248" s="26"/>
      <c r="J3248" s="46">
        <v>1</v>
      </c>
      <c r="K3248" s="46">
        <v>11</v>
      </c>
      <c r="L3248" s="136">
        <v>55</v>
      </c>
      <c r="M3248" s="137" t="s">
        <v>44</v>
      </c>
      <c r="O3248" s="138">
        <v>15</v>
      </c>
      <c r="V3248" s="26"/>
      <c r="W3248" s="26"/>
      <c r="X3248" s="26"/>
      <c r="Y3248" s="26"/>
      <c r="Z3248" s="26"/>
      <c r="AA3248" s="26"/>
    </row>
    <row r="3249" spans="1:27" ht="15" customHeight="1" x14ac:dyDescent="0.2">
      <c r="A3249" s="32">
        <v>41555.546168981484</v>
      </c>
      <c r="B3249" s="26" t="s">
        <v>152</v>
      </c>
      <c r="C3249" s="26" t="s">
        <v>707</v>
      </c>
      <c r="D3249" s="30">
        <v>41518</v>
      </c>
      <c r="E3249" s="26" t="s">
        <v>2572</v>
      </c>
      <c r="F3249" s="26" t="s">
        <v>2573</v>
      </c>
      <c r="G3249" s="26" t="s">
        <v>351</v>
      </c>
      <c r="H3249" s="26" t="s">
        <v>2574</v>
      </c>
      <c r="I3249" s="26"/>
      <c r="J3249" s="46">
        <v>1</v>
      </c>
      <c r="K3249" s="46">
        <v>31</v>
      </c>
      <c r="L3249" s="136"/>
      <c r="M3249" s="137" t="s">
        <v>22</v>
      </c>
      <c r="V3249" s="26"/>
      <c r="W3249" s="26"/>
      <c r="X3249" s="26"/>
      <c r="Y3249" s="26"/>
      <c r="Z3249" s="26"/>
      <c r="AA3249" s="26"/>
    </row>
    <row r="3250" spans="1:27" ht="15" customHeight="1" x14ac:dyDescent="0.2">
      <c r="A3250" s="32">
        <v>41555.547974537039</v>
      </c>
      <c r="B3250" s="26" t="s">
        <v>152</v>
      </c>
      <c r="C3250" s="26" t="s">
        <v>707</v>
      </c>
      <c r="D3250" s="30">
        <v>41518</v>
      </c>
      <c r="E3250" s="26" t="s">
        <v>529</v>
      </c>
      <c r="F3250" s="26" t="s">
        <v>721</v>
      </c>
      <c r="G3250" s="26" t="s">
        <v>26</v>
      </c>
      <c r="H3250" s="26" t="s">
        <v>721</v>
      </c>
      <c r="I3250" s="26"/>
      <c r="J3250" s="46">
        <v>1</v>
      </c>
      <c r="K3250" s="46">
        <v>14</v>
      </c>
      <c r="L3250" s="136"/>
      <c r="M3250" s="137" t="s">
        <v>22</v>
      </c>
      <c r="V3250" s="26"/>
      <c r="W3250" s="26"/>
      <c r="X3250" s="26"/>
      <c r="Y3250" s="26"/>
      <c r="Z3250" s="26"/>
      <c r="AA3250" s="26"/>
    </row>
    <row r="3251" spans="1:27" ht="15" customHeight="1" x14ac:dyDescent="0.2">
      <c r="A3251" s="32">
        <v>41555.548819444448</v>
      </c>
      <c r="B3251" s="26" t="s">
        <v>152</v>
      </c>
      <c r="C3251" s="26" t="s">
        <v>707</v>
      </c>
      <c r="D3251" s="30">
        <v>41518</v>
      </c>
      <c r="E3251" s="26" t="s">
        <v>779</v>
      </c>
      <c r="F3251" s="26" t="s">
        <v>731</v>
      </c>
      <c r="G3251" s="26" t="s">
        <v>26</v>
      </c>
      <c r="H3251" s="26" t="s">
        <v>732</v>
      </c>
      <c r="I3251" s="26"/>
      <c r="J3251" s="46">
        <v>1</v>
      </c>
      <c r="K3251" s="46">
        <v>11</v>
      </c>
      <c r="L3251" s="136"/>
      <c r="M3251" s="137" t="s">
        <v>22</v>
      </c>
      <c r="V3251" s="26"/>
      <c r="W3251" s="26"/>
      <c r="X3251" s="26"/>
      <c r="Y3251" s="26"/>
      <c r="Z3251" s="26"/>
      <c r="AA3251" s="26"/>
    </row>
    <row r="3252" spans="1:27" ht="15" customHeight="1" x14ac:dyDescent="0.2">
      <c r="A3252" s="32">
        <v>41555.549513888887</v>
      </c>
      <c r="B3252" s="26" t="s">
        <v>152</v>
      </c>
      <c r="C3252" s="26" t="s">
        <v>707</v>
      </c>
      <c r="D3252" s="30">
        <v>41518</v>
      </c>
      <c r="E3252" s="26" t="s">
        <v>523</v>
      </c>
      <c r="F3252" s="26" t="s">
        <v>727</v>
      </c>
      <c r="G3252" s="26" t="s">
        <v>26</v>
      </c>
      <c r="H3252" s="26" t="s">
        <v>2575</v>
      </c>
      <c r="I3252" s="26"/>
      <c r="J3252" s="46">
        <v>1</v>
      </c>
      <c r="K3252" s="46">
        <v>0</v>
      </c>
      <c r="L3252" s="136"/>
      <c r="M3252" s="137" t="s">
        <v>22</v>
      </c>
      <c r="V3252" s="26"/>
      <c r="W3252" s="26"/>
      <c r="X3252" s="26"/>
      <c r="Y3252" s="26"/>
      <c r="Z3252" s="26"/>
      <c r="AA3252" s="26"/>
    </row>
    <row r="3253" spans="1:27" ht="15" customHeight="1" x14ac:dyDescent="0.2">
      <c r="A3253" s="32">
        <v>41555.565601851849</v>
      </c>
      <c r="B3253" s="26" t="s">
        <v>152</v>
      </c>
      <c r="C3253" s="26" t="s">
        <v>707</v>
      </c>
      <c r="D3253" s="30">
        <v>41518</v>
      </c>
      <c r="E3253" s="26" t="s">
        <v>2576</v>
      </c>
      <c r="F3253" s="26" t="s">
        <v>2577</v>
      </c>
      <c r="G3253" s="26" t="s">
        <v>156</v>
      </c>
      <c r="H3253" s="26" t="s">
        <v>2578</v>
      </c>
      <c r="I3253" s="26"/>
      <c r="J3253" s="46">
        <v>1</v>
      </c>
      <c r="K3253" s="46">
        <v>26</v>
      </c>
      <c r="L3253" s="136"/>
      <c r="M3253" s="137" t="s">
        <v>44</v>
      </c>
      <c r="O3253" s="138">
        <v>40</v>
      </c>
      <c r="P3253" s="138">
        <v>25</v>
      </c>
      <c r="Q3253" s="138">
        <v>60</v>
      </c>
      <c r="V3253" s="26"/>
      <c r="W3253" s="26"/>
      <c r="X3253" s="26"/>
      <c r="Y3253" s="26"/>
      <c r="Z3253" s="26"/>
      <c r="AA3253" s="26"/>
    </row>
    <row r="3254" spans="1:27" ht="15" customHeight="1" x14ac:dyDescent="0.2">
      <c r="A3254" s="32">
        <v>41555.585995370369</v>
      </c>
      <c r="B3254" s="26" t="s">
        <v>152</v>
      </c>
      <c r="C3254" s="26" t="s">
        <v>707</v>
      </c>
      <c r="D3254" s="30">
        <v>41518</v>
      </c>
      <c r="E3254" s="26" t="s">
        <v>2579</v>
      </c>
      <c r="F3254" s="26" t="s">
        <v>2580</v>
      </c>
      <c r="G3254" s="26" t="s">
        <v>351</v>
      </c>
      <c r="H3254" s="26" t="s">
        <v>2581</v>
      </c>
      <c r="I3254" s="26"/>
      <c r="J3254" s="46">
        <v>1</v>
      </c>
      <c r="K3254" s="46">
        <v>500</v>
      </c>
      <c r="L3254" s="136">
        <v>50</v>
      </c>
      <c r="M3254" s="137" t="s">
        <v>44</v>
      </c>
      <c r="O3254" s="138">
        <v>75</v>
      </c>
      <c r="P3254" s="138">
        <v>50</v>
      </c>
      <c r="Q3254" s="138">
        <v>300</v>
      </c>
      <c r="R3254" s="138">
        <v>210</v>
      </c>
      <c r="V3254" s="26" t="s">
        <v>2582</v>
      </c>
      <c r="W3254" s="26"/>
      <c r="X3254" s="26"/>
      <c r="Y3254" s="26"/>
      <c r="Z3254" s="26"/>
      <c r="AA3254" s="26"/>
    </row>
    <row r="3255" spans="1:27" ht="15" customHeight="1" x14ac:dyDescent="0.2">
      <c r="A3255" s="32">
        <v>41555.589907407404</v>
      </c>
      <c r="B3255" s="26" t="s">
        <v>152</v>
      </c>
      <c r="C3255" s="26" t="s">
        <v>707</v>
      </c>
      <c r="D3255" s="30">
        <v>41518</v>
      </c>
      <c r="E3255" s="26" t="s">
        <v>2583</v>
      </c>
      <c r="F3255" s="26" t="s">
        <v>2584</v>
      </c>
      <c r="G3255" s="26" t="s">
        <v>156</v>
      </c>
      <c r="H3255" s="26" t="s">
        <v>2585</v>
      </c>
      <c r="I3255" s="26"/>
      <c r="J3255" s="46">
        <v>1</v>
      </c>
      <c r="K3255" s="46">
        <v>350</v>
      </c>
      <c r="L3255" s="136"/>
      <c r="M3255" s="137" t="s">
        <v>44</v>
      </c>
      <c r="O3255" s="138">
        <v>1715</v>
      </c>
      <c r="P3255" s="138">
        <v>408</v>
      </c>
      <c r="Q3255" s="138">
        <v>3360</v>
      </c>
      <c r="R3255" s="138">
        <v>5280</v>
      </c>
      <c r="T3255" s="138">
        <v>411</v>
      </c>
      <c r="V3255" s="34" t="s">
        <v>2794</v>
      </c>
      <c r="W3255" s="26"/>
      <c r="X3255" s="26"/>
      <c r="Y3255" s="26"/>
      <c r="Z3255" s="26"/>
      <c r="AA3255" s="26"/>
    </row>
    <row r="3256" spans="1:27" ht="15" customHeight="1" x14ac:dyDescent="0.2">
      <c r="A3256" s="48">
        <v>41613.6390046296</v>
      </c>
      <c r="B3256" s="49" t="s">
        <v>152</v>
      </c>
      <c r="C3256" s="50" t="s">
        <v>707</v>
      </c>
      <c r="D3256" s="67">
        <v>41579</v>
      </c>
      <c r="E3256" s="50" t="s">
        <v>3343</v>
      </c>
      <c r="F3256" s="50" t="s">
        <v>3344</v>
      </c>
      <c r="G3256" s="49" t="s">
        <v>42</v>
      </c>
      <c r="H3256" s="50" t="s">
        <v>3345</v>
      </c>
      <c r="I3256" s="50" t="s">
        <v>3001</v>
      </c>
      <c r="J3256" s="117">
        <v>1</v>
      </c>
      <c r="K3256" s="117">
        <v>0</v>
      </c>
      <c r="L3256" s="142"/>
      <c r="M3256" s="143" t="s">
        <v>22</v>
      </c>
      <c r="N3256" s="144"/>
      <c r="O3256" s="144"/>
      <c r="P3256" s="144"/>
      <c r="Q3256" s="144"/>
      <c r="R3256" s="144"/>
      <c r="S3256" s="144"/>
      <c r="T3256" s="144"/>
      <c r="U3256" s="144"/>
      <c r="V3256" s="50" t="s">
        <v>3346</v>
      </c>
      <c r="W3256" s="26"/>
      <c r="X3256" s="26"/>
      <c r="Y3256" s="26"/>
      <c r="Z3256" s="26"/>
      <c r="AA3256" s="26"/>
    </row>
    <row r="3257" spans="1:27" ht="15" customHeight="1" x14ac:dyDescent="0.2">
      <c r="A3257" s="60">
        <v>41578.581701388903</v>
      </c>
      <c r="B3257" s="62" t="s">
        <v>152</v>
      </c>
      <c r="C3257" s="112" t="s">
        <v>707</v>
      </c>
      <c r="D3257" s="70">
        <v>41548</v>
      </c>
      <c r="E3257" s="64" t="s">
        <v>529</v>
      </c>
      <c r="F3257" s="64" t="s">
        <v>721</v>
      </c>
      <c r="G3257" s="62" t="s">
        <v>26</v>
      </c>
      <c r="H3257" s="64" t="s">
        <v>2817</v>
      </c>
      <c r="I3257" s="64"/>
      <c r="J3257" s="123">
        <v>4</v>
      </c>
      <c r="K3257" s="123">
        <v>289</v>
      </c>
      <c r="L3257" s="164"/>
      <c r="M3257" s="165" t="s">
        <v>22</v>
      </c>
      <c r="N3257" s="166"/>
      <c r="O3257" s="166"/>
      <c r="P3257" s="166"/>
      <c r="Q3257" s="166"/>
      <c r="R3257" s="166"/>
      <c r="S3257" s="167"/>
      <c r="T3257" s="166"/>
      <c r="U3257" s="166"/>
      <c r="V3257" s="64"/>
      <c r="W3257" s="26"/>
      <c r="X3257" s="26"/>
      <c r="Y3257" s="26"/>
      <c r="Z3257" s="26"/>
      <c r="AA3257" s="26"/>
    </row>
    <row r="3258" spans="1:27" ht="15" customHeight="1" x14ac:dyDescent="0.2">
      <c r="A3258" s="60">
        <v>41578.587280092601</v>
      </c>
      <c r="B3258" s="62" t="s">
        <v>152</v>
      </c>
      <c r="C3258" s="112" t="s">
        <v>707</v>
      </c>
      <c r="D3258" s="70">
        <v>41548</v>
      </c>
      <c r="E3258" s="64" t="s">
        <v>2579</v>
      </c>
      <c r="F3258" s="64" t="s">
        <v>2818</v>
      </c>
      <c r="G3258" s="62" t="s">
        <v>351</v>
      </c>
      <c r="H3258" s="64" t="s">
        <v>2819</v>
      </c>
      <c r="I3258" s="64"/>
      <c r="J3258" s="123">
        <v>1</v>
      </c>
      <c r="K3258" s="123">
        <v>110</v>
      </c>
      <c r="L3258" s="164"/>
      <c r="M3258" s="165" t="s">
        <v>22</v>
      </c>
      <c r="N3258" s="166"/>
      <c r="O3258" s="166"/>
      <c r="P3258" s="166"/>
      <c r="Q3258" s="166"/>
      <c r="R3258" s="166"/>
      <c r="S3258" s="167"/>
      <c r="T3258" s="166"/>
      <c r="U3258" s="166"/>
      <c r="V3258" s="64"/>
      <c r="W3258" s="26"/>
      <c r="X3258" s="26"/>
      <c r="Y3258" s="26"/>
      <c r="Z3258" s="26"/>
      <c r="AA3258" s="26"/>
    </row>
    <row r="3259" spans="1:27" ht="15" customHeight="1" x14ac:dyDescent="0.2">
      <c r="A3259" s="60">
        <v>41578.589537036998</v>
      </c>
      <c r="B3259" s="62" t="s">
        <v>152</v>
      </c>
      <c r="C3259" s="112" t="s">
        <v>707</v>
      </c>
      <c r="D3259" s="70">
        <v>41548</v>
      </c>
      <c r="E3259" s="64" t="s">
        <v>2820</v>
      </c>
      <c r="F3259" s="64" t="s">
        <v>2821</v>
      </c>
      <c r="G3259" s="62" t="s">
        <v>26</v>
      </c>
      <c r="H3259" s="64" t="s">
        <v>2822</v>
      </c>
      <c r="I3259" s="64"/>
      <c r="J3259" s="123">
        <v>1</v>
      </c>
      <c r="K3259" s="123">
        <v>12</v>
      </c>
      <c r="L3259" s="164"/>
      <c r="M3259" s="165" t="s">
        <v>22</v>
      </c>
      <c r="N3259" s="166"/>
      <c r="O3259" s="166"/>
      <c r="P3259" s="166"/>
      <c r="Q3259" s="166"/>
      <c r="R3259" s="166"/>
      <c r="S3259" s="167"/>
      <c r="T3259" s="166"/>
      <c r="U3259" s="166"/>
      <c r="V3259" s="64"/>
      <c r="W3259" s="26"/>
      <c r="X3259" s="26"/>
      <c r="Y3259" s="26"/>
      <c r="Z3259" s="26"/>
      <c r="AA3259" s="26"/>
    </row>
    <row r="3260" spans="1:27" ht="15" customHeight="1" x14ac:dyDescent="0.2">
      <c r="A3260" s="60">
        <v>41578.656678240703</v>
      </c>
      <c r="B3260" s="62" t="s">
        <v>152</v>
      </c>
      <c r="C3260" s="112" t="s">
        <v>707</v>
      </c>
      <c r="D3260" s="70">
        <v>41548</v>
      </c>
      <c r="E3260" s="64" t="s">
        <v>2823</v>
      </c>
      <c r="F3260" s="64" t="s">
        <v>2824</v>
      </c>
      <c r="G3260" s="62" t="s">
        <v>26</v>
      </c>
      <c r="H3260" s="64" t="s">
        <v>2825</v>
      </c>
      <c r="I3260" s="64"/>
      <c r="J3260" s="123">
        <v>1</v>
      </c>
      <c r="K3260" s="123">
        <v>170</v>
      </c>
      <c r="L3260" s="164"/>
      <c r="M3260" s="165" t="s">
        <v>44</v>
      </c>
      <c r="N3260" s="166"/>
      <c r="O3260" s="166">
        <v>300</v>
      </c>
      <c r="P3260" s="166"/>
      <c r="Q3260" s="166">
        <v>1404</v>
      </c>
      <c r="R3260" s="166">
        <v>500</v>
      </c>
      <c r="S3260" s="167"/>
      <c r="T3260" s="166"/>
      <c r="U3260" s="166"/>
      <c r="V3260" s="64"/>
      <c r="W3260" s="26"/>
      <c r="X3260" s="26"/>
      <c r="Y3260" s="26"/>
      <c r="Z3260" s="26"/>
      <c r="AA3260" s="26"/>
    </row>
    <row r="3261" spans="1:27" ht="15" customHeight="1" x14ac:dyDescent="0.2">
      <c r="A3261" s="32">
        <v>41640.536574074074</v>
      </c>
      <c r="B3261" s="26" t="s">
        <v>152</v>
      </c>
      <c r="C3261" s="26" t="s">
        <v>707</v>
      </c>
      <c r="D3261" s="68">
        <v>41609</v>
      </c>
      <c r="E3261" s="26" t="s">
        <v>3875</v>
      </c>
      <c r="F3261" s="26" t="s">
        <v>3876</v>
      </c>
      <c r="G3261" s="26" t="s">
        <v>26</v>
      </c>
      <c r="H3261" s="26" t="s">
        <v>3877</v>
      </c>
      <c r="I3261" s="26" t="s">
        <v>3001</v>
      </c>
      <c r="J3261" s="46">
        <v>1</v>
      </c>
      <c r="K3261" s="46">
        <v>50</v>
      </c>
      <c r="L3261" s="136">
        <v>75</v>
      </c>
      <c r="M3261" s="137" t="s">
        <v>44</v>
      </c>
      <c r="O3261" s="138">
        <v>60</v>
      </c>
      <c r="U3261" s="138">
        <v>60</v>
      </c>
      <c r="V3261" s="26" t="s">
        <v>3878</v>
      </c>
      <c r="W3261" s="26"/>
      <c r="X3261" s="26"/>
      <c r="Y3261" s="26"/>
      <c r="Z3261" s="26"/>
      <c r="AA3261" s="26"/>
    </row>
    <row r="3262" spans="1:27" ht="15" customHeight="1" x14ac:dyDescent="0.2">
      <c r="A3262" s="53">
        <v>41640.537465277797</v>
      </c>
      <c r="B3262" s="54" t="s">
        <v>152</v>
      </c>
      <c r="C3262" s="52" t="s">
        <v>707</v>
      </c>
      <c r="D3262" s="69">
        <v>41640</v>
      </c>
      <c r="E3262" s="54" t="s">
        <v>4119</v>
      </c>
      <c r="F3262" s="54" t="s">
        <v>4120</v>
      </c>
      <c r="G3262" s="54" t="s">
        <v>26</v>
      </c>
      <c r="H3262" s="54" t="s">
        <v>4121</v>
      </c>
      <c r="I3262" s="54" t="s">
        <v>3001</v>
      </c>
      <c r="J3262" s="95">
        <v>1</v>
      </c>
      <c r="K3262" s="118">
        <v>6</v>
      </c>
      <c r="L3262" s="145"/>
      <c r="M3262" s="146" t="s">
        <v>22</v>
      </c>
      <c r="N3262" s="147"/>
      <c r="O3262" s="147"/>
      <c r="P3262" s="147"/>
      <c r="Q3262" s="147"/>
      <c r="R3262" s="147"/>
      <c r="S3262" s="147"/>
      <c r="T3262" s="147"/>
      <c r="U3262" s="147"/>
      <c r="V3262" s="54"/>
      <c r="W3262" s="52"/>
      <c r="X3262" s="52"/>
      <c r="Y3262" s="52"/>
      <c r="Z3262" s="26"/>
      <c r="AA3262" s="26"/>
    </row>
    <row r="3263" spans="1:27" ht="15" customHeight="1" x14ac:dyDescent="0.2">
      <c r="A3263" s="32">
        <v>41744.626585648148</v>
      </c>
      <c r="B3263" s="26" t="s">
        <v>152</v>
      </c>
      <c r="C3263" s="26" t="s">
        <v>707</v>
      </c>
      <c r="D3263" s="33">
        <v>41699</v>
      </c>
      <c r="E3263" s="26" t="s">
        <v>5967</v>
      </c>
      <c r="F3263" s="26" t="s">
        <v>5968</v>
      </c>
      <c r="G3263" s="26" t="s">
        <v>351</v>
      </c>
      <c r="H3263" s="26" t="s">
        <v>5969</v>
      </c>
      <c r="I3263" s="26" t="s">
        <v>3001</v>
      </c>
      <c r="J3263" s="46">
        <v>1</v>
      </c>
      <c r="K3263" s="46">
        <v>54</v>
      </c>
      <c r="L3263" s="136"/>
      <c r="M3263" s="137" t="s">
        <v>22</v>
      </c>
      <c r="V3263" s="26" t="s">
        <v>5970</v>
      </c>
      <c r="W3263" s="26"/>
      <c r="X3263" s="26"/>
      <c r="Y3263" s="26"/>
      <c r="Z3263" s="26"/>
      <c r="AA3263" s="26"/>
    </row>
    <row r="3264" spans="1:27" ht="15" customHeight="1" x14ac:dyDescent="0.2">
      <c r="A3264" s="93">
        <v>41767.670451388898</v>
      </c>
      <c r="B3264" s="89" t="s">
        <v>152</v>
      </c>
      <c r="C3264" s="52" t="s">
        <v>707</v>
      </c>
      <c r="D3264" s="87" t="s">
        <v>6076</v>
      </c>
      <c r="E3264" s="89" t="s">
        <v>6487</v>
      </c>
      <c r="F3264" s="89" t="s">
        <v>6488</v>
      </c>
      <c r="G3264" s="89" t="s">
        <v>26</v>
      </c>
      <c r="H3264" s="89" t="s">
        <v>6489</v>
      </c>
      <c r="I3264" s="89" t="s">
        <v>3001</v>
      </c>
      <c r="J3264" s="95">
        <v>2</v>
      </c>
      <c r="K3264" s="95">
        <v>43</v>
      </c>
      <c r="L3264" s="149"/>
      <c r="M3264" s="146" t="s">
        <v>44</v>
      </c>
      <c r="N3264" s="149"/>
      <c r="O3264" s="149">
        <v>50</v>
      </c>
      <c r="P3264" s="149"/>
      <c r="Q3264" s="149"/>
      <c r="R3264" s="149"/>
      <c r="S3264" s="149"/>
      <c r="T3264" s="149"/>
      <c r="U3264" s="149"/>
      <c r="V3264" s="89" t="s">
        <v>6490</v>
      </c>
      <c r="Z3264" s="26"/>
      <c r="AA3264" s="26"/>
    </row>
    <row r="3265" spans="1:27" ht="15" customHeight="1" x14ac:dyDescent="0.2">
      <c r="A3265" s="93">
        <v>41767.672314814801</v>
      </c>
      <c r="B3265" s="89" t="s">
        <v>152</v>
      </c>
      <c r="C3265" s="52" t="s">
        <v>707</v>
      </c>
      <c r="D3265" s="87" t="s">
        <v>6076</v>
      </c>
      <c r="E3265" s="89" t="s">
        <v>6491</v>
      </c>
      <c r="F3265" s="89" t="s">
        <v>6492</v>
      </c>
      <c r="G3265" s="89" t="s">
        <v>26</v>
      </c>
      <c r="H3265" s="89" t="s">
        <v>6493</v>
      </c>
      <c r="I3265" s="89" t="s">
        <v>3001</v>
      </c>
      <c r="J3265" s="95">
        <v>1</v>
      </c>
      <c r="K3265" s="95">
        <v>18</v>
      </c>
      <c r="L3265" s="149"/>
      <c r="M3265" s="146" t="s">
        <v>44</v>
      </c>
      <c r="N3265" s="149"/>
      <c r="O3265" s="149">
        <v>10</v>
      </c>
      <c r="P3265" s="149"/>
      <c r="Q3265" s="149"/>
      <c r="R3265" s="149"/>
      <c r="S3265" s="149"/>
      <c r="T3265" s="149"/>
      <c r="U3265" s="149"/>
      <c r="V3265" s="89"/>
      <c r="Z3265" s="26"/>
      <c r="AA3265" s="26"/>
    </row>
    <row r="3266" spans="1:27" ht="15" customHeight="1" x14ac:dyDescent="0.2">
      <c r="A3266" s="93">
        <v>41767.675671296303</v>
      </c>
      <c r="B3266" s="89" t="s">
        <v>152</v>
      </c>
      <c r="C3266" s="52" t="s">
        <v>707</v>
      </c>
      <c r="D3266" s="87" t="s">
        <v>6076</v>
      </c>
      <c r="E3266" s="89" t="s">
        <v>5967</v>
      </c>
      <c r="F3266" s="89" t="s">
        <v>721</v>
      </c>
      <c r="G3266" s="89" t="s">
        <v>26</v>
      </c>
      <c r="H3266" s="89" t="s">
        <v>6494</v>
      </c>
      <c r="I3266" s="89" t="s">
        <v>3001</v>
      </c>
      <c r="J3266" s="95">
        <v>1</v>
      </c>
      <c r="K3266" s="95">
        <v>63</v>
      </c>
      <c r="L3266" s="149"/>
      <c r="M3266" s="146" t="s">
        <v>22</v>
      </c>
      <c r="N3266" s="149"/>
      <c r="O3266" s="149"/>
      <c r="P3266" s="149"/>
      <c r="Q3266" s="149"/>
      <c r="R3266" s="149"/>
      <c r="S3266" s="149"/>
      <c r="T3266" s="149"/>
      <c r="U3266" s="149"/>
      <c r="V3266" s="89" t="s">
        <v>6495</v>
      </c>
      <c r="Z3266" s="26"/>
      <c r="AA3266" s="26"/>
    </row>
    <row r="3267" spans="1:27" ht="15" customHeight="1" x14ac:dyDescent="0.2">
      <c r="A3267" s="93">
        <v>41767.676759259302</v>
      </c>
      <c r="B3267" s="89" t="s">
        <v>152</v>
      </c>
      <c r="C3267" s="52" t="s">
        <v>707</v>
      </c>
      <c r="D3267" s="87" t="s">
        <v>6076</v>
      </c>
      <c r="E3267" s="89" t="s">
        <v>720</v>
      </c>
      <c r="F3267" s="89" t="s">
        <v>721</v>
      </c>
      <c r="G3267" s="89" t="s">
        <v>26</v>
      </c>
      <c r="H3267" s="89" t="s">
        <v>6494</v>
      </c>
      <c r="I3267" s="89" t="s">
        <v>3001</v>
      </c>
      <c r="J3267" s="95">
        <v>1</v>
      </c>
      <c r="K3267" s="95">
        <v>105</v>
      </c>
      <c r="L3267" s="149"/>
      <c r="M3267" s="146" t="s">
        <v>22</v>
      </c>
      <c r="N3267" s="149"/>
      <c r="O3267" s="149"/>
      <c r="P3267" s="149"/>
      <c r="Q3267" s="149"/>
      <c r="R3267" s="149"/>
      <c r="S3267" s="149"/>
      <c r="T3267" s="149"/>
      <c r="U3267" s="149"/>
      <c r="V3267" s="89" t="s">
        <v>6496</v>
      </c>
      <c r="Z3267" s="26"/>
      <c r="AA3267" s="26"/>
    </row>
    <row r="3268" spans="1:27" ht="15" customHeight="1" x14ac:dyDescent="0.2">
      <c r="A3268" s="93">
        <v>41767.677858796298</v>
      </c>
      <c r="B3268" s="89" t="s">
        <v>152</v>
      </c>
      <c r="C3268" s="52" t="s">
        <v>707</v>
      </c>
      <c r="D3268" s="87" t="s">
        <v>6076</v>
      </c>
      <c r="E3268" s="89" t="s">
        <v>6497</v>
      </c>
      <c r="F3268" s="89" t="s">
        <v>6498</v>
      </c>
      <c r="G3268" s="89" t="s">
        <v>26</v>
      </c>
      <c r="H3268" s="89" t="s">
        <v>6499</v>
      </c>
      <c r="I3268" s="89" t="s">
        <v>3001</v>
      </c>
      <c r="J3268" s="95">
        <v>1</v>
      </c>
      <c r="K3268" s="95">
        <v>73</v>
      </c>
      <c r="L3268" s="149"/>
      <c r="M3268" s="146" t="s">
        <v>22</v>
      </c>
      <c r="N3268" s="149"/>
      <c r="O3268" s="149"/>
      <c r="P3268" s="149"/>
      <c r="Q3268" s="149"/>
      <c r="R3268" s="149"/>
      <c r="S3268" s="149"/>
      <c r="T3268" s="149"/>
      <c r="U3268" s="149"/>
      <c r="V3268" s="89" t="s">
        <v>6500</v>
      </c>
      <c r="Z3268" s="26"/>
      <c r="AA3268" s="26"/>
    </row>
    <row r="3269" spans="1:27" ht="15" customHeight="1" x14ac:dyDescent="0.2">
      <c r="A3269" s="93">
        <v>41767.6797337963</v>
      </c>
      <c r="B3269" s="89" t="s">
        <v>152</v>
      </c>
      <c r="C3269" s="52" t="s">
        <v>707</v>
      </c>
      <c r="D3269" s="87" t="s">
        <v>6076</v>
      </c>
      <c r="E3269" s="89" t="s">
        <v>529</v>
      </c>
      <c r="F3269" s="89" t="s">
        <v>721</v>
      </c>
      <c r="G3269" s="89" t="s">
        <v>26</v>
      </c>
      <c r="H3269" s="89" t="s">
        <v>6494</v>
      </c>
      <c r="I3269" s="89" t="s">
        <v>3001</v>
      </c>
      <c r="J3269" s="95">
        <v>3</v>
      </c>
      <c r="K3269" s="95">
        <v>162</v>
      </c>
      <c r="L3269" s="149"/>
      <c r="M3269" s="146" t="s">
        <v>22</v>
      </c>
      <c r="N3269" s="149"/>
      <c r="O3269" s="149"/>
      <c r="P3269" s="149"/>
      <c r="Q3269" s="149"/>
      <c r="R3269" s="149"/>
      <c r="S3269" s="149"/>
      <c r="T3269" s="149"/>
      <c r="U3269" s="149"/>
      <c r="V3269" s="89"/>
      <c r="Z3269" s="26"/>
      <c r="AA3269" s="26"/>
    </row>
    <row r="3270" spans="1:27" ht="15" customHeight="1" x14ac:dyDescent="0.2">
      <c r="A3270" s="55">
        <v>41767.681747685201</v>
      </c>
      <c r="B3270" s="52" t="s">
        <v>152</v>
      </c>
      <c r="C3270" s="52" t="s">
        <v>707</v>
      </c>
      <c r="D3270" s="88" t="s">
        <v>6076</v>
      </c>
      <c r="E3270" s="52" t="s">
        <v>6501</v>
      </c>
      <c r="F3270" s="52" t="s">
        <v>6502</v>
      </c>
      <c r="G3270" s="52" t="s">
        <v>42</v>
      </c>
      <c r="H3270" s="52" t="s">
        <v>6503</v>
      </c>
      <c r="I3270" s="52" t="s">
        <v>3001</v>
      </c>
      <c r="J3270" s="95">
        <v>1</v>
      </c>
      <c r="K3270" s="95">
        <v>12</v>
      </c>
      <c r="L3270" s="149">
        <v>39</v>
      </c>
      <c r="M3270" s="146" t="s">
        <v>22</v>
      </c>
      <c r="N3270" s="149"/>
      <c r="O3270" s="149"/>
      <c r="P3270" s="149"/>
      <c r="Q3270" s="149"/>
      <c r="R3270" s="149"/>
      <c r="S3270" s="149"/>
      <c r="T3270" s="149"/>
      <c r="U3270" s="149"/>
      <c r="V3270" s="52"/>
      <c r="W3270" s="26"/>
      <c r="X3270" s="26"/>
      <c r="Y3270" s="26"/>
      <c r="Z3270" s="26"/>
      <c r="AA3270" s="26"/>
    </row>
    <row r="3271" spans="1:27" ht="15" customHeight="1" x14ac:dyDescent="0.2">
      <c r="A3271" s="55">
        <v>41767.683194444398</v>
      </c>
      <c r="B3271" s="52" t="s">
        <v>152</v>
      </c>
      <c r="C3271" s="52" t="s">
        <v>707</v>
      </c>
      <c r="D3271" s="88" t="s">
        <v>6076</v>
      </c>
      <c r="E3271" s="52" t="s">
        <v>5571</v>
      </c>
      <c r="F3271" s="52" t="s">
        <v>6504</v>
      </c>
      <c r="G3271" s="52" t="s">
        <v>20</v>
      </c>
      <c r="H3271" s="52" t="s">
        <v>751</v>
      </c>
      <c r="I3271" s="52" t="s">
        <v>3001</v>
      </c>
      <c r="J3271" s="95">
        <v>3</v>
      </c>
      <c r="K3271" s="95">
        <v>120</v>
      </c>
      <c r="L3271" s="149"/>
      <c r="M3271" s="146" t="s">
        <v>22</v>
      </c>
      <c r="N3271" s="149"/>
      <c r="O3271" s="149"/>
      <c r="P3271" s="149"/>
      <c r="Q3271" s="149"/>
      <c r="R3271" s="149"/>
      <c r="S3271" s="149"/>
      <c r="T3271" s="149"/>
      <c r="U3271" s="149"/>
      <c r="V3271" s="52" t="s">
        <v>6505</v>
      </c>
      <c r="W3271" s="26"/>
      <c r="X3271" s="26"/>
      <c r="Y3271" s="26"/>
      <c r="Z3271" s="26"/>
      <c r="AA3271" s="26"/>
    </row>
    <row r="3272" spans="1:27" ht="15" customHeight="1" x14ac:dyDescent="0.2">
      <c r="A3272" s="93">
        <v>41767.684988425899</v>
      </c>
      <c r="B3272" s="89" t="s">
        <v>152</v>
      </c>
      <c r="C3272" s="52" t="s">
        <v>707</v>
      </c>
      <c r="D3272" s="87" t="s">
        <v>6076</v>
      </c>
      <c r="E3272" s="89" t="s">
        <v>779</v>
      </c>
      <c r="F3272" s="89" t="s">
        <v>6506</v>
      </c>
      <c r="G3272" s="89" t="s">
        <v>26</v>
      </c>
      <c r="H3272" s="89" t="s">
        <v>6507</v>
      </c>
      <c r="I3272" s="89" t="s">
        <v>3001</v>
      </c>
      <c r="J3272" s="95">
        <v>2</v>
      </c>
      <c r="K3272" s="95">
        <v>25</v>
      </c>
      <c r="L3272" s="149"/>
      <c r="M3272" s="146" t="s">
        <v>22</v>
      </c>
      <c r="N3272" s="149"/>
      <c r="O3272" s="149"/>
      <c r="P3272" s="149"/>
      <c r="Q3272" s="149"/>
      <c r="R3272" s="149"/>
      <c r="S3272" s="149"/>
      <c r="T3272" s="149"/>
      <c r="U3272" s="149"/>
      <c r="V3272" s="89"/>
      <c r="Z3272" s="26"/>
      <c r="AA3272" s="26"/>
    </row>
    <row r="3273" spans="1:27" ht="15" customHeight="1" x14ac:dyDescent="0.2">
      <c r="A3273" s="93">
        <v>41767.686076388898</v>
      </c>
      <c r="B3273" s="89" t="s">
        <v>152</v>
      </c>
      <c r="C3273" s="52" t="s">
        <v>707</v>
      </c>
      <c r="D3273" s="87" t="s">
        <v>6076</v>
      </c>
      <c r="E3273" s="89" t="s">
        <v>6508</v>
      </c>
      <c r="F3273" s="89" t="s">
        <v>6492</v>
      </c>
      <c r="G3273" s="89" t="s">
        <v>26</v>
      </c>
      <c r="H3273" s="89" t="s">
        <v>6509</v>
      </c>
      <c r="I3273" s="89" t="s">
        <v>3001</v>
      </c>
      <c r="J3273" s="95">
        <v>1</v>
      </c>
      <c r="K3273" s="95">
        <v>8</v>
      </c>
      <c r="L3273" s="149"/>
      <c r="M3273" s="146" t="s">
        <v>22</v>
      </c>
      <c r="N3273" s="149"/>
      <c r="O3273" s="149"/>
      <c r="P3273" s="149"/>
      <c r="Q3273" s="149"/>
      <c r="R3273" s="149"/>
      <c r="S3273" s="149"/>
      <c r="T3273" s="149"/>
      <c r="U3273" s="149"/>
      <c r="V3273" s="89"/>
      <c r="Z3273" s="26"/>
      <c r="AA3273" s="26"/>
    </row>
    <row r="3274" spans="1:27" ht="15" customHeight="1" x14ac:dyDescent="0.2">
      <c r="A3274" s="93">
        <v>41767.687060185199</v>
      </c>
      <c r="B3274" s="89" t="s">
        <v>152</v>
      </c>
      <c r="C3274" s="52" t="s">
        <v>707</v>
      </c>
      <c r="D3274" s="87" t="s">
        <v>6076</v>
      </c>
      <c r="E3274" s="89" t="s">
        <v>779</v>
      </c>
      <c r="F3274" s="89" t="s">
        <v>6510</v>
      </c>
      <c r="G3274" s="89" t="s">
        <v>26</v>
      </c>
      <c r="H3274" s="89" t="s">
        <v>6494</v>
      </c>
      <c r="I3274" s="89" t="s">
        <v>3001</v>
      </c>
      <c r="J3274" s="95">
        <v>1</v>
      </c>
      <c r="K3274" s="95">
        <v>14</v>
      </c>
      <c r="L3274" s="149"/>
      <c r="M3274" s="146" t="s">
        <v>22</v>
      </c>
      <c r="N3274" s="149"/>
      <c r="O3274" s="149"/>
      <c r="P3274" s="149"/>
      <c r="Q3274" s="149"/>
      <c r="R3274" s="149"/>
      <c r="S3274" s="149"/>
      <c r="T3274" s="149"/>
      <c r="U3274" s="149"/>
      <c r="V3274" s="89"/>
      <c r="Z3274" s="26"/>
      <c r="AA3274" s="26"/>
    </row>
    <row r="3275" spans="1:27" ht="15" customHeight="1" x14ac:dyDescent="0.2">
      <c r="A3275" s="93">
        <v>41767.688101851898</v>
      </c>
      <c r="B3275" s="89" t="s">
        <v>152</v>
      </c>
      <c r="C3275" s="52" t="s">
        <v>707</v>
      </c>
      <c r="D3275" s="87" t="s">
        <v>6076</v>
      </c>
      <c r="E3275" s="89" t="s">
        <v>6511</v>
      </c>
      <c r="F3275" s="89" t="s">
        <v>6498</v>
      </c>
      <c r="G3275" s="89" t="s">
        <v>26</v>
      </c>
      <c r="H3275" s="89" t="s">
        <v>6499</v>
      </c>
      <c r="I3275" s="89" t="s">
        <v>3001</v>
      </c>
      <c r="J3275" s="95">
        <v>2</v>
      </c>
      <c r="K3275" s="95">
        <v>43</v>
      </c>
      <c r="L3275" s="149"/>
      <c r="M3275" s="146" t="s">
        <v>22</v>
      </c>
      <c r="N3275" s="149"/>
      <c r="O3275" s="149"/>
      <c r="P3275" s="149"/>
      <c r="Q3275" s="149"/>
      <c r="R3275" s="149"/>
      <c r="S3275" s="149"/>
      <c r="T3275" s="149"/>
      <c r="U3275" s="149"/>
      <c r="V3275" s="89"/>
      <c r="Z3275" s="26"/>
      <c r="AA3275" s="26"/>
    </row>
    <row r="3276" spans="1:27" ht="15" customHeight="1" x14ac:dyDescent="0.2">
      <c r="A3276" s="93">
        <v>41767.690462963001</v>
      </c>
      <c r="B3276" s="89" t="s">
        <v>152</v>
      </c>
      <c r="C3276" s="52" t="s">
        <v>707</v>
      </c>
      <c r="D3276" s="87" t="s">
        <v>6076</v>
      </c>
      <c r="E3276" s="89" t="s">
        <v>6512</v>
      </c>
      <c r="F3276" s="89" t="s">
        <v>6513</v>
      </c>
      <c r="G3276" s="89" t="s">
        <v>26</v>
      </c>
      <c r="H3276" s="89" t="s">
        <v>6514</v>
      </c>
      <c r="I3276" s="89" t="s">
        <v>3001</v>
      </c>
      <c r="J3276" s="95">
        <v>1</v>
      </c>
      <c r="K3276" s="95">
        <v>7</v>
      </c>
      <c r="L3276" s="149"/>
      <c r="M3276" s="146" t="s">
        <v>44</v>
      </c>
      <c r="N3276" s="149"/>
      <c r="O3276" s="149">
        <v>15</v>
      </c>
      <c r="P3276" s="149"/>
      <c r="Q3276" s="149"/>
      <c r="R3276" s="149"/>
      <c r="S3276" s="149"/>
      <c r="T3276" s="149"/>
      <c r="U3276" s="149"/>
      <c r="V3276" s="89"/>
      <c r="Z3276" s="26"/>
      <c r="AA3276" s="26"/>
    </row>
    <row r="3277" spans="1:27" ht="15" customHeight="1" x14ac:dyDescent="0.2">
      <c r="A3277" s="93">
        <v>41767.692361111098</v>
      </c>
      <c r="B3277" s="89" t="s">
        <v>152</v>
      </c>
      <c r="C3277" s="52" t="s">
        <v>707</v>
      </c>
      <c r="D3277" s="87" t="s">
        <v>6076</v>
      </c>
      <c r="E3277" s="89" t="s">
        <v>6515</v>
      </c>
      <c r="F3277" s="89" t="s">
        <v>6014</v>
      </c>
      <c r="G3277" s="89" t="s">
        <v>26</v>
      </c>
      <c r="H3277" s="89" t="s">
        <v>6516</v>
      </c>
      <c r="I3277" s="89" t="s">
        <v>2812</v>
      </c>
      <c r="J3277" s="95">
        <v>1</v>
      </c>
      <c r="K3277" s="95">
        <v>200</v>
      </c>
      <c r="L3277" s="149"/>
      <c r="M3277" s="146" t="s">
        <v>44</v>
      </c>
      <c r="N3277" s="149"/>
      <c r="O3277" s="149">
        <v>250</v>
      </c>
      <c r="P3277" s="149"/>
      <c r="Q3277" s="149"/>
      <c r="R3277" s="149"/>
      <c r="S3277" s="149"/>
      <c r="T3277" s="149"/>
      <c r="U3277" s="149"/>
      <c r="V3277" s="89"/>
      <c r="Z3277" s="26"/>
      <c r="AA3277" s="26"/>
    </row>
    <row r="3278" spans="1:27" ht="15" customHeight="1" x14ac:dyDescent="0.2">
      <c r="A3278" s="93">
        <v>41767.693564814799</v>
      </c>
      <c r="B3278" s="89" t="s">
        <v>152</v>
      </c>
      <c r="C3278" s="52" t="s">
        <v>707</v>
      </c>
      <c r="D3278" s="87" t="s">
        <v>6076</v>
      </c>
      <c r="E3278" s="89" t="s">
        <v>523</v>
      </c>
      <c r="F3278" s="89" t="s">
        <v>6517</v>
      </c>
      <c r="G3278" s="89" t="s">
        <v>26</v>
      </c>
      <c r="H3278" s="89" t="s">
        <v>6518</v>
      </c>
      <c r="I3278" s="89" t="s">
        <v>3001</v>
      </c>
      <c r="J3278" s="95">
        <v>1</v>
      </c>
      <c r="K3278" s="95">
        <v>33</v>
      </c>
      <c r="L3278" s="149"/>
      <c r="M3278" s="146" t="s">
        <v>22</v>
      </c>
      <c r="N3278" s="149"/>
      <c r="O3278" s="149"/>
      <c r="P3278" s="149"/>
      <c r="Q3278" s="149"/>
      <c r="R3278" s="149"/>
      <c r="S3278" s="149"/>
      <c r="T3278" s="149"/>
      <c r="U3278" s="149"/>
      <c r="V3278" s="89"/>
      <c r="Z3278" s="26"/>
      <c r="AA3278" s="26"/>
    </row>
    <row r="3279" spans="1:27" ht="15" customHeight="1" x14ac:dyDescent="0.2">
      <c r="A3279" s="93">
        <v>41801.368865740696</v>
      </c>
      <c r="B3279" s="89" t="s">
        <v>152</v>
      </c>
      <c r="C3279" s="52" t="s">
        <v>213</v>
      </c>
      <c r="D3279" s="87" t="s">
        <v>6224</v>
      </c>
      <c r="E3279" s="89" t="s">
        <v>3111</v>
      </c>
      <c r="F3279" s="89" t="s">
        <v>4327</v>
      </c>
      <c r="G3279" s="89" t="s">
        <v>26</v>
      </c>
      <c r="H3279" s="89" t="s">
        <v>7584</v>
      </c>
      <c r="I3279" s="89" t="s">
        <v>2986</v>
      </c>
      <c r="J3279" s="95">
        <v>2</v>
      </c>
      <c r="K3279" s="95">
        <v>26</v>
      </c>
      <c r="L3279" s="150"/>
      <c r="M3279" s="146" t="s">
        <v>44</v>
      </c>
      <c r="N3279" s="149"/>
      <c r="O3279" s="149"/>
      <c r="P3279" s="149">
        <v>30</v>
      </c>
      <c r="Q3279" s="149"/>
      <c r="R3279" s="149"/>
      <c r="S3279" s="149"/>
      <c r="T3279" s="149"/>
      <c r="U3279" s="149"/>
      <c r="V3279" s="89"/>
      <c r="Z3279" s="26"/>
      <c r="AA3279" s="26"/>
    </row>
    <row r="3280" spans="1:27" ht="15" customHeight="1" x14ac:dyDescent="0.2">
      <c r="A3280" s="93">
        <v>41801.369780092602</v>
      </c>
      <c r="B3280" s="89" t="s">
        <v>152</v>
      </c>
      <c r="C3280" s="52" t="s">
        <v>213</v>
      </c>
      <c r="D3280" s="87" t="s">
        <v>6224</v>
      </c>
      <c r="E3280" s="89" t="s">
        <v>7574</v>
      </c>
      <c r="F3280" s="89" t="s">
        <v>7579</v>
      </c>
      <c r="G3280" s="89" t="s">
        <v>60</v>
      </c>
      <c r="H3280" s="89"/>
      <c r="I3280" s="89" t="s">
        <v>3140</v>
      </c>
      <c r="J3280" s="95">
        <v>1</v>
      </c>
      <c r="K3280" s="95">
        <v>5</v>
      </c>
      <c r="L3280" s="150"/>
      <c r="M3280" s="146" t="s">
        <v>22</v>
      </c>
      <c r="N3280" s="149"/>
      <c r="O3280" s="149"/>
      <c r="P3280" s="149"/>
      <c r="Q3280" s="149"/>
      <c r="R3280" s="149"/>
      <c r="S3280" s="149"/>
      <c r="T3280" s="149"/>
      <c r="U3280" s="149"/>
      <c r="V3280" s="89"/>
      <c r="Z3280" s="26"/>
      <c r="AA3280" s="26"/>
    </row>
    <row r="3281" spans="1:27" ht="15" customHeight="1" x14ac:dyDescent="0.2">
      <c r="A3281" s="93">
        <v>41801.370787036998</v>
      </c>
      <c r="B3281" s="89" t="s">
        <v>152</v>
      </c>
      <c r="C3281" s="52" t="s">
        <v>213</v>
      </c>
      <c r="D3281" s="87" t="s">
        <v>6224</v>
      </c>
      <c r="E3281" s="89" t="s">
        <v>3111</v>
      </c>
      <c r="F3281" s="89" t="s">
        <v>7579</v>
      </c>
      <c r="G3281" s="89" t="s">
        <v>60</v>
      </c>
      <c r="H3281" s="89" t="s">
        <v>7581</v>
      </c>
      <c r="I3281" s="89" t="s">
        <v>3140</v>
      </c>
      <c r="J3281" s="95">
        <v>3</v>
      </c>
      <c r="K3281" s="95">
        <v>17</v>
      </c>
      <c r="L3281" s="150"/>
      <c r="M3281" s="146" t="s">
        <v>44</v>
      </c>
      <c r="N3281" s="149"/>
      <c r="O3281" s="149"/>
      <c r="P3281" s="149">
        <v>10</v>
      </c>
      <c r="Q3281" s="149"/>
      <c r="R3281" s="149"/>
      <c r="S3281" s="149"/>
      <c r="T3281" s="149"/>
      <c r="U3281" s="149"/>
      <c r="V3281" s="89"/>
      <c r="Z3281" s="26"/>
      <c r="AA3281" s="26"/>
    </row>
    <row r="3282" spans="1:27" ht="15" customHeight="1" x14ac:dyDescent="0.2">
      <c r="A3282" s="93">
        <v>41801.372974537</v>
      </c>
      <c r="B3282" s="89" t="s">
        <v>152</v>
      </c>
      <c r="C3282" s="52" t="s">
        <v>213</v>
      </c>
      <c r="D3282" s="87" t="s">
        <v>6224</v>
      </c>
      <c r="E3282" s="89" t="s">
        <v>7585</v>
      </c>
      <c r="F3282" s="89" t="s">
        <v>7586</v>
      </c>
      <c r="G3282" s="89" t="s">
        <v>42</v>
      </c>
      <c r="H3282" s="89" t="s">
        <v>7587</v>
      </c>
      <c r="I3282" s="89" t="s">
        <v>7588</v>
      </c>
      <c r="J3282" s="95">
        <v>1</v>
      </c>
      <c r="K3282" s="95">
        <v>20</v>
      </c>
      <c r="L3282" s="150"/>
      <c r="M3282" s="146" t="s">
        <v>44</v>
      </c>
      <c r="N3282" s="149">
        <v>100</v>
      </c>
      <c r="O3282" s="149"/>
      <c r="P3282" s="149">
        <v>50</v>
      </c>
      <c r="Q3282" s="149"/>
      <c r="R3282" s="149"/>
      <c r="S3282" s="149"/>
      <c r="T3282" s="149"/>
      <c r="U3282" s="149"/>
      <c r="V3282" s="89"/>
      <c r="Z3282" s="26"/>
      <c r="AA3282" s="26"/>
    </row>
    <row r="3283" spans="1:27" ht="15" customHeight="1" x14ac:dyDescent="0.2">
      <c r="A3283" s="93">
        <v>41801.376053240703</v>
      </c>
      <c r="B3283" s="89" t="s">
        <v>152</v>
      </c>
      <c r="C3283" s="52" t="s">
        <v>213</v>
      </c>
      <c r="D3283" s="87" t="s">
        <v>6224</v>
      </c>
      <c r="E3283" s="89" t="s">
        <v>7577</v>
      </c>
      <c r="F3283" s="89" t="s">
        <v>7589</v>
      </c>
      <c r="G3283" s="89" t="s">
        <v>20</v>
      </c>
      <c r="H3283" s="89" t="s">
        <v>7590</v>
      </c>
      <c r="I3283" s="89" t="s">
        <v>2986</v>
      </c>
      <c r="J3283" s="95">
        <v>1</v>
      </c>
      <c r="K3283" s="95">
        <v>84</v>
      </c>
      <c r="L3283" s="150"/>
      <c r="M3283" s="146" t="s">
        <v>44</v>
      </c>
      <c r="N3283" s="149">
        <v>269.5</v>
      </c>
      <c r="O3283" s="149"/>
      <c r="P3283" s="149"/>
      <c r="Q3283" s="149"/>
      <c r="R3283" s="149"/>
      <c r="S3283" s="149"/>
      <c r="T3283" s="149"/>
      <c r="U3283" s="149"/>
      <c r="V3283" s="89"/>
      <c r="Z3283" s="26"/>
      <c r="AA3283" s="26"/>
    </row>
    <row r="3284" spans="1:27" ht="15" customHeight="1" x14ac:dyDescent="0.2">
      <c r="A3284" s="93">
        <v>41801.378530092603</v>
      </c>
      <c r="B3284" s="89" t="s">
        <v>152</v>
      </c>
      <c r="C3284" s="52" t="s">
        <v>213</v>
      </c>
      <c r="D3284" s="87" t="s">
        <v>6224</v>
      </c>
      <c r="E3284" s="89" t="s">
        <v>5673</v>
      </c>
      <c r="F3284" s="89" t="s">
        <v>7591</v>
      </c>
      <c r="G3284" s="89" t="s">
        <v>20</v>
      </c>
      <c r="H3284" s="89" t="s">
        <v>7590</v>
      </c>
      <c r="I3284" s="89" t="s">
        <v>2986</v>
      </c>
      <c r="J3284" s="95">
        <v>1</v>
      </c>
      <c r="K3284" s="95">
        <v>220</v>
      </c>
      <c r="L3284" s="150"/>
      <c r="M3284" s="146" t="s">
        <v>44</v>
      </c>
      <c r="N3284" s="149">
        <v>770</v>
      </c>
      <c r="O3284" s="149"/>
      <c r="P3284" s="149"/>
      <c r="Q3284" s="149"/>
      <c r="R3284" s="149"/>
      <c r="S3284" s="149"/>
      <c r="T3284" s="149"/>
      <c r="U3284" s="149"/>
      <c r="V3284" s="89"/>
      <c r="Z3284" s="26"/>
      <c r="AA3284" s="26"/>
    </row>
    <row r="3285" spans="1:27" ht="15" customHeight="1" x14ac:dyDescent="0.2">
      <c r="A3285" s="93">
        <v>41801.381527777798</v>
      </c>
      <c r="B3285" s="89" t="s">
        <v>152</v>
      </c>
      <c r="C3285" s="52" t="s">
        <v>213</v>
      </c>
      <c r="D3285" s="87" t="s">
        <v>6224</v>
      </c>
      <c r="E3285" s="89" t="s">
        <v>7577</v>
      </c>
      <c r="F3285" s="89" t="s">
        <v>7592</v>
      </c>
      <c r="G3285" s="89" t="s">
        <v>42</v>
      </c>
      <c r="H3285" s="89" t="s">
        <v>7593</v>
      </c>
      <c r="I3285" s="89" t="s">
        <v>3778</v>
      </c>
      <c r="J3285" s="95">
        <v>1</v>
      </c>
      <c r="K3285" s="95">
        <v>15</v>
      </c>
      <c r="L3285" s="150"/>
      <c r="M3285" s="146" t="s">
        <v>44</v>
      </c>
      <c r="N3285" s="149">
        <v>52.5</v>
      </c>
      <c r="O3285" s="149"/>
      <c r="P3285" s="149"/>
      <c r="Q3285" s="149"/>
      <c r="R3285" s="149"/>
      <c r="S3285" s="149"/>
      <c r="T3285" s="149"/>
      <c r="U3285" s="149"/>
      <c r="V3285" s="89" t="s">
        <v>7594</v>
      </c>
      <c r="Z3285" s="26"/>
      <c r="AA3285" s="26"/>
    </row>
    <row r="3286" spans="1:27" ht="15" customHeight="1" x14ac:dyDescent="0.2">
      <c r="A3286" s="93">
        <v>41801.384004629603</v>
      </c>
      <c r="B3286" s="89" t="s">
        <v>152</v>
      </c>
      <c r="C3286" s="52" t="s">
        <v>213</v>
      </c>
      <c r="D3286" s="87" t="s">
        <v>6224</v>
      </c>
      <c r="E3286" s="89" t="s">
        <v>7595</v>
      </c>
      <c r="F3286" s="89" t="s">
        <v>7596</v>
      </c>
      <c r="G3286" s="89" t="s">
        <v>20</v>
      </c>
      <c r="H3286" s="89" t="s">
        <v>7597</v>
      </c>
      <c r="I3286" s="89" t="s">
        <v>2986</v>
      </c>
      <c r="J3286" s="95">
        <v>1</v>
      </c>
      <c r="K3286" s="95">
        <v>31</v>
      </c>
      <c r="L3286" s="150"/>
      <c r="M3286" s="146" t="s">
        <v>44</v>
      </c>
      <c r="N3286" s="149">
        <v>108.5</v>
      </c>
      <c r="O3286" s="149"/>
      <c r="P3286" s="149"/>
      <c r="Q3286" s="149"/>
      <c r="R3286" s="149"/>
      <c r="S3286" s="149"/>
      <c r="T3286" s="149"/>
      <c r="U3286" s="149"/>
      <c r="V3286" s="89"/>
      <c r="Z3286" s="26"/>
      <c r="AA3286" s="26"/>
    </row>
    <row r="3287" spans="1:27" ht="15" customHeight="1" x14ac:dyDescent="0.2">
      <c r="A3287" s="93">
        <v>41802.388391203698</v>
      </c>
      <c r="B3287" s="89" t="s">
        <v>16</v>
      </c>
      <c r="C3287" s="52" t="s">
        <v>4617</v>
      </c>
      <c r="D3287" s="87" t="s">
        <v>6224</v>
      </c>
      <c r="E3287" s="89" t="s">
        <v>5779</v>
      </c>
      <c r="F3287" s="89" t="s">
        <v>5780</v>
      </c>
      <c r="G3287" s="89" t="s">
        <v>26</v>
      </c>
      <c r="H3287" s="89" t="s">
        <v>5781</v>
      </c>
      <c r="I3287" s="89" t="s">
        <v>2986</v>
      </c>
      <c r="J3287" s="95">
        <v>70</v>
      </c>
      <c r="K3287" s="95">
        <v>421</v>
      </c>
      <c r="L3287" s="150"/>
      <c r="M3287" s="146" t="s">
        <v>44</v>
      </c>
      <c r="N3287" s="149">
        <v>3413</v>
      </c>
      <c r="O3287" s="149"/>
      <c r="P3287" s="149">
        <v>1183.95</v>
      </c>
      <c r="Q3287" s="149"/>
      <c r="R3287" s="149"/>
      <c r="S3287" s="149"/>
      <c r="T3287" s="149"/>
      <c r="U3287" s="149"/>
      <c r="V3287" s="89"/>
      <c r="Z3287" s="26"/>
      <c r="AA3287" s="26"/>
    </row>
    <row r="3288" spans="1:27" ht="15" customHeight="1" x14ac:dyDescent="0.2">
      <c r="A3288" s="93">
        <v>41803.405451388899</v>
      </c>
      <c r="B3288" s="89" t="s">
        <v>16</v>
      </c>
      <c r="C3288" s="52" t="s">
        <v>1153</v>
      </c>
      <c r="D3288" s="87" t="s">
        <v>6224</v>
      </c>
      <c r="E3288" s="89" t="s">
        <v>7610</v>
      </c>
      <c r="F3288" s="89" t="s">
        <v>7611</v>
      </c>
      <c r="G3288" s="89" t="s">
        <v>20</v>
      </c>
      <c r="H3288" s="89" t="s">
        <v>7612</v>
      </c>
      <c r="I3288" s="89" t="s">
        <v>2986</v>
      </c>
      <c r="J3288" s="95">
        <v>1</v>
      </c>
      <c r="K3288" s="95">
        <v>92</v>
      </c>
      <c r="L3288" s="150">
        <v>920</v>
      </c>
      <c r="M3288" s="146" t="s">
        <v>22</v>
      </c>
      <c r="N3288" s="149"/>
      <c r="O3288" s="149"/>
      <c r="P3288" s="149"/>
      <c r="Q3288" s="149"/>
      <c r="R3288" s="149"/>
      <c r="S3288" s="149"/>
      <c r="T3288" s="149"/>
      <c r="U3288" s="149"/>
      <c r="V3288" s="89"/>
      <c r="Z3288" s="26"/>
      <c r="AA3288" s="26"/>
    </row>
    <row r="3289" spans="1:27" ht="15" customHeight="1" x14ac:dyDescent="0.2">
      <c r="A3289" s="93">
        <v>41803.4079166667</v>
      </c>
      <c r="B3289" s="89" t="s">
        <v>16</v>
      </c>
      <c r="C3289" s="52" t="s">
        <v>1153</v>
      </c>
      <c r="D3289" s="87" t="s">
        <v>6224</v>
      </c>
      <c r="E3289" s="89" t="s">
        <v>7613</v>
      </c>
      <c r="F3289" s="89" t="s">
        <v>575</v>
      </c>
      <c r="G3289" s="89" t="s">
        <v>26</v>
      </c>
      <c r="H3289" s="89"/>
      <c r="I3289" s="89" t="s">
        <v>2986</v>
      </c>
      <c r="J3289" s="95">
        <v>1</v>
      </c>
      <c r="K3289" s="95">
        <v>8</v>
      </c>
      <c r="L3289" s="150"/>
      <c r="M3289" s="146" t="s">
        <v>22</v>
      </c>
      <c r="N3289" s="149"/>
      <c r="O3289" s="149"/>
      <c r="P3289" s="149"/>
      <c r="Q3289" s="149"/>
      <c r="R3289" s="149"/>
      <c r="S3289" s="149"/>
      <c r="T3289" s="149"/>
      <c r="U3289" s="149"/>
      <c r="V3289" s="89"/>
      <c r="Z3289" s="26"/>
      <c r="AA3289" s="26"/>
    </row>
    <row r="3290" spans="1:27" ht="15" customHeight="1" x14ac:dyDescent="0.2">
      <c r="A3290" s="93">
        <v>41803.534641203703</v>
      </c>
      <c r="B3290" s="89" t="s">
        <v>152</v>
      </c>
      <c r="C3290" s="52" t="s">
        <v>153</v>
      </c>
      <c r="D3290" s="87" t="s">
        <v>6224</v>
      </c>
      <c r="E3290" s="89" t="s">
        <v>730</v>
      </c>
      <c r="F3290" s="89" t="s">
        <v>365</v>
      </c>
      <c r="G3290" s="89" t="s">
        <v>26</v>
      </c>
      <c r="H3290" s="89" t="s">
        <v>7614</v>
      </c>
      <c r="I3290" s="89" t="s">
        <v>3001</v>
      </c>
      <c r="J3290" s="95">
        <v>5</v>
      </c>
      <c r="K3290" s="95">
        <v>39</v>
      </c>
      <c r="L3290" s="150">
        <v>40</v>
      </c>
      <c r="M3290" s="146" t="s">
        <v>22</v>
      </c>
      <c r="N3290" s="149"/>
      <c r="O3290" s="149"/>
      <c r="P3290" s="149"/>
      <c r="Q3290" s="149"/>
      <c r="R3290" s="149"/>
      <c r="S3290" s="149"/>
      <c r="T3290" s="149"/>
      <c r="U3290" s="149"/>
      <c r="V3290" s="89"/>
      <c r="Z3290" s="26"/>
      <c r="AA3290" s="26"/>
    </row>
    <row r="3291" spans="1:27" ht="15" customHeight="1" x14ac:dyDescent="0.2">
      <c r="A3291" s="93">
        <v>41803.535555555602</v>
      </c>
      <c r="B3291" s="89" t="s">
        <v>152</v>
      </c>
      <c r="C3291" s="52" t="s">
        <v>153</v>
      </c>
      <c r="D3291" s="87" t="s">
        <v>6224</v>
      </c>
      <c r="E3291" s="89" t="s">
        <v>4898</v>
      </c>
      <c r="F3291" s="89" t="s">
        <v>344</v>
      </c>
      <c r="G3291" s="89" t="s">
        <v>26</v>
      </c>
      <c r="H3291" s="89" t="s">
        <v>7615</v>
      </c>
      <c r="I3291" s="89" t="s">
        <v>3001</v>
      </c>
      <c r="J3291" s="95">
        <v>5</v>
      </c>
      <c r="K3291" s="95">
        <v>68</v>
      </c>
      <c r="L3291" s="150">
        <v>68</v>
      </c>
      <c r="M3291" s="146" t="s">
        <v>22</v>
      </c>
      <c r="N3291" s="149"/>
      <c r="O3291" s="149"/>
      <c r="P3291" s="149"/>
      <c r="Q3291" s="149"/>
      <c r="R3291" s="149"/>
      <c r="S3291" s="149"/>
      <c r="T3291" s="149"/>
      <c r="U3291" s="149"/>
      <c r="V3291" s="89"/>
      <c r="Z3291" s="26"/>
      <c r="AA3291" s="26"/>
    </row>
    <row r="3292" spans="1:27" ht="15" customHeight="1" x14ac:dyDescent="0.2">
      <c r="A3292" s="93">
        <v>41803.536377314798</v>
      </c>
      <c r="B3292" s="89" t="s">
        <v>152</v>
      </c>
      <c r="C3292" s="52" t="s">
        <v>153</v>
      </c>
      <c r="D3292" s="87" t="s">
        <v>6224</v>
      </c>
      <c r="E3292" s="89"/>
      <c r="F3292" s="89" t="s">
        <v>373</v>
      </c>
      <c r="G3292" s="89" t="s">
        <v>26</v>
      </c>
      <c r="H3292" s="89" t="s">
        <v>7616</v>
      </c>
      <c r="I3292" s="89" t="s">
        <v>3001</v>
      </c>
      <c r="J3292" s="95">
        <v>1</v>
      </c>
      <c r="K3292" s="95">
        <v>751</v>
      </c>
      <c r="L3292" s="150"/>
      <c r="M3292" s="146" t="s">
        <v>22</v>
      </c>
      <c r="N3292" s="149"/>
      <c r="O3292" s="149"/>
      <c r="P3292" s="149"/>
      <c r="Q3292" s="149"/>
      <c r="R3292" s="149"/>
      <c r="S3292" s="149"/>
      <c r="T3292" s="149"/>
      <c r="U3292" s="149"/>
      <c r="V3292" s="89"/>
      <c r="Z3292" s="26"/>
      <c r="AA3292" s="26"/>
    </row>
    <row r="3293" spans="1:27" ht="15" customHeight="1" x14ac:dyDescent="0.2">
      <c r="A3293" s="93">
        <v>41803.5373958333</v>
      </c>
      <c r="B3293" s="89" t="s">
        <v>152</v>
      </c>
      <c r="C3293" s="52" t="s">
        <v>153</v>
      </c>
      <c r="D3293" s="87" t="s">
        <v>6224</v>
      </c>
      <c r="E3293" s="89" t="s">
        <v>7617</v>
      </c>
      <c r="F3293" s="89" t="s">
        <v>2275</v>
      </c>
      <c r="G3293" s="89" t="s">
        <v>26</v>
      </c>
      <c r="H3293" s="89"/>
      <c r="I3293" s="89" t="s">
        <v>2986</v>
      </c>
      <c r="J3293" s="95">
        <v>10</v>
      </c>
      <c r="K3293" s="95">
        <v>3</v>
      </c>
      <c r="L3293" s="150">
        <v>9</v>
      </c>
      <c r="M3293" s="146" t="s">
        <v>44</v>
      </c>
      <c r="N3293" s="149"/>
      <c r="O3293" s="149">
        <v>10</v>
      </c>
      <c r="P3293" s="149"/>
      <c r="Q3293" s="149"/>
      <c r="R3293" s="149"/>
      <c r="S3293" s="149"/>
      <c r="T3293" s="149"/>
      <c r="U3293" s="149"/>
      <c r="V3293" s="89"/>
      <c r="Z3293" s="26"/>
      <c r="AA3293" s="26"/>
    </row>
    <row r="3294" spans="1:27" ht="15" customHeight="1" x14ac:dyDescent="0.2">
      <c r="A3294" s="93">
        <v>41803.540312500001</v>
      </c>
      <c r="B3294" s="89" t="s">
        <v>152</v>
      </c>
      <c r="C3294" s="52" t="s">
        <v>153</v>
      </c>
      <c r="D3294" s="87" t="s">
        <v>6224</v>
      </c>
      <c r="E3294" s="89" t="s">
        <v>7618</v>
      </c>
      <c r="F3294" s="89" t="s">
        <v>7619</v>
      </c>
      <c r="G3294" s="89" t="s">
        <v>26</v>
      </c>
      <c r="H3294" s="89" t="s">
        <v>7620</v>
      </c>
      <c r="I3294" s="89" t="s">
        <v>7621</v>
      </c>
      <c r="J3294" s="95">
        <v>11</v>
      </c>
      <c r="K3294" s="95">
        <v>81</v>
      </c>
      <c r="L3294" s="150">
        <v>243</v>
      </c>
      <c r="M3294" s="146" t="s">
        <v>22</v>
      </c>
      <c r="N3294" s="149"/>
      <c r="O3294" s="149"/>
      <c r="P3294" s="149"/>
      <c r="Q3294" s="149"/>
      <c r="R3294" s="149"/>
      <c r="S3294" s="149"/>
      <c r="T3294" s="149"/>
      <c r="U3294" s="149"/>
      <c r="V3294" s="89"/>
      <c r="Z3294" s="26"/>
      <c r="AA3294" s="26"/>
    </row>
    <row r="3295" spans="1:27" ht="15" customHeight="1" x14ac:dyDescent="0.2">
      <c r="A3295" s="93">
        <v>41803.541053240697</v>
      </c>
      <c r="B3295" s="89" t="s">
        <v>152</v>
      </c>
      <c r="C3295" s="52" t="s">
        <v>153</v>
      </c>
      <c r="D3295" s="87" t="s">
        <v>6224</v>
      </c>
      <c r="E3295" s="89" t="s">
        <v>7622</v>
      </c>
      <c r="F3295" s="89" t="s">
        <v>7623</v>
      </c>
      <c r="G3295" s="89" t="s">
        <v>26</v>
      </c>
      <c r="H3295" s="89" t="s">
        <v>7624</v>
      </c>
      <c r="I3295" s="89" t="s">
        <v>2812</v>
      </c>
      <c r="J3295" s="95">
        <v>5</v>
      </c>
      <c r="K3295" s="95">
        <v>12</v>
      </c>
      <c r="L3295" s="150"/>
      <c r="M3295" s="146" t="s">
        <v>22</v>
      </c>
      <c r="N3295" s="149"/>
      <c r="O3295" s="149"/>
      <c r="P3295" s="149"/>
      <c r="Q3295" s="149"/>
      <c r="R3295" s="149"/>
      <c r="S3295" s="149"/>
      <c r="T3295" s="149"/>
      <c r="U3295" s="149"/>
      <c r="V3295" s="89"/>
      <c r="Z3295" s="26"/>
      <c r="AA3295" s="26"/>
    </row>
    <row r="3296" spans="1:27" ht="15" customHeight="1" x14ac:dyDescent="0.2">
      <c r="A3296" s="93">
        <v>41803.542048611103</v>
      </c>
      <c r="B3296" s="89" t="s">
        <v>152</v>
      </c>
      <c r="C3296" s="52" t="s">
        <v>153</v>
      </c>
      <c r="D3296" s="87" t="s">
        <v>6224</v>
      </c>
      <c r="E3296" s="89" t="s">
        <v>779</v>
      </c>
      <c r="F3296" s="89" t="s">
        <v>7625</v>
      </c>
      <c r="G3296" s="89" t="s">
        <v>26</v>
      </c>
      <c r="H3296" s="89" t="s">
        <v>7626</v>
      </c>
      <c r="I3296" s="89" t="s">
        <v>3001</v>
      </c>
      <c r="J3296" s="95">
        <v>2</v>
      </c>
      <c r="K3296" s="95">
        <v>51</v>
      </c>
      <c r="L3296" s="150"/>
      <c r="M3296" s="146" t="s">
        <v>22</v>
      </c>
      <c r="N3296" s="149"/>
      <c r="O3296" s="149"/>
      <c r="P3296" s="149"/>
      <c r="Q3296" s="149"/>
      <c r="R3296" s="149"/>
      <c r="S3296" s="149"/>
      <c r="T3296" s="149"/>
      <c r="U3296" s="149"/>
      <c r="V3296" s="89"/>
      <c r="Z3296" s="26"/>
      <c r="AA3296" s="26"/>
    </row>
    <row r="3297" spans="1:27" ht="15" customHeight="1" x14ac:dyDescent="0.2">
      <c r="A3297" s="93">
        <v>41803.542847222197</v>
      </c>
      <c r="B3297" s="89" t="s">
        <v>152</v>
      </c>
      <c r="C3297" s="52" t="s">
        <v>153</v>
      </c>
      <c r="D3297" s="87" t="s">
        <v>6224</v>
      </c>
      <c r="E3297" s="89" t="s">
        <v>6740</v>
      </c>
      <c r="F3297" s="89" t="s">
        <v>1920</v>
      </c>
      <c r="G3297" s="89" t="s">
        <v>26</v>
      </c>
      <c r="H3297" s="89" t="s">
        <v>7627</v>
      </c>
      <c r="I3297" s="89" t="s">
        <v>2986</v>
      </c>
      <c r="J3297" s="95">
        <v>5</v>
      </c>
      <c r="K3297" s="95">
        <v>54</v>
      </c>
      <c r="L3297" s="150">
        <v>162</v>
      </c>
      <c r="M3297" s="146" t="s">
        <v>22</v>
      </c>
      <c r="N3297" s="149"/>
      <c r="O3297" s="149"/>
      <c r="P3297" s="149"/>
      <c r="Q3297" s="149"/>
      <c r="R3297" s="149"/>
      <c r="S3297" s="149"/>
      <c r="T3297" s="149"/>
      <c r="U3297" s="149"/>
      <c r="V3297" s="89"/>
      <c r="Z3297" s="26"/>
      <c r="AA3297" s="26"/>
    </row>
    <row r="3298" spans="1:27" ht="15" customHeight="1" x14ac:dyDescent="0.2">
      <c r="A3298" s="93">
        <v>41803.5476388889</v>
      </c>
      <c r="B3298" s="89" t="s">
        <v>152</v>
      </c>
      <c r="C3298" s="52" t="s">
        <v>153</v>
      </c>
      <c r="D3298" s="87" t="s">
        <v>6224</v>
      </c>
      <c r="E3298" s="89" t="s">
        <v>6742</v>
      </c>
      <c r="F3298" s="89" t="s">
        <v>7628</v>
      </c>
      <c r="G3298" s="89" t="s">
        <v>26</v>
      </c>
      <c r="H3298" s="89" t="s">
        <v>7629</v>
      </c>
      <c r="I3298" s="89" t="s">
        <v>2986</v>
      </c>
      <c r="J3298" s="95">
        <v>5</v>
      </c>
      <c r="K3298" s="95">
        <v>27</v>
      </c>
      <c r="L3298" s="150">
        <v>81</v>
      </c>
      <c r="M3298" s="146" t="s">
        <v>22</v>
      </c>
      <c r="N3298" s="149"/>
      <c r="O3298" s="149"/>
      <c r="P3298" s="149"/>
      <c r="Q3298" s="149"/>
      <c r="R3298" s="149"/>
      <c r="S3298" s="149"/>
      <c r="T3298" s="149"/>
      <c r="U3298" s="149"/>
      <c r="V3298" s="89"/>
      <c r="Z3298" s="26"/>
      <c r="AA3298" s="26"/>
    </row>
    <row r="3299" spans="1:27" ht="15" customHeight="1" x14ac:dyDescent="0.2">
      <c r="A3299" s="93">
        <v>41803.550636574102</v>
      </c>
      <c r="B3299" s="89" t="s">
        <v>152</v>
      </c>
      <c r="C3299" s="52" t="s">
        <v>153</v>
      </c>
      <c r="D3299" s="87" t="s">
        <v>6224</v>
      </c>
      <c r="E3299" s="89" t="s">
        <v>741</v>
      </c>
      <c r="F3299" s="89" t="s">
        <v>7630</v>
      </c>
      <c r="G3299" s="89" t="s">
        <v>26</v>
      </c>
      <c r="H3299" s="89" t="s">
        <v>7631</v>
      </c>
      <c r="I3299" s="89" t="s">
        <v>7621</v>
      </c>
      <c r="J3299" s="95">
        <v>5</v>
      </c>
      <c r="K3299" s="95">
        <v>26</v>
      </c>
      <c r="L3299" s="150">
        <v>130</v>
      </c>
      <c r="M3299" s="146" t="s">
        <v>22</v>
      </c>
      <c r="N3299" s="149"/>
      <c r="O3299" s="149"/>
      <c r="P3299" s="149"/>
      <c r="Q3299" s="149"/>
      <c r="R3299" s="149"/>
      <c r="S3299" s="149"/>
      <c r="T3299" s="149"/>
      <c r="U3299" s="149"/>
      <c r="V3299" s="89"/>
      <c r="Z3299" s="26"/>
      <c r="AA3299" s="26"/>
    </row>
    <row r="3300" spans="1:27" ht="15" customHeight="1" x14ac:dyDescent="0.2">
      <c r="A3300" s="93">
        <v>41803.5515393518</v>
      </c>
      <c r="B3300" s="89" t="s">
        <v>152</v>
      </c>
      <c r="C3300" s="52" t="s">
        <v>153</v>
      </c>
      <c r="D3300" s="87" t="s">
        <v>6224</v>
      </c>
      <c r="E3300" s="89" t="s">
        <v>4898</v>
      </c>
      <c r="F3300" s="89" t="s">
        <v>2296</v>
      </c>
      <c r="G3300" s="89" t="s">
        <v>26</v>
      </c>
      <c r="H3300" s="89" t="s">
        <v>2245</v>
      </c>
      <c r="I3300" s="89" t="s">
        <v>2812</v>
      </c>
      <c r="J3300" s="95">
        <v>1</v>
      </c>
      <c r="K3300" s="95">
        <v>11</v>
      </c>
      <c r="L3300" s="150">
        <v>33</v>
      </c>
      <c r="M3300" s="146" t="s">
        <v>22</v>
      </c>
      <c r="N3300" s="149"/>
      <c r="O3300" s="149"/>
      <c r="P3300" s="149"/>
      <c r="Q3300" s="149"/>
      <c r="R3300" s="149"/>
      <c r="S3300" s="149"/>
      <c r="T3300" s="149"/>
      <c r="U3300" s="149"/>
      <c r="V3300" s="89"/>
      <c r="Z3300" s="26"/>
      <c r="AA3300" s="26"/>
    </row>
    <row r="3301" spans="1:27" ht="15" customHeight="1" x14ac:dyDescent="0.2">
      <c r="A3301" s="37">
        <v>41462.508194444403</v>
      </c>
      <c r="B3301" s="26" t="s">
        <v>16</v>
      </c>
      <c r="C3301" s="26" t="s">
        <v>83</v>
      </c>
      <c r="D3301" s="33">
        <v>41456</v>
      </c>
      <c r="E3301" s="26" t="s">
        <v>84</v>
      </c>
      <c r="F3301" s="26" t="s">
        <v>85</v>
      </c>
      <c r="G3301" s="26" t="s">
        <v>26</v>
      </c>
      <c r="H3301" s="26" t="s">
        <v>86</v>
      </c>
      <c r="I3301" s="26"/>
      <c r="J3301" s="46">
        <v>1</v>
      </c>
      <c r="K3301" s="46">
        <v>3</v>
      </c>
      <c r="L3301" s="136">
        <v>15</v>
      </c>
      <c r="M3301" s="137" t="s">
        <v>22</v>
      </c>
      <c r="V3301" s="26" t="s">
        <v>87</v>
      </c>
      <c r="W3301" s="26"/>
      <c r="X3301" s="26"/>
      <c r="Y3301" s="26"/>
      <c r="Z3301" s="26"/>
      <c r="AA3301" s="26"/>
    </row>
    <row r="3302" spans="1:27" ht="15" customHeight="1" x14ac:dyDescent="0.2">
      <c r="A3302" s="37">
        <v>41462.509710648199</v>
      </c>
      <c r="B3302" s="26" t="s">
        <v>16</v>
      </c>
      <c r="C3302" s="26" t="s">
        <v>83</v>
      </c>
      <c r="D3302" s="33">
        <v>41456</v>
      </c>
      <c r="E3302" s="26" t="s">
        <v>88</v>
      </c>
      <c r="F3302" s="26" t="s">
        <v>89</v>
      </c>
      <c r="G3302" s="26" t="s">
        <v>26</v>
      </c>
      <c r="H3302" s="26" t="s">
        <v>90</v>
      </c>
      <c r="I3302" s="26"/>
      <c r="J3302" s="46">
        <v>1</v>
      </c>
      <c r="K3302" s="46">
        <v>6</v>
      </c>
      <c r="L3302" s="136"/>
      <c r="M3302" s="137" t="s">
        <v>22</v>
      </c>
      <c r="V3302" s="26" t="s">
        <v>91</v>
      </c>
      <c r="W3302" s="26"/>
      <c r="X3302" s="26"/>
      <c r="Y3302" s="26"/>
      <c r="Z3302" s="26"/>
      <c r="AA3302" s="26"/>
    </row>
    <row r="3303" spans="1:27" ht="15" customHeight="1" x14ac:dyDescent="0.2">
      <c r="A3303" s="37">
        <v>41462.510567129597</v>
      </c>
      <c r="B3303" s="26" t="s">
        <v>16</v>
      </c>
      <c r="C3303" s="26" t="s">
        <v>83</v>
      </c>
      <c r="D3303" s="33">
        <v>41456</v>
      </c>
      <c r="E3303" s="26" t="s">
        <v>92</v>
      </c>
      <c r="F3303" s="26" t="s">
        <v>93</v>
      </c>
      <c r="G3303" s="26" t="s">
        <v>26</v>
      </c>
      <c r="H3303" s="26" t="s">
        <v>94</v>
      </c>
      <c r="I3303" s="26"/>
      <c r="J3303" s="46">
        <v>1</v>
      </c>
      <c r="K3303" s="46">
        <v>6</v>
      </c>
      <c r="L3303" s="136"/>
      <c r="M3303" s="137" t="s">
        <v>22</v>
      </c>
      <c r="V3303" s="26" t="s">
        <v>95</v>
      </c>
      <c r="W3303" s="26"/>
      <c r="X3303" s="26"/>
      <c r="Y3303" s="26"/>
      <c r="Z3303" s="26"/>
      <c r="AA3303" s="26"/>
    </row>
    <row r="3304" spans="1:27" ht="15" customHeight="1" x14ac:dyDescent="0.2">
      <c r="A3304" s="37">
        <v>41462.511689814797</v>
      </c>
      <c r="B3304" s="26" t="s">
        <v>16</v>
      </c>
      <c r="C3304" s="26" t="s">
        <v>83</v>
      </c>
      <c r="D3304" s="33">
        <v>41456</v>
      </c>
      <c r="E3304" s="26" t="s">
        <v>96</v>
      </c>
      <c r="F3304" s="26" t="s">
        <v>97</v>
      </c>
      <c r="G3304" s="26" t="s">
        <v>26</v>
      </c>
      <c r="H3304" s="26" t="s">
        <v>98</v>
      </c>
      <c r="I3304" s="26"/>
      <c r="J3304" s="46">
        <v>1</v>
      </c>
      <c r="K3304" s="46">
        <v>10</v>
      </c>
      <c r="L3304" s="136"/>
      <c r="M3304" s="137" t="s">
        <v>22</v>
      </c>
      <c r="V3304" s="26" t="s">
        <v>99</v>
      </c>
      <c r="W3304" s="26"/>
      <c r="X3304" s="26"/>
      <c r="Y3304" s="26"/>
      <c r="Z3304" s="26"/>
      <c r="AA3304" s="26"/>
    </row>
    <row r="3305" spans="1:27" ht="15" customHeight="1" x14ac:dyDescent="0.2">
      <c r="A3305" s="37">
        <v>41462.512615740699</v>
      </c>
      <c r="B3305" s="26" t="s">
        <v>16</v>
      </c>
      <c r="C3305" s="26" t="s">
        <v>83</v>
      </c>
      <c r="D3305" s="33">
        <v>41456</v>
      </c>
      <c r="E3305" s="26" t="s">
        <v>100</v>
      </c>
      <c r="F3305" s="26" t="s">
        <v>101</v>
      </c>
      <c r="G3305" s="26" t="s">
        <v>26</v>
      </c>
      <c r="H3305" s="26" t="s">
        <v>102</v>
      </c>
      <c r="I3305" s="26"/>
      <c r="J3305" s="46">
        <v>1</v>
      </c>
      <c r="K3305" s="46">
        <v>9</v>
      </c>
      <c r="L3305" s="136">
        <v>5</v>
      </c>
      <c r="M3305" s="137" t="s">
        <v>22</v>
      </c>
      <c r="V3305" s="26" t="s">
        <v>103</v>
      </c>
      <c r="W3305" s="26"/>
      <c r="X3305" s="26"/>
      <c r="Y3305" s="26"/>
      <c r="Z3305" s="26"/>
      <c r="AA3305" s="26"/>
    </row>
    <row r="3306" spans="1:27" ht="15" customHeight="1" x14ac:dyDescent="0.2">
      <c r="A3306" s="37">
        <v>41462.514155092598</v>
      </c>
      <c r="B3306" s="26" t="s">
        <v>16</v>
      </c>
      <c r="C3306" s="26" t="s">
        <v>83</v>
      </c>
      <c r="D3306" s="33">
        <v>41456</v>
      </c>
      <c r="E3306" s="26" t="s">
        <v>104</v>
      </c>
      <c r="F3306" s="26" t="s">
        <v>105</v>
      </c>
      <c r="G3306" s="26" t="s">
        <v>26</v>
      </c>
      <c r="H3306" s="34" t="s">
        <v>106</v>
      </c>
      <c r="I3306" s="34"/>
      <c r="J3306" s="46">
        <v>1</v>
      </c>
      <c r="K3306" s="46">
        <v>42</v>
      </c>
      <c r="L3306" s="136"/>
      <c r="M3306" s="137" t="s">
        <v>22</v>
      </c>
      <c r="V3306" s="26" t="s">
        <v>107</v>
      </c>
      <c r="W3306" s="26"/>
      <c r="X3306" s="26"/>
      <c r="Y3306" s="26"/>
      <c r="Z3306" s="26"/>
      <c r="AA3306" s="26"/>
    </row>
    <row r="3307" spans="1:27" ht="15" customHeight="1" x14ac:dyDescent="0.2">
      <c r="A3307" s="37">
        <v>41462.515034722201</v>
      </c>
      <c r="B3307" s="26" t="s">
        <v>16</v>
      </c>
      <c r="C3307" s="26" t="s">
        <v>83</v>
      </c>
      <c r="D3307" s="33">
        <v>41456</v>
      </c>
      <c r="E3307" s="26" t="s">
        <v>108</v>
      </c>
      <c r="F3307" s="26" t="s">
        <v>109</v>
      </c>
      <c r="G3307" s="26" t="s">
        <v>26</v>
      </c>
      <c r="H3307" s="26" t="s">
        <v>110</v>
      </c>
      <c r="I3307" s="26"/>
      <c r="J3307" s="46">
        <v>1</v>
      </c>
      <c r="K3307" s="46">
        <v>10</v>
      </c>
      <c r="L3307" s="136"/>
      <c r="M3307" s="137" t="s">
        <v>22</v>
      </c>
      <c r="U3307" s="138">
        <v>7</v>
      </c>
      <c r="V3307" s="26" t="s">
        <v>111</v>
      </c>
      <c r="W3307" s="26"/>
      <c r="X3307" s="26"/>
      <c r="Y3307" s="26"/>
      <c r="Z3307" s="26"/>
      <c r="AA3307" s="26"/>
    </row>
    <row r="3308" spans="1:27" ht="15" customHeight="1" x14ac:dyDescent="0.2">
      <c r="A3308" s="37">
        <v>41462.515995370399</v>
      </c>
      <c r="B3308" s="26" t="s">
        <v>16</v>
      </c>
      <c r="C3308" s="26" t="s">
        <v>83</v>
      </c>
      <c r="D3308" s="33">
        <v>41456</v>
      </c>
      <c r="E3308" s="26" t="s">
        <v>112</v>
      </c>
      <c r="F3308" s="26" t="s">
        <v>113</v>
      </c>
      <c r="G3308" s="26" t="s">
        <v>26</v>
      </c>
      <c r="H3308" s="26" t="s">
        <v>114</v>
      </c>
      <c r="I3308" s="26"/>
      <c r="J3308" s="46">
        <v>1</v>
      </c>
      <c r="K3308" s="46">
        <v>0</v>
      </c>
      <c r="L3308" s="136"/>
      <c r="M3308" s="137" t="s">
        <v>22</v>
      </c>
      <c r="V3308" s="26" t="s">
        <v>115</v>
      </c>
      <c r="W3308" s="26"/>
      <c r="X3308" s="26"/>
      <c r="Y3308" s="26"/>
      <c r="Z3308" s="26"/>
      <c r="AA3308" s="26"/>
    </row>
    <row r="3309" spans="1:27" ht="15" customHeight="1" x14ac:dyDescent="0.2">
      <c r="A3309" s="37">
        <v>41477.656469907401</v>
      </c>
      <c r="B3309" s="26" t="s">
        <v>16</v>
      </c>
      <c r="C3309" s="26" t="s">
        <v>83</v>
      </c>
      <c r="D3309" s="33">
        <v>41456</v>
      </c>
      <c r="E3309" s="26" t="s">
        <v>302</v>
      </c>
      <c r="F3309" s="26" t="s">
        <v>259</v>
      </c>
      <c r="G3309" s="26" t="s">
        <v>26</v>
      </c>
      <c r="H3309" s="26" t="s">
        <v>259</v>
      </c>
      <c r="I3309" s="26"/>
      <c r="J3309" s="46">
        <v>1</v>
      </c>
      <c r="K3309" s="46">
        <v>7</v>
      </c>
      <c r="L3309" s="136">
        <v>300</v>
      </c>
      <c r="M3309" s="137" t="s">
        <v>44</v>
      </c>
      <c r="P3309" s="138">
        <v>30</v>
      </c>
      <c r="V3309" s="26" t="s">
        <v>303</v>
      </c>
      <c r="W3309" s="26"/>
      <c r="X3309" s="26"/>
      <c r="Y3309" s="26"/>
      <c r="Z3309" s="26"/>
      <c r="AA3309" s="26"/>
    </row>
    <row r="3310" spans="1:27" ht="15" customHeight="1" x14ac:dyDescent="0.2">
      <c r="A3310" s="38">
        <v>41494.565393518518</v>
      </c>
      <c r="B3310" s="29" t="s">
        <v>16</v>
      </c>
      <c r="C3310" s="29" t="s">
        <v>83</v>
      </c>
      <c r="D3310" s="30">
        <v>41487</v>
      </c>
      <c r="E3310" s="29" t="s">
        <v>1315</v>
      </c>
      <c r="F3310" s="29" t="s">
        <v>373</v>
      </c>
      <c r="G3310" s="29" t="s">
        <v>26</v>
      </c>
      <c r="H3310" s="29" t="s">
        <v>1094</v>
      </c>
      <c r="I3310" s="29"/>
      <c r="J3310" s="116">
        <v>1</v>
      </c>
      <c r="K3310" s="116">
        <v>100</v>
      </c>
      <c r="L3310" s="139"/>
      <c r="M3310" s="140" t="s">
        <v>22</v>
      </c>
      <c r="N3310" s="141"/>
      <c r="O3310" s="141"/>
      <c r="P3310" s="141"/>
      <c r="Q3310" s="141"/>
      <c r="R3310" s="141"/>
      <c r="S3310" s="141"/>
      <c r="T3310" s="141"/>
      <c r="U3310" s="141"/>
      <c r="V3310" s="29" t="s">
        <v>1316</v>
      </c>
      <c r="W3310" s="26"/>
      <c r="X3310" s="26"/>
      <c r="Y3310" s="26"/>
      <c r="Z3310" s="26"/>
      <c r="AA3310" s="26"/>
    </row>
    <row r="3311" spans="1:27" ht="15" customHeight="1" x14ac:dyDescent="0.2">
      <c r="A3311" s="38">
        <v>41494.567060185182</v>
      </c>
      <c r="B3311" s="29" t="s">
        <v>16</v>
      </c>
      <c r="C3311" s="29" t="s">
        <v>83</v>
      </c>
      <c r="D3311" s="30">
        <v>41487</v>
      </c>
      <c r="E3311" s="29" t="s">
        <v>1317</v>
      </c>
      <c r="F3311" s="29" t="s">
        <v>101</v>
      </c>
      <c r="G3311" s="29" t="s">
        <v>26</v>
      </c>
      <c r="H3311" s="29" t="s">
        <v>1095</v>
      </c>
      <c r="I3311" s="29"/>
      <c r="J3311" s="116">
        <v>1</v>
      </c>
      <c r="K3311" s="116">
        <v>25</v>
      </c>
      <c r="L3311" s="139">
        <v>15</v>
      </c>
      <c r="M3311" s="140" t="s">
        <v>22</v>
      </c>
      <c r="N3311" s="141"/>
      <c r="O3311" s="141"/>
      <c r="P3311" s="141"/>
      <c r="Q3311" s="141"/>
      <c r="R3311" s="141"/>
      <c r="S3311" s="141"/>
      <c r="T3311" s="141"/>
      <c r="U3311" s="141"/>
      <c r="V3311" s="29" t="s">
        <v>1318</v>
      </c>
      <c r="W3311" s="26"/>
      <c r="X3311" s="26"/>
      <c r="Y3311" s="26"/>
      <c r="Z3311" s="26"/>
      <c r="AA3311" s="26"/>
    </row>
    <row r="3312" spans="1:27" ht="15" customHeight="1" x14ac:dyDescent="0.2">
      <c r="A3312" s="38">
        <v>41494.568414351852</v>
      </c>
      <c r="B3312" s="29" t="s">
        <v>16</v>
      </c>
      <c r="C3312" s="29" t="s">
        <v>83</v>
      </c>
      <c r="D3312" s="30">
        <v>41487</v>
      </c>
      <c r="E3312" s="29" t="s">
        <v>1319</v>
      </c>
      <c r="F3312" s="29" t="s">
        <v>1096</v>
      </c>
      <c r="G3312" s="29" t="s">
        <v>26</v>
      </c>
      <c r="H3312" s="29" t="s">
        <v>1097</v>
      </c>
      <c r="I3312" s="29"/>
      <c r="J3312" s="116">
        <v>1</v>
      </c>
      <c r="K3312" s="116">
        <v>40</v>
      </c>
      <c r="L3312" s="139"/>
      <c r="M3312" s="140" t="s">
        <v>22</v>
      </c>
      <c r="N3312" s="141"/>
      <c r="O3312" s="141"/>
      <c r="P3312" s="141"/>
      <c r="Q3312" s="141"/>
      <c r="R3312" s="141"/>
      <c r="S3312" s="141"/>
      <c r="T3312" s="141"/>
      <c r="U3312" s="141"/>
      <c r="V3312" s="29" t="s">
        <v>1320</v>
      </c>
      <c r="W3312" s="26"/>
      <c r="X3312" s="26"/>
      <c r="Y3312" s="26"/>
      <c r="Z3312" s="26"/>
      <c r="AA3312" s="26"/>
    </row>
    <row r="3313" spans="1:27" ht="15" customHeight="1" x14ac:dyDescent="0.2">
      <c r="A3313" s="38">
        <v>41494.569791666669</v>
      </c>
      <c r="B3313" s="29" t="s">
        <v>16</v>
      </c>
      <c r="C3313" s="29" t="s">
        <v>83</v>
      </c>
      <c r="D3313" s="30">
        <v>41487</v>
      </c>
      <c r="E3313" s="29" t="s">
        <v>1321</v>
      </c>
      <c r="F3313" s="29" t="s">
        <v>113</v>
      </c>
      <c r="G3313" s="29" t="s">
        <v>26</v>
      </c>
      <c r="H3313" s="29" t="s">
        <v>114</v>
      </c>
      <c r="I3313" s="29"/>
      <c r="J3313" s="116">
        <v>1</v>
      </c>
      <c r="K3313" s="116">
        <v>0</v>
      </c>
      <c r="L3313" s="139"/>
      <c r="M3313" s="140" t="s">
        <v>22</v>
      </c>
      <c r="N3313" s="141"/>
      <c r="O3313" s="141"/>
      <c r="P3313" s="141"/>
      <c r="Q3313" s="141"/>
      <c r="R3313" s="141"/>
      <c r="S3313" s="141"/>
      <c r="T3313" s="141"/>
      <c r="U3313" s="141"/>
      <c r="V3313" s="29" t="s">
        <v>1322</v>
      </c>
      <c r="W3313" s="26"/>
      <c r="X3313" s="26"/>
      <c r="Y3313" s="26"/>
      <c r="Z3313" s="26"/>
      <c r="AA3313" s="26"/>
    </row>
    <row r="3314" spans="1:27" ht="15" customHeight="1" x14ac:dyDescent="0.2">
      <c r="A3314" s="38">
        <v>41494.570902777778</v>
      </c>
      <c r="B3314" s="29" t="s">
        <v>16</v>
      </c>
      <c r="C3314" s="29" t="s">
        <v>83</v>
      </c>
      <c r="D3314" s="30">
        <v>41487</v>
      </c>
      <c r="E3314" s="29" t="s">
        <v>1323</v>
      </c>
      <c r="F3314" s="29" t="s">
        <v>463</v>
      </c>
      <c r="G3314" s="29" t="s">
        <v>26</v>
      </c>
      <c r="H3314" s="29" t="s">
        <v>1324</v>
      </c>
      <c r="I3314" s="29"/>
      <c r="J3314" s="116">
        <v>1</v>
      </c>
      <c r="K3314" s="116">
        <v>0</v>
      </c>
      <c r="L3314" s="139"/>
      <c r="M3314" s="140" t="s">
        <v>22</v>
      </c>
      <c r="N3314" s="141"/>
      <c r="O3314" s="141"/>
      <c r="P3314" s="141"/>
      <c r="Q3314" s="141"/>
      <c r="R3314" s="141"/>
      <c r="S3314" s="141"/>
      <c r="T3314" s="141"/>
      <c r="U3314" s="141"/>
      <c r="V3314" s="29"/>
      <c r="W3314" s="26"/>
      <c r="X3314" s="26"/>
      <c r="Y3314" s="26"/>
      <c r="Z3314" s="26"/>
      <c r="AA3314" s="26"/>
    </row>
    <row r="3315" spans="1:27" ht="15" customHeight="1" x14ac:dyDescent="0.2">
      <c r="A3315" s="38">
        <v>41494.573564814818</v>
      </c>
      <c r="B3315" s="29" t="s">
        <v>16</v>
      </c>
      <c r="C3315" s="29" t="s">
        <v>83</v>
      </c>
      <c r="D3315" s="30">
        <v>41487</v>
      </c>
      <c r="E3315" s="29" t="s">
        <v>1325</v>
      </c>
      <c r="F3315" s="29" t="s">
        <v>1326</v>
      </c>
      <c r="G3315" s="29" t="s">
        <v>26</v>
      </c>
      <c r="H3315" s="29" t="s">
        <v>1327</v>
      </c>
      <c r="I3315" s="29"/>
      <c r="J3315" s="116">
        <v>1</v>
      </c>
      <c r="K3315" s="116">
        <v>12</v>
      </c>
      <c r="L3315" s="139">
        <v>10</v>
      </c>
      <c r="M3315" s="140" t="s">
        <v>22</v>
      </c>
      <c r="N3315" s="141"/>
      <c r="O3315" s="141"/>
      <c r="P3315" s="141"/>
      <c r="Q3315" s="141"/>
      <c r="R3315" s="141"/>
      <c r="S3315" s="141"/>
      <c r="T3315" s="141"/>
      <c r="U3315" s="141">
        <v>20</v>
      </c>
      <c r="V3315" s="29"/>
      <c r="W3315" s="26"/>
      <c r="X3315" s="26"/>
      <c r="Y3315" s="26"/>
      <c r="Z3315" s="26"/>
      <c r="AA3315" s="26"/>
    </row>
    <row r="3316" spans="1:27" ht="15" customHeight="1" x14ac:dyDescent="0.2">
      <c r="A3316" s="38">
        <v>41494.57545138889</v>
      </c>
      <c r="B3316" s="29" t="s">
        <v>16</v>
      </c>
      <c r="C3316" s="29" t="s">
        <v>83</v>
      </c>
      <c r="D3316" s="30">
        <v>41487</v>
      </c>
      <c r="E3316" s="29" t="s">
        <v>1328</v>
      </c>
      <c r="F3316" s="29" t="s">
        <v>1329</v>
      </c>
      <c r="G3316" s="29" t="s">
        <v>26</v>
      </c>
      <c r="H3316" s="29" t="s">
        <v>1330</v>
      </c>
      <c r="I3316" s="29"/>
      <c r="J3316" s="116">
        <v>1</v>
      </c>
      <c r="K3316" s="116">
        <v>0</v>
      </c>
      <c r="L3316" s="139"/>
      <c r="M3316" s="140" t="s">
        <v>22</v>
      </c>
      <c r="N3316" s="141"/>
      <c r="O3316" s="141"/>
      <c r="P3316" s="141"/>
      <c r="Q3316" s="141"/>
      <c r="R3316" s="141"/>
      <c r="S3316" s="141"/>
      <c r="T3316" s="141"/>
      <c r="U3316" s="141"/>
      <c r="V3316" s="29" t="s">
        <v>1331</v>
      </c>
      <c r="W3316" s="26"/>
      <c r="X3316" s="26"/>
      <c r="Y3316" s="26"/>
      <c r="Z3316" s="26"/>
      <c r="AA3316" s="26"/>
    </row>
    <row r="3317" spans="1:27" ht="15" customHeight="1" x14ac:dyDescent="0.2">
      <c r="A3317" s="38">
        <v>41494.576921296299</v>
      </c>
      <c r="B3317" s="29" t="s">
        <v>16</v>
      </c>
      <c r="C3317" s="29" t="s">
        <v>83</v>
      </c>
      <c r="D3317" s="30">
        <v>41487</v>
      </c>
      <c r="E3317" s="29" t="s">
        <v>1313</v>
      </c>
      <c r="F3317" s="29" t="s">
        <v>1098</v>
      </c>
      <c r="G3317" s="29" t="s">
        <v>26</v>
      </c>
      <c r="H3317" s="29" t="s">
        <v>1099</v>
      </c>
      <c r="I3317" s="29"/>
      <c r="J3317" s="116">
        <v>1</v>
      </c>
      <c r="K3317" s="116">
        <v>16</v>
      </c>
      <c r="L3317" s="139"/>
      <c r="M3317" s="140" t="s">
        <v>22</v>
      </c>
      <c r="N3317" s="141"/>
      <c r="O3317" s="141"/>
      <c r="P3317" s="141"/>
      <c r="Q3317" s="141"/>
      <c r="R3317" s="141"/>
      <c r="S3317" s="141"/>
      <c r="T3317" s="141"/>
      <c r="U3317" s="141"/>
      <c r="V3317" s="29" t="s">
        <v>1314</v>
      </c>
      <c r="W3317" s="26"/>
      <c r="X3317" s="26"/>
      <c r="Y3317" s="26"/>
      <c r="Z3317" s="26"/>
      <c r="AA3317" s="26"/>
    </row>
    <row r="3318" spans="1:27" ht="15" customHeight="1" x14ac:dyDescent="0.2">
      <c r="A3318" s="37">
        <v>41494.625798611101</v>
      </c>
      <c r="B3318" s="26" t="s">
        <v>16</v>
      </c>
      <c r="C3318" s="26" t="s">
        <v>83</v>
      </c>
      <c r="D3318" s="33">
        <v>41456</v>
      </c>
      <c r="E3318" s="26" t="s">
        <v>1102</v>
      </c>
      <c r="F3318" s="26" t="s">
        <v>373</v>
      </c>
      <c r="G3318" s="26" t="s">
        <v>26</v>
      </c>
      <c r="H3318" s="26" t="s">
        <v>1094</v>
      </c>
      <c r="I3318" s="26"/>
      <c r="J3318" s="46">
        <v>1</v>
      </c>
      <c r="K3318" s="46">
        <v>60</v>
      </c>
      <c r="L3318" s="136"/>
      <c r="M3318" s="137" t="s">
        <v>22</v>
      </c>
      <c r="V3318" s="26"/>
      <c r="W3318" s="26"/>
      <c r="X3318" s="26"/>
      <c r="Y3318" s="26"/>
      <c r="Z3318" s="26"/>
      <c r="AA3318" s="26"/>
    </row>
    <row r="3319" spans="1:27" ht="15" customHeight="1" x14ac:dyDescent="0.2">
      <c r="A3319" s="37">
        <v>41494.626759259299</v>
      </c>
      <c r="B3319" s="26" t="s">
        <v>16</v>
      </c>
      <c r="C3319" s="26" t="s">
        <v>83</v>
      </c>
      <c r="D3319" s="33">
        <v>41456</v>
      </c>
      <c r="E3319" s="26" t="s">
        <v>1103</v>
      </c>
      <c r="F3319" s="26" t="s">
        <v>101</v>
      </c>
      <c r="G3319" s="26" t="s">
        <v>26</v>
      </c>
      <c r="H3319" s="26" t="s">
        <v>1095</v>
      </c>
      <c r="I3319" s="26"/>
      <c r="J3319" s="46">
        <v>1</v>
      </c>
      <c r="K3319" s="46">
        <v>25</v>
      </c>
      <c r="L3319" s="136">
        <v>25</v>
      </c>
      <c r="M3319" s="137" t="s">
        <v>22</v>
      </c>
      <c r="V3319" s="26"/>
      <c r="W3319" s="26"/>
      <c r="X3319" s="26"/>
      <c r="Y3319" s="26"/>
      <c r="Z3319" s="26"/>
      <c r="AA3319" s="26"/>
    </row>
    <row r="3320" spans="1:27" ht="15" customHeight="1" x14ac:dyDescent="0.2">
      <c r="A3320" s="37">
        <v>41494.629884259302</v>
      </c>
      <c r="B3320" s="26" t="s">
        <v>16</v>
      </c>
      <c r="C3320" s="26" t="s">
        <v>83</v>
      </c>
      <c r="D3320" s="33">
        <v>41456</v>
      </c>
      <c r="E3320" s="26" t="s">
        <v>1104</v>
      </c>
      <c r="F3320" s="26" t="s">
        <v>1096</v>
      </c>
      <c r="G3320" s="26" t="s">
        <v>26</v>
      </c>
      <c r="H3320" s="26" t="s">
        <v>1097</v>
      </c>
      <c r="I3320" s="26"/>
      <c r="J3320" s="46">
        <v>1</v>
      </c>
      <c r="K3320" s="46">
        <v>20</v>
      </c>
      <c r="L3320" s="136"/>
      <c r="M3320" s="137" t="s">
        <v>22</v>
      </c>
      <c r="V3320" s="26"/>
      <c r="W3320" s="26"/>
      <c r="X3320" s="26"/>
      <c r="Y3320" s="26"/>
      <c r="Z3320" s="26"/>
      <c r="AA3320" s="26"/>
    </row>
    <row r="3321" spans="1:27" ht="15" customHeight="1" x14ac:dyDescent="0.2">
      <c r="A3321" s="37">
        <v>41494.630949074097</v>
      </c>
      <c r="B3321" s="26" t="s">
        <v>16</v>
      </c>
      <c r="C3321" s="26" t="s">
        <v>83</v>
      </c>
      <c r="D3321" s="33">
        <v>41456</v>
      </c>
      <c r="E3321" s="26" t="s">
        <v>1105</v>
      </c>
      <c r="F3321" s="26" t="s">
        <v>1098</v>
      </c>
      <c r="G3321" s="26" t="s">
        <v>26</v>
      </c>
      <c r="H3321" s="26" t="s">
        <v>1099</v>
      </c>
      <c r="I3321" s="26"/>
      <c r="J3321" s="46">
        <v>1</v>
      </c>
      <c r="K3321" s="46">
        <v>13</v>
      </c>
      <c r="L3321" s="136"/>
      <c r="M3321" s="137" t="s">
        <v>22</v>
      </c>
      <c r="V3321" s="26"/>
      <c r="W3321" s="26"/>
      <c r="X3321" s="26"/>
      <c r="Y3321" s="26"/>
      <c r="Z3321" s="26"/>
      <c r="AA3321" s="26"/>
    </row>
    <row r="3322" spans="1:27" ht="15" customHeight="1" x14ac:dyDescent="0.2">
      <c r="A3322" s="37">
        <v>41494.636458333298</v>
      </c>
      <c r="B3322" s="26" t="s">
        <v>16</v>
      </c>
      <c r="C3322" s="26" t="s">
        <v>83</v>
      </c>
      <c r="D3322" s="33">
        <v>41456</v>
      </c>
      <c r="E3322" s="26" t="s">
        <v>1115</v>
      </c>
      <c r="F3322" s="26" t="s">
        <v>288</v>
      </c>
      <c r="G3322" s="26" t="s">
        <v>26</v>
      </c>
      <c r="H3322" s="26" t="s">
        <v>289</v>
      </c>
      <c r="I3322" s="26"/>
      <c r="J3322" s="46">
        <v>1</v>
      </c>
      <c r="K3322" s="46">
        <v>11</v>
      </c>
      <c r="L3322" s="136"/>
      <c r="M3322" s="137" t="s">
        <v>22</v>
      </c>
      <c r="V3322" s="26" t="s">
        <v>1116</v>
      </c>
      <c r="W3322" s="26"/>
      <c r="X3322" s="26"/>
      <c r="Y3322" s="26"/>
      <c r="Z3322" s="26"/>
      <c r="AA3322" s="26"/>
    </row>
    <row r="3323" spans="1:27" ht="15" customHeight="1" x14ac:dyDescent="0.2">
      <c r="A3323" s="37">
        <v>41494.6383333333</v>
      </c>
      <c r="B3323" s="26" t="s">
        <v>16</v>
      </c>
      <c r="C3323" s="26" t="s">
        <v>83</v>
      </c>
      <c r="D3323" s="33">
        <v>41456</v>
      </c>
      <c r="E3323" s="26" t="s">
        <v>1123</v>
      </c>
      <c r="F3323" s="26" t="s">
        <v>292</v>
      </c>
      <c r="G3323" s="26" t="s">
        <v>26</v>
      </c>
      <c r="H3323" s="26" t="s">
        <v>293</v>
      </c>
      <c r="I3323" s="26"/>
      <c r="J3323" s="46">
        <v>1</v>
      </c>
      <c r="K3323" s="46">
        <v>45</v>
      </c>
      <c r="L3323" s="136">
        <v>69</v>
      </c>
      <c r="M3323" s="137" t="s">
        <v>44</v>
      </c>
      <c r="O3323" s="138">
        <v>40</v>
      </c>
      <c r="P3323" s="138">
        <v>15</v>
      </c>
      <c r="S3323" s="138">
        <v>13.5</v>
      </c>
      <c r="V3323" s="26" t="s">
        <v>1124</v>
      </c>
      <c r="W3323" s="26"/>
      <c r="X3323" s="26"/>
      <c r="Y3323" s="26"/>
      <c r="Z3323" s="26"/>
      <c r="AA3323" s="26"/>
    </row>
    <row r="3324" spans="1:27" ht="15" customHeight="1" x14ac:dyDescent="0.2">
      <c r="A3324" s="37">
        <v>41494.639236111099</v>
      </c>
      <c r="B3324" s="26" t="s">
        <v>152</v>
      </c>
      <c r="C3324" s="26" t="s">
        <v>83</v>
      </c>
      <c r="D3324" s="33">
        <v>41456</v>
      </c>
      <c r="E3324" s="26" t="s">
        <v>1125</v>
      </c>
      <c r="F3324" s="26" t="s">
        <v>299</v>
      </c>
      <c r="G3324" s="26" t="s">
        <v>26</v>
      </c>
      <c r="H3324" s="26" t="s">
        <v>1126</v>
      </c>
      <c r="I3324" s="26"/>
      <c r="J3324" s="115">
        <v>1</v>
      </c>
      <c r="K3324" s="115">
        <v>0</v>
      </c>
      <c r="L3324" s="136"/>
      <c r="M3324" s="137" t="s">
        <v>22</v>
      </c>
      <c r="V3324" s="26" t="s">
        <v>1127</v>
      </c>
      <c r="W3324" s="26"/>
      <c r="X3324" s="26"/>
      <c r="Y3324" s="26"/>
      <c r="Z3324" s="26"/>
      <c r="AA3324" s="26"/>
    </row>
    <row r="3325" spans="1:27" ht="15" customHeight="1" x14ac:dyDescent="0.2">
      <c r="A3325" s="28">
        <v>41525.459120370368</v>
      </c>
      <c r="B3325" s="29" t="s">
        <v>16</v>
      </c>
      <c r="C3325" s="29" t="s">
        <v>83</v>
      </c>
      <c r="D3325" s="30">
        <v>41487</v>
      </c>
      <c r="E3325" s="29" t="s">
        <v>1820</v>
      </c>
      <c r="F3325" s="29" t="s">
        <v>101</v>
      </c>
      <c r="G3325" s="29" t="s">
        <v>26</v>
      </c>
      <c r="H3325" s="29" t="s">
        <v>1095</v>
      </c>
      <c r="I3325" s="29"/>
      <c r="J3325" s="116">
        <v>1</v>
      </c>
      <c r="K3325" s="116">
        <v>12</v>
      </c>
      <c r="L3325" s="139">
        <v>5</v>
      </c>
      <c r="M3325" s="140" t="s">
        <v>22</v>
      </c>
      <c r="N3325" s="141"/>
      <c r="O3325" s="141"/>
      <c r="P3325" s="141"/>
      <c r="Q3325" s="141"/>
      <c r="R3325" s="141"/>
      <c r="S3325" s="141"/>
      <c r="T3325" s="141"/>
      <c r="U3325" s="141"/>
      <c r="V3325" s="29"/>
      <c r="W3325" s="26"/>
      <c r="X3325" s="26"/>
      <c r="Y3325" s="26"/>
      <c r="Z3325" s="26"/>
      <c r="AA3325" s="26"/>
    </row>
    <row r="3326" spans="1:27" ht="15" customHeight="1" x14ac:dyDescent="0.2">
      <c r="A3326" s="28">
        <v>41525.460046296299</v>
      </c>
      <c r="B3326" s="29" t="s">
        <v>16</v>
      </c>
      <c r="C3326" s="29" t="s">
        <v>83</v>
      </c>
      <c r="D3326" s="30">
        <v>41487</v>
      </c>
      <c r="E3326" s="29" t="s">
        <v>1821</v>
      </c>
      <c r="F3326" s="29" t="s">
        <v>1098</v>
      </c>
      <c r="G3326" s="29" t="s">
        <v>26</v>
      </c>
      <c r="H3326" s="29" t="s">
        <v>1099</v>
      </c>
      <c r="I3326" s="29"/>
      <c r="J3326" s="116">
        <v>1</v>
      </c>
      <c r="K3326" s="116">
        <v>19</v>
      </c>
      <c r="L3326" s="139"/>
      <c r="M3326" s="140" t="s">
        <v>22</v>
      </c>
      <c r="N3326" s="141"/>
      <c r="O3326" s="141"/>
      <c r="P3326" s="141"/>
      <c r="Q3326" s="141"/>
      <c r="R3326" s="141"/>
      <c r="S3326" s="141"/>
      <c r="T3326" s="141"/>
      <c r="U3326" s="141"/>
      <c r="V3326" s="29"/>
      <c r="W3326" s="26"/>
      <c r="X3326" s="26"/>
      <c r="Y3326" s="26"/>
      <c r="Z3326" s="26"/>
      <c r="AA3326" s="26"/>
    </row>
    <row r="3327" spans="1:27" ht="15" customHeight="1" x14ac:dyDescent="0.2">
      <c r="A3327" s="28">
        <v>41525.460717592592</v>
      </c>
      <c r="B3327" s="29" t="s">
        <v>16</v>
      </c>
      <c r="C3327" s="29" t="s">
        <v>83</v>
      </c>
      <c r="D3327" s="30">
        <v>41487</v>
      </c>
      <c r="E3327" s="29" t="s">
        <v>1822</v>
      </c>
      <c r="F3327" s="29" t="s">
        <v>1358</v>
      </c>
      <c r="G3327" s="29" t="s">
        <v>26</v>
      </c>
      <c r="H3327" s="29" t="s">
        <v>1327</v>
      </c>
      <c r="I3327" s="29"/>
      <c r="J3327" s="116">
        <v>1</v>
      </c>
      <c r="K3327" s="116">
        <v>25</v>
      </c>
      <c r="L3327" s="139">
        <v>28</v>
      </c>
      <c r="M3327" s="140" t="s">
        <v>22</v>
      </c>
      <c r="N3327" s="141"/>
      <c r="O3327" s="141"/>
      <c r="P3327" s="141"/>
      <c r="Q3327" s="141"/>
      <c r="R3327" s="141"/>
      <c r="S3327" s="141"/>
      <c r="T3327" s="141"/>
      <c r="U3327" s="141"/>
      <c r="V3327" s="29"/>
      <c r="W3327" s="26"/>
      <c r="X3327" s="26"/>
      <c r="Y3327" s="26"/>
      <c r="Z3327" s="26"/>
      <c r="AA3327" s="26"/>
    </row>
    <row r="3328" spans="1:27" ht="15" customHeight="1" x14ac:dyDescent="0.2">
      <c r="A3328" s="28">
        <v>41525.463229166664</v>
      </c>
      <c r="B3328" s="29" t="s">
        <v>16</v>
      </c>
      <c r="C3328" s="29" t="s">
        <v>83</v>
      </c>
      <c r="D3328" s="30">
        <v>41487</v>
      </c>
      <c r="E3328" s="29" t="s">
        <v>1823</v>
      </c>
      <c r="F3328" s="29" t="s">
        <v>292</v>
      </c>
      <c r="G3328" s="29" t="s">
        <v>26</v>
      </c>
      <c r="H3328" s="29" t="s">
        <v>293</v>
      </c>
      <c r="I3328" s="29"/>
      <c r="J3328" s="116">
        <v>1</v>
      </c>
      <c r="K3328" s="116">
        <v>40</v>
      </c>
      <c r="L3328" s="139">
        <v>12</v>
      </c>
      <c r="M3328" s="140" t="s">
        <v>22</v>
      </c>
      <c r="N3328" s="141"/>
      <c r="O3328" s="141"/>
      <c r="P3328" s="141"/>
      <c r="Q3328" s="141"/>
      <c r="R3328" s="141"/>
      <c r="S3328" s="141"/>
      <c r="T3328" s="141"/>
      <c r="U3328" s="141"/>
      <c r="V3328" s="29"/>
      <c r="W3328" s="26"/>
      <c r="X3328" s="26"/>
      <c r="Y3328" s="26"/>
      <c r="Z3328" s="26"/>
      <c r="AA3328" s="26"/>
    </row>
    <row r="3329" spans="1:27" ht="15" customHeight="1" x14ac:dyDescent="0.2">
      <c r="A3329" s="28">
        <v>41527.453217592592</v>
      </c>
      <c r="B3329" s="29" t="s">
        <v>16</v>
      </c>
      <c r="C3329" s="29" t="s">
        <v>83</v>
      </c>
      <c r="D3329" s="30">
        <v>41487</v>
      </c>
      <c r="E3329" s="29" t="s">
        <v>1918</v>
      </c>
      <c r="F3329" s="29" t="s">
        <v>373</v>
      </c>
      <c r="G3329" s="29" t="s">
        <v>26</v>
      </c>
      <c r="H3329" s="29" t="s">
        <v>1094</v>
      </c>
      <c r="I3329" s="29"/>
      <c r="J3329" s="116">
        <v>1</v>
      </c>
      <c r="K3329" s="116">
        <v>45</v>
      </c>
      <c r="L3329" s="139"/>
      <c r="M3329" s="140" t="s">
        <v>22</v>
      </c>
      <c r="N3329" s="141"/>
      <c r="O3329" s="141"/>
      <c r="P3329" s="141"/>
      <c r="Q3329" s="141"/>
      <c r="R3329" s="141"/>
      <c r="S3329" s="141"/>
      <c r="T3329" s="141"/>
      <c r="U3329" s="141"/>
      <c r="V3329" s="29"/>
      <c r="W3329" s="26"/>
      <c r="X3329" s="26"/>
      <c r="Y3329" s="26"/>
      <c r="Z3329" s="26"/>
      <c r="AA3329" s="26"/>
    </row>
    <row r="3330" spans="1:27" ht="15" customHeight="1" x14ac:dyDescent="0.2">
      <c r="A3330" s="28">
        <v>41527.45653935185</v>
      </c>
      <c r="B3330" s="29" t="s">
        <v>16</v>
      </c>
      <c r="C3330" s="29" t="s">
        <v>83</v>
      </c>
      <c r="D3330" s="30">
        <v>41487</v>
      </c>
      <c r="E3330" s="29" t="s">
        <v>1919</v>
      </c>
      <c r="F3330" s="29" t="s">
        <v>1920</v>
      </c>
      <c r="G3330" s="29" t="s">
        <v>26</v>
      </c>
      <c r="H3330" s="29" t="s">
        <v>1921</v>
      </c>
      <c r="I3330" s="29"/>
      <c r="J3330" s="116">
        <v>1</v>
      </c>
      <c r="K3330" s="116">
        <v>0</v>
      </c>
      <c r="L3330" s="139"/>
      <c r="M3330" s="140" t="s">
        <v>22</v>
      </c>
      <c r="N3330" s="141"/>
      <c r="O3330" s="141"/>
      <c r="P3330" s="141"/>
      <c r="Q3330" s="141"/>
      <c r="R3330" s="141"/>
      <c r="S3330" s="141"/>
      <c r="T3330" s="141"/>
      <c r="U3330" s="141"/>
      <c r="V3330" s="29" t="s">
        <v>1922</v>
      </c>
      <c r="W3330" s="26"/>
      <c r="X3330" s="26"/>
      <c r="Y3330" s="26"/>
      <c r="Z3330" s="26"/>
      <c r="AA3330" s="26"/>
    </row>
    <row r="3331" spans="1:27" ht="15" customHeight="1" x14ac:dyDescent="0.2">
      <c r="A3331" s="28">
        <v>41527.460925925923</v>
      </c>
      <c r="B3331" s="29" t="s">
        <v>16</v>
      </c>
      <c r="C3331" s="29" t="s">
        <v>83</v>
      </c>
      <c r="D3331" s="30">
        <v>41487</v>
      </c>
      <c r="E3331" s="29" t="s">
        <v>1923</v>
      </c>
      <c r="F3331" s="29" t="s">
        <v>1824</v>
      </c>
      <c r="G3331" s="29" t="s">
        <v>26</v>
      </c>
      <c r="H3331" s="29" t="s">
        <v>1924</v>
      </c>
      <c r="I3331" s="29"/>
      <c r="J3331" s="116">
        <v>1</v>
      </c>
      <c r="K3331" s="116">
        <v>3</v>
      </c>
      <c r="L3331" s="139"/>
      <c r="M3331" s="140" t="s">
        <v>22</v>
      </c>
      <c r="N3331" s="141"/>
      <c r="O3331" s="141"/>
      <c r="P3331" s="141"/>
      <c r="Q3331" s="141"/>
      <c r="R3331" s="141"/>
      <c r="S3331" s="141"/>
      <c r="T3331" s="141"/>
      <c r="U3331" s="141"/>
      <c r="V3331" s="29" t="s">
        <v>1925</v>
      </c>
      <c r="W3331" s="26"/>
      <c r="X3331" s="26"/>
      <c r="Y3331" s="26"/>
      <c r="Z3331" s="26"/>
      <c r="AA3331" s="26"/>
    </row>
    <row r="3332" spans="1:27" ht="15" customHeight="1" x14ac:dyDescent="0.2">
      <c r="A3332" s="28">
        <v>41527.463287037041</v>
      </c>
      <c r="B3332" s="29" t="s">
        <v>16</v>
      </c>
      <c r="C3332" s="29" t="s">
        <v>83</v>
      </c>
      <c r="D3332" s="30">
        <v>41487</v>
      </c>
      <c r="E3332" s="29" t="s">
        <v>1926</v>
      </c>
      <c r="F3332" s="29" t="s">
        <v>1927</v>
      </c>
      <c r="G3332" s="29" t="s">
        <v>26</v>
      </c>
      <c r="H3332" s="29" t="s">
        <v>1928</v>
      </c>
      <c r="I3332" s="29"/>
      <c r="J3332" s="116">
        <v>1</v>
      </c>
      <c r="K3332" s="116">
        <v>0</v>
      </c>
      <c r="L3332" s="139"/>
      <c r="M3332" s="140" t="s">
        <v>22</v>
      </c>
      <c r="N3332" s="141"/>
      <c r="O3332" s="141"/>
      <c r="P3332" s="141"/>
      <c r="Q3332" s="141"/>
      <c r="R3332" s="141"/>
      <c r="S3332" s="141"/>
      <c r="T3332" s="141"/>
      <c r="U3332" s="141"/>
      <c r="V3332" s="29" t="s">
        <v>1929</v>
      </c>
      <c r="W3332" s="26"/>
      <c r="X3332" s="26"/>
      <c r="Y3332" s="26"/>
      <c r="Z3332" s="26"/>
      <c r="AA3332" s="26"/>
    </row>
    <row r="3333" spans="1:27" ht="15" customHeight="1" x14ac:dyDescent="0.2">
      <c r="A3333" s="28">
        <v>41527.46465277778</v>
      </c>
      <c r="B3333" s="29" t="s">
        <v>16</v>
      </c>
      <c r="C3333" s="29" t="s">
        <v>83</v>
      </c>
      <c r="D3333" s="30">
        <v>41487</v>
      </c>
      <c r="E3333" s="29" t="s">
        <v>1930</v>
      </c>
      <c r="F3333" s="29" t="s">
        <v>1358</v>
      </c>
      <c r="G3333" s="29" t="s">
        <v>26</v>
      </c>
      <c r="H3333" s="29" t="s">
        <v>1359</v>
      </c>
      <c r="I3333" s="29"/>
      <c r="J3333" s="116">
        <v>1</v>
      </c>
      <c r="K3333" s="116">
        <v>0</v>
      </c>
      <c r="L3333" s="139"/>
      <c r="M3333" s="140" t="s">
        <v>22</v>
      </c>
      <c r="N3333" s="141"/>
      <c r="O3333" s="141"/>
      <c r="P3333" s="141"/>
      <c r="Q3333" s="141"/>
      <c r="R3333" s="141"/>
      <c r="S3333" s="141"/>
      <c r="T3333" s="141"/>
      <c r="U3333" s="141"/>
      <c r="V3333" s="29" t="s">
        <v>1929</v>
      </c>
      <c r="W3333" s="26"/>
      <c r="X3333" s="26"/>
      <c r="Y3333" s="26"/>
      <c r="Z3333" s="26"/>
      <c r="AA3333" s="26"/>
    </row>
    <row r="3334" spans="1:27" ht="15" customHeight="1" x14ac:dyDescent="0.2">
      <c r="A3334" s="28">
        <v>41527.465486111112</v>
      </c>
      <c r="B3334" s="29" t="s">
        <v>16</v>
      </c>
      <c r="C3334" s="29" t="s">
        <v>83</v>
      </c>
      <c r="D3334" s="30">
        <v>41487</v>
      </c>
      <c r="E3334" s="29" t="s">
        <v>1931</v>
      </c>
      <c r="F3334" s="29" t="s">
        <v>1932</v>
      </c>
      <c r="G3334" s="29" t="s">
        <v>26</v>
      </c>
      <c r="H3334" s="29" t="s">
        <v>1933</v>
      </c>
      <c r="I3334" s="29"/>
      <c r="J3334" s="116">
        <v>1</v>
      </c>
      <c r="K3334" s="116">
        <v>0</v>
      </c>
      <c r="L3334" s="139"/>
      <c r="M3334" s="140" t="s">
        <v>22</v>
      </c>
      <c r="N3334" s="141"/>
      <c r="O3334" s="141"/>
      <c r="P3334" s="141"/>
      <c r="Q3334" s="141"/>
      <c r="R3334" s="141"/>
      <c r="S3334" s="141"/>
      <c r="T3334" s="141"/>
      <c r="U3334" s="141"/>
      <c r="V3334" s="29" t="s">
        <v>1934</v>
      </c>
      <c r="W3334" s="26"/>
      <c r="X3334" s="26"/>
      <c r="Y3334" s="26"/>
      <c r="Z3334" s="26"/>
      <c r="AA3334" s="26"/>
    </row>
    <row r="3335" spans="1:27" s="26" customFormat="1" ht="15" customHeight="1" x14ac:dyDescent="0.2">
      <c r="A3335" s="28">
        <v>41527.466458333336</v>
      </c>
      <c r="B3335" s="29" t="s">
        <v>16</v>
      </c>
      <c r="C3335" s="29" t="s">
        <v>83</v>
      </c>
      <c r="D3335" s="30">
        <v>41487</v>
      </c>
      <c r="E3335" s="29" t="s">
        <v>1935</v>
      </c>
      <c r="F3335" s="29" t="s">
        <v>113</v>
      </c>
      <c r="G3335" s="29" t="s">
        <v>26</v>
      </c>
      <c r="H3335" s="29" t="s">
        <v>114</v>
      </c>
      <c r="I3335" s="29"/>
      <c r="J3335" s="116">
        <v>1</v>
      </c>
      <c r="K3335" s="116">
        <v>0</v>
      </c>
      <c r="L3335" s="139"/>
      <c r="M3335" s="140" t="s">
        <v>22</v>
      </c>
      <c r="N3335" s="141"/>
      <c r="O3335" s="141"/>
      <c r="P3335" s="141"/>
      <c r="Q3335" s="141"/>
      <c r="R3335" s="141"/>
      <c r="S3335" s="141"/>
      <c r="T3335" s="141"/>
      <c r="U3335" s="141"/>
      <c r="V3335" s="29" t="s">
        <v>1936</v>
      </c>
    </row>
    <row r="3336" spans="1:27" ht="15" customHeight="1" x14ac:dyDescent="0.2">
      <c r="A3336" s="28">
        <v>41525.456562500003</v>
      </c>
      <c r="B3336" s="29" t="s">
        <v>16</v>
      </c>
      <c r="C3336" s="29" t="s">
        <v>83</v>
      </c>
      <c r="D3336" s="30">
        <v>41518</v>
      </c>
      <c r="E3336" s="29" t="s">
        <v>2027</v>
      </c>
      <c r="F3336" s="29" t="s">
        <v>373</v>
      </c>
      <c r="G3336" s="29" t="s">
        <v>26</v>
      </c>
      <c r="H3336" s="29" t="s">
        <v>1094</v>
      </c>
      <c r="I3336" s="29"/>
      <c r="J3336" s="116">
        <v>1</v>
      </c>
      <c r="K3336" s="116">
        <v>60</v>
      </c>
      <c r="L3336" s="139"/>
      <c r="M3336" s="140" t="s">
        <v>22</v>
      </c>
      <c r="N3336" s="141"/>
      <c r="O3336" s="141"/>
      <c r="P3336" s="141"/>
      <c r="Q3336" s="141"/>
      <c r="R3336" s="141"/>
      <c r="S3336" s="141"/>
      <c r="T3336" s="141"/>
      <c r="U3336" s="141"/>
      <c r="V3336" s="29"/>
      <c r="W3336" s="26"/>
      <c r="X3336" s="26"/>
      <c r="Y3336" s="26"/>
      <c r="Z3336" s="26"/>
      <c r="AA3336" s="26"/>
    </row>
    <row r="3337" spans="1:27" ht="15" customHeight="1" x14ac:dyDescent="0.2">
      <c r="A3337" s="28">
        <v>41525.464895833335</v>
      </c>
      <c r="B3337" s="29" t="s">
        <v>16</v>
      </c>
      <c r="C3337" s="29" t="s">
        <v>83</v>
      </c>
      <c r="D3337" s="30">
        <v>41518</v>
      </c>
      <c r="E3337" s="29" t="s">
        <v>2028</v>
      </c>
      <c r="F3337" s="29" t="s">
        <v>2029</v>
      </c>
      <c r="G3337" s="29" t="s">
        <v>26</v>
      </c>
      <c r="H3337" s="29" t="s">
        <v>2030</v>
      </c>
      <c r="I3337" s="29"/>
      <c r="J3337" s="116">
        <v>1</v>
      </c>
      <c r="K3337" s="116">
        <v>0</v>
      </c>
      <c r="L3337" s="139"/>
      <c r="M3337" s="140" t="s">
        <v>22</v>
      </c>
      <c r="N3337" s="141"/>
      <c r="O3337" s="141"/>
      <c r="P3337" s="141"/>
      <c r="Q3337" s="141"/>
      <c r="R3337" s="141"/>
      <c r="S3337" s="141"/>
      <c r="T3337" s="141"/>
      <c r="U3337" s="141"/>
      <c r="V3337" s="29" t="s">
        <v>2031</v>
      </c>
      <c r="W3337" s="26"/>
      <c r="X3337" s="26"/>
      <c r="Y3337" s="26"/>
      <c r="Z3337" s="26"/>
      <c r="AA3337" s="26"/>
    </row>
    <row r="3338" spans="1:27" ht="15" customHeight="1" x14ac:dyDescent="0.2">
      <c r="A3338" s="28">
        <v>41525.467256944445</v>
      </c>
      <c r="B3338" s="29" t="s">
        <v>16</v>
      </c>
      <c r="C3338" s="29" t="s">
        <v>83</v>
      </c>
      <c r="D3338" s="30">
        <v>41518</v>
      </c>
      <c r="E3338" s="29" t="s">
        <v>2032</v>
      </c>
      <c r="F3338" s="29" t="s">
        <v>1824</v>
      </c>
      <c r="G3338" s="29" t="s">
        <v>26</v>
      </c>
      <c r="H3338" s="29" t="s">
        <v>2033</v>
      </c>
      <c r="I3338" s="29"/>
      <c r="J3338" s="116">
        <v>1</v>
      </c>
      <c r="K3338" s="116">
        <v>46</v>
      </c>
      <c r="L3338" s="139"/>
      <c r="M3338" s="140" t="s">
        <v>44</v>
      </c>
      <c r="N3338" s="141"/>
      <c r="O3338" s="141">
        <v>10</v>
      </c>
      <c r="P3338" s="141"/>
      <c r="Q3338" s="141"/>
      <c r="R3338" s="141"/>
      <c r="S3338" s="141"/>
      <c r="T3338" s="141"/>
      <c r="U3338" s="141"/>
      <c r="V3338" s="29" t="s">
        <v>2034</v>
      </c>
      <c r="W3338" s="26"/>
      <c r="X3338" s="26"/>
      <c r="Y3338" s="26"/>
      <c r="Z3338" s="26"/>
      <c r="AA3338" s="26"/>
    </row>
    <row r="3339" spans="1:27" ht="15" customHeight="1" x14ac:dyDescent="0.2">
      <c r="A3339" s="28">
        <v>41525.471979166665</v>
      </c>
      <c r="B3339" s="29" t="s">
        <v>16</v>
      </c>
      <c r="C3339" s="29" t="s">
        <v>83</v>
      </c>
      <c r="D3339" s="30">
        <v>41518</v>
      </c>
      <c r="E3339" s="29" t="s">
        <v>2035</v>
      </c>
      <c r="F3339" s="29" t="s">
        <v>299</v>
      </c>
      <c r="G3339" s="29" t="s">
        <v>26</v>
      </c>
      <c r="H3339" s="29" t="s">
        <v>2036</v>
      </c>
      <c r="I3339" s="29"/>
      <c r="J3339" s="116">
        <v>1</v>
      </c>
      <c r="K3339" s="116">
        <v>0</v>
      </c>
      <c r="L3339" s="139"/>
      <c r="M3339" s="140" t="s">
        <v>22</v>
      </c>
      <c r="N3339" s="141"/>
      <c r="O3339" s="141"/>
      <c r="P3339" s="141"/>
      <c r="Q3339" s="141"/>
      <c r="R3339" s="141"/>
      <c r="S3339" s="141"/>
      <c r="T3339" s="141"/>
      <c r="U3339" s="141"/>
      <c r="V3339" s="29"/>
      <c r="W3339" s="26"/>
      <c r="X3339" s="26"/>
      <c r="Y3339" s="26"/>
      <c r="Z3339" s="26"/>
      <c r="AA3339" s="26"/>
    </row>
    <row r="3340" spans="1:27" ht="15" customHeight="1" x14ac:dyDescent="0.2">
      <c r="A3340" s="32">
        <v>41525.476493055554</v>
      </c>
      <c r="B3340" s="26" t="s">
        <v>16</v>
      </c>
      <c r="C3340" s="26" t="s">
        <v>83</v>
      </c>
      <c r="D3340" s="30">
        <v>41518</v>
      </c>
      <c r="E3340" s="26" t="s">
        <v>2037</v>
      </c>
      <c r="F3340" s="26" t="s">
        <v>463</v>
      </c>
      <c r="G3340" s="26" t="s">
        <v>26</v>
      </c>
      <c r="H3340" s="26" t="s">
        <v>2038</v>
      </c>
      <c r="I3340" s="26"/>
      <c r="J3340" s="115">
        <v>1</v>
      </c>
      <c r="K3340" s="115">
        <v>4</v>
      </c>
      <c r="L3340" s="136"/>
      <c r="M3340" s="137" t="s">
        <v>44</v>
      </c>
      <c r="O3340" s="138">
        <v>5</v>
      </c>
      <c r="V3340" s="26"/>
      <c r="W3340" s="26"/>
      <c r="X3340" s="26"/>
      <c r="Y3340" s="26"/>
      <c r="Z3340" s="26"/>
      <c r="AA3340" s="26"/>
    </row>
    <row r="3341" spans="1:27" ht="15" customHeight="1" x14ac:dyDescent="0.2">
      <c r="A3341" s="32">
        <v>41525.484953703701</v>
      </c>
      <c r="B3341" s="26" t="s">
        <v>16</v>
      </c>
      <c r="C3341" s="26" t="s">
        <v>83</v>
      </c>
      <c r="D3341" s="30">
        <v>41518</v>
      </c>
      <c r="E3341" s="26" t="s">
        <v>2039</v>
      </c>
      <c r="F3341" s="26" t="s">
        <v>113</v>
      </c>
      <c r="G3341" s="26" t="s">
        <v>26</v>
      </c>
      <c r="H3341" s="26" t="s">
        <v>114</v>
      </c>
      <c r="I3341" s="26"/>
      <c r="J3341" s="46">
        <v>1</v>
      </c>
      <c r="K3341" s="46">
        <v>4</v>
      </c>
      <c r="L3341" s="136"/>
      <c r="M3341" s="137" t="s">
        <v>22</v>
      </c>
      <c r="V3341" s="26"/>
      <c r="W3341" s="26"/>
      <c r="X3341" s="26"/>
      <c r="Y3341" s="26"/>
      <c r="Z3341" s="26"/>
      <c r="AA3341" s="26"/>
    </row>
    <row r="3342" spans="1:27" ht="15" customHeight="1" x14ac:dyDescent="0.2">
      <c r="A3342" s="32">
        <v>41525.548229166663</v>
      </c>
      <c r="B3342" s="26" t="s">
        <v>16</v>
      </c>
      <c r="C3342" s="26" t="s">
        <v>83</v>
      </c>
      <c r="D3342" s="30">
        <v>41518</v>
      </c>
      <c r="E3342" s="26" t="s">
        <v>2040</v>
      </c>
      <c r="F3342" s="26" t="s">
        <v>101</v>
      </c>
      <c r="G3342" s="26" t="s">
        <v>26</v>
      </c>
      <c r="H3342" s="26" t="s">
        <v>2041</v>
      </c>
      <c r="I3342" s="26"/>
      <c r="J3342" s="46">
        <v>1</v>
      </c>
      <c r="K3342" s="46">
        <v>15</v>
      </c>
      <c r="L3342" s="136"/>
      <c r="M3342" s="137" t="s">
        <v>22</v>
      </c>
      <c r="V3342" s="26"/>
      <c r="W3342" s="26"/>
      <c r="X3342" s="26"/>
      <c r="Y3342" s="26"/>
      <c r="Z3342" s="26"/>
      <c r="AA3342" s="26"/>
    </row>
    <row r="3343" spans="1:27" ht="15" customHeight="1" x14ac:dyDescent="0.2">
      <c r="A3343" s="32">
        <v>41525.551655092589</v>
      </c>
      <c r="B3343" s="26" t="s">
        <v>16</v>
      </c>
      <c r="C3343" s="26" t="s">
        <v>83</v>
      </c>
      <c r="D3343" s="30">
        <v>41518</v>
      </c>
      <c r="E3343" s="26" t="s">
        <v>2042</v>
      </c>
      <c r="F3343" s="26" t="s">
        <v>373</v>
      </c>
      <c r="G3343" s="26" t="s">
        <v>26</v>
      </c>
      <c r="H3343" s="26" t="s">
        <v>2043</v>
      </c>
      <c r="I3343" s="26"/>
      <c r="J3343" s="46">
        <v>1</v>
      </c>
      <c r="K3343" s="46">
        <v>50</v>
      </c>
      <c r="L3343" s="136"/>
      <c r="M3343" s="137" t="s">
        <v>22</v>
      </c>
      <c r="V3343" s="26"/>
      <c r="W3343" s="26"/>
      <c r="X3343" s="26"/>
      <c r="Y3343" s="26"/>
      <c r="Z3343" s="26"/>
      <c r="AA3343" s="26"/>
    </row>
    <row r="3344" spans="1:27" ht="15" customHeight="1" x14ac:dyDescent="0.2">
      <c r="A3344" s="32">
        <v>41525.552546296298</v>
      </c>
      <c r="B3344" s="26" t="s">
        <v>16</v>
      </c>
      <c r="C3344" s="26" t="s">
        <v>83</v>
      </c>
      <c r="D3344" s="30">
        <v>41518</v>
      </c>
      <c r="E3344" s="26" t="s">
        <v>2044</v>
      </c>
      <c r="F3344" s="26" t="s">
        <v>2045</v>
      </c>
      <c r="G3344" s="26" t="s">
        <v>26</v>
      </c>
      <c r="H3344" s="26" t="s">
        <v>2046</v>
      </c>
      <c r="I3344" s="26"/>
      <c r="J3344" s="46">
        <v>1</v>
      </c>
      <c r="K3344" s="46">
        <v>8</v>
      </c>
      <c r="L3344" s="136"/>
      <c r="M3344" s="137" t="s">
        <v>22</v>
      </c>
      <c r="V3344" s="26"/>
      <c r="W3344" s="26"/>
      <c r="X3344" s="26"/>
      <c r="Y3344" s="26"/>
      <c r="Z3344" s="26"/>
      <c r="AA3344" s="26"/>
    </row>
    <row r="3345" spans="1:27" ht="15" customHeight="1" x14ac:dyDescent="0.2">
      <c r="A3345" s="32">
        <v>41525.553726851853</v>
      </c>
      <c r="B3345" s="26" t="s">
        <v>16</v>
      </c>
      <c r="C3345" s="26" t="s">
        <v>83</v>
      </c>
      <c r="D3345" s="30">
        <v>41518</v>
      </c>
      <c r="E3345" s="26" t="s">
        <v>2047</v>
      </c>
      <c r="F3345" s="26" t="s">
        <v>299</v>
      </c>
      <c r="G3345" s="26" t="s">
        <v>26</v>
      </c>
      <c r="H3345" s="26" t="s">
        <v>2048</v>
      </c>
      <c r="I3345" s="26"/>
      <c r="J3345" s="46">
        <v>1</v>
      </c>
      <c r="K3345" s="46">
        <v>3</v>
      </c>
      <c r="L3345" s="136"/>
      <c r="M3345" s="137" t="s">
        <v>22</v>
      </c>
      <c r="V3345" s="26"/>
      <c r="W3345" s="26"/>
      <c r="X3345" s="26"/>
      <c r="Y3345" s="26"/>
      <c r="Z3345" s="26"/>
      <c r="AA3345" s="26"/>
    </row>
    <row r="3346" spans="1:27" ht="15" customHeight="1" x14ac:dyDescent="0.2">
      <c r="A3346" s="32">
        <v>41525.554432870369</v>
      </c>
      <c r="B3346" s="26" t="s">
        <v>16</v>
      </c>
      <c r="C3346" s="26" t="s">
        <v>83</v>
      </c>
      <c r="D3346" s="30">
        <v>41518</v>
      </c>
      <c r="E3346" s="26" t="s">
        <v>2049</v>
      </c>
      <c r="F3346" s="26" t="s">
        <v>113</v>
      </c>
      <c r="G3346" s="26" t="s">
        <v>26</v>
      </c>
      <c r="H3346" s="26" t="s">
        <v>2050</v>
      </c>
      <c r="I3346" s="26"/>
      <c r="J3346" s="46">
        <v>1</v>
      </c>
      <c r="K3346" s="46">
        <v>0</v>
      </c>
      <c r="L3346" s="136"/>
      <c r="M3346" s="137" t="s">
        <v>22</v>
      </c>
      <c r="V3346" s="26"/>
      <c r="W3346" s="26"/>
      <c r="X3346" s="26"/>
      <c r="Y3346" s="26"/>
      <c r="Z3346" s="26"/>
      <c r="AA3346" s="26"/>
    </row>
    <row r="3347" spans="1:27" ht="15" customHeight="1" x14ac:dyDescent="0.2">
      <c r="A3347" s="32">
        <v>41525.556087962963</v>
      </c>
      <c r="B3347" s="26" t="s">
        <v>16</v>
      </c>
      <c r="C3347" s="26" t="s">
        <v>83</v>
      </c>
      <c r="D3347" s="30">
        <v>41518</v>
      </c>
      <c r="E3347" s="26" t="s">
        <v>2051</v>
      </c>
      <c r="F3347" s="26" t="s">
        <v>1098</v>
      </c>
      <c r="G3347" s="26" t="s">
        <v>26</v>
      </c>
      <c r="H3347" s="26" t="s">
        <v>2052</v>
      </c>
      <c r="I3347" s="26"/>
      <c r="J3347" s="115">
        <v>1</v>
      </c>
      <c r="K3347" s="115">
        <v>0</v>
      </c>
      <c r="L3347" s="136"/>
      <c r="M3347" s="137" t="s">
        <v>22</v>
      </c>
      <c r="V3347" s="26"/>
      <c r="W3347" s="26"/>
      <c r="X3347" s="26"/>
      <c r="Y3347" s="26"/>
      <c r="Z3347" s="26"/>
      <c r="AA3347" s="26"/>
    </row>
    <row r="3348" spans="1:27" ht="15" customHeight="1" x14ac:dyDescent="0.2">
      <c r="A3348" s="32">
        <v>41546.429745370369</v>
      </c>
      <c r="B3348" s="26" t="s">
        <v>16</v>
      </c>
      <c r="C3348" s="26" t="s">
        <v>83</v>
      </c>
      <c r="D3348" s="30">
        <v>41518</v>
      </c>
      <c r="E3348" s="26" t="s">
        <v>2229</v>
      </c>
      <c r="F3348" s="26" t="s">
        <v>2230</v>
      </c>
      <c r="G3348" s="26" t="s">
        <v>156</v>
      </c>
      <c r="H3348" s="26" t="s">
        <v>2231</v>
      </c>
      <c r="I3348" s="26"/>
      <c r="J3348" s="46">
        <v>1</v>
      </c>
      <c r="K3348" s="46">
        <v>59</v>
      </c>
      <c r="L3348" s="136"/>
      <c r="M3348" s="137" t="s">
        <v>22</v>
      </c>
      <c r="V3348" s="26" t="s">
        <v>2232</v>
      </c>
      <c r="W3348" s="26"/>
      <c r="X3348" s="26"/>
      <c r="Y3348" s="26"/>
      <c r="Z3348" s="26"/>
      <c r="AA3348" s="26"/>
    </row>
    <row r="3349" spans="1:27" ht="15" customHeight="1" x14ac:dyDescent="0.2">
      <c r="A3349" s="32">
        <v>41546.433645833335</v>
      </c>
      <c r="B3349" s="26" t="s">
        <v>16</v>
      </c>
      <c r="C3349" s="26" t="s">
        <v>83</v>
      </c>
      <c r="D3349" s="30">
        <v>41518</v>
      </c>
      <c r="E3349" s="26" t="s">
        <v>2233</v>
      </c>
      <c r="F3349" s="26" t="s">
        <v>2234</v>
      </c>
      <c r="G3349" s="26" t="s">
        <v>351</v>
      </c>
      <c r="H3349" s="26" t="s">
        <v>2235</v>
      </c>
      <c r="I3349" s="26"/>
      <c r="J3349" s="115">
        <v>1</v>
      </c>
      <c r="K3349" s="115">
        <v>125</v>
      </c>
      <c r="L3349" s="136"/>
      <c r="M3349" s="137" t="s">
        <v>22</v>
      </c>
      <c r="V3349" s="26" t="s">
        <v>2236</v>
      </c>
      <c r="W3349" s="26"/>
      <c r="X3349" s="26"/>
      <c r="Y3349" s="26"/>
      <c r="Z3349" s="26"/>
      <c r="AA3349" s="26"/>
    </row>
    <row r="3350" spans="1:27" ht="15" customHeight="1" x14ac:dyDescent="0.2">
      <c r="A3350" s="32">
        <v>41546.441620370373</v>
      </c>
      <c r="B3350" s="26" t="s">
        <v>16</v>
      </c>
      <c r="C3350" s="26" t="s">
        <v>83</v>
      </c>
      <c r="D3350" s="30">
        <v>41518</v>
      </c>
      <c r="E3350" s="26" t="s">
        <v>2237</v>
      </c>
      <c r="F3350" s="26" t="s">
        <v>373</v>
      </c>
      <c r="G3350" s="26" t="s">
        <v>26</v>
      </c>
      <c r="H3350" s="26" t="s">
        <v>2238</v>
      </c>
      <c r="I3350" s="26"/>
      <c r="J3350" s="46">
        <v>1</v>
      </c>
      <c r="K3350" s="46">
        <v>50</v>
      </c>
      <c r="L3350" s="136"/>
      <c r="M3350" s="137" t="s">
        <v>22</v>
      </c>
      <c r="V3350" s="26"/>
      <c r="W3350" s="26"/>
      <c r="X3350" s="26"/>
      <c r="Y3350" s="26"/>
      <c r="Z3350" s="26"/>
      <c r="AA3350" s="26"/>
    </row>
    <row r="3351" spans="1:27" ht="15" customHeight="1" x14ac:dyDescent="0.2">
      <c r="A3351" s="32">
        <v>41546.442557870374</v>
      </c>
      <c r="B3351" s="26" t="s">
        <v>16</v>
      </c>
      <c r="C3351" s="26" t="s">
        <v>83</v>
      </c>
      <c r="D3351" s="30">
        <v>41518</v>
      </c>
      <c r="E3351" s="26" t="s">
        <v>2239</v>
      </c>
      <c r="F3351" s="26" t="s">
        <v>2240</v>
      </c>
      <c r="G3351" s="26" t="s">
        <v>26</v>
      </c>
      <c r="H3351" s="26" t="s">
        <v>2241</v>
      </c>
      <c r="I3351" s="26"/>
      <c r="J3351" s="46">
        <v>1</v>
      </c>
      <c r="K3351" s="46">
        <v>17</v>
      </c>
      <c r="L3351" s="136">
        <v>10</v>
      </c>
      <c r="M3351" s="137" t="s">
        <v>22</v>
      </c>
      <c r="V3351" s="26"/>
      <c r="W3351" s="26"/>
      <c r="X3351" s="26"/>
      <c r="Y3351" s="26"/>
      <c r="Z3351" s="26"/>
      <c r="AA3351" s="26"/>
    </row>
    <row r="3352" spans="1:27" ht="15" customHeight="1" x14ac:dyDescent="0.2">
      <c r="A3352" s="32">
        <v>41546.44636574074</v>
      </c>
      <c r="B3352" s="26" t="s">
        <v>16</v>
      </c>
      <c r="C3352" s="26" t="s">
        <v>83</v>
      </c>
      <c r="D3352" s="30">
        <v>41518</v>
      </c>
      <c r="E3352" s="26" t="s">
        <v>2242</v>
      </c>
      <c r="F3352" s="26" t="s">
        <v>1824</v>
      </c>
      <c r="G3352" s="26" t="s">
        <v>26</v>
      </c>
      <c r="H3352" s="26" t="s">
        <v>2243</v>
      </c>
      <c r="I3352" s="26"/>
      <c r="J3352" s="46">
        <v>1</v>
      </c>
      <c r="K3352" s="46">
        <v>12</v>
      </c>
      <c r="L3352" s="136"/>
      <c r="M3352" s="137" t="s">
        <v>22</v>
      </c>
      <c r="V3352" s="26"/>
      <c r="W3352" s="26"/>
      <c r="X3352" s="26"/>
      <c r="Y3352" s="26"/>
      <c r="Z3352" s="26"/>
      <c r="AA3352" s="26"/>
    </row>
    <row r="3353" spans="1:27" ht="15" customHeight="1" x14ac:dyDescent="0.2">
      <c r="A3353" s="32">
        <v>41546.449270833335</v>
      </c>
      <c r="B3353" s="26" t="s">
        <v>16</v>
      </c>
      <c r="C3353" s="26" t="s">
        <v>83</v>
      </c>
      <c r="D3353" s="30">
        <v>41518</v>
      </c>
      <c r="E3353" s="26" t="s">
        <v>2244</v>
      </c>
      <c r="F3353" s="26" t="s">
        <v>113</v>
      </c>
      <c r="G3353" s="26" t="s">
        <v>26</v>
      </c>
      <c r="H3353" s="26" t="s">
        <v>2245</v>
      </c>
      <c r="I3353" s="26"/>
      <c r="J3353" s="46">
        <v>1</v>
      </c>
      <c r="K3353" s="46">
        <v>0</v>
      </c>
      <c r="L3353" s="136"/>
      <c r="M3353" s="137" t="s">
        <v>22</v>
      </c>
      <c r="V3353" s="26"/>
      <c r="W3353" s="26"/>
      <c r="X3353" s="26"/>
      <c r="Y3353" s="26"/>
      <c r="Z3353" s="26"/>
      <c r="AA3353" s="26"/>
    </row>
    <row r="3354" spans="1:27" ht="15" customHeight="1" x14ac:dyDescent="0.2">
      <c r="A3354" s="32">
        <v>41546.48060185185</v>
      </c>
      <c r="B3354" s="26" t="s">
        <v>16</v>
      </c>
      <c r="C3354" s="26" t="s">
        <v>83</v>
      </c>
      <c r="D3354" s="30">
        <v>41518</v>
      </c>
      <c r="E3354" s="26" t="s">
        <v>2254</v>
      </c>
      <c r="F3354" s="26" t="s">
        <v>373</v>
      </c>
      <c r="G3354" s="26" t="s">
        <v>26</v>
      </c>
      <c r="H3354" s="26" t="s">
        <v>2255</v>
      </c>
      <c r="I3354" s="26"/>
      <c r="J3354" s="46">
        <v>1</v>
      </c>
      <c r="K3354" s="46">
        <v>70</v>
      </c>
      <c r="L3354" s="136"/>
      <c r="M3354" s="137" t="s">
        <v>22</v>
      </c>
      <c r="V3354" s="26"/>
      <c r="W3354" s="26"/>
      <c r="X3354" s="26"/>
      <c r="Y3354" s="26"/>
      <c r="Z3354" s="26"/>
      <c r="AA3354" s="26"/>
    </row>
    <row r="3355" spans="1:27" ht="15" customHeight="1" x14ac:dyDescent="0.2">
      <c r="A3355" s="32">
        <v>41644.652951388889</v>
      </c>
      <c r="B3355" s="26" t="s">
        <v>16</v>
      </c>
      <c r="C3355" s="26" t="s">
        <v>83</v>
      </c>
      <c r="D3355" s="68">
        <v>41609</v>
      </c>
      <c r="E3355" s="26" t="s">
        <v>3957</v>
      </c>
      <c r="F3355" s="26" t="s">
        <v>3958</v>
      </c>
      <c r="G3355" s="26" t="s">
        <v>156</v>
      </c>
      <c r="H3355" s="26" t="s">
        <v>3959</v>
      </c>
      <c r="I3355" s="26" t="s">
        <v>2925</v>
      </c>
      <c r="J3355" s="46">
        <v>1</v>
      </c>
      <c r="K3355" s="46">
        <v>60</v>
      </c>
      <c r="L3355" s="136">
        <v>60</v>
      </c>
      <c r="M3355" s="137" t="s">
        <v>44</v>
      </c>
      <c r="O3355" s="138">
        <v>40</v>
      </c>
      <c r="U3355" s="138">
        <v>125</v>
      </c>
      <c r="V3355" s="26" t="s">
        <v>3960</v>
      </c>
      <c r="W3355" s="26"/>
      <c r="X3355" s="26"/>
      <c r="Y3355" s="26"/>
      <c r="Z3355" s="26"/>
      <c r="AA3355" s="26"/>
    </row>
    <row r="3356" spans="1:27" ht="15" customHeight="1" x14ac:dyDescent="0.2">
      <c r="A3356" s="55">
        <v>41676.484756944403</v>
      </c>
      <c r="B3356" s="52" t="s">
        <v>16</v>
      </c>
      <c r="C3356" s="52" t="s">
        <v>83</v>
      </c>
      <c r="D3356" s="69">
        <v>41640</v>
      </c>
      <c r="E3356" s="52" t="s">
        <v>3385</v>
      </c>
      <c r="F3356" s="52" t="s">
        <v>21</v>
      </c>
      <c r="G3356" s="52" t="s">
        <v>26</v>
      </c>
      <c r="H3356" s="52" t="s">
        <v>21</v>
      </c>
      <c r="I3356" s="52" t="s">
        <v>2926</v>
      </c>
      <c r="J3356" s="95">
        <v>1</v>
      </c>
      <c r="K3356" s="118">
        <v>1</v>
      </c>
      <c r="L3356" s="148"/>
      <c r="M3356" s="146" t="s">
        <v>44</v>
      </c>
      <c r="N3356" s="147"/>
      <c r="O3356" s="147">
        <v>5</v>
      </c>
      <c r="P3356" s="147"/>
      <c r="Q3356" s="147"/>
      <c r="R3356" s="147"/>
      <c r="S3356" s="147"/>
      <c r="T3356" s="147"/>
      <c r="U3356" s="149"/>
      <c r="V3356" s="52"/>
      <c r="W3356" s="52"/>
      <c r="X3356" s="52"/>
      <c r="Y3356" s="52"/>
      <c r="Z3356" s="26"/>
      <c r="AA3356" s="26"/>
    </row>
    <row r="3357" spans="1:27" ht="15" customHeight="1" x14ac:dyDescent="0.2">
      <c r="A3357" s="32">
        <v>41721.668287037035</v>
      </c>
      <c r="B3357" s="26" t="s">
        <v>16</v>
      </c>
      <c r="C3357" s="26" t="s">
        <v>83</v>
      </c>
      <c r="D3357" s="33">
        <v>41699</v>
      </c>
      <c r="E3357" s="26" t="s">
        <v>5252</v>
      </c>
      <c r="F3357" s="26" t="s">
        <v>5253</v>
      </c>
      <c r="G3357" s="26" t="s">
        <v>42</v>
      </c>
      <c r="H3357" s="26" t="s">
        <v>21</v>
      </c>
      <c r="I3357" s="26" t="s">
        <v>2925</v>
      </c>
      <c r="J3357" s="46">
        <v>2</v>
      </c>
      <c r="K3357" s="46">
        <v>33</v>
      </c>
      <c r="L3357" s="136">
        <v>66</v>
      </c>
      <c r="M3357" s="137" t="s">
        <v>44</v>
      </c>
      <c r="P3357" s="138">
        <v>28.5</v>
      </c>
      <c r="V3357" s="26"/>
      <c r="W3357" s="26"/>
      <c r="X3357" s="26"/>
      <c r="Y3357" s="26"/>
      <c r="Z3357" s="26"/>
      <c r="AA3357" s="26"/>
    </row>
    <row r="3358" spans="1:27" ht="15" customHeight="1" x14ac:dyDescent="0.2">
      <c r="A3358" s="32">
        <v>41721.669525462959</v>
      </c>
      <c r="B3358" s="26" t="s">
        <v>16</v>
      </c>
      <c r="C3358" s="26" t="s">
        <v>83</v>
      </c>
      <c r="D3358" s="33">
        <v>41699</v>
      </c>
      <c r="E3358" s="26" t="s">
        <v>5256</v>
      </c>
      <c r="F3358" s="26" t="s">
        <v>5257</v>
      </c>
      <c r="G3358" s="26" t="s">
        <v>42</v>
      </c>
      <c r="H3358" s="26" t="s">
        <v>136</v>
      </c>
      <c r="I3358" s="26" t="s">
        <v>2925</v>
      </c>
      <c r="J3358" s="46">
        <v>2</v>
      </c>
      <c r="K3358" s="46">
        <v>31</v>
      </c>
      <c r="L3358" s="136">
        <v>155</v>
      </c>
      <c r="M3358" s="137" t="s">
        <v>22</v>
      </c>
      <c r="V3358" s="26"/>
      <c r="W3358" s="26"/>
      <c r="X3358" s="26"/>
      <c r="Y3358" s="26"/>
      <c r="Z3358" s="26"/>
      <c r="AA3358" s="26"/>
    </row>
    <row r="3359" spans="1:27" ht="15" customHeight="1" x14ac:dyDescent="0.2">
      <c r="A3359" s="92">
        <v>41749.523009259261</v>
      </c>
      <c r="B3359" s="91" t="s">
        <v>16</v>
      </c>
      <c r="C3359" s="26" t="s">
        <v>83</v>
      </c>
      <c r="D3359" s="33">
        <v>41730</v>
      </c>
      <c r="E3359" s="91" t="s">
        <v>5994</v>
      </c>
      <c r="F3359" s="91" t="s">
        <v>5995</v>
      </c>
      <c r="G3359" s="91" t="s">
        <v>156</v>
      </c>
      <c r="H3359" s="91" t="s">
        <v>5995</v>
      </c>
      <c r="I3359" s="91" t="s">
        <v>2926</v>
      </c>
      <c r="J3359" s="46">
        <v>1</v>
      </c>
      <c r="K3359" s="46">
        <v>30</v>
      </c>
      <c r="L3359" s="138"/>
      <c r="M3359" s="137" t="s">
        <v>44</v>
      </c>
      <c r="O3359" s="138">
        <v>40</v>
      </c>
      <c r="V3359" s="91" t="s">
        <v>5996</v>
      </c>
      <c r="Z3359" s="26"/>
      <c r="AA3359" s="26"/>
    </row>
    <row r="3360" spans="1:27" ht="15" customHeight="1" x14ac:dyDescent="0.2">
      <c r="A3360" s="93">
        <v>41803.552280092597</v>
      </c>
      <c r="B3360" s="89" t="s">
        <v>152</v>
      </c>
      <c r="C3360" s="52" t="s">
        <v>153</v>
      </c>
      <c r="D3360" s="87" t="s">
        <v>6224</v>
      </c>
      <c r="E3360" s="89" t="s">
        <v>779</v>
      </c>
      <c r="F3360" s="89" t="s">
        <v>7632</v>
      </c>
      <c r="G3360" s="89" t="s">
        <v>26</v>
      </c>
      <c r="H3360" s="89" t="s">
        <v>7633</v>
      </c>
      <c r="I3360" s="89" t="s">
        <v>2812</v>
      </c>
      <c r="J3360" s="95">
        <v>1</v>
      </c>
      <c r="K3360" s="95">
        <v>83</v>
      </c>
      <c r="L3360" s="150"/>
      <c r="M3360" s="146" t="s">
        <v>22</v>
      </c>
      <c r="N3360" s="149"/>
      <c r="O3360" s="149"/>
      <c r="P3360" s="149"/>
      <c r="Q3360" s="149"/>
      <c r="R3360" s="149"/>
      <c r="S3360" s="149"/>
      <c r="T3360" s="149"/>
      <c r="U3360" s="149"/>
      <c r="V3360" s="89"/>
      <c r="Z3360" s="26"/>
      <c r="AA3360" s="26"/>
    </row>
    <row r="3361" spans="1:27" s="26" customFormat="1" ht="15" customHeight="1" x14ac:dyDescent="0.2">
      <c r="A3361" s="93">
        <v>41803.5541898148</v>
      </c>
      <c r="B3361" s="89" t="s">
        <v>152</v>
      </c>
      <c r="C3361" s="52" t="s">
        <v>153</v>
      </c>
      <c r="D3361" s="87" t="s">
        <v>6224</v>
      </c>
      <c r="E3361" s="89" t="s">
        <v>7634</v>
      </c>
      <c r="F3361" s="89" t="s">
        <v>7635</v>
      </c>
      <c r="G3361" s="89" t="s">
        <v>20</v>
      </c>
      <c r="H3361" s="89" t="s">
        <v>7636</v>
      </c>
      <c r="I3361" s="89" t="s">
        <v>7637</v>
      </c>
      <c r="J3361" s="95">
        <v>3</v>
      </c>
      <c r="K3361" s="95">
        <v>294</v>
      </c>
      <c r="L3361" s="150">
        <v>882</v>
      </c>
      <c r="M3361" s="146" t="s">
        <v>44</v>
      </c>
      <c r="N3361" s="149"/>
      <c r="O3361" s="149">
        <v>45</v>
      </c>
      <c r="P3361" s="149"/>
      <c r="Q3361" s="149"/>
      <c r="R3361" s="149"/>
      <c r="S3361" s="149"/>
      <c r="T3361" s="149"/>
      <c r="U3361" s="149"/>
      <c r="V3361" s="89"/>
      <c r="W3361" s="91"/>
      <c r="X3361" s="91"/>
      <c r="Y3361" s="91"/>
    </row>
    <row r="3362" spans="1:27" ht="15" customHeight="1" x14ac:dyDescent="0.2">
      <c r="A3362" s="93">
        <v>41803.555787037003</v>
      </c>
      <c r="B3362" s="89" t="s">
        <v>152</v>
      </c>
      <c r="C3362" s="52" t="s">
        <v>153</v>
      </c>
      <c r="D3362" s="87" t="s">
        <v>6224</v>
      </c>
      <c r="E3362" s="89" t="s">
        <v>3558</v>
      </c>
      <c r="F3362" s="89" t="s">
        <v>7638</v>
      </c>
      <c r="G3362" s="89" t="s">
        <v>20</v>
      </c>
      <c r="H3362" s="89" t="s">
        <v>7639</v>
      </c>
      <c r="I3362" s="89" t="s">
        <v>7640</v>
      </c>
      <c r="J3362" s="95">
        <v>2</v>
      </c>
      <c r="K3362" s="95">
        <v>87</v>
      </c>
      <c r="L3362" s="150">
        <v>174</v>
      </c>
      <c r="M3362" s="146" t="s">
        <v>44</v>
      </c>
      <c r="N3362" s="149"/>
      <c r="O3362" s="149">
        <v>15</v>
      </c>
      <c r="P3362" s="149"/>
      <c r="Q3362" s="149"/>
      <c r="R3362" s="149"/>
      <c r="S3362" s="149"/>
      <c r="T3362" s="149"/>
      <c r="U3362" s="149"/>
      <c r="V3362" s="89"/>
      <c r="Z3362" s="26"/>
      <c r="AA3362" s="26"/>
    </row>
    <row r="3363" spans="1:27" ht="15" customHeight="1" x14ac:dyDescent="0.2">
      <c r="A3363" s="93">
        <v>41803.564664351798</v>
      </c>
      <c r="B3363" s="89" t="s">
        <v>16</v>
      </c>
      <c r="C3363" s="52" t="s">
        <v>1153</v>
      </c>
      <c r="D3363" s="87" t="s">
        <v>6224</v>
      </c>
      <c r="E3363" s="89" t="s">
        <v>7641</v>
      </c>
      <c r="F3363" s="89" t="s">
        <v>7642</v>
      </c>
      <c r="G3363" s="89" t="s">
        <v>26</v>
      </c>
      <c r="H3363" s="89" t="s">
        <v>7643</v>
      </c>
      <c r="I3363" s="89" t="s">
        <v>2812</v>
      </c>
      <c r="J3363" s="95">
        <v>1</v>
      </c>
      <c r="K3363" s="95">
        <v>125</v>
      </c>
      <c r="L3363" s="150"/>
      <c r="M3363" s="146" t="s">
        <v>22</v>
      </c>
      <c r="N3363" s="149"/>
      <c r="O3363" s="149"/>
      <c r="P3363" s="149"/>
      <c r="Q3363" s="149"/>
      <c r="R3363" s="149"/>
      <c r="S3363" s="149"/>
      <c r="T3363" s="149"/>
      <c r="U3363" s="149"/>
      <c r="V3363" s="89"/>
      <c r="Z3363" s="26"/>
      <c r="AA3363" s="26"/>
    </row>
    <row r="3364" spans="1:27" s="26" customFormat="1" ht="15" customHeight="1" x14ac:dyDescent="0.2">
      <c r="A3364" s="93">
        <v>41803.565300925897</v>
      </c>
      <c r="B3364" s="89" t="s">
        <v>16</v>
      </c>
      <c r="C3364" s="52" t="s">
        <v>1153</v>
      </c>
      <c r="D3364" s="87" t="s">
        <v>6224</v>
      </c>
      <c r="E3364" s="89" t="s">
        <v>7644</v>
      </c>
      <c r="F3364" s="89" t="s">
        <v>197</v>
      </c>
      <c r="G3364" s="89" t="s">
        <v>26</v>
      </c>
      <c r="H3364" s="89"/>
      <c r="I3364" s="89" t="s">
        <v>2986</v>
      </c>
      <c r="J3364" s="95">
        <v>1</v>
      </c>
      <c r="K3364" s="95">
        <v>14</v>
      </c>
      <c r="L3364" s="150">
        <v>140</v>
      </c>
      <c r="M3364" s="146" t="s">
        <v>22</v>
      </c>
      <c r="N3364" s="149"/>
      <c r="O3364" s="149"/>
      <c r="P3364" s="149"/>
      <c r="Q3364" s="149"/>
      <c r="R3364" s="149"/>
      <c r="S3364" s="149"/>
      <c r="T3364" s="149"/>
      <c r="U3364" s="149"/>
      <c r="V3364" s="89"/>
      <c r="W3364" s="91"/>
      <c r="X3364" s="91"/>
      <c r="Y3364" s="91"/>
    </row>
    <row r="3365" spans="1:27" s="26" customFormat="1" ht="15" customHeight="1" x14ac:dyDescent="0.2">
      <c r="A3365" s="93">
        <v>41805.447777777801</v>
      </c>
      <c r="B3365" s="89" t="s">
        <v>16</v>
      </c>
      <c r="C3365" s="52" t="s">
        <v>999</v>
      </c>
      <c r="D3365" s="87" t="s">
        <v>6224</v>
      </c>
      <c r="E3365" s="89" t="s">
        <v>7647</v>
      </c>
      <c r="F3365" s="89" t="s">
        <v>7648</v>
      </c>
      <c r="G3365" s="89" t="s">
        <v>26</v>
      </c>
      <c r="H3365" s="89" t="s">
        <v>7649</v>
      </c>
      <c r="I3365" s="89" t="s">
        <v>2812</v>
      </c>
      <c r="J3365" s="95">
        <v>3</v>
      </c>
      <c r="K3365" s="95">
        <v>3</v>
      </c>
      <c r="L3365" s="150">
        <v>15</v>
      </c>
      <c r="M3365" s="146" t="s">
        <v>44</v>
      </c>
      <c r="N3365" s="149"/>
      <c r="O3365" s="149">
        <v>10</v>
      </c>
      <c r="P3365" s="149">
        <v>10</v>
      </c>
      <c r="Q3365" s="149"/>
      <c r="R3365" s="149"/>
      <c r="S3365" s="149"/>
      <c r="T3365" s="149"/>
      <c r="U3365" s="149"/>
      <c r="V3365" s="89"/>
      <c r="W3365" s="91"/>
      <c r="X3365" s="91"/>
      <c r="Y3365" s="91"/>
    </row>
    <row r="3366" spans="1:27" s="26" customFormat="1" ht="15" customHeight="1" x14ac:dyDescent="0.2">
      <c r="A3366" s="93">
        <v>41808.364814814799</v>
      </c>
      <c r="B3366" s="89" t="s">
        <v>16</v>
      </c>
      <c r="C3366" s="52" t="s">
        <v>1153</v>
      </c>
      <c r="D3366" s="87" t="s">
        <v>6224</v>
      </c>
      <c r="E3366" s="89" t="s">
        <v>5899</v>
      </c>
      <c r="F3366" s="89" t="s">
        <v>1155</v>
      </c>
      <c r="G3366" s="89" t="s">
        <v>26</v>
      </c>
      <c r="H3366" s="89"/>
      <c r="I3366" s="89" t="s">
        <v>2986</v>
      </c>
      <c r="J3366" s="95">
        <v>95</v>
      </c>
      <c r="K3366" s="95">
        <v>378</v>
      </c>
      <c r="L3366" s="150">
        <v>5810</v>
      </c>
      <c r="M3366" s="146" t="s">
        <v>44</v>
      </c>
      <c r="N3366" s="149"/>
      <c r="O3366" s="149"/>
      <c r="P3366" s="149">
        <v>1500</v>
      </c>
      <c r="Q3366" s="149">
        <v>1950</v>
      </c>
      <c r="R3366" s="149">
        <v>4800</v>
      </c>
      <c r="S3366" s="149"/>
      <c r="T3366" s="149"/>
      <c r="U3366" s="149">
        <v>1500</v>
      </c>
      <c r="V3366" s="89" t="s">
        <v>7663</v>
      </c>
      <c r="W3366" s="91"/>
      <c r="X3366" s="91"/>
      <c r="Y3366" s="91"/>
    </row>
    <row r="3367" spans="1:27" s="26" customFormat="1" ht="15" customHeight="1" x14ac:dyDescent="0.2">
      <c r="A3367" s="37">
        <v>41492.768136574101</v>
      </c>
      <c r="B3367" s="26" t="s">
        <v>152</v>
      </c>
      <c r="C3367" s="26" t="s">
        <v>847</v>
      </c>
      <c r="D3367" s="33">
        <v>41456</v>
      </c>
      <c r="E3367" s="26" t="s">
        <v>848</v>
      </c>
      <c r="F3367" s="26" t="s">
        <v>849</v>
      </c>
      <c r="G3367" s="26" t="s">
        <v>26</v>
      </c>
      <c r="H3367" s="26" t="s">
        <v>849</v>
      </c>
      <c r="J3367" s="115">
        <v>16</v>
      </c>
      <c r="K3367" s="115">
        <v>393</v>
      </c>
      <c r="L3367" s="136"/>
      <c r="M3367" s="137" t="s">
        <v>22</v>
      </c>
      <c r="N3367" s="138"/>
      <c r="O3367" s="138"/>
      <c r="P3367" s="138"/>
      <c r="Q3367" s="138"/>
      <c r="R3367" s="138"/>
      <c r="S3367" s="138"/>
      <c r="T3367" s="138"/>
      <c r="U3367" s="138"/>
    </row>
    <row r="3368" spans="1:27" s="26" customFormat="1" ht="15" customHeight="1" x14ac:dyDescent="0.2">
      <c r="A3368" s="37">
        <v>41492.769293981502</v>
      </c>
      <c r="B3368" s="26" t="s">
        <v>152</v>
      </c>
      <c r="C3368" s="26" t="s">
        <v>847</v>
      </c>
      <c r="D3368" s="33">
        <v>41456</v>
      </c>
      <c r="E3368" s="26" t="s">
        <v>850</v>
      </c>
      <c r="F3368" s="26" t="s">
        <v>851</v>
      </c>
      <c r="G3368" s="26" t="s">
        <v>26</v>
      </c>
      <c r="H3368" s="26" t="s">
        <v>852</v>
      </c>
      <c r="J3368" s="115">
        <v>4</v>
      </c>
      <c r="K3368" s="115">
        <v>597</v>
      </c>
      <c r="L3368" s="136"/>
      <c r="M3368" s="137" t="s">
        <v>22</v>
      </c>
      <c r="N3368" s="138"/>
      <c r="O3368" s="138"/>
      <c r="P3368" s="138"/>
      <c r="Q3368" s="138"/>
      <c r="R3368" s="138"/>
      <c r="S3368" s="138"/>
      <c r="T3368" s="138"/>
      <c r="U3368" s="138"/>
    </row>
    <row r="3369" spans="1:27" ht="15" customHeight="1" x14ac:dyDescent="0.2">
      <c r="A3369" s="37">
        <v>41492.771678240701</v>
      </c>
      <c r="B3369" s="26" t="s">
        <v>152</v>
      </c>
      <c r="C3369" s="26" t="s">
        <v>847</v>
      </c>
      <c r="D3369" s="33">
        <v>41456</v>
      </c>
      <c r="E3369" s="26" t="s">
        <v>853</v>
      </c>
      <c r="F3369" s="26" t="s">
        <v>611</v>
      </c>
      <c r="G3369" s="26" t="s">
        <v>26</v>
      </c>
      <c r="H3369" s="26" t="s">
        <v>854</v>
      </c>
      <c r="I3369" s="26"/>
      <c r="J3369" s="115">
        <v>7</v>
      </c>
      <c r="K3369" s="115">
        <v>196</v>
      </c>
      <c r="L3369" s="136"/>
      <c r="M3369" s="137" t="s">
        <v>22</v>
      </c>
      <c r="V3369" s="26" t="s">
        <v>855</v>
      </c>
      <c r="W3369" s="26"/>
      <c r="X3369" s="26"/>
      <c r="Y3369" s="26"/>
      <c r="Z3369" s="26"/>
      <c r="AA3369" s="26"/>
    </row>
    <row r="3370" spans="1:27" ht="15" customHeight="1" x14ac:dyDescent="0.2">
      <c r="A3370" s="37">
        <v>41492.772905092599</v>
      </c>
      <c r="B3370" s="26" t="s">
        <v>152</v>
      </c>
      <c r="C3370" s="26" t="s">
        <v>847</v>
      </c>
      <c r="D3370" s="33">
        <v>41456</v>
      </c>
      <c r="E3370" s="26" t="s">
        <v>856</v>
      </c>
      <c r="F3370" s="26" t="s">
        <v>857</v>
      </c>
      <c r="G3370" s="26" t="s">
        <v>26</v>
      </c>
      <c r="H3370" s="26" t="s">
        <v>857</v>
      </c>
      <c r="I3370" s="26"/>
      <c r="J3370" s="115">
        <v>4</v>
      </c>
      <c r="K3370" s="115">
        <v>75</v>
      </c>
      <c r="L3370" s="136"/>
      <c r="M3370" s="137" t="s">
        <v>22</v>
      </c>
      <c r="V3370" s="26" t="s">
        <v>858</v>
      </c>
      <c r="W3370" s="26"/>
      <c r="X3370" s="26"/>
      <c r="Y3370" s="26"/>
      <c r="Z3370" s="26"/>
      <c r="AA3370" s="26"/>
    </row>
    <row r="3371" spans="1:27" ht="15" customHeight="1" x14ac:dyDescent="0.2">
      <c r="A3371" s="37">
        <v>41492.773773148103</v>
      </c>
      <c r="B3371" s="26" t="s">
        <v>152</v>
      </c>
      <c r="C3371" s="26" t="s">
        <v>847</v>
      </c>
      <c r="D3371" s="33">
        <v>41456</v>
      </c>
      <c r="E3371" s="26" t="s">
        <v>859</v>
      </c>
      <c r="F3371" s="26" t="s">
        <v>860</v>
      </c>
      <c r="G3371" s="26" t="s">
        <v>26</v>
      </c>
      <c r="H3371" s="26" t="s">
        <v>861</v>
      </c>
      <c r="I3371" s="26"/>
      <c r="J3371" s="115">
        <v>2</v>
      </c>
      <c r="K3371" s="115">
        <v>8</v>
      </c>
      <c r="L3371" s="136">
        <v>120</v>
      </c>
      <c r="M3371" s="137" t="s">
        <v>22</v>
      </c>
      <c r="V3371" s="26"/>
      <c r="W3371" s="26"/>
      <c r="X3371" s="26"/>
      <c r="Y3371" s="26"/>
      <c r="Z3371" s="26"/>
      <c r="AA3371" s="26"/>
    </row>
    <row r="3372" spans="1:27" ht="15" customHeight="1" x14ac:dyDescent="0.2">
      <c r="A3372" s="37">
        <v>41492.774791666699</v>
      </c>
      <c r="B3372" s="26" t="s">
        <v>152</v>
      </c>
      <c r="C3372" s="26" t="s">
        <v>847</v>
      </c>
      <c r="D3372" s="33">
        <v>41456</v>
      </c>
      <c r="E3372" s="26" t="s">
        <v>862</v>
      </c>
      <c r="F3372" s="26" t="s">
        <v>863</v>
      </c>
      <c r="G3372" s="26" t="s">
        <v>26</v>
      </c>
      <c r="H3372" s="26" t="s">
        <v>864</v>
      </c>
      <c r="I3372" s="26"/>
      <c r="J3372" s="115">
        <v>1</v>
      </c>
      <c r="K3372" s="115">
        <v>5</v>
      </c>
      <c r="L3372" s="136"/>
      <c r="M3372" s="137" t="s">
        <v>22</v>
      </c>
      <c r="V3372" s="26"/>
      <c r="W3372" s="26"/>
      <c r="X3372" s="26"/>
      <c r="Y3372" s="26"/>
      <c r="Z3372" s="26"/>
      <c r="AA3372" s="26"/>
    </row>
    <row r="3373" spans="1:27" ht="15" customHeight="1" x14ac:dyDescent="0.2">
      <c r="A3373" s="37">
        <v>41492.776574074102</v>
      </c>
      <c r="B3373" s="26" t="s">
        <v>152</v>
      </c>
      <c r="C3373" s="26" t="s">
        <v>847</v>
      </c>
      <c r="D3373" s="33">
        <v>41456</v>
      </c>
      <c r="E3373" s="26" t="s">
        <v>865</v>
      </c>
      <c r="F3373" s="26" t="s">
        <v>866</v>
      </c>
      <c r="G3373" s="26" t="s">
        <v>26</v>
      </c>
      <c r="H3373" s="26" t="s">
        <v>867</v>
      </c>
      <c r="I3373" s="26"/>
      <c r="J3373" s="115">
        <v>3</v>
      </c>
      <c r="K3373" s="115">
        <v>65</v>
      </c>
      <c r="L3373" s="136"/>
      <c r="M3373" s="137" t="s">
        <v>22</v>
      </c>
      <c r="V3373" s="26" t="s">
        <v>868</v>
      </c>
      <c r="W3373" s="26"/>
      <c r="X3373" s="26"/>
      <c r="Y3373" s="26"/>
      <c r="Z3373" s="26"/>
      <c r="AA3373" s="26"/>
    </row>
    <row r="3374" spans="1:27" ht="15" customHeight="1" x14ac:dyDescent="0.2">
      <c r="A3374" s="37">
        <v>41492.779085648202</v>
      </c>
      <c r="B3374" s="26" t="s">
        <v>152</v>
      </c>
      <c r="C3374" s="26" t="s">
        <v>847</v>
      </c>
      <c r="D3374" s="33">
        <v>41456</v>
      </c>
      <c r="E3374" s="26" t="s">
        <v>869</v>
      </c>
      <c r="F3374" s="26" t="s">
        <v>870</v>
      </c>
      <c r="G3374" s="26" t="s">
        <v>26</v>
      </c>
      <c r="H3374" s="26" t="s">
        <v>871</v>
      </c>
      <c r="I3374" s="26"/>
      <c r="J3374" s="115">
        <v>3</v>
      </c>
      <c r="K3374" s="115">
        <v>36</v>
      </c>
      <c r="L3374" s="136"/>
      <c r="M3374" s="137" t="s">
        <v>22</v>
      </c>
      <c r="V3374" s="26" t="s">
        <v>872</v>
      </c>
      <c r="W3374" s="26"/>
      <c r="X3374" s="26"/>
      <c r="Y3374" s="26"/>
      <c r="Z3374" s="26"/>
      <c r="AA3374" s="26"/>
    </row>
    <row r="3375" spans="1:27" ht="15" customHeight="1" x14ac:dyDescent="0.2">
      <c r="A3375" s="37">
        <v>41492.780358796299</v>
      </c>
      <c r="B3375" s="26" t="s">
        <v>152</v>
      </c>
      <c r="C3375" s="26" t="s">
        <v>847</v>
      </c>
      <c r="D3375" s="33">
        <v>41456</v>
      </c>
      <c r="E3375" s="26" t="s">
        <v>873</v>
      </c>
      <c r="F3375" s="26" t="s">
        <v>874</v>
      </c>
      <c r="G3375" s="26" t="s">
        <v>26</v>
      </c>
      <c r="H3375" s="26" t="s">
        <v>875</v>
      </c>
      <c r="I3375" s="26"/>
      <c r="J3375" s="115">
        <v>3</v>
      </c>
      <c r="K3375" s="115">
        <v>7</v>
      </c>
      <c r="L3375" s="136"/>
      <c r="M3375" s="137" t="s">
        <v>22</v>
      </c>
      <c r="V3375" s="26" t="s">
        <v>876</v>
      </c>
      <c r="W3375" s="26"/>
      <c r="X3375" s="26"/>
      <c r="Y3375" s="26"/>
      <c r="Z3375" s="26"/>
      <c r="AA3375" s="26"/>
    </row>
    <row r="3376" spans="1:27" ht="15" customHeight="1" x14ac:dyDescent="0.2">
      <c r="A3376" s="37">
        <v>41492.781180555598</v>
      </c>
      <c r="B3376" s="26" t="s">
        <v>152</v>
      </c>
      <c r="C3376" s="26" t="s">
        <v>847</v>
      </c>
      <c r="D3376" s="33">
        <v>41456</v>
      </c>
      <c r="E3376" s="26" t="s">
        <v>877</v>
      </c>
      <c r="F3376" s="26" t="s">
        <v>878</v>
      </c>
      <c r="G3376" s="26" t="s">
        <v>26</v>
      </c>
      <c r="H3376" s="26" t="s">
        <v>879</v>
      </c>
      <c r="I3376" s="26"/>
      <c r="J3376" s="115">
        <v>3</v>
      </c>
      <c r="K3376" s="115">
        <v>8</v>
      </c>
      <c r="L3376" s="136"/>
      <c r="M3376" s="137" t="s">
        <v>22</v>
      </c>
      <c r="V3376" s="26" t="s">
        <v>880</v>
      </c>
      <c r="W3376" s="26"/>
      <c r="X3376" s="26"/>
      <c r="Y3376" s="26"/>
      <c r="Z3376" s="26"/>
      <c r="AA3376" s="26"/>
    </row>
    <row r="3377" spans="1:27" ht="15" customHeight="1" x14ac:dyDescent="0.2">
      <c r="A3377" s="37">
        <v>41492.7835416667</v>
      </c>
      <c r="B3377" s="26" t="s">
        <v>152</v>
      </c>
      <c r="C3377" s="26" t="s">
        <v>847</v>
      </c>
      <c r="D3377" s="33">
        <v>41456</v>
      </c>
      <c r="E3377" s="26" t="s">
        <v>881</v>
      </c>
      <c r="F3377" s="26" t="s">
        <v>882</v>
      </c>
      <c r="G3377" s="26" t="s">
        <v>26</v>
      </c>
      <c r="H3377" s="26" t="s">
        <v>883</v>
      </c>
      <c r="I3377" s="26"/>
      <c r="J3377" s="115">
        <v>4</v>
      </c>
      <c r="K3377" s="115">
        <v>12</v>
      </c>
      <c r="L3377" s="136"/>
      <c r="M3377" s="137" t="s">
        <v>22</v>
      </c>
      <c r="V3377" s="26" t="s">
        <v>884</v>
      </c>
      <c r="W3377" s="26"/>
      <c r="X3377" s="26"/>
      <c r="Y3377" s="26"/>
      <c r="Z3377" s="26"/>
      <c r="AA3377" s="26"/>
    </row>
    <row r="3378" spans="1:27" ht="15" customHeight="1" x14ac:dyDescent="0.2">
      <c r="A3378" s="37">
        <v>41492.785740740699</v>
      </c>
      <c r="B3378" s="26" t="s">
        <v>152</v>
      </c>
      <c r="C3378" s="26" t="s">
        <v>847</v>
      </c>
      <c r="D3378" s="33">
        <v>41456</v>
      </c>
      <c r="E3378" s="26" t="s">
        <v>885</v>
      </c>
      <c r="F3378" s="26" t="s">
        <v>886</v>
      </c>
      <c r="G3378" s="26" t="s">
        <v>26</v>
      </c>
      <c r="H3378" s="26" t="s">
        <v>887</v>
      </c>
      <c r="I3378" s="26"/>
      <c r="J3378" s="115">
        <v>4</v>
      </c>
      <c r="K3378" s="115">
        <v>9</v>
      </c>
      <c r="L3378" s="136"/>
      <c r="M3378" s="137" t="s">
        <v>22</v>
      </c>
      <c r="V3378" s="26" t="s">
        <v>888</v>
      </c>
      <c r="W3378" s="26"/>
      <c r="X3378" s="26"/>
      <c r="Y3378" s="26"/>
      <c r="Z3378" s="26"/>
      <c r="AA3378" s="26"/>
    </row>
    <row r="3379" spans="1:27" ht="15" customHeight="1" x14ac:dyDescent="0.2">
      <c r="A3379" s="37">
        <v>41492.786597222199</v>
      </c>
      <c r="B3379" s="26" t="s">
        <v>152</v>
      </c>
      <c r="C3379" s="26" t="s">
        <v>847</v>
      </c>
      <c r="D3379" s="33">
        <v>41456</v>
      </c>
      <c r="E3379" s="26" t="s">
        <v>889</v>
      </c>
      <c r="F3379" s="26" t="s">
        <v>890</v>
      </c>
      <c r="G3379" s="26" t="s">
        <v>26</v>
      </c>
      <c r="H3379" s="26" t="s">
        <v>891</v>
      </c>
      <c r="I3379" s="26"/>
      <c r="J3379" s="115">
        <v>1</v>
      </c>
      <c r="K3379" s="115">
        <v>19</v>
      </c>
      <c r="L3379" s="136"/>
      <c r="M3379" s="137" t="s">
        <v>22</v>
      </c>
      <c r="V3379" s="26"/>
      <c r="W3379" s="26"/>
      <c r="X3379" s="26"/>
      <c r="Y3379" s="26"/>
      <c r="Z3379" s="26"/>
      <c r="AA3379" s="26"/>
    </row>
    <row r="3380" spans="1:27" ht="15" customHeight="1" x14ac:dyDescent="0.2">
      <c r="A3380" s="37">
        <v>41492.787361111099</v>
      </c>
      <c r="B3380" s="26" t="s">
        <v>152</v>
      </c>
      <c r="C3380" s="26" t="s">
        <v>847</v>
      </c>
      <c r="D3380" s="33">
        <v>41456</v>
      </c>
      <c r="E3380" s="26" t="s">
        <v>892</v>
      </c>
      <c r="F3380" s="26" t="s">
        <v>120</v>
      </c>
      <c r="G3380" s="26" t="s">
        <v>26</v>
      </c>
      <c r="H3380" s="26" t="s">
        <v>893</v>
      </c>
      <c r="I3380" s="26"/>
      <c r="J3380" s="115">
        <v>2</v>
      </c>
      <c r="K3380" s="115">
        <v>12</v>
      </c>
      <c r="L3380" s="136"/>
      <c r="M3380" s="137" t="s">
        <v>22</v>
      </c>
      <c r="V3380" s="26"/>
      <c r="W3380" s="26"/>
      <c r="X3380" s="26"/>
      <c r="Y3380" s="26"/>
      <c r="Z3380" s="26"/>
      <c r="AA3380" s="26"/>
    </row>
    <row r="3381" spans="1:27" ht="15" customHeight="1" x14ac:dyDescent="0.2">
      <c r="A3381" s="37">
        <v>41492.788946759298</v>
      </c>
      <c r="B3381" s="26" t="s">
        <v>152</v>
      </c>
      <c r="C3381" s="26" t="s">
        <v>847</v>
      </c>
      <c r="D3381" s="33">
        <v>41456</v>
      </c>
      <c r="E3381" s="26" t="s">
        <v>894</v>
      </c>
      <c r="F3381" s="26" t="s">
        <v>895</v>
      </c>
      <c r="G3381" s="26" t="s">
        <v>26</v>
      </c>
      <c r="H3381" s="26" t="s">
        <v>896</v>
      </c>
      <c r="I3381" s="26"/>
      <c r="J3381" s="115">
        <v>1</v>
      </c>
      <c r="K3381" s="115">
        <v>27</v>
      </c>
      <c r="L3381" s="136"/>
      <c r="M3381" s="137" t="s">
        <v>22</v>
      </c>
      <c r="V3381" s="26" t="s">
        <v>897</v>
      </c>
      <c r="W3381" s="26"/>
      <c r="X3381" s="26"/>
      <c r="Y3381" s="26"/>
      <c r="Z3381" s="26"/>
      <c r="AA3381" s="26"/>
    </row>
    <row r="3382" spans="1:27" ht="15" customHeight="1" x14ac:dyDescent="0.2">
      <c r="A3382" s="37">
        <v>41492.790081018502</v>
      </c>
      <c r="B3382" s="26" t="s">
        <v>152</v>
      </c>
      <c r="C3382" s="26" t="s">
        <v>847</v>
      </c>
      <c r="D3382" s="33">
        <v>41456</v>
      </c>
      <c r="E3382" s="26" t="s">
        <v>898</v>
      </c>
      <c r="F3382" s="26" t="s">
        <v>899</v>
      </c>
      <c r="G3382" s="26" t="s">
        <v>42</v>
      </c>
      <c r="H3382" s="26" t="s">
        <v>900</v>
      </c>
      <c r="I3382" s="26"/>
      <c r="J3382" s="115">
        <v>1</v>
      </c>
      <c r="K3382" s="115">
        <v>88</v>
      </c>
      <c r="L3382" s="136"/>
      <c r="M3382" s="137" t="s">
        <v>22</v>
      </c>
      <c r="V3382" s="26"/>
      <c r="W3382" s="26"/>
      <c r="X3382" s="26"/>
      <c r="Y3382" s="26"/>
      <c r="Z3382" s="26"/>
      <c r="AA3382" s="26"/>
    </row>
    <row r="3383" spans="1:27" ht="15" customHeight="1" x14ac:dyDescent="0.2">
      <c r="A3383" s="37">
        <v>41492.791712963</v>
      </c>
      <c r="B3383" s="26" t="s">
        <v>152</v>
      </c>
      <c r="C3383" s="26" t="s">
        <v>847</v>
      </c>
      <c r="D3383" s="33">
        <v>41456</v>
      </c>
      <c r="E3383" s="26" t="s">
        <v>901</v>
      </c>
      <c r="F3383" s="26" t="s">
        <v>902</v>
      </c>
      <c r="G3383" s="26" t="s">
        <v>42</v>
      </c>
      <c r="H3383" s="26" t="s">
        <v>903</v>
      </c>
      <c r="I3383" s="26"/>
      <c r="J3383" s="115">
        <v>4</v>
      </c>
      <c r="K3383" s="115">
        <v>39</v>
      </c>
      <c r="L3383" s="136"/>
      <c r="M3383" s="137" t="s">
        <v>22</v>
      </c>
      <c r="V3383" s="26" t="s">
        <v>904</v>
      </c>
      <c r="W3383" s="26"/>
      <c r="X3383" s="26"/>
      <c r="Y3383" s="26"/>
      <c r="Z3383" s="26"/>
      <c r="AA3383" s="26"/>
    </row>
    <row r="3384" spans="1:27" ht="15" customHeight="1" x14ac:dyDescent="0.2">
      <c r="A3384" s="37">
        <v>41492.7953472222</v>
      </c>
      <c r="B3384" s="26" t="s">
        <v>152</v>
      </c>
      <c r="C3384" s="26" t="s">
        <v>847</v>
      </c>
      <c r="D3384" s="33">
        <v>41456</v>
      </c>
      <c r="E3384" s="26" t="s">
        <v>905</v>
      </c>
      <c r="F3384" s="26" t="s">
        <v>906</v>
      </c>
      <c r="G3384" s="26" t="s">
        <v>156</v>
      </c>
      <c r="H3384" s="26" t="s">
        <v>907</v>
      </c>
      <c r="I3384" s="26"/>
      <c r="J3384" s="115">
        <v>1</v>
      </c>
      <c r="K3384" s="115">
        <v>398</v>
      </c>
      <c r="L3384" s="136"/>
      <c r="M3384" s="137" t="s">
        <v>44</v>
      </c>
      <c r="T3384" s="138">
        <v>38</v>
      </c>
      <c r="V3384" s="26" t="s">
        <v>908</v>
      </c>
      <c r="W3384" s="26"/>
      <c r="X3384" s="26"/>
      <c r="Y3384" s="26"/>
      <c r="Z3384" s="26"/>
      <c r="AA3384" s="26"/>
    </row>
    <row r="3385" spans="1:27" ht="15" customHeight="1" x14ac:dyDescent="0.2">
      <c r="A3385" s="37">
        <v>41492.798750000002</v>
      </c>
      <c r="B3385" s="26" t="s">
        <v>152</v>
      </c>
      <c r="C3385" s="26" t="s">
        <v>847</v>
      </c>
      <c r="D3385" s="33">
        <v>41456</v>
      </c>
      <c r="E3385" s="26" t="s">
        <v>909</v>
      </c>
      <c r="F3385" s="26" t="s">
        <v>910</v>
      </c>
      <c r="G3385" s="26" t="s">
        <v>156</v>
      </c>
      <c r="H3385" s="26" t="s">
        <v>911</v>
      </c>
      <c r="I3385" s="26"/>
      <c r="J3385" s="115">
        <v>1</v>
      </c>
      <c r="K3385" s="115">
        <v>150</v>
      </c>
      <c r="L3385" s="136"/>
      <c r="M3385" s="137" t="s">
        <v>22</v>
      </c>
      <c r="V3385" s="26" t="s">
        <v>912</v>
      </c>
      <c r="W3385" s="26"/>
      <c r="X3385" s="26"/>
      <c r="Y3385" s="26"/>
      <c r="Z3385" s="26"/>
      <c r="AA3385" s="26"/>
    </row>
    <row r="3386" spans="1:27" ht="15" customHeight="1" x14ac:dyDescent="0.2">
      <c r="A3386" s="28">
        <v>41524.437384259261</v>
      </c>
      <c r="B3386" s="29" t="s">
        <v>152</v>
      </c>
      <c r="C3386" s="29" t="s">
        <v>847</v>
      </c>
      <c r="D3386" s="30">
        <v>41487</v>
      </c>
      <c r="E3386" s="29" t="s">
        <v>848</v>
      </c>
      <c r="F3386" s="29" t="s">
        <v>849</v>
      </c>
      <c r="G3386" s="29" t="s">
        <v>26</v>
      </c>
      <c r="H3386" s="39" t="s">
        <v>849</v>
      </c>
      <c r="I3386" s="39"/>
      <c r="J3386" s="116">
        <v>17</v>
      </c>
      <c r="K3386" s="116">
        <v>291</v>
      </c>
      <c r="L3386" s="139"/>
      <c r="M3386" s="140" t="s">
        <v>22</v>
      </c>
      <c r="N3386" s="141"/>
      <c r="O3386" s="141"/>
      <c r="P3386" s="141"/>
      <c r="Q3386" s="141"/>
      <c r="R3386" s="141"/>
      <c r="S3386" s="141"/>
      <c r="T3386" s="141"/>
      <c r="U3386" s="141"/>
      <c r="V3386" s="29"/>
      <c r="W3386" s="26"/>
      <c r="X3386" s="26"/>
      <c r="Y3386" s="26"/>
      <c r="Z3386" s="26"/>
      <c r="AA3386" s="26"/>
    </row>
    <row r="3387" spans="1:27" ht="15" customHeight="1" x14ac:dyDescent="0.2">
      <c r="A3387" s="28">
        <v>41524.437997685185</v>
      </c>
      <c r="B3387" s="29" t="s">
        <v>152</v>
      </c>
      <c r="C3387" s="29" t="s">
        <v>847</v>
      </c>
      <c r="D3387" s="30">
        <v>41487</v>
      </c>
      <c r="E3387" s="29" t="s">
        <v>850</v>
      </c>
      <c r="F3387" s="29" t="s">
        <v>851</v>
      </c>
      <c r="G3387" s="29" t="s">
        <v>26</v>
      </c>
      <c r="H3387" s="29" t="s">
        <v>852</v>
      </c>
      <c r="I3387" s="29"/>
      <c r="J3387" s="116">
        <v>5</v>
      </c>
      <c r="K3387" s="116">
        <v>549</v>
      </c>
      <c r="L3387" s="139"/>
      <c r="M3387" s="140" t="s">
        <v>22</v>
      </c>
      <c r="N3387" s="141"/>
      <c r="O3387" s="141"/>
      <c r="P3387" s="141"/>
      <c r="Q3387" s="141"/>
      <c r="R3387" s="141"/>
      <c r="S3387" s="141"/>
      <c r="T3387" s="141"/>
      <c r="U3387" s="141"/>
      <c r="V3387" s="29"/>
      <c r="W3387" s="26"/>
      <c r="X3387" s="26"/>
      <c r="Y3387" s="26"/>
      <c r="Z3387" s="26"/>
      <c r="AA3387" s="26"/>
    </row>
    <row r="3388" spans="1:27" ht="15" customHeight="1" x14ac:dyDescent="0.2">
      <c r="A3388" s="28">
        <v>41524.438726851855</v>
      </c>
      <c r="B3388" s="29" t="s">
        <v>152</v>
      </c>
      <c r="C3388" s="29" t="s">
        <v>847</v>
      </c>
      <c r="D3388" s="30">
        <v>41487</v>
      </c>
      <c r="E3388" s="29" t="s">
        <v>1765</v>
      </c>
      <c r="F3388" s="29" t="s">
        <v>611</v>
      </c>
      <c r="G3388" s="29" t="s">
        <v>26</v>
      </c>
      <c r="H3388" s="29" t="s">
        <v>854</v>
      </c>
      <c r="I3388" s="29"/>
      <c r="J3388" s="116">
        <v>8</v>
      </c>
      <c r="K3388" s="116">
        <v>288</v>
      </c>
      <c r="L3388" s="139"/>
      <c r="M3388" s="140" t="s">
        <v>22</v>
      </c>
      <c r="N3388" s="141"/>
      <c r="O3388" s="141"/>
      <c r="P3388" s="141"/>
      <c r="Q3388" s="141"/>
      <c r="R3388" s="141"/>
      <c r="S3388" s="141"/>
      <c r="T3388" s="141"/>
      <c r="U3388" s="141"/>
      <c r="V3388" s="29"/>
      <c r="W3388" s="26"/>
      <c r="X3388" s="26"/>
      <c r="Y3388" s="26"/>
      <c r="Z3388" s="26"/>
      <c r="AA3388" s="26"/>
    </row>
    <row r="3389" spans="1:27" ht="15" customHeight="1" x14ac:dyDescent="0.2">
      <c r="A3389" s="28">
        <v>41524.439259259256</v>
      </c>
      <c r="B3389" s="29" t="s">
        <v>152</v>
      </c>
      <c r="C3389" s="29" t="s">
        <v>847</v>
      </c>
      <c r="D3389" s="30">
        <v>41487</v>
      </c>
      <c r="E3389" s="29" t="s">
        <v>856</v>
      </c>
      <c r="F3389" s="29" t="s">
        <v>857</v>
      </c>
      <c r="G3389" s="29" t="s">
        <v>26</v>
      </c>
      <c r="H3389" s="29" t="s">
        <v>857</v>
      </c>
      <c r="I3389" s="29"/>
      <c r="J3389" s="116">
        <v>5</v>
      </c>
      <c r="K3389" s="116">
        <v>55</v>
      </c>
      <c r="L3389" s="139"/>
      <c r="M3389" s="140" t="s">
        <v>22</v>
      </c>
      <c r="N3389" s="141"/>
      <c r="O3389" s="141"/>
      <c r="P3389" s="141"/>
      <c r="Q3389" s="141"/>
      <c r="R3389" s="141"/>
      <c r="S3389" s="141"/>
      <c r="T3389" s="141"/>
      <c r="U3389" s="141"/>
      <c r="V3389" s="29"/>
      <c r="W3389" s="26"/>
      <c r="X3389" s="26"/>
      <c r="Y3389" s="26"/>
      <c r="Z3389" s="26"/>
      <c r="AA3389" s="26"/>
    </row>
    <row r="3390" spans="1:27" ht="15" customHeight="1" x14ac:dyDescent="0.2">
      <c r="A3390" s="28">
        <v>41524.44</v>
      </c>
      <c r="B3390" s="29" t="s">
        <v>152</v>
      </c>
      <c r="C3390" s="29" t="s">
        <v>847</v>
      </c>
      <c r="D3390" s="30">
        <v>41487</v>
      </c>
      <c r="E3390" s="29" t="s">
        <v>859</v>
      </c>
      <c r="F3390" s="29" t="s">
        <v>860</v>
      </c>
      <c r="G3390" s="29" t="s">
        <v>26</v>
      </c>
      <c r="H3390" s="29" t="s">
        <v>861</v>
      </c>
      <c r="I3390" s="29"/>
      <c r="J3390" s="116">
        <v>5</v>
      </c>
      <c r="K3390" s="116">
        <v>6</v>
      </c>
      <c r="L3390" s="139">
        <v>90</v>
      </c>
      <c r="M3390" s="140" t="s">
        <v>22</v>
      </c>
      <c r="N3390" s="141"/>
      <c r="O3390" s="141"/>
      <c r="P3390" s="141"/>
      <c r="Q3390" s="141"/>
      <c r="R3390" s="141"/>
      <c r="S3390" s="141"/>
      <c r="T3390" s="141"/>
      <c r="U3390" s="141"/>
      <c r="V3390" s="29"/>
      <c r="W3390" s="26"/>
      <c r="X3390" s="26"/>
      <c r="Y3390" s="26"/>
      <c r="Z3390" s="26"/>
      <c r="AA3390" s="26"/>
    </row>
    <row r="3391" spans="1:27" ht="15" customHeight="1" x14ac:dyDescent="0.2">
      <c r="A3391" s="28">
        <v>41524.440567129626</v>
      </c>
      <c r="B3391" s="29" t="s">
        <v>152</v>
      </c>
      <c r="C3391" s="29" t="s">
        <v>847</v>
      </c>
      <c r="D3391" s="30">
        <v>41487</v>
      </c>
      <c r="E3391" s="29" t="s">
        <v>862</v>
      </c>
      <c r="F3391" s="29" t="s">
        <v>866</v>
      </c>
      <c r="G3391" s="29" t="s">
        <v>26</v>
      </c>
      <c r="H3391" s="29" t="s">
        <v>867</v>
      </c>
      <c r="I3391" s="29"/>
      <c r="J3391" s="116">
        <v>3</v>
      </c>
      <c r="K3391" s="116">
        <v>107</v>
      </c>
      <c r="L3391" s="139"/>
      <c r="M3391" s="140" t="s">
        <v>22</v>
      </c>
      <c r="N3391" s="141"/>
      <c r="O3391" s="141"/>
      <c r="P3391" s="141"/>
      <c r="Q3391" s="141"/>
      <c r="R3391" s="141"/>
      <c r="S3391" s="141"/>
      <c r="T3391" s="141"/>
      <c r="U3391" s="141"/>
      <c r="V3391" s="29"/>
      <c r="W3391" s="26"/>
      <c r="X3391" s="26"/>
      <c r="Y3391" s="26"/>
      <c r="Z3391" s="26"/>
      <c r="AA3391" s="26"/>
    </row>
    <row r="3392" spans="1:27" ht="15" customHeight="1" x14ac:dyDescent="0.2">
      <c r="A3392" s="28">
        <v>41524.441099537034</v>
      </c>
      <c r="B3392" s="29" t="s">
        <v>152</v>
      </c>
      <c r="C3392" s="29" t="s">
        <v>847</v>
      </c>
      <c r="D3392" s="30">
        <v>41487</v>
      </c>
      <c r="E3392" s="29" t="s">
        <v>869</v>
      </c>
      <c r="F3392" s="29" t="s">
        <v>870</v>
      </c>
      <c r="G3392" s="29" t="s">
        <v>26</v>
      </c>
      <c r="H3392" s="29" t="s">
        <v>871</v>
      </c>
      <c r="I3392" s="29"/>
      <c r="J3392" s="116">
        <v>1</v>
      </c>
      <c r="K3392" s="116">
        <v>48</v>
      </c>
      <c r="L3392" s="139"/>
      <c r="M3392" s="140" t="s">
        <v>22</v>
      </c>
      <c r="N3392" s="141"/>
      <c r="O3392" s="141"/>
      <c r="P3392" s="141"/>
      <c r="Q3392" s="141"/>
      <c r="R3392" s="141"/>
      <c r="S3392" s="141"/>
      <c r="T3392" s="141"/>
      <c r="U3392" s="141"/>
      <c r="V3392" s="29"/>
      <c r="W3392" s="26"/>
      <c r="X3392" s="26"/>
      <c r="Y3392" s="26"/>
      <c r="Z3392" s="26"/>
      <c r="AA3392" s="26"/>
    </row>
    <row r="3393" spans="1:27" ht="15" customHeight="1" x14ac:dyDescent="0.2">
      <c r="A3393" s="28">
        <v>41524.442465277774</v>
      </c>
      <c r="B3393" s="29" t="s">
        <v>152</v>
      </c>
      <c r="C3393" s="29" t="s">
        <v>847</v>
      </c>
      <c r="D3393" s="30">
        <v>41487</v>
      </c>
      <c r="E3393" s="29" t="s">
        <v>873</v>
      </c>
      <c r="F3393" s="29" t="s">
        <v>874</v>
      </c>
      <c r="G3393" s="29" t="s">
        <v>26</v>
      </c>
      <c r="H3393" s="29" t="s">
        <v>875</v>
      </c>
      <c r="I3393" s="29"/>
      <c r="J3393" s="116">
        <v>5</v>
      </c>
      <c r="K3393" s="116">
        <v>0</v>
      </c>
      <c r="L3393" s="139"/>
      <c r="M3393" s="140" t="s">
        <v>22</v>
      </c>
      <c r="N3393" s="141"/>
      <c r="O3393" s="141"/>
      <c r="P3393" s="141"/>
      <c r="Q3393" s="141"/>
      <c r="R3393" s="141"/>
      <c r="S3393" s="141"/>
      <c r="T3393" s="141"/>
      <c r="U3393" s="141"/>
      <c r="V3393" s="29" t="s">
        <v>1766</v>
      </c>
      <c r="W3393" s="26"/>
      <c r="X3393" s="26"/>
      <c r="Y3393" s="26"/>
      <c r="Z3393" s="26"/>
      <c r="AA3393" s="26"/>
    </row>
    <row r="3394" spans="1:27" ht="15" customHeight="1" x14ac:dyDescent="0.2">
      <c r="A3394" s="28">
        <v>41524.443055555559</v>
      </c>
      <c r="B3394" s="29" t="s">
        <v>152</v>
      </c>
      <c r="C3394" s="29" t="s">
        <v>847</v>
      </c>
      <c r="D3394" s="30">
        <v>41487</v>
      </c>
      <c r="E3394" s="29" t="s">
        <v>877</v>
      </c>
      <c r="F3394" s="29" t="s">
        <v>878</v>
      </c>
      <c r="G3394" s="29" t="s">
        <v>26</v>
      </c>
      <c r="H3394" s="29" t="s">
        <v>879</v>
      </c>
      <c r="I3394" s="29"/>
      <c r="J3394" s="116">
        <v>5</v>
      </c>
      <c r="K3394" s="116">
        <v>10</v>
      </c>
      <c r="L3394" s="139"/>
      <c r="M3394" s="140" t="s">
        <v>22</v>
      </c>
      <c r="N3394" s="141"/>
      <c r="O3394" s="141"/>
      <c r="P3394" s="141"/>
      <c r="Q3394" s="141"/>
      <c r="R3394" s="141"/>
      <c r="S3394" s="141"/>
      <c r="T3394" s="141"/>
      <c r="U3394" s="141"/>
      <c r="V3394" s="29" t="s">
        <v>1767</v>
      </c>
      <c r="W3394" s="26"/>
      <c r="X3394" s="26"/>
      <c r="Y3394" s="26"/>
      <c r="Z3394" s="26"/>
      <c r="AA3394" s="26"/>
    </row>
    <row r="3395" spans="1:27" ht="15" customHeight="1" x14ac:dyDescent="0.2">
      <c r="A3395" s="28">
        <v>41524.443993055553</v>
      </c>
      <c r="B3395" s="29" t="s">
        <v>152</v>
      </c>
      <c r="C3395" s="29" t="s">
        <v>847</v>
      </c>
      <c r="D3395" s="30">
        <v>41487</v>
      </c>
      <c r="E3395" s="29" t="s">
        <v>881</v>
      </c>
      <c r="F3395" s="29" t="s">
        <v>882</v>
      </c>
      <c r="G3395" s="29" t="s">
        <v>26</v>
      </c>
      <c r="H3395" s="29" t="s">
        <v>883</v>
      </c>
      <c r="I3395" s="29"/>
      <c r="J3395" s="116">
        <v>3</v>
      </c>
      <c r="K3395" s="116">
        <v>12</v>
      </c>
      <c r="L3395" s="139"/>
      <c r="M3395" s="140" t="s">
        <v>22</v>
      </c>
      <c r="N3395" s="141"/>
      <c r="O3395" s="141"/>
      <c r="P3395" s="141"/>
      <c r="Q3395" s="141"/>
      <c r="R3395" s="141"/>
      <c r="S3395" s="141"/>
      <c r="T3395" s="141"/>
      <c r="U3395" s="141"/>
      <c r="V3395" s="29" t="s">
        <v>1768</v>
      </c>
      <c r="W3395" s="26"/>
      <c r="X3395" s="26"/>
      <c r="Y3395" s="26"/>
      <c r="Z3395" s="26"/>
      <c r="AA3395" s="26"/>
    </row>
    <row r="3396" spans="1:27" ht="15" customHeight="1" x14ac:dyDescent="0.2">
      <c r="A3396" s="28">
        <v>41524.444699074076</v>
      </c>
      <c r="B3396" s="29" t="s">
        <v>152</v>
      </c>
      <c r="C3396" s="29" t="s">
        <v>847</v>
      </c>
      <c r="D3396" s="30">
        <v>41487</v>
      </c>
      <c r="E3396" s="29" t="s">
        <v>885</v>
      </c>
      <c r="F3396" s="29" t="s">
        <v>886</v>
      </c>
      <c r="G3396" s="29" t="s">
        <v>26</v>
      </c>
      <c r="H3396" s="29" t="s">
        <v>887</v>
      </c>
      <c r="I3396" s="29"/>
      <c r="J3396" s="116">
        <v>4</v>
      </c>
      <c r="K3396" s="116">
        <v>25</v>
      </c>
      <c r="L3396" s="139"/>
      <c r="M3396" s="140" t="s">
        <v>22</v>
      </c>
      <c r="N3396" s="141"/>
      <c r="O3396" s="141"/>
      <c r="P3396" s="141"/>
      <c r="Q3396" s="141"/>
      <c r="R3396" s="141"/>
      <c r="S3396" s="141"/>
      <c r="T3396" s="141"/>
      <c r="U3396" s="141"/>
      <c r="V3396" s="29" t="s">
        <v>1769</v>
      </c>
      <c r="W3396" s="26"/>
      <c r="X3396" s="26"/>
      <c r="Y3396" s="26"/>
      <c r="Z3396" s="26"/>
      <c r="AA3396" s="26"/>
    </row>
    <row r="3397" spans="1:27" ht="15" customHeight="1" x14ac:dyDescent="0.2">
      <c r="A3397" s="28">
        <v>41524.445729166669</v>
      </c>
      <c r="B3397" s="29" t="s">
        <v>152</v>
      </c>
      <c r="C3397" s="29" t="s">
        <v>847</v>
      </c>
      <c r="D3397" s="30">
        <v>41487</v>
      </c>
      <c r="E3397" s="29" t="s">
        <v>1770</v>
      </c>
      <c r="F3397" s="29" t="s">
        <v>890</v>
      </c>
      <c r="G3397" s="29" t="s">
        <v>26</v>
      </c>
      <c r="H3397" s="39" t="s">
        <v>2001</v>
      </c>
      <c r="I3397" s="39"/>
      <c r="J3397" s="116">
        <v>1</v>
      </c>
      <c r="K3397" s="116">
        <v>5</v>
      </c>
      <c r="L3397" s="139"/>
      <c r="M3397" s="140" t="s">
        <v>22</v>
      </c>
      <c r="N3397" s="141"/>
      <c r="O3397" s="141"/>
      <c r="P3397" s="141"/>
      <c r="Q3397" s="141"/>
      <c r="R3397" s="141"/>
      <c r="S3397" s="141"/>
      <c r="T3397" s="141"/>
      <c r="U3397" s="141"/>
      <c r="V3397" s="29" t="s">
        <v>1771</v>
      </c>
      <c r="W3397" s="26"/>
      <c r="X3397" s="26"/>
      <c r="Y3397" s="26"/>
      <c r="Z3397" s="26"/>
      <c r="AA3397" s="26"/>
    </row>
    <row r="3398" spans="1:27" ht="15" customHeight="1" x14ac:dyDescent="0.2">
      <c r="A3398" s="28">
        <v>41524.446643518517</v>
      </c>
      <c r="B3398" s="29" t="s">
        <v>152</v>
      </c>
      <c r="C3398" s="29" t="s">
        <v>847</v>
      </c>
      <c r="D3398" s="30">
        <v>41487</v>
      </c>
      <c r="E3398" s="29" t="s">
        <v>892</v>
      </c>
      <c r="F3398" s="29" t="s">
        <v>120</v>
      </c>
      <c r="G3398" s="29" t="s">
        <v>26</v>
      </c>
      <c r="H3398" s="29" t="s">
        <v>893</v>
      </c>
      <c r="I3398" s="29"/>
      <c r="J3398" s="116">
        <v>3</v>
      </c>
      <c r="K3398" s="116">
        <v>7</v>
      </c>
      <c r="L3398" s="139"/>
      <c r="M3398" s="140" t="s">
        <v>22</v>
      </c>
      <c r="N3398" s="141"/>
      <c r="O3398" s="141"/>
      <c r="P3398" s="141"/>
      <c r="Q3398" s="141"/>
      <c r="R3398" s="141"/>
      <c r="S3398" s="141"/>
      <c r="T3398" s="141"/>
      <c r="U3398" s="141"/>
      <c r="V3398" s="29" t="s">
        <v>1772</v>
      </c>
      <c r="W3398" s="26"/>
      <c r="X3398" s="26"/>
      <c r="Y3398" s="26"/>
      <c r="Z3398" s="26"/>
      <c r="AA3398" s="26"/>
    </row>
    <row r="3399" spans="1:27" ht="15" customHeight="1" x14ac:dyDescent="0.2">
      <c r="A3399" s="28">
        <v>41524.448680555557</v>
      </c>
      <c r="B3399" s="29" t="s">
        <v>152</v>
      </c>
      <c r="C3399" s="29" t="s">
        <v>847</v>
      </c>
      <c r="D3399" s="30">
        <v>41487</v>
      </c>
      <c r="E3399" s="29" t="s">
        <v>1773</v>
      </c>
      <c r="F3399" s="29" t="s">
        <v>1774</v>
      </c>
      <c r="G3399" s="29" t="s">
        <v>26</v>
      </c>
      <c r="H3399" s="29" t="s">
        <v>1775</v>
      </c>
      <c r="I3399" s="29"/>
      <c r="J3399" s="116">
        <v>4</v>
      </c>
      <c r="K3399" s="116">
        <v>10</v>
      </c>
      <c r="L3399" s="139"/>
      <c r="M3399" s="140" t="s">
        <v>22</v>
      </c>
      <c r="N3399" s="141"/>
      <c r="O3399" s="141"/>
      <c r="P3399" s="141"/>
      <c r="Q3399" s="141"/>
      <c r="R3399" s="141"/>
      <c r="S3399" s="141"/>
      <c r="T3399" s="141"/>
      <c r="U3399" s="141"/>
      <c r="V3399" s="29" t="s">
        <v>1776</v>
      </c>
      <c r="W3399" s="26"/>
      <c r="X3399" s="26"/>
      <c r="Y3399" s="26"/>
      <c r="Z3399" s="26"/>
      <c r="AA3399" s="26"/>
    </row>
    <row r="3400" spans="1:27" ht="15" customHeight="1" x14ac:dyDescent="0.2">
      <c r="A3400" s="28">
        <v>41524.449791666666</v>
      </c>
      <c r="B3400" s="29" t="s">
        <v>152</v>
      </c>
      <c r="C3400" s="29" t="s">
        <v>847</v>
      </c>
      <c r="D3400" s="30">
        <v>41487</v>
      </c>
      <c r="E3400" s="29" t="s">
        <v>792</v>
      </c>
      <c r="F3400" s="29" t="s">
        <v>1777</v>
      </c>
      <c r="G3400" s="39" t="s">
        <v>26</v>
      </c>
      <c r="H3400" s="29" t="s">
        <v>896</v>
      </c>
      <c r="I3400" s="29"/>
      <c r="J3400" s="116">
        <v>1</v>
      </c>
      <c r="K3400" s="116">
        <v>56</v>
      </c>
      <c r="L3400" s="139"/>
      <c r="M3400" s="140" t="s">
        <v>22</v>
      </c>
      <c r="N3400" s="141"/>
      <c r="O3400" s="141"/>
      <c r="P3400" s="141"/>
      <c r="Q3400" s="141"/>
      <c r="R3400" s="141"/>
      <c r="S3400" s="141"/>
      <c r="T3400" s="141"/>
      <c r="U3400" s="141"/>
      <c r="V3400" s="29"/>
      <c r="W3400" s="26"/>
      <c r="X3400" s="26"/>
      <c r="Y3400" s="26"/>
      <c r="Z3400" s="26"/>
      <c r="AA3400" s="26"/>
    </row>
    <row r="3401" spans="1:27" ht="15" customHeight="1" x14ac:dyDescent="0.2">
      <c r="A3401" s="28">
        <v>41524.631296296298</v>
      </c>
      <c r="B3401" s="29" t="s">
        <v>152</v>
      </c>
      <c r="C3401" s="29" t="s">
        <v>847</v>
      </c>
      <c r="D3401" s="30">
        <v>41487</v>
      </c>
      <c r="E3401" s="29" t="s">
        <v>1790</v>
      </c>
      <c r="F3401" s="29" t="s">
        <v>1791</v>
      </c>
      <c r="G3401" s="29" t="s">
        <v>26</v>
      </c>
      <c r="H3401" s="29" t="s">
        <v>1792</v>
      </c>
      <c r="I3401" s="29"/>
      <c r="J3401" s="116">
        <v>1</v>
      </c>
      <c r="K3401" s="116">
        <v>8</v>
      </c>
      <c r="L3401" s="139">
        <v>50</v>
      </c>
      <c r="M3401" s="140" t="s">
        <v>22</v>
      </c>
      <c r="N3401" s="141"/>
      <c r="O3401" s="141"/>
      <c r="P3401" s="141"/>
      <c r="Q3401" s="141"/>
      <c r="R3401" s="141"/>
      <c r="S3401" s="141"/>
      <c r="T3401" s="141"/>
      <c r="U3401" s="141"/>
      <c r="V3401" s="29"/>
      <c r="W3401" s="26"/>
      <c r="X3401" s="26"/>
      <c r="Y3401" s="26"/>
      <c r="Z3401" s="26"/>
      <c r="AA3401" s="26"/>
    </row>
    <row r="3402" spans="1:27" ht="15" customHeight="1" x14ac:dyDescent="0.2">
      <c r="A3402" s="28">
        <v>41524.632418981484</v>
      </c>
      <c r="B3402" s="29" t="s">
        <v>152</v>
      </c>
      <c r="C3402" s="29" t="s">
        <v>847</v>
      </c>
      <c r="D3402" s="30">
        <v>41487</v>
      </c>
      <c r="E3402" s="29" t="s">
        <v>1793</v>
      </c>
      <c r="F3402" s="29" t="s">
        <v>1794</v>
      </c>
      <c r="G3402" s="29" t="s">
        <v>42</v>
      </c>
      <c r="H3402" s="29" t="s">
        <v>1795</v>
      </c>
      <c r="I3402" s="29"/>
      <c r="J3402" s="116">
        <v>1</v>
      </c>
      <c r="K3402" s="116">
        <v>17</v>
      </c>
      <c r="L3402" s="139"/>
      <c r="M3402" s="140" t="s">
        <v>22</v>
      </c>
      <c r="N3402" s="141"/>
      <c r="O3402" s="141"/>
      <c r="P3402" s="141"/>
      <c r="Q3402" s="141"/>
      <c r="R3402" s="141"/>
      <c r="S3402" s="141"/>
      <c r="T3402" s="141"/>
      <c r="U3402" s="141"/>
      <c r="V3402" s="29"/>
      <c r="W3402" s="26"/>
      <c r="X3402" s="26"/>
      <c r="Y3402" s="26"/>
      <c r="Z3402" s="26"/>
      <c r="AA3402" s="26"/>
    </row>
    <row r="3403" spans="1:27" ht="15" customHeight="1" x14ac:dyDescent="0.2">
      <c r="A3403" s="60">
        <v>41585.736157407402</v>
      </c>
      <c r="B3403" s="62" t="s">
        <v>152</v>
      </c>
      <c r="C3403" s="112" t="s">
        <v>847</v>
      </c>
      <c r="D3403" s="70">
        <v>41548</v>
      </c>
      <c r="E3403" s="64" t="s">
        <v>2863</v>
      </c>
      <c r="F3403" s="64" t="s">
        <v>2864</v>
      </c>
      <c r="G3403" s="62" t="s">
        <v>156</v>
      </c>
      <c r="H3403" s="64" t="s">
        <v>2865</v>
      </c>
      <c r="I3403" s="64"/>
      <c r="J3403" s="123">
        <v>1</v>
      </c>
      <c r="K3403" s="123">
        <v>500</v>
      </c>
      <c r="L3403" s="164">
        <v>269</v>
      </c>
      <c r="M3403" s="165" t="s">
        <v>44</v>
      </c>
      <c r="N3403" s="166"/>
      <c r="O3403" s="166">
        <v>2500</v>
      </c>
      <c r="P3403" s="166">
        <v>2826.59</v>
      </c>
      <c r="Q3403" s="166">
        <v>5936.99</v>
      </c>
      <c r="R3403" s="166">
        <v>11673.99</v>
      </c>
      <c r="S3403" s="167"/>
      <c r="T3403" s="166"/>
      <c r="U3403" s="166">
        <v>50</v>
      </c>
      <c r="V3403" s="64"/>
      <c r="W3403" s="26"/>
      <c r="X3403" s="26"/>
      <c r="Y3403" s="26"/>
      <c r="Z3403" s="26"/>
      <c r="AA3403" s="26"/>
    </row>
    <row r="3404" spans="1:27" ht="15" customHeight="1" x14ac:dyDescent="0.2">
      <c r="A3404" s="32">
        <v>41646.476944444446</v>
      </c>
      <c r="B3404" s="26" t="s">
        <v>152</v>
      </c>
      <c r="C3404" s="26" t="s">
        <v>847</v>
      </c>
      <c r="D3404" s="68">
        <v>41609</v>
      </c>
      <c r="E3404" s="26" t="s">
        <v>4000</v>
      </c>
      <c r="F3404" s="26" t="s">
        <v>4001</v>
      </c>
      <c r="G3404" s="26" t="s">
        <v>156</v>
      </c>
      <c r="H3404" s="26" t="s">
        <v>4002</v>
      </c>
      <c r="I3404" s="26" t="s">
        <v>2812</v>
      </c>
      <c r="J3404" s="46">
        <v>1</v>
      </c>
      <c r="K3404" s="46">
        <v>350</v>
      </c>
      <c r="L3404" s="136"/>
      <c r="M3404" s="137" t="s">
        <v>44</v>
      </c>
      <c r="O3404" s="138">
        <v>150</v>
      </c>
      <c r="P3404" s="138">
        <v>1493.51</v>
      </c>
      <c r="Q3404" s="138">
        <v>1116.48</v>
      </c>
      <c r="R3404" s="138">
        <v>2205.16</v>
      </c>
      <c r="U3404" s="138">
        <v>25</v>
      </c>
      <c r="V3404" s="26"/>
      <c r="W3404" s="26"/>
      <c r="X3404" s="26"/>
      <c r="Y3404" s="26"/>
      <c r="Z3404" s="26"/>
      <c r="AA3404" s="26"/>
    </row>
    <row r="3405" spans="1:27" ht="15" customHeight="1" x14ac:dyDescent="0.2">
      <c r="A3405" s="55">
        <v>41646.483368055597</v>
      </c>
      <c r="B3405" s="52" t="s">
        <v>152</v>
      </c>
      <c r="C3405" s="52" t="s">
        <v>847</v>
      </c>
      <c r="D3405" s="69">
        <v>41640</v>
      </c>
      <c r="E3405" s="52" t="s">
        <v>4157</v>
      </c>
      <c r="F3405" s="52" t="s">
        <v>4158</v>
      </c>
      <c r="G3405" s="52" t="s">
        <v>26</v>
      </c>
      <c r="H3405" s="52" t="s">
        <v>4120</v>
      </c>
      <c r="I3405" s="52" t="s">
        <v>4159</v>
      </c>
      <c r="J3405" s="95">
        <v>1</v>
      </c>
      <c r="K3405" s="118">
        <v>26</v>
      </c>
      <c r="L3405" s="148"/>
      <c r="M3405" s="146" t="s">
        <v>44</v>
      </c>
      <c r="N3405" s="147"/>
      <c r="O3405" s="147">
        <v>100</v>
      </c>
      <c r="P3405" s="147">
        <v>250</v>
      </c>
      <c r="Q3405" s="147">
        <v>100</v>
      </c>
      <c r="R3405" s="147">
        <v>200</v>
      </c>
      <c r="S3405" s="147"/>
      <c r="T3405" s="147"/>
      <c r="U3405" s="149"/>
      <c r="V3405" s="52"/>
      <c r="W3405" s="52"/>
      <c r="X3405" s="52"/>
      <c r="Y3405" s="52"/>
      <c r="Z3405" s="26"/>
      <c r="AA3405" s="26"/>
    </row>
    <row r="3406" spans="1:27" ht="15" customHeight="1" x14ac:dyDescent="0.2">
      <c r="A3406" s="37">
        <v>41477.628090277802</v>
      </c>
      <c r="B3406" s="26" t="s">
        <v>16</v>
      </c>
      <c r="C3406" s="26" t="s">
        <v>286</v>
      </c>
      <c r="D3406" s="33">
        <v>41456</v>
      </c>
      <c r="E3406" s="26" t="s">
        <v>287</v>
      </c>
      <c r="F3406" s="26" t="s">
        <v>288</v>
      </c>
      <c r="G3406" s="26" t="s">
        <v>26</v>
      </c>
      <c r="H3406" s="26" t="s">
        <v>289</v>
      </c>
      <c r="I3406" s="26"/>
      <c r="J3406" s="46">
        <v>1</v>
      </c>
      <c r="K3406" s="46">
        <v>7</v>
      </c>
      <c r="L3406" s="136"/>
      <c r="M3406" s="137" t="s">
        <v>22</v>
      </c>
      <c r="V3406" s="26" t="s">
        <v>290</v>
      </c>
      <c r="W3406" s="26"/>
      <c r="X3406" s="26"/>
      <c r="Y3406" s="26"/>
      <c r="Z3406" s="26"/>
      <c r="AA3406" s="26"/>
    </row>
    <row r="3407" spans="1:27" ht="15" customHeight="1" x14ac:dyDescent="0.2">
      <c r="A3407" s="37">
        <v>41477.630243055602</v>
      </c>
      <c r="B3407" s="26" t="s">
        <v>16</v>
      </c>
      <c r="C3407" s="26" t="s">
        <v>286</v>
      </c>
      <c r="D3407" s="33">
        <v>41456</v>
      </c>
      <c r="E3407" s="26" t="s">
        <v>291</v>
      </c>
      <c r="F3407" s="26" t="s">
        <v>292</v>
      </c>
      <c r="G3407" s="26" t="s">
        <v>26</v>
      </c>
      <c r="H3407" s="26" t="s">
        <v>293</v>
      </c>
      <c r="I3407" s="26"/>
      <c r="J3407" s="46">
        <v>1</v>
      </c>
      <c r="K3407" s="46">
        <v>130</v>
      </c>
      <c r="L3407" s="136"/>
      <c r="M3407" s="137" t="s">
        <v>44</v>
      </c>
      <c r="P3407" s="138">
        <v>44.25</v>
      </c>
      <c r="V3407" s="26" t="s">
        <v>294</v>
      </c>
      <c r="W3407" s="26"/>
      <c r="X3407" s="26"/>
      <c r="Y3407" s="26"/>
      <c r="Z3407" s="26"/>
      <c r="AA3407" s="26"/>
    </row>
    <row r="3408" spans="1:27" ht="15" customHeight="1" x14ac:dyDescent="0.2">
      <c r="A3408" s="37">
        <v>41477.633344907401</v>
      </c>
      <c r="B3408" s="26" t="s">
        <v>16</v>
      </c>
      <c r="C3408" s="26" t="s">
        <v>286</v>
      </c>
      <c r="D3408" s="33">
        <v>41456</v>
      </c>
      <c r="E3408" s="26" t="s">
        <v>295</v>
      </c>
      <c r="F3408" s="26" t="s">
        <v>296</v>
      </c>
      <c r="G3408" s="26" t="s">
        <v>26</v>
      </c>
      <c r="H3408" s="26" t="s">
        <v>297</v>
      </c>
      <c r="I3408" s="26"/>
      <c r="J3408" s="46">
        <v>1</v>
      </c>
      <c r="K3408" s="46">
        <v>7</v>
      </c>
      <c r="L3408" s="136"/>
      <c r="M3408" s="137" t="s">
        <v>22</v>
      </c>
      <c r="V3408" s="26"/>
      <c r="W3408" s="26"/>
      <c r="X3408" s="26"/>
      <c r="Y3408" s="26"/>
      <c r="Z3408" s="26"/>
      <c r="AA3408" s="26"/>
    </row>
    <row r="3409" spans="1:27" ht="15" customHeight="1" x14ac:dyDescent="0.2">
      <c r="A3409" s="37">
        <v>41477.645416666703</v>
      </c>
      <c r="B3409" s="26" t="s">
        <v>16</v>
      </c>
      <c r="C3409" s="26" t="s">
        <v>286</v>
      </c>
      <c r="D3409" s="33">
        <v>41456</v>
      </c>
      <c r="E3409" s="26" t="s">
        <v>298</v>
      </c>
      <c r="F3409" s="26" t="s">
        <v>299</v>
      </c>
      <c r="G3409" s="26" t="s">
        <v>26</v>
      </c>
      <c r="H3409" s="26" t="s">
        <v>300</v>
      </c>
      <c r="I3409" s="26"/>
      <c r="J3409" s="46">
        <v>1</v>
      </c>
      <c r="K3409" s="46">
        <v>16</v>
      </c>
      <c r="L3409" s="136">
        <v>8</v>
      </c>
      <c r="M3409" s="137" t="s">
        <v>22</v>
      </c>
      <c r="V3409" s="26" t="s">
        <v>301</v>
      </c>
      <c r="W3409" s="26"/>
      <c r="X3409" s="26"/>
      <c r="Y3409" s="26"/>
      <c r="Z3409" s="26"/>
      <c r="AA3409" s="26"/>
    </row>
    <row r="3410" spans="1:27" ht="15" customHeight="1" x14ac:dyDescent="0.2">
      <c r="A3410" s="38">
        <v>41498.448391203703</v>
      </c>
      <c r="B3410" s="29" t="s">
        <v>16</v>
      </c>
      <c r="C3410" s="29" t="s">
        <v>286</v>
      </c>
      <c r="D3410" s="30">
        <v>41487</v>
      </c>
      <c r="E3410" s="31" t="s">
        <v>1348</v>
      </c>
      <c r="F3410" s="29" t="s">
        <v>299</v>
      </c>
      <c r="G3410" s="29" t="s">
        <v>26</v>
      </c>
      <c r="H3410" s="29" t="s">
        <v>1349</v>
      </c>
      <c r="I3410" s="29"/>
      <c r="J3410" s="116">
        <v>1</v>
      </c>
      <c r="K3410" s="116">
        <v>5</v>
      </c>
      <c r="L3410" s="139"/>
      <c r="M3410" s="140" t="s">
        <v>22</v>
      </c>
      <c r="N3410" s="141"/>
      <c r="O3410" s="141"/>
      <c r="P3410" s="141"/>
      <c r="Q3410" s="141"/>
      <c r="R3410" s="141"/>
      <c r="S3410" s="141"/>
      <c r="T3410" s="141"/>
      <c r="U3410" s="141"/>
      <c r="V3410" s="29"/>
      <c r="W3410" s="26"/>
      <c r="X3410" s="26"/>
      <c r="Y3410" s="26"/>
      <c r="Z3410" s="26"/>
      <c r="AA3410" s="26"/>
    </row>
    <row r="3411" spans="1:27" ht="15" customHeight="1" x14ac:dyDescent="0.2">
      <c r="A3411" s="38">
        <v>41498.44903935185</v>
      </c>
      <c r="B3411" s="29" t="s">
        <v>16</v>
      </c>
      <c r="C3411" s="29" t="s">
        <v>286</v>
      </c>
      <c r="D3411" s="30">
        <v>41487</v>
      </c>
      <c r="E3411" s="31" t="s">
        <v>1350</v>
      </c>
      <c r="F3411" s="29" t="s">
        <v>463</v>
      </c>
      <c r="G3411" s="29" t="s">
        <v>26</v>
      </c>
      <c r="H3411" s="29" t="s">
        <v>1324</v>
      </c>
      <c r="I3411" s="29"/>
      <c r="J3411" s="116">
        <v>1</v>
      </c>
      <c r="K3411" s="116">
        <v>0</v>
      </c>
      <c r="L3411" s="139"/>
      <c r="M3411" s="140" t="s">
        <v>22</v>
      </c>
      <c r="N3411" s="141"/>
      <c r="O3411" s="141"/>
      <c r="P3411" s="141"/>
      <c r="Q3411" s="141"/>
      <c r="R3411" s="141"/>
      <c r="S3411" s="141"/>
      <c r="T3411" s="141"/>
      <c r="U3411" s="141"/>
      <c r="V3411" s="29"/>
      <c r="W3411" s="26"/>
      <c r="X3411" s="26"/>
      <c r="Y3411" s="26"/>
      <c r="Z3411" s="26"/>
      <c r="AA3411" s="26"/>
    </row>
    <row r="3412" spans="1:27" ht="15" customHeight="1" x14ac:dyDescent="0.2">
      <c r="A3412" s="38">
        <v>41498.449780092589</v>
      </c>
      <c r="B3412" s="29" t="s">
        <v>16</v>
      </c>
      <c r="C3412" s="29" t="s">
        <v>286</v>
      </c>
      <c r="D3412" s="30">
        <v>41487</v>
      </c>
      <c r="E3412" s="31" t="s">
        <v>1351</v>
      </c>
      <c r="F3412" s="29" t="s">
        <v>120</v>
      </c>
      <c r="G3412" s="29" t="s">
        <v>26</v>
      </c>
      <c r="H3412" s="29" t="s">
        <v>1352</v>
      </c>
      <c r="I3412" s="29"/>
      <c r="J3412" s="116">
        <v>1</v>
      </c>
      <c r="K3412" s="116">
        <v>2</v>
      </c>
      <c r="L3412" s="139"/>
      <c r="M3412" s="140" t="s">
        <v>22</v>
      </c>
      <c r="N3412" s="141"/>
      <c r="O3412" s="141"/>
      <c r="P3412" s="141"/>
      <c r="Q3412" s="141"/>
      <c r="R3412" s="141"/>
      <c r="S3412" s="141"/>
      <c r="T3412" s="141"/>
      <c r="U3412" s="141"/>
      <c r="V3412" s="29"/>
      <c r="W3412" s="26"/>
      <c r="X3412" s="26"/>
      <c r="Y3412" s="26"/>
      <c r="Z3412" s="26"/>
      <c r="AA3412" s="26"/>
    </row>
    <row r="3413" spans="1:27" ht="15" customHeight="1" x14ac:dyDescent="0.2">
      <c r="A3413" s="38">
        <v>41498.450312499997</v>
      </c>
      <c r="B3413" s="29" t="s">
        <v>16</v>
      </c>
      <c r="C3413" s="29" t="s">
        <v>286</v>
      </c>
      <c r="D3413" s="30">
        <v>41487</v>
      </c>
      <c r="E3413" s="31" t="s">
        <v>1353</v>
      </c>
      <c r="F3413" s="29" t="s">
        <v>288</v>
      </c>
      <c r="G3413" s="29" t="s">
        <v>26</v>
      </c>
      <c r="H3413" s="29" t="s">
        <v>1354</v>
      </c>
      <c r="I3413" s="29"/>
      <c r="J3413" s="116">
        <v>1</v>
      </c>
      <c r="K3413" s="116">
        <v>0</v>
      </c>
      <c r="L3413" s="139"/>
      <c r="M3413" s="140" t="s">
        <v>22</v>
      </c>
      <c r="N3413" s="141"/>
      <c r="O3413" s="141"/>
      <c r="P3413" s="141"/>
      <c r="Q3413" s="141"/>
      <c r="R3413" s="141"/>
      <c r="S3413" s="141"/>
      <c r="T3413" s="141"/>
      <c r="U3413" s="141"/>
      <c r="V3413" s="29"/>
      <c r="W3413" s="26"/>
      <c r="X3413" s="26"/>
      <c r="Y3413" s="26"/>
      <c r="Z3413" s="26"/>
      <c r="AA3413" s="26"/>
    </row>
    <row r="3414" spans="1:27" ht="15" customHeight="1" x14ac:dyDescent="0.2">
      <c r="A3414" s="38">
        <v>41498.451203703706</v>
      </c>
      <c r="B3414" s="29" t="s">
        <v>16</v>
      </c>
      <c r="C3414" s="29" t="s">
        <v>286</v>
      </c>
      <c r="D3414" s="30">
        <v>41487</v>
      </c>
      <c r="E3414" s="31" t="s">
        <v>1355</v>
      </c>
      <c r="F3414" s="29" t="s">
        <v>292</v>
      </c>
      <c r="G3414" s="29" t="s">
        <v>26</v>
      </c>
      <c r="H3414" s="29" t="s">
        <v>293</v>
      </c>
      <c r="I3414" s="29"/>
      <c r="J3414" s="116">
        <v>1</v>
      </c>
      <c r="K3414" s="116">
        <v>15</v>
      </c>
      <c r="L3414" s="139"/>
      <c r="M3414" s="140" t="s">
        <v>44</v>
      </c>
      <c r="N3414" s="141"/>
      <c r="O3414" s="141">
        <v>20</v>
      </c>
      <c r="P3414" s="141"/>
      <c r="Q3414" s="141"/>
      <c r="R3414" s="141"/>
      <c r="S3414" s="141"/>
      <c r="T3414" s="141"/>
      <c r="U3414" s="141"/>
      <c r="V3414" s="29" t="s">
        <v>1356</v>
      </c>
      <c r="W3414" s="26"/>
      <c r="X3414" s="26"/>
      <c r="Y3414" s="26"/>
      <c r="Z3414" s="26"/>
      <c r="AA3414" s="26"/>
    </row>
    <row r="3415" spans="1:27" ht="15" customHeight="1" x14ac:dyDescent="0.2">
      <c r="A3415" s="38">
        <v>41498.452256944445</v>
      </c>
      <c r="B3415" s="29" t="s">
        <v>16</v>
      </c>
      <c r="C3415" s="29" t="s">
        <v>286</v>
      </c>
      <c r="D3415" s="30">
        <v>41487</v>
      </c>
      <c r="E3415" s="31" t="s">
        <v>1357</v>
      </c>
      <c r="F3415" s="29" t="s">
        <v>1358</v>
      </c>
      <c r="G3415" s="29" t="s">
        <v>26</v>
      </c>
      <c r="H3415" s="29" t="s">
        <v>1359</v>
      </c>
      <c r="I3415" s="29"/>
      <c r="J3415" s="116">
        <v>1</v>
      </c>
      <c r="K3415" s="116">
        <v>25</v>
      </c>
      <c r="L3415" s="139">
        <v>32</v>
      </c>
      <c r="M3415" s="140" t="s">
        <v>44</v>
      </c>
      <c r="N3415" s="141"/>
      <c r="O3415" s="141">
        <v>5</v>
      </c>
      <c r="P3415" s="141"/>
      <c r="Q3415" s="141"/>
      <c r="R3415" s="141"/>
      <c r="S3415" s="141"/>
      <c r="T3415" s="141"/>
      <c r="U3415" s="141">
        <v>15</v>
      </c>
      <c r="V3415" s="29"/>
      <c r="W3415" s="26"/>
      <c r="X3415" s="26"/>
      <c r="Y3415" s="26"/>
      <c r="Z3415" s="26"/>
      <c r="AA3415" s="26"/>
    </row>
    <row r="3416" spans="1:27" ht="15" customHeight="1" x14ac:dyDescent="0.2">
      <c r="A3416" s="38">
        <v>41498.452905092592</v>
      </c>
      <c r="B3416" s="29" t="s">
        <v>16</v>
      </c>
      <c r="C3416" s="29" t="s">
        <v>286</v>
      </c>
      <c r="D3416" s="30">
        <v>41487</v>
      </c>
      <c r="E3416" s="31" t="s">
        <v>1360</v>
      </c>
      <c r="F3416" s="29" t="s">
        <v>296</v>
      </c>
      <c r="G3416" s="29" t="s">
        <v>26</v>
      </c>
      <c r="H3416" s="29" t="s">
        <v>297</v>
      </c>
      <c r="I3416" s="29"/>
      <c r="J3416" s="116">
        <v>1</v>
      </c>
      <c r="K3416" s="116">
        <v>5</v>
      </c>
      <c r="L3416" s="139">
        <v>4</v>
      </c>
      <c r="M3416" s="140" t="s">
        <v>22</v>
      </c>
      <c r="N3416" s="141"/>
      <c r="O3416" s="141"/>
      <c r="P3416" s="141"/>
      <c r="Q3416" s="141"/>
      <c r="R3416" s="141"/>
      <c r="S3416" s="141"/>
      <c r="T3416" s="141"/>
      <c r="U3416" s="141"/>
      <c r="V3416" s="29"/>
      <c r="W3416" s="26"/>
      <c r="X3416" s="26"/>
      <c r="Y3416" s="26"/>
      <c r="Z3416" s="26"/>
      <c r="AA3416" s="26"/>
    </row>
    <row r="3417" spans="1:27" ht="15" customHeight="1" x14ac:dyDescent="0.2">
      <c r="A3417" s="32">
        <v>41546.475891203707</v>
      </c>
      <c r="B3417" s="26" t="s">
        <v>16</v>
      </c>
      <c r="C3417" s="26" t="s">
        <v>286</v>
      </c>
      <c r="D3417" s="30">
        <v>41518</v>
      </c>
      <c r="E3417" s="26" t="s">
        <v>2246</v>
      </c>
      <c r="F3417" s="26" t="s">
        <v>1824</v>
      </c>
      <c r="G3417" s="26" t="s">
        <v>26</v>
      </c>
      <c r="H3417" s="26" t="s">
        <v>1924</v>
      </c>
      <c r="I3417" s="26"/>
      <c r="J3417" s="46">
        <v>1</v>
      </c>
      <c r="K3417" s="46">
        <v>15</v>
      </c>
      <c r="L3417" s="136"/>
      <c r="M3417" s="137" t="s">
        <v>22</v>
      </c>
      <c r="V3417" s="26"/>
      <c r="W3417" s="26"/>
      <c r="X3417" s="26"/>
      <c r="Y3417" s="26"/>
      <c r="Z3417" s="26"/>
      <c r="AA3417" s="26"/>
    </row>
    <row r="3418" spans="1:27" ht="15" customHeight="1" x14ac:dyDescent="0.2">
      <c r="A3418" s="32">
        <v>41546.477083333331</v>
      </c>
      <c r="B3418" s="26" t="s">
        <v>16</v>
      </c>
      <c r="C3418" s="26" t="s">
        <v>286</v>
      </c>
      <c r="D3418" s="30">
        <v>41518</v>
      </c>
      <c r="E3418" s="26" t="s">
        <v>2247</v>
      </c>
      <c r="F3418" s="26" t="s">
        <v>2248</v>
      </c>
      <c r="G3418" s="26" t="s">
        <v>26</v>
      </c>
      <c r="H3418" s="26" t="s">
        <v>293</v>
      </c>
      <c r="I3418" s="26"/>
      <c r="J3418" s="46">
        <v>1</v>
      </c>
      <c r="K3418" s="46">
        <v>30</v>
      </c>
      <c r="L3418" s="136"/>
      <c r="M3418" s="137" t="s">
        <v>44</v>
      </c>
      <c r="O3418" s="138">
        <v>20</v>
      </c>
      <c r="V3418" s="26"/>
      <c r="W3418" s="26"/>
      <c r="X3418" s="26"/>
      <c r="Y3418" s="26"/>
      <c r="Z3418" s="26"/>
      <c r="AA3418" s="26"/>
    </row>
    <row r="3419" spans="1:27" ht="15" customHeight="1" x14ac:dyDescent="0.2">
      <c r="A3419" s="32">
        <v>41546.477627314816</v>
      </c>
      <c r="B3419" s="26" t="s">
        <v>16</v>
      </c>
      <c r="C3419" s="26" t="s">
        <v>286</v>
      </c>
      <c r="D3419" s="30">
        <v>41518</v>
      </c>
      <c r="E3419" s="26" t="s">
        <v>2249</v>
      </c>
      <c r="F3419" s="26" t="s">
        <v>296</v>
      </c>
      <c r="G3419" s="26" t="s">
        <v>26</v>
      </c>
      <c r="H3419" s="26" t="s">
        <v>297</v>
      </c>
      <c r="I3419" s="26"/>
      <c r="J3419" s="46">
        <v>1</v>
      </c>
      <c r="K3419" s="46">
        <v>0</v>
      </c>
      <c r="L3419" s="136"/>
      <c r="M3419" s="137" t="s">
        <v>22</v>
      </c>
      <c r="V3419" s="26"/>
      <c r="W3419" s="26"/>
      <c r="X3419" s="26"/>
      <c r="Y3419" s="26"/>
      <c r="Z3419" s="26"/>
      <c r="AA3419" s="26"/>
    </row>
    <row r="3420" spans="1:27" ht="15" customHeight="1" x14ac:dyDescent="0.2">
      <c r="A3420" s="32">
        <v>41546.478449074071</v>
      </c>
      <c r="B3420" s="26" t="s">
        <v>16</v>
      </c>
      <c r="C3420" s="26" t="s">
        <v>286</v>
      </c>
      <c r="D3420" s="30">
        <v>41518</v>
      </c>
      <c r="E3420" s="26" t="s">
        <v>2250</v>
      </c>
      <c r="F3420" s="26" t="s">
        <v>1098</v>
      </c>
      <c r="G3420" s="26" t="s">
        <v>26</v>
      </c>
      <c r="H3420" s="26" t="s">
        <v>2251</v>
      </c>
      <c r="I3420" s="26"/>
      <c r="J3420" s="46">
        <v>1</v>
      </c>
      <c r="K3420" s="46">
        <v>12</v>
      </c>
      <c r="L3420" s="136"/>
      <c r="M3420" s="137" t="s">
        <v>22</v>
      </c>
      <c r="V3420" s="26"/>
      <c r="W3420" s="26"/>
      <c r="X3420" s="26"/>
      <c r="Y3420" s="26"/>
      <c r="Z3420" s="26"/>
      <c r="AA3420" s="26"/>
    </row>
    <row r="3421" spans="1:27" ht="15" customHeight="1" x14ac:dyDescent="0.2">
      <c r="A3421" s="32">
        <v>41546.480057870373</v>
      </c>
      <c r="B3421" s="26" t="s">
        <v>16</v>
      </c>
      <c r="C3421" s="26" t="s">
        <v>286</v>
      </c>
      <c r="D3421" s="30">
        <v>41518</v>
      </c>
      <c r="E3421" s="26" t="s">
        <v>2252</v>
      </c>
      <c r="F3421" s="26" t="s">
        <v>299</v>
      </c>
      <c r="G3421" s="26" t="s">
        <v>26</v>
      </c>
      <c r="H3421" s="26" t="s">
        <v>2253</v>
      </c>
      <c r="I3421" s="26"/>
      <c r="J3421" s="46">
        <v>1</v>
      </c>
      <c r="K3421" s="46">
        <v>0</v>
      </c>
      <c r="L3421" s="136"/>
      <c r="M3421" s="137" t="s">
        <v>22</v>
      </c>
      <c r="V3421" s="26"/>
      <c r="W3421" s="26"/>
      <c r="X3421" s="26"/>
      <c r="Y3421" s="26"/>
      <c r="Z3421" s="26"/>
      <c r="AA3421" s="26"/>
    </row>
    <row r="3422" spans="1:27" ht="15" customHeight="1" x14ac:dyDescent="0.2">
      <c r="A3422" s="48">
        <v>41625.411041666703</v>
      </c>
      <c r="B3422" s="49" t="s">
        <v>16</v>
      </c>
      <c r="C3422" s="50" t="s">
        <v>286</v>
      </c>
      <c r="D3422" s="67">
        <v>41579</v>
      </c>
      <c r="E3422" s="50" t="s">
        <v>3688</v>
      </c>
      <c r="F3422" s="50" t="s">
        <v>3689</v>
      </c>
      <c r="G3422" s="49" t="s">
        <v>20</v>
      </c>
      <c r="H3422" s="50" t="s">
        <v>3684</v>
      </c>
      <c r="I3422" s="50" t="s">
        <v>2986</v>
      </c>
      <c r="J3422" s="117">
        <v>1</v>
      </c>
      <c r="K3422" s="117">
        <v>15</v>
      </c>
      <c r="L3422" s="142">
        <v>60</v>
      </c>
      <c r="M3422" s="143" t="s">
        <v>22</v>
      </c>
      <c r="N3422" s="144"/>
      <c r="O3422" s="144"/>
      <c r="P3422" s="144"/>
      <c r="Q3422" s="144"/>
      <c r="R3422" s="144"/>
      <c r="S3422" s="144"/>
      <c r="T3422" s="144"/>
      <c r="U3422" s="144"/>
      <c r="V3422" s="50"/>
      <c r="W3422" s="26"/>
      <c r="X3422" s="26"/>
      <c r="Y3422" s="26"/>
      <c r="Z3422" s="26"/>
      <c r="AA3422" s="26"/>
    </row>
    <row r="3423" spans="1:27" ht="15" customHeight="1" x14ac:dyDescent="0.2">
      <c r="A3423" s="37">
        <v>41493.403171296297</v>
      </c>
      <c r="B3423" s="26" t="s">
        <v>16</v>
      </c>
      <c r="C3423" s="26" t="s">
        <v>975</v>
      </c>
      <c r="D3423" s="33">
        <v>41456</v>
      </c>
      <c r="E3423" s="26" t="s">
        <v>976</v>
      </c>
      <c r="F3423" s="26" t="s">
        <v>977</v>
      </c>
      <c r="G3423" s="26" t="s">
        <v>26</v>
      </c>
      <c r="H3423" s="26" t="s">
        <v>978</v>
      </c>
      <c r="I3423" s="26"/>
      <c r="J3423" s="46">
        <v>24</v>
      </c>
      <c r="K3423" s="46">
        <v>518</v>
      </c>
      <c r="L3423" s="136"/>
      <c r="M3423" s="137" t="s">
        <v>22</v>
      </c>
      <c r="V3423" s="26"/>
      <c r="W3423" s="26"/>
      <c r="X3423" s="26"/>
      <c r="Y3423" s="26"/>
      <c r="Z3423" s="26"/>
      <c r="AA3423" s="26"/>
    </row>
    <row r="3424" spans="1:27" ht="15" customHeight="1" x14ac:dyDescent="0.2">
      <c r="A3424" s="37">
        <v>41493.4053472222</v>
      </c>
      <c r="B3424" s="26" t="s">
        <v>16</v>
      </c>
      <c r="C3424" s="26" t="s">
        <v>975</v>
      </c>
      <c r="D3424" s="33">
        <v>41456</v>
      </c>
      <c r="E3424" s="26" t="s">
        <v>979</v>
      </c>
      <c r="F3424" s="26" t="s">
        <v>980</v>
      </c>
      <c r="G3424" s="26" t="s">
        <v>42</v>
      </c>
      <c r="H3424" s="26" t="s">
        <v>981</v>
      </c>
      <c r="I3424" s="26"/>
      <c r="J3424" s="115">
        <v>1</v>
      </c>
      <c r="K3424" s="115">
        <v>20</v>
      </c>
      <c r="L3424" s="136">
        <v>120</v>
      </c>
      <c r="M3424" s="137" t="s">
        <v>22</v>
      </c>
      <c r="V3424" s="26"/>
      <c r="W3424" s="26"/>
      <c r="X3424" s="26"/>
      <c r="Y3424" s="26"/>
      <c r="Z3424" s="26"/>
      <c r="AA3424" s="26"/>
    </row>
    <row r="3425" spans="1:27" ht="15" customHeight="1" x14ac:dyDescent="0.2">
      <c r="A3425" s="37">
        <v>41493.409039351798</v>
      </c>
      <c r="B3425" s="26" t="s">
        <v>16</v>
      </c>
      <c r="C3425" s="26" t="s">
        <v>975</v>
      </c>
      <c r="D3425" s="33">
        <v>41456</v>
      </c>
      <c r="E3425" s="26" t="s">
        <v>982</v>
      </c>
      <c r="F3425" s="26" t="s">
        <v>983</v>
      </c>
      <c r="G3425" s="26" t="s">
        <v>26</v>
      </c>
      <c r="H3425" s="26" t="s">
        <v>1252</v>
      </c>
      <c r="I3425" s="26"/>
      <c r="J3425" s="46">
        <v>26</v>
      </c>
      <c r="K3425" s="46">
        <v>894</v>
      </c>
      <c r="L3425" s="136"/>
      <c r="M3425" s="137" t="s">
        <v>22</v>
      </c>
      <c r="V3425" s="26"/>
      <c r="W3425" s="26"/>
      <c r="X3425" s="26"/>
      <c r="Y3425" s="26"/>
      <c r="Z3425" s="26"/>
      <c r="AA3425" s="26"/>
    </row>
    <row r="3426" spans="1:27" ht="15" customHeight="1" x14ac:dyDescent="0.2">
      <c r="A3426" s="37">
        <v>41493.410254629598</v>
      </c>
      <c r="B3426" s="26" t="s">
        <v>16</v>
      </c>
      <c r="C3426" s="26" t="s">
        <v>975</v>
      </c>
      <c r="D3426" s="33">
        <v>41456</v>
      </c>
      <c r="E3426" s="26" t="s">
        <v>984</v>
      </c>
      <c r="F3426" s="26" t="s">
        <v>985</v>
      </c>
      <c r="G3426" s="26" t="s">
        <v>26</v>
      </c>
      <c r="H3426" s="26"/>
      <c r="I3426" s="26"/>
      <c r="J3426" s="46">
        <v>3</v>
      </c>
      <c r="K3426" s="46">
        <v>12</v>
      </c>
      <c r="L3426" s="136"/>
      <c r="M3426" s="137" t="s">
        <v>22</v>
      </c>
      <c r="V3426" s="26"/>
      <c r="W3426" s="26"/>
      <c r="X3426" s="26"/>
      <c r="Y3426" s="26"/>
      <c r="Z3426" s="26"/>
      <c r="AA3426" s="26"/>
    </row>
    <row r="3427" spans="1:27" ht="15" customHeight="1" x14ac:dyDescent="0.2">
      <c r="A3427" s="38">
        <v>41521.56046296296</v>
      </c>
      <c r="B3427" s="29" t="s">
        <v>16</v>
      </c>
      <c r="C3427" s="29" t="s">
        <v>975</v>
      </c>
      <c r="D3427" s="30">
        <v>41487</v>
      </c>
      <c r="E3427" s="31" t="s">
        <v>1595</v>
      </c>
      <c r="F3427" s="29" t="s">
        <v>1596</v>
      </c>
      <c r="G3427" s="29" t="s">
        <v>26</v>
      </c>
      <c r="H3427" s="29" t="s">
        <v>1597</v>
      </c>
      <c r="I3427" s="29"/>
      <c r="J3427" s="116">
        <v>27</v>
      </c>
      <c r="K3427" s="116">
        <v>215</v>
      </c>
      <c r="L3427" s="139"/>
      <c r="M3427" s="140" t="s">
        <v>22</v>
      </c>
      <c r="N3427" s="141"/>
      <c r="O3427" s="141"/>
      <c r="P3427" s="141"/>
      <c r="Q3427" s="141"/>
      <c r="R3427" s="141"/>
      <c r="S3427" s="141"/>
      <c r="T3427" s="141"/>
      <c r="U3427" s="141"/>
      <c r="V3427" s="29"/>
      <c r="W3427" s="26"/>
      <c r="X3427" s="26"/>
      <c r="Y3427" s="26"/>
      <c r="Z3427" s="26"/>
      <c r="AA3427" s="26"/>
    </row>
    <row r="3428" spans="1:27" s="26" customFormat="1" ht="15" customHeight="1" x14ac:dyDescent="0.2">
      <c r="A3428" s="38">
        <v>41521.56349537037</v>
      </c>
      <c r="B3428" s="29" t="s">
        <v>16</v>
      </c>
      <c r="C3428" s="29" t="s">
        <v>975</v>
      </c>
      <c r="D3428" s="30">
        <v>41487</v>
      </c>
      <c r="E3428" s="31" t="s">
        <v>1598</v>
      </c>
      <c r="F3428" s="29" t="s">
        <v>1599</v>
      </c>
      <c r="G3428" s="29" t="s">
        <v>42</v>
      </c>
      <c r="H3428" s="29" t="s">
        <v>1600</v>
      </c>
      <c r="I3428" s="29"/>
      <c r="J3428" s="116">
        <v>1</v>
      </c>
      <c r="K3428" s="116">
        <v>12</v>
      </c>
      <c r="L3428" s="139">
        <v>48</v>
      </c>
      <c r="M3428" s="140" t="s">
        <v>22</v>
      </c>
      <c r="N3428" s="141"/>
      <c r="O3428" s="141"/>
      <c r="P3428" s="141"/>
      <c r="Q3428" s="141"/>
      <c r="R3428" s="141"/>
      <c r="S3428" s="141"/>
      <c r="T3428" s="141"/>
      <c r="U3428" s="141"/>
      <c r="V3428" s="29"/>
    </row>
    <row r="3429" spans="1:27" ht="15" customHeight="1" x14ac:dyDescent="0.2">
      <c r="A3429" s="38">
        <v>41521.565254629626</v>
      </c>
      <c r="B3429" s="29" t="s">
        <v>16</v>
      </c>
      <c r="C3429" s="29" t="s">
        <v>975</v>
      </c>
      <c r="D3429" s="30">
        <v>41487</v>
      </c>
      <c r="E3429" s="31" t="s">
        <v>1601</v>
      </c>
      <c r="F3429" s="29" t="s">
        <v>1602</v>
      </c>
      <c r="G3429" s="29" t="s">
        <v>42</v>
      </c>
      <c r="H3429" s="29" t="s">
        <v>1603</v>
      </c>
      <c r="I3429" s="29"/>
      <c r="J3429" s="116">
        <v>1</v>
      </c>
      <c r="K3429" s="116">
        <v>40</v>
      </c>
      <c r="L3429" s="139">
        <v>240</v>
      </c>
      <c r="M3429" s="140" t="s">
        <v>22</v>
      </c>
      <c r="N3429" s="141"/>
      <c r="O3429" s="141"/>
      <c r="P3429" s="141"/>
      <c r="Q3429" s="141"/>
      <c r="R3429" s="141"/>
      <c r="S3429" s="141"/>
      <c r="T3429" s="141"/>
      <c r="U3429" s="141"/>
      <c r="V3429" s="29"/>
      <c r="W3429" s="26"/>
      <c r="X3429" s="26"/>
      <c r="Y3429" s="26"/>
      <c r="Z3429" s="26"/>
      <c r="AA3429" s="26"/>
    </row>
    <row r="3430" spans="1:27" ht="15" customHeight="1" x14ac:dyDescent="0.2">
      <c r="A3430" s="38">
        <v>41521.56689814815</v>
      </c>
      <c r="B3430" s="29" t="s">
        <v>16</v>
      </c>
      <c r="C3430" s="29" t="s">
        <v>975</v>
      </c>
      <c r="D3430" s="30">
        <v>41487</v>
      </c>
      <c r="E3430" s="31" t="s">
        <v>1604</v>
      </c>
      <c r="F3430" s="29" t="s">
        <v>1605</v>
      </c>
      <c r="G3430" s="29" t="s">
        <v>26</v>
      </c>
      <c r="H3430" s="29" t="s">
        <v>1606</v>
      </c>
      <c r="I3430" s="29"/>
      <c r="J3430" s="116">
        <v>27</v>
      </c>
      <c r="K3430" s="116">
        <v>621</v>
      </c>
      <c r="L3430" s="139"/>
      <c r="M3430" s="140" t="s">
        <v>22</v>
      </c>
      <c r="N3430" s="141"/>
      <c r="O3430" s="141"/>
      <c r="P3430" s="141"/>
      <c r="Q3430" s="141"/>
      <c r="R3430" s="141"/>
      <c r="S3430" s="141"/>
      <c r="T3430" s="141"/>
      <c r="U3430" s="141"/>
      <c r="V3430" s="29"/>
      <c r="W3430" s="26"/>
      <c r="X3430" s="26"/>
      <c r="Y3430" s="26"/>
      <c r="Z3430" s="26"/>
      <c r="AA3430" s="26"/>
    </row>
    <row r="3431" spans="1:27" ht="15" customHeight="1" x14ac:dyDescent="0.2">
      <c r="A3431" s="38">
        <v>41521.568865740737</v>
      </c>
      <c r="B3431" s="29" t="s">
        <v>16</v>
      </c>
      <c r="C3431" s="29" t="s">
        <v>975</v>
      </c>
      <c r="D3431" s="30">
        <v>41487</v>
      </c>
      <c r="E3431" s="31" t="s">
        <v>1607</v>
      </c>
      <c r="F3431" s="29" t="s">
        <v>1608</v>
      </c>
      <c r="G3431" s="29" t="s">
        <v>26</v>
      </c>
      <c r="H3431" s="29" t="s">
        <v>1609</v>
      </c>
      <c r="I3431" s="29"/>
      <c r="J3431" s="116">
        <v>3</v>
      </c>
      <c r="K3431" s="116">
        <v>29</v>
      </c>
      <c r="L3431" s="139"/>
      <c r="M3431" s="140" t="s">
        <v>22</v>
      </c>
      <c r="N3431" s="141"/>
      <c r="O3431" s="141"/>
      <c r="P3431" s="141"/>
      <c r="Q3431" s="141"/>
      <c r="R3431" s="141"/>
      <c r="S3431" s="141"/>
      <c r="T3431" s="141"/>
      <c r="U3431" s="141"/>
      <c r="V3431" s="29"/>
      <c r="W3431" s="26"/>
      <c r="X3431" s="26"/>
      <c r="Y3431" s="26"/>
      <c r="Z3431" s="26"/>
      <c r="AA3431" s="26"/>
    </row>
    <row r="3432" spans="1:27" ht="15" customHeight="1" x14ac:dyDescent="0.2">
      <c r="A3432" s="38">
        <v>41521.571620370371</v>
      </c>
      <c r="B3432" s="29" t="s">
        <v>16</v>
      </c>
      <c r="C3432" s="29" t="s">
        <v>975</v>
      </c>
      <c r="D3432" s="30">
        <v>41487</v>
      </c>
      <c r="E3432" s="31" t="s">
        <v>1610</v>
      </c>
      <c r="F3432" s="29" t="s">
        <v>1611</v>
      </c>
      <c r="G3432" s="39" t="s">
        <v>156</v>
      </c>
      <c r="H3432" s="39" t="s">
        <v>1612</v>
      </c>
      <c r="I3432" s="39"/>
      <c r="J3432" s="116">
        <v>1</v>
      </c>
      <c r="K3432" s="116">
        <v>20</v>
      </c>
      <c r="L3432" s="139"/>
      <c r="M3432" s="140" t="s">
        <v>22</v>
      </c>
      <c r="N3432" s="141"/>
      <c r="O3432" s="141"/>
      <c r="P3432" s="141"/>
      <c r="Q3432" s="141"/>
      <c r="R3432" s="141"/>
      <c r="S3432" s="141"/>
      <c r="T3432" s="141"/>
      <c r="U3432" s="141"/>
      <c r="V3432" s="29"/>
      <c r="W3432" s="26"/>
      <c r="X3432" s="26"/>
      <c r="Y3432" s="26"/>
      <c r="Z3432" s="26"/>
      <c r="AA3432" s="26"/>
    </row>
    <row r="3433" spans="1:27" ht="15" customHeight="1" x14ac:dyDescent="0.2">
      <c r="A3433" s="38">
        <v>41521.573460648149</v>
      </c>
      <c r="B3433" s="29" t="s">
        <v>16</v>
      </c>
      <c r="C3433" s="29" t="s">
        <v>975</v>
      </c>
      <c r="D3433" s="30">
        <v>41487</v>
      </c>
      <c r="E3433" s="31" t="s">
        <v>1613</v>
      </c>
      <c r="F3433" s="29" t="s">
        <v>1614</v>
      </c>
      <c r="G3433" s="29" t="s">
        <v>156</v>
      </c>
      <c r="H3433" s="39" t="s">
        <v>1615</v>
      </c>
      <c r="I3433" s="39"/>
      <c r="J3433" s="116">
        <v>1</v>
      </c>
      <c r="K3433" s="116">
        <v>109</v>
      </c>
      <c r="L3433" s="139"/>
      <c r="M3433" s="140" t="s">
        <v>22</v>
      </c>
      <c r="N3433" s="141"/>
      <c r="O3433" s="141"/>
      <c r="P3433" s="141"/>
      <c r="Q3433" s="141"/>
      <c r="R3433" s="141"/>
      <c r="S3433" s="141"/>
      <c r="T3433" s="141"/>
      <c r="U3433" s="141"/>
      <c r="V3433" s="29"/>
      <c r="W3433" s="26"/>
      <c r="X3433" s="26"/>
      <c r="Y3433" s="26"/>
      <c r="Z3433" s="26"/>
      <c r="AA3433" s="26"/>
    </row>
    <row r="3434" spans="1:27" ht="15" customHeight="1" x14ac:dyDescent="0.2">
      <c r="A3434" s="32">
        <v>41557.693043981482</v>
      </c>
      <c r="B3434" s="26" t="s">
        <v>16</v>
      </c>
      <c r="C3434" s="26" t="s">
        <v>975</v>
      </c>
      <c r="D3434" s="30">
        <v>41518</v>
      </c>
      <c r="E3434" s="36" t="s">
        <v>1595</v>
      </c>
      <c r="F3434" s="26" t="s">
        <v>2778</v>
      </c>
      <c r="G3434" s="26" t="s">
        <v>26</v>
      </c>
      <c r="H3434" s="26" t="s">
        <v>2779</v>
      </c>
      <c r="I3434" s="26"/>
      <c r="J3434" s="46">
        <v>27</v>
      </c>
      <c r="K3434" s="46">
        <v>223</v>
      </c>
      <c r="L3434" s="136"/>
      <c r="M3434" s="137" t="s">
        <v>22</v>
      </c>
      <c r="V3434" s="26"/>
      <c r="W3434" s="26"/>
      <c r="X3434" s="26"/>
      <c r="Y3434" s="26"/>
      <c r="Z3434" s="26"/>
      <c r="AA3434" s="26"/>
    </row>
    <row r="3435" spans="1:27" ht="15" customHeight="1" x14ac:dyDescent="0.2">
      <c r="A3435" s="32">
        <v>41557.696458333332</v>
      </c>
      <c r="B3435" s="26" t="s">
        <v>16</v>
      </c>
      <c r="C3435" s="26" t="s">
        <v>975</v>
      </c>
      <c r="D3435" s="30">
        <v>41518</v>
      </c>
      <c r="E3435" s="36" t="s">
        <v>2780</v>
      </c>
      <c r="F3435" s="26" t="s">
        <v>2781</v>
      </c>
      <c r="G3435" s="26" t="s">
        <v>20</v>
      </c>
      <c r="H3435" s="26" t="s">
        <v>2782</v>
      </c>
      <c r="I3435" s="26"/>
      <c r="J3435" s="46">
        <v>1</v>
      </c>
      <c r="K3435" s="46">
        <v>101</v>
      </c>
      <c r="L3435" s="136">
        <v>404</v>
      </c>
      <c r="M3435" s="137" t="s">
        <v>22</v>
      </c>
      <c r="V3435" s="26"/>
      <c r="W3435" s="26"/>
      <c r="X3435" s="26"/>
      <c r="Y3435" s="26"/>
      <c r="Z3435" s="26"/>
      <c r="AA3435" s="26"/>
    </row>
    <row r="3436" spans="1:27" ht="15" customHeight="1" x14ac:dyDescent="0.2">
      <c r="A3436" s="32">
        <v>41557.699733796297</v>
      </c>
      <c r="B3436" s="26" t="s">
        <v>16</v>
      </c>
      <c r="C3436" s="26" t="s">
        <v>975</v>
      </c>
      <c r="D3436" s="30">
        <v>41518</v>
      </c>
      <c r="E3436" s="36" t="s">
        <v>2783</v>
      </c>
      <c r="F3436" s="26" t="s">
        <v>1605</v>
      </c>
      <c r="G3436" s="26" t="s">
        <v>26</v>
      </c>
      <c r="H3436" s="26" t="s">
        <v>2784</v>
      </c>
      <c r="I3436" s="26"/>
      <c r="J3436" s="46">
        <v>108</v>
      </c>
      <c r="K3436" s="46">
        <v>574</v>
      </c>
      <c r="L3436" s="136"/>
      <c r="M3436" s="137" t="s">
        <v>22</v>
      </c>
      <c r="V3436" s="26"/>
      <c r="W3436" s="26"/>
      <c r="X3436" s="26"/>
      <c r="Y3436" s="26"/>
      <c r="Z3436" s="26"/>
      <c r="AA3436" s="26"/>
    </row>
    <row r="3437" spans="1:27" ht="15" customHeight="1" x14ac:dyDescent="0.2">
      <c r="A3437" s="32">
        <v>41557.702789351853</v>
      </c>
      <c r="B3437" s="26" t="s">
        <v>16</v>
      </c>
      <c r="C3437" s="26" t="s">
        <v>975</v>
      </c>
      <c r="D3437" s="30">
        <v>41518</v>
      </c>
      <c r="E3437" s="36" t="s">
        <v>1607</v>
      </c>
      <c r="F3437" s="26" t="s">
        <v>2785</v>
      </c>
      <c r="G3437" s="26" t="s">
        <v>26</v>
      </c>
      <c r="H3437" s="26" t="s">
        <v>2786</v>
      </c>
      <c r="I3437" s="26"/>
      <c r="J3437" s="46">
        <v>11</v>
      </c>
      <c r="K3437" s="46">
        <v>65</v>
      </c>
      <c r="L3437" s="136"/>
      <c r="M3437" s="137" t="s">
        <v>22</v>
      </c>
      <c r="V3437" s="26"/>
      <c r="W3437" s="26"/>
      <c r="X3437" s="26"/>
      <c r="Y3437" s="26"/>
      <c r="Z3437" s="26"/>
      <c r="AA3437" s="26"/>
    </row>
    <row r="3438" spans="1:27" ht="15" customHeight="1" x14ac:dyDescent="0.2">
      <c r="A3438" s="32">
        <v>41557.710127314815</v>
      </c>
      <c r="B3438" s="26" t="s">
        <v>16</v>
      </c>
      <c r="C3438" s="26" t="s">
        <v>975</v>
      </c>
      <c r="D3438" s="30">
        <v>41518</v>
      </c>
      <c r="E3438" s="36" t="s">
        <v>2787</v>
      </c>
      <c r="F3438" s="26" t="s">
        <v>2788</v>
      </c>
      <c r="G3438" s="26" t="s">
        <v>156</v>
      </c>
      <c r="H3438" s="26" t="s">
        <v>2789</v>
      </c>
      <c r="I3438" s="26"/>
      <c r="J3438" s="46">
        <v>1</v>
      </c>
      <c r="K3438" s="46">
        <v>215</v>
      </c>
      <c r="L3438" s="136"/>
      <c r="M3438" s="137" t="s">
        <v>22</v>
      </c>
      <c r="V3438" s="26"/>
      <c r="W3438" s="26"/>
      <c r="X3438" s="26"/>
      <c r="Y3438" s="26"/>
      <c r="Z3438" s="26"/>
      <c r="AA3438" s="26"/>
    </row>
    <row r="3439" spans="1:27" ht="15" customHeight="1" x14ac:dyDescent="0.2">
      <c r="A3439" s="48">
        <v>41625.407291666699</v>
      </c>
      <c r="B3439" s="49" t="s">
        <v>16</v>
      </c>
      <c r="C3439" s="50" t="s">
        <v>975</v>
      </c>
      <c r="D3439" s="67">
        <v>41579</v>
      </c>
      <c r="E3439" s="50" t="s">
        <v>3680</v>
      </c>
      <c r="F3439" s="50" t="s">
        <v>977</v>
      </c>
      <c r="G3439" s="49" t="s">
        <v>26</v>
      </c>
      <c r="H3439" s="50" t="s">
        <v>3681</v>
      </c>
      <c r="I3439" s="50" t="s">
        <v>3001</v>
      </c>
      <c r="J3439" s="117">
        <v>8</v>
      </c>
      <c r="K3439" s="117">
        <v>169</v>
      </c>
      <c r="L3439" s="142"/>
      <c r="M3439" s="143" t="s">
        <v>22</v>
      </c>
      <c r="N3439" s="144"/>
      <c r="O3439" s="144"/>
      <c r="P3439" s="144"/>
      <c r="Q3439" s="144"/>
      <c r="R3439" s="144"/>
      <c r="S3439" s="144"/>
      <c r="T3439" s="144"/>
      <c r="U3439" s="144"/>
      <c r="V3439" s="50"/>
      <c r="W3439" s="26"/>
      <c r="X3439" s="26"/>
      <c r="Y3439" s="26"/>
      <c r="Z3439" s="26"/>
      <c r="AA3439" s="26"/>
    </row>
    <row r="3440" spans="1:27" ht="15" customHeight="1" x14ac:dyDescent="0.2">
      <c r="A3440" s="48">
        <v>41625.409282407403</v>
      </c>
      <c r="B3440" s="49" t="s">
        <v>16</v>
      </c>
      <c r="C3440" s="50" t="s">
        <v>975</v>
      </c>
      <c r="D3440" s="67">
        <v>41579</v>
      </c>
      <c r="E3440" s="50" t="s">
        <v>3682</v>
      </c>
      <c r="F3440" s="50" t="s">
        <v>3683</v>
      </c>
      <c r="G3440" s="49" t="s">
        <v>42</v>
      </c>
      <c r="H3440" s="50" t="s">
        <v>3684</v>
      </c>
      <c r="I3440" s="50" t="s">
        <v>2986</v>
      </c>
      <c r="J3440" s="117">
        <v>1</v>
      </c>
      <c r="K3440" s="117">
        <v>27</v>
      </c>
      <c r="L3440" s="142">
        <v>162</v>
      </c>
      <c r="M3440" s="143" t="s">
        <v>44</v>
      </c>
      <c r="N3440" s="144"/>
      <c r="O3440" s="144"/>
      <c r="P3440" s="144">
        <v>50</v>
      </c>
      <c r="Q3440" s="144"/>
      <c r="R3440" s="144"/>
      <c r="S3440" s="144"/>
      <c r="T3440" s="144"/>
      <c r="U3440" s="144"/>
      <c r="V3440" s="50" t="s">
        <v>3685</v>
      </c>
      <c r="W3440" s="26"/>
      <c r="X3440" s="26"/>
      <c r="Y3440" s="26"/>
      <c r="Z3440" s="26"/>
      <c r="AA3440" s="26"/>
    </row>
    <row r="3441" spans="1:27" ht="15" customHeight="1" x14ac:dyDescent="0.2">
      <c r="A3441" s="48">
        <v>41625.410300925898</v>
      </c>
      <c r="B3441" s="49" t="s">
        <v>16</v>
      </c>
      <c r="C3441" s="50" t="s">
        <v>975</v>
      </c>
      <c r="D3441" s="67">
        <v>41579</v>
      </c>
      <c r="E3441" s="50" t="s">
        <v>3686</v>
      </c>
      <c r="F3441" s="50" t="s">
        <v>3687</v>
      </c>
      <c r="G3441" s="49" t="s">
        <v>20</v>
      </c>
      <c r="H3441" s="50" t="s">
        <v>277</v>
      </c>
      <c r="I3441" s="50" t="s">
        <v>2986</v>
      </c>
      <c r="J3441" s="117">
        <v>1</v>
      </c>
      <c r="K3441" s="117">
        <v>140</v>
      </c>
      <c r="L3441" s="142">
        <v>560</v>
      </c>
      <c r="M3441" s="143" t="s">
        <v>22</v>
      </c>
      <c r="N3441" s="144"/>
      <c r="O3441" s="144"/>
      <c r="P3441" s="144"/>
      <c r="Q3441" s="144"/>
      <c r="R3441" s="144"/>
      <c r="S3441" s="144"/>
      <c r="T3441" s="144"/>
      <c r="U3441" s="144"/>
      <c r="V3441" s="50"/>
      <c r="W3441" s="26"/>
      <c r="X3441" s="26"/>
      <c r="Y3441" s="26"/>
      <c r="Z3441" s="26"/>
      <c r="AA3441" s="26"/>
    </row>
    <row r="3442" spans="1:27" ht="15" customHeight="1" x14ac:dyDescent="0.2">
      <c r="A3442" s="48">
        <v>41625.411886574097</v>
      </c>
      <c r="B3442" s="49" t="s">
        <v>16</v>
      </c>
      <c r="C3442" s="50" t="s">
        <v>975</v>
      </c>
      <c r="D3442" s="67">
        <v>41579</v>
      </c>
      <c r="E3442" s="50" t="s">
        <v>3690</v>
      </c>
      <c r="F3442" s="34" t="s">
        <v>3700</v>
      </c>
      <c r="G3442" s="49" t="s">
        <v>20</v>
      </c>
      <c r="H3442" s="50" t="s">
        <v>277</v>
      </c>
      <c r="I3442" s="50" t="s">
        <v>2986</v>
      </c>
      <c r="J3442" s="117">
        <v>1</v>
      </c>
      <c r="K3442" s="117">
        <v>35</v>
      </c>
      <c r="L3442" s="142">
        <v>140</v>
      </c>
      <c r="M3442" s="143" t="s">
        <v>22</v>
      </c>
      <c r="N3442" s="144"/>
      <c r="O3442" s="144"/>
      <c r="P3442" s="144"/>
      <c r="Q3442" s="144"/>
      <c r="R3442" s="144"/>
      <c r="S3442" s="144"/>
      <c r="T3442" s="144"/>
      <c r="U3442" s="144"/>
      <c r="V3442" s="50"/>
      <c r="W3442" s="26"/>
      <c r="X3442" s="26"/>
      <c r="Y3442" s="26"/>
      <c r="Z3442" s="26"/>
      <c r="AA3442" s="26"/>
    </row>
    <row r="3443" spans="1:27" ht="15" customHeight="1" x14ac:dyDescent="0.2">
      <c r="A3443" s="48">
        <v>41625.413020833301</v>
      </c>
      <c r="B3443" s="49" t="s">
        <v>16</v>
      </c>
      <c r="C3443" s="50" t="s">
        <v>975</v>
      </c>
      <c r="D3443" s="67">
        <v>41579</v>
      </c>
      <c r="E3443" s="50" t="s">
        <v>3691</v>
      </c>
      <c r="F3443" s="50" t="s">
        <v>3692</v>
      </c>
      <c r="G3443" s="49" t="s">
        <v>42</v>
      </c>
      <c r="H3443" s="50" t="s">
        <v>3684</v>
      </c>
      <c r="I3443" s="50" t="s">
        <v>2986</v>
      </c>
      <c r="J3443" s="117">
        <v>1</v>
      </c>
      <c r="K3443" s="117">
        <v>25</v>
      </c>
      <c r="L3443" s="142">
        <v>150</v>
      </c>
      <c r="M3443" s="143" t="s">
        <v>22</v>
      </c>
      <c r="N3443" s="144"/>
      <c r="O3443" s="144"/>
      <c r="P3443" s="144"/>
      <c r="Q3443" s="144"/>
      <c r="R3443" s="144"/>
      <c r="S3443" s="144"/>
      <c r="T3443" s="144"/>
      <c r="U3443" s="144"/>
      <c r="V3443" s="50" t="s">
        <v>3693</v>
      </c>
      <c r="W3443" s="26"/>
      <c r="X3443" s="26"/>
      <c r="Y3443" s="26"/>
      <c r="Z3443" s="26"/>
      <c r="AA3443" s="26"/>
    </row>
    <row r="3444" spans="1:27" ht="15" customHeight="1" x14ac:dyDescent="0.2">
      <c r="A3444" s="48">
        <v>41625.415648148199</v>
      </c>
      <c r="B3444" s="49" t="s">
        <v>16</v>
      </c>
      <c r="C3444" s="50" t="s">
        <v>975</v>
      </c>
      <c r="D3444" s="67">
        <v>41579</v>
      </c>
      <c r="E3444" s="50" t="s">
        <v>3694</v>
      </c>
      <c r="F3444" s="50" t="s">
        <v>3695</v>
      </c>
      <c r="G3444" s="49" t="s">
        <v>42</v>
      </c>
      <c r="H3444" s="50"/>
      <c r="I3444" s="50" t="s">
        <v>2986</v>
      </c>
      <c r="J3444" s="117">
        <v>1</v>
      </c>
      <c r="K3444" s="117">
        <v>37</v>
      </c>
      <c r="L3444" s="142">
        <v>222</v>
      </c>
      <c r="M3444" s="143" t="s">
        <v>22</v>
      </c>
      <c r="N3444" s="144"/>
      <c r="O3444" s="144"/>
      <c r="P3444" s="144"/>
      <c r="Q3444" s="144"/>
      <c r="R3444" s="144"/>
      <c r="S3444" s="144"/>
      <c r="T3444" s="144"/>
      <c r="U3444" s="144"/>
      <c r="V3444" s="50"/>
      <c r="W3444" s="26"/>
      <c r="X3444" s="26"/>
      <c r="Y3444" s="26"/>
      <c r="Z3444" s="26"/>
      <c r="AA3444" s="26"/>
    </row>
    <row r="3445" spans="1:27" ht="15" customHeight="1" x14ac:dyDescent="0.2">
      <c r="A3445" s="48">
        <v>41625.416956018496</v>
      </c>
      <c r="B3445" s="49" t="s">
        <v>16</v>
      </c>
      <c r="C3445" s="50" t="s">
        <v>975</v>
      </c>
      <c r="D3445" s="67">
        <v>41579</v>
      </c>
      <c r="E3445" s="50" t="s">
        <v>3696</v>
      </c>
      <c r="F3445" s="50" t="s">
        <v>3697</v>
      </c>
      <c r="G3445" s="49" t="s">
        <v>26</v>
      </c>
      <c r="H3445" s="50"/>
      <c r="I3445" s="50" t="s">
        <v>3001</v>
      </c>
      <c r="J3445" s="117"/>
      <c r="K3445" s="117">
        <v>378</v>
      </c>
      <c r="L3445" s="142"/>
      <c r="M3445" s="143" t="s">
        <v>22</v>
      </c>
      <c r="N3445" s="144"/>
      <c r="O3445" s="144"/>
      <c r="P3445" s="144"/>
      <c r="Q3445" s="144"/>
      <c r="R3445" s="144"/>
      <c r="S3445" s="144"/>
      <c r="T3445" s="144"/>
      <c r="U3445" s="144"/>
      <c r="V3445" s="50"/>
      <c r="W3445" s="26"/>
      <c r="X3445" s="26"/>
      <c r="Y3445" s="26"/>
      <c r="Z3445" s="26"/>
      <c r="AA3445" s="26"/>
    </row>
    <row r="3446" spans="1:27" ht="15" customHeight="1" x14ac:dyDescent="0.2">
      <c r="A3446" s="48">
        <v>41625.417916666702</v>
      </c>
      <c r="B3446" s="49" t="s">
        <v>16</v>
      </c>
      <c r="C3446" s="50" t="s">
        <v>975</v>
      </c>
      <c r="D3446" s="67">
        <v>41579</v>
      </c>
      <c r="E3446" s="50" t="s">
        <v>1607</v>
      </c>
      <c r="F3446" s="50" t="s">
        <v>2785</v>
      </c>
      <c r="G3446" s="49" t="s">
        <v>26</v>
      </c>
      <c r="H3446" s="50" t="s">
        <v>277</v>
      </c>
      <c r="I3446" s="50" t="s">
        <v>3001</v>
      </c>
      <c r="J3446" s="117">
        <v>7</v>
      </c>
      <c r="K3446" s="117">
        <v>46</v>
      </c>
      <c r="L3446" s="142"/>
      <c r="M3446" s="143" t="s">
        <v>22</v>
      </c>
      <c r="N3446" s="144"/>
      <c r="O3446" s="144"/>
      <c r="P3446" s="144"/>
      <c r="Q3446" s="144"/>
      <c r="R3446" s="144"/>
      <c r="S3446" s="144"/>
      <c r="T3446" s="144"/>
      <c r="U3446" s="144"/>
      <c r="V3446" s="50"/>
      <c r="W3446" s="26"/>
      <c r="X3446" s="26"/>
      <c r="Y3446" s="26"/>
      <c r="Z3446" s="26"/>
      <c r="AA3446" s="26"/>
    </row>
    <row r="3447" spans="1:27" ht="15" customHeight="1" x14ac:dyDescent="0.2">
      <c r="A3447" s="60">
        <v>41583.687326388899</v>
      </c>
      <c r="B3447" s="62" t="s">
        <v>16</v>
      </c>
      <c r="C3447" s="112" t="s">
        <v>975</v>
      </c>
      <c r="D3447" s="70">
        <v>41548</v>
      </c>
      <c r="E3447" s="64" t="s">
        <v>1595</v>
      </c>
      <c r="F3447" s="64" t="s">
        <v>2778</v>
      </c>
      <c r="G3447" s="62" t="s">
        <v>26</v>
      </c>
      <c r="H3447" s="64" t="s">
        <v>2831</v>
      </c>
      <c r="I3447" s="64"/>
      <c r="J3447" s="123">
        <v>15</v>
      </c>
      <c r="K3447" s="123">
        <v>204</v>
      </c>
      <c r="L3447" s="164"/>
      <c r="M3447" s="165" t="s">
        <v>22</v>
      </c>
      <c r="N3447" s="166"/>
      <c r="O3447" s="166"/>
      <c r="P3447" s="166"/>
      <c r="Q3447" s="166"/>
      <c r="R3447" s="166"/>
      <c r="S3447" s="167"/>
      <c r="T3447" s="166"/>
      <c r="U3447" s="166"/>
      <c r="V3447" s="64" t="s">
        <v>2832</v>
      </c>
      <c r="W3447" s="26"/>
      <c r="X3447" s="26"/>
      <c r="Y3447" s="26"/>
      <c r="Z3447" s="26"/>
      <c r="AA3447" s="26"/>
    </row>
    <row r="3448" spans="1:27" ht="15" customHeight="1" x14ac:dyDescent="0.2">
      <c r="A3448" s="60">
        <v>41583.6902430556</v>
      </c>
      <c r="B3448" s="62" t="s">
        <v>16</v>
      </c>
      <c r="C3448" s="112" t="s">
        <v>975</v>
      </c>
      <c r="D3448" s="70">
        <v>41548</v>
      </c>
      <c r="E3448" s="64" t="s">
        <v>2833</v>
      </c>
      <c r="F3448" s="64" t="s">
        <v>2834</v>
      </c>
      <c r="G3448" s="62" t="s">
        <v>42</v>
      </c>
      <c r="H3448" s="64" t="s">
        <v>2835</v>
      </c>
      <c r="I3448" s="64"/>
      <c r="J3448" s="123">
        <v>1</v>
      </c>
      <c r="K3448" s="123">
        <v>40</v>
      </c>
      <c r="L3448" s="164">
        <v>240</v>
      </c>
      <c r="M3448" s="165" t="s">
        <v>44</v>
      </c>
      <c r="N3448" s="166"/>
      <c r="O3448" s="166"/>
      <c r="P3448" s="166">
        <v>20</v>
      </c>
      <c r="Q3448" s="166"/>
      <c r="R3448" s="166"/>
      <c r="S3448" s="167"/>
      <c r="T3448" s="166"/>
      <c r="U3448" s="166"/>
      <c r="V3448" s="64"/>
      <c r="W3448" s="26"/>
      <c r="X3448" s="26"/>
      <c r="Y3448" s="26"/>
      <c r="Z3448" s="26"/>
      <c r="AA3448" s="26"/>
    </row>
    <row r="3449" spans="1:27" ht="15" customHeight="1" x14ac:dyDescent="0.2">
      <c r="A3449" s="60">
        <v>41583.692303240699</v>
      </c>
      <c r="B3449" s="62" t="s">
        <v>16</v>
      </c>
      <c r="C3449" s="112" t="s">
        <v>975</v>
      </c>
      <c r="D3449" s="70">
        <v>41548</v>
      </c>
      <c r="E3449" s="64" t="s">
        <v>2836</v>
      </c>
      <c r="F3449" s="64" t="s">
        <v>2837</v>
      </c>
      <c r="G3449" s="62" t="s">
        <v>20</v>
      </c>
      <c r="H3449" s="64" t="s">
        <v>2838</v>
      </c>
      <c r="I3449" s="64"/>
      <c r="J3449" s="123">
        <v>2</v>
      </c>
      <c r="K3449" s="123">
        <v>264</v>
      </c>
      <c r="L3449" s="164">
        <v>1056</v>
      </c>
      <c r="M3449" s="165" t="s">
        <v>44</v>
      </c>
      <c r="N3449" s="166"/>
      <c r="O3449" s="166"/>
      <c r="P3449" s="166">
        <v>200</v>
      </c>
      <c r="Q3449" s="166"/>
      <c r="R3449" s="166"/>
      <c r="S3449" s="167"/>
      <c r="T3449" s="166"/>
      <c r="U3449" s="166"/>
      <c r="V3449" s="64" t="s">
        <v>2839</v>
      </c>
      <c r="W3449" s="26"/>
      <c r="X3449" s="26"/>
      <c r="Y3449" s="26"/>
      <c r="Z3449" s="26"/>
      <c r="AA3449" s="26"/>
    </row>
    <row r="3450" spans="1:27" s="26" customFormat="1" ht="15" customHeight="1" x14ac:dyDescent="0.2">
      <c r="A3450" s="60">
        <v>41583.693900462997</v>
      </c>
      <c r="B3450" s="62" t="s">
        <v>16</v>
      </c>
      <c r="C3450" s="112" t="s">
        <v>975</v>
      </c>
      <c r="D3450" s="70">
        <v>41548</v>
      </c>
      <c r="E3450" s="64" t="s">
        <v>2840</v>
      </c>
      <c r="F3450" s="64" t="s">
        <v>2841</v>
      </c>
      <c r="G3450" s="62" t="s">
        <v>20</v>
      </c>
      <c r="H3450" s="64" t="s">
        <v>2842</v>
      </c>
      <c r="I3450" s="64"/>
      <c r="J3450" s="123">
        <v>1</v>
      </c>
      <c r="K3450" s="123">
        <v>56</v>
      </c>
      <c r="L3450" s="164">
        <v>224</v>
      </c>
      <c r="M3450" s="165" t="s">
        <v>44</v>
      </c>
      <c r="N3450" s="166"/>
      <c r="O3450" s="166"/>
      <c r="P3450" s="166">
        <v>50</v>
      </c>
      <c r="Q3450" s="166"/>
      <c r="R3450" s="166"/>
      <c r="S3450" s="167"/>
      <c r="T3450" s="166"/>
      <c r="U3450" s="166"/>
      <c r="V3450" s="64" t="s">
        <v>2843</v>
      </c>
    </row>
    <row r="3451" spans="1:27" s="26" customFormat="1" ht="15" customHeight="1" x14ac:dyDescent="0.2">
      <c r="A3451" s="60">
        <v>41583.6952199074</v>
      </c>
      <c r="B3451" s="62" t="s">
        <v>16</v>
      </c>
      <c r="C3451" s="112" t="s">
        <v>975</v>
      </c>
      <c r="D3451" s="70">
        <v>41548</v>
      </c>
      <c r="E3451" s="64" t="s">
        <v>2844</v>
      </c>
      <c r="F3451" s="64" t="s">
        <v>2845</v>
      </c>
      <c r="G3451" s="62" t="s">
        <v>20</v>
      </c>
      <c r="H3451" s="64" t="s">
        <v>2846</v>
      </c>
      <c r="I3451" s="64"/>
      <c r="J3451" s="123">
        <v>1</v>
      </c>
      <c r="K3451" s="123">
        <v>136</v>
      </c>
      <c r="L3451" s="164">
        <v>544</v>
      </c>
      <c r="M3451" s="165" t="s">
        <v>44</v>
      </c>
      <c r="N3451" s="166"/>
      <c r="O3451" s="166"/>
      <c r="P3451" s="166">
        <v>100</v>
      </c>
      <c r="Q3451" s="166"/>
      <c r="R3451" s="166"/>
      <c r="S3451" s="167"/>
      <c r="T3451" s="166"/>
      <c r="U3451" s="166"/>
      <c r="V3451" s="64" t="s">
        <v>2843</v>
      </c>
    </row>
    <row r="3452" spans="1:27" s="26" customFormat="1" ht="15" customHeight="1" x14ac:dyDescent="0.2">
      <c r="A3452" s="60">
        <v>41583.697662036997</v>
      </c>
      <c r="B3452" s="62" t="s">
        <v>16</v>
      </c>
      <c r="C3452" s="112" t="s">
        <v>975</v>
      </c>
      <c r="D3452" s="70">
        <v>41548</v>
      </c>
      <c r="E3452" s="64" t="s">
        <v>2847</v>
      </c>
      <c r="F3452" s="64" t="s">
        <v>2848</v>
      </c>
      <c r="G3452" s="62" t="s">
        <v>20</v>
      </c>
      <c r="H3452" s="64" t="s">
        <v>2842</v>
      </c>
      <c r="I3452" s="64"/>
      <c r="J3452" s="123">
        <v>1</v>
      </c>
      <c r="K3452" s="123">
        <v>304</v>
      </c>
      <c r="L3452" s="164">
        <v>1216</v>
      </c>
      <c r="M3452" s="165" t="s">
        <v>44</v>
      </c>
      <c r="N3452" s="166"/>
      <c r="O3452" s="166"/>
      <c r="P3452" s="166">
        <v>200</v>
      </c>
      <c r="Q3452" s="166"/>
      <c r="R3452" s="166"/>
      <c r="S3452" s="167"/>
      <c r="T3452" s="166"/>
      <c r="U3452" s="166"/>
      <c r="V3452" s="64" t="s">
        <v>2843</v>
      </c>
    </row>
    <row r="3453" spans="1:27" s="26" customFormat="1" ht="15" customHeight="1" x14ac:dyDescent="0.2">
      <c r="A3453" s="60">
        <v>41583.699548611097</v>
      </c>
      <c r="B3453" s="62" t="s">
        <v>16</v>
      </c>
      <c r="C3453" s="112" t="s">
        <v>975</v>
      </c>
      <c r="D3453" s="70">
        <v>41548</v>
      </c>
      <c r="E3453" s="64" t="s">
        <v>2849</v>
      </c>
      <c r="F3453" s="64" t="s">
        <v>2850</v>
      </c>
      <c r="G3453" s="62" t="s">
        <v>26</v>
      </c>
      <c r="H3453" s="64" t="s">
        <v>2851</v>
      </c>
      <c r="I3453" s="64"/>
      <c r="J3453" s="123">
        <v>27</v>
      </c>
      <c r="K3453" s="123">
        <v>655</v>
      </c>
      <c r="L3453" s="164"/>
      <c r="M3453" s="165" t="s">
        <v>44</v>
      </c>
      <c r="N3453" s="166"/>
      <c r="O3453" s="166"/>
      <c r="P3453" s="166">
        <v>1000</v>
      </c>
      <c r="Q3453" s="166"/>
      <c r="R3453" s="166"/>
      <c r="S3453" s="167"/>
      <c r="T3453" s="166"/>
      <c r="U3453" s="166"/>
      <c r="V3453" s="64" t="s">
        <v>2852</v>
      </c>
    </row>
    <row r="3454" spans="1:27" s="26" customFormat="1" ht="15" customHeight="1" x14ac:dyDescent="0.2">
      <c r="A3454" s="60">
        <v>41583.701168981497</v>
      </c>
      <c r="B3454" s="62" t="s">
        <v>16</v>
      </c>
      <c r="C3454" s="112" t="s">
        <v>975</v>
      </c>
      <c r="D3454" s="70">
        <v>41548</v>
      </c>
      <c r="E3454" s="64" t="s">
        <v>2853</v>
      </c>
      <c r="F3454" s="64" t="s">
        <v>2854</v>
      </c>
      <c r="G3454" s="62" t="s">
        <v>26</v>
      </c>
      <c r="H3454" s="64" t="s">
        <v>2855</v>
      </c>
      <c r="I3454" s="64"/>
      <c r="J3454" s="123">
        <v>14</v>
      </c>
      <c r="K3454" s="123">
        <v>107</v>
      </c>
      <c r="L3454" s="164"/>
      <c r="M3454" s="165" t="s">
        <v>44</v>
      </c>
      <c r="N3454" s="166"/>
      <c r="O3454" s="166"/>
      <c r="P3454" s="166">
        <v>300</v>
      </c>
      <c r="Q3454" s="166"/>
      <c r="R3454" s="166"/>
      <c r="S3454" s="167"/>
      <c r="T3454" s="166"/>
      <c r="U3454" s="166"/>
      <c r="V3454" s="64" t="s">
        <v>2856</v>
      </c>
    </row>
    <row r="3455" spans="1:27" s="26" customFormat="1" ht="15" customHeight="1" x14ac:dyDescent="0.2">
      <c r="A3455" s="32">
        <v>41647.424363425926</v>
      </c>
      <c r="B3455" s="26" t="s">
        <v>16</v>
      </c>
      <c r="C3455" s="26" t="s">
        <v>975</v>
      </c>
      <c r="D3455" s="68">
        <v>41609</v>
      </c>
      <c r="E3455" s="26" t="s">
        <v>1595</v>
      </c>
      <c r="F3455" s="26" t="s">
        <v>2778</v>
      </c>
      <c r="G3455" s="26" t="s">
        <v>26</v>
      </c>
      <c r="H3455" s="26" t="s">
        <v>4051</v>
      </c>
      <c r="I3455" s="26" t="s">
        <v>3001</v>
      </c>
      <c r="J3455" s="46">
        <v>10</v>
      </c>
      <c r="K3455" s="46">
        <v>77</v>
      </c>
      <c r="L3455" s="136"/>
      <c r="M3455" s="137" t="s">
        <v>22</v>
      </c>
      <c r="N3455" s="138"/>
      <c r="O3455" s="138"/>
      <c r="P3455" s="138"/>
      <c r="Q3455" s="138"/>
      <c r="R3455" s="138"/>
      <c r="S3455" s="138"/>
      <c r="T3455" s="138"/>
      <c r="U3455" s="138"/>
      <c r="V3455" s="26" t="s">
        <v>4052</v>
      </c>
    </row>
    <row r="3456" spans="1:27" ht="15" customHeight="1" x14ac:dyDescent="0.2">
      <c r="A3456" s="32">
        <v>41647.425740740742</v>
      </c>
      <c r="B3456" s="26" t="s">
        <v>16</v>
      </c>
      <c r="C3456" s="26" t="s">
        <v>975</v>
      </c>
      <c r="D3456" s="68">
        <v>41609</v>
      </c>
      <c r="E3456" s="26" t="s">
        <v>4053</v>
      </c>
      <c r="F3456" s="26" t="s">
        <v>3683</v>
      </c>
      <c r="G3456" s="26" t="s">
        <v>42</v>
      </c>
      <c r="H3456" s="26" t="s">
        <v>4054</v>
      </c>
      <c r="I3456" s="26" t="s">
        <v>3001</v>
      </c>
      <c r="J3456" s="46">
        <v>1</v>
      </c>
      <c r="K3456" s="46">
        <v>40</v>
      </c>
      <c r="L3456" s="136">
        <v>240</v>
      </c>
      <c r="M3456" s="137" t="s">
        <v>22</v>
      </c>
      <c r="V3456" s="26"/>
      <c r="W3456" s="26"/>
      <c r="X3456" s="26"/>
      <c r="Y3456" s="26"/>
      <c r="Z3456" s="26"/>
      <c r="AA3456" s="26"/>
    </row>
    <row r="3457" spans="1:27" ht="15" customHeight="1" x14ac:dyDescent="0.2">
      <c r="A3457" s="32">
        <v>41647.573460648149</v>
      </c>
      <c r="B3457" s="26" t="s">
        <v>16</v>
      </c>
      <c r="C3457" s="26" t="s">
        <v>975</v>
      </c>
      <c r="D3457" s="68">
        <v>41609</v>
      </c>
      <c r="E3457" s="26" t="s">
        <v>4059</v>
      </c>
      <c r="F3457" s="26" t="s">
        <v>4060</v>
      </c>
      <c r="G3457" s="26" t="s">
        <v>26</v>
      </c>
      <c r="H3457" s="26"/>
      <c r="I3457" s="26" t="s">
        <v>3001</v>
      </c>
      <c r="J3457" s="46">
        <v>18</v>
      </c>
      <c r="K3457" s="46">
        <v>117</v>
      </c>
      <c r="L3457" s="136"/>
      <c r="M3457" s="137" t="s">
        <v>22</v>
      </c>
      <c r="V3457" s="26" t="s">
        <v>4061</v>
      </c>
      <c r="W3457" s="26"/>
      <c r="X3457" s="26"/>
      <c r="Y3457" s="26"/>
      <c r="Z3457" s="26"/>
      <c r="AA3457" s="26"/>
    </row>
    <row r="3458" spans="1:27" ht="15" customHeight="1" x14ac:dyDescent="0.2">
      <c r="A3458" s="32">
        <v>41647.574282407404</v>
      </c>
      <c r="B3458" s="26" t="s">
        <v>16</v>
      </c>
      <c r="C3458" s="26" t="s">
        <v>975</v>
      </c>
      <c r="D3458" s="68">
        <v>41609</v>
      </c>
      <c r="E3458" s="26" t="s">
        <v>1607</v>
      </c>
      <c r="F3458" s="26" t="s">
        <v>2785</v>
      </c>
      <c r="G3458" s="26" t="s">
        <v>26</v>
      </c>
      <c r="H3458" s="26"/>
      <c r="I3458" s="26" t="s">
        <v>3001</v>
      </c>
      <c r="J3458" s="46">
        <v>5</v>
      </c>
      <c r="K3458" s="46">
        <v>23</v>
      </c>
      <c r="L3458" s="136"/>
      <c r="M3458" s="137" t="s">
        <v>22</v>
      </c>
      <c r="V3458" s="26"/>
      <c r="W3458" s="26"/>
      <c r="X3458" s="26"/>
      <c r="Y3458" s="26"/>
      <c r="Z3458" s="26"/>
      <c r="AA3458" s="26"/>
    </row>
    <row r="3459" spans="1:27" ht="15" customHeight="1" x14ac:dyDescent="0.2">
      <c r="A3459" s="32">
        <v>41647.575497685182</v>
      </c>
      <c r="B3459" s="26" t="s">
        <v>16</v>
      </c>
      <c r="C3459" s="26" t="s">
        <v>975</v>
      </c>
      <c r="D3459" s="68">
        <v>41609</v>
      </c>
      <c r="E3459" s="26" t="s">
        <v>4062</v>
      </c>
      <c r="F3459" s="26" t="s">
        <v>3793</v>
      </c>
      <c r="G3459" s="26" t="s">
        <v>26</v>
      </c>
      <c r="H3459" s="26" t="s">
        <v>4063</v>
      </c>
      <c r="I3459" s="26" t="s">
        <v>2986</v>
      </c>
      <c r="J3459" s="46">
        <v>1</v>
      </c>
      <c r="K3459" s="46">
        <v>46</v>
      </c>
      <c r="L3459" s="136"/>
      <c r="M3459" s="137" t="s">
        <v>22</v>
      </c>
      <c r="V3459" s="26"/>
      <c r="W3459" s="26"/>
      <c r="X3459" s="26"/>
      <c r="Y3459" s="26"/>
      <c r="Z3459" s="26"/>
      <c r="AA3459" s="26"/>
    </row>
    <row r="3460" spans="1:27" ht="15" customHeight="1" x14ac:dyDescent="0.2">
      <c r="A3460" s="32">
        <v>41647.576643518521</v>
      </c>
      <c r="B3460" s="26" t="s">
        <v>16</v>
      </c>
      <c r="C3460" s="26" t="s">
        <v>975</v>
      </c>
      <c r="D3460" s="68">
        <v>41609</v>
      </c>
      <c r="E3460" s="26" t="s">
        <v>4064</v>
      </c>
      <c r="F3460" s="26" t="s">
        <v>4065</v>
      </c>
      <c r="G3460" s="26" t="s">
        <v>351</v>
      </c>
      <c r="H3460" s="26" t="s">
        <v>4066</v>
      </c>
      <c r="I3460" s="26" t="s">
        <v>4065</v>
      </c>
      <c r="J3460" s="46">
        <v>6</v>
      </c>
      <c r="K3460" s="46">
        <v>3500</v>
      </c>
      <c r="L3460" s="136"/>
      <c r="M3460" s="137" t="s">
        <v>22</v>
      </c>
      <c r="V3460" s="26" t="s">
        <v>4067</v>
      </c>
      <c r="W3460" s="26"/>
      <c r="X3460" s="26"/>
      <c r="Y3460" s="26"/>
      <c r="Z3460" s="26"/>
      <c r="AA3460" s="26"/>
    </row>
    <row r="3461" spans="1:27" ht="15" customHeight="1" x14ac:dyDescent="0.2">
      <c r="A3461" s="55">
        <v>41682.409317129597</v>
      </c>
      <c r="B3461" s="52" t="s">
        <v>16</v>
      </c>
      <c r="C3461" s="52" t="s">
        <v>975</v>
      </c>
      <c r="D3461" s="69">
        <v>41640</v>
      </c>
      <c r="E3461" s="52" t="s">
        <v>3696</v>
      </c>
      <c r="F3461" s="52" t="s">
        <v>4525</v>
      </c>
      <c r="G3461" s="52" t="s">
        <v>26</v>
      </c>
      <c r="H3461" s="52" t="s">
        <v>4526</v>
      </c>
      <c r="I3461" s="52" t="s">
        <v>3001</v>
      </c>
      <c r="J3461" s="95">
        <v>12</v>
      </c>
      <c r="K3461" s="118">
        <v>168</v>
      </c>
      <c r="L3461" s="148"/>
      <c r="M3461" s="146" t="s">
        <v>22</v>
      </c>
      <c r="N3461" s="147"/>
      <c r="O3461" s="147"/>
      <c r="P3461" s="147"/>
      <c r="Q3461" s="147"/>
      <c r="R3461" s="147"/>
      <c r="S3461" s="147"/>
      <c r="T3461" s="147"/>
      <c r="U3461" s="149"/>
      <c r="V3461" s="52"/>
      <c r="W3461" s="52"/>
      <c r="X3461" s="52"/>
      <c r="Y3461" s="52"/>
      <c r="Z3461" s="26"/>
      <c r="AA3461" s="26"/>
    </row>
    <row r="3462" spans="1:27" ht="15" customHeight="1" x14ac:dyDescent="0.2">
      <c r="A3462" s="55">
        <v>41682.410000000003</v>
      </c>
      <c r="B3462" s="52" t="s">
        <v>16</v>
      </c>
      <c r="C3462" s="52" t="s">
        <v>975</v>
      </c>
      <c r="D3462" s="69">
        <v>41640</v>
      </c>
      <c r="E3462" s="52" t="s">
        <v>3696</v>
      </c>
      <c r="F3462" s="52" t="s">
        <v>4060</v>
      </c>
      <c r="G3462" s="52" t="s">
        <v>26</v>
      </c>
      <c r="H3462" s="52" t="s">
        <v>277</v>
      </c>
      <c r="I3462" s="52" t="s">
        <v>3001</v>
      </c>
      <c r="J3462" s="95">
        <v>9</v>
      </c>
      <c r="K3462" s="118">
        <v>73</v>
      </c>
      <c r="L3462" s="148"/>
      <c r="M3462" s="146" t="s">
        <v>22</v>
      </c>
      <c r="N3462" s="147"/>
      <c r="O3462" s="147"/>
      <c r="P3462" s="147"/>
      <c r="Q3462" s="147"/>
      <c r="R3462" s="147"/>
      <c r="S3462" s="147"/>
      <c r="T3462" s="147"/>
      <c r="U3462" s="149"/>
      <c r="V3462" s="52"/>
      <c r="W3462" s="52"/>
      <c r="X3462" s="52"/>
      <c r="Y3462" s="52"/>
      <c r="Z3462" s="26"/>
      <c r="AA3462" s="26"/>
    </row>
    <row r="3463" spans="1:27" s="26" customFormat="1" ht="15" customHeight="1" x14ac:dyDescent="0.2">
      <c r="A3463" s="55">
        <v>41682.410925925898</v>
      </c>
      <c r="B3463" s="52" t="s">
        <v>16</v>
      </c>
      <c r="C3463" s="52" t="s">
        <v>975</v>
      </c>
      <c r="D3463" s="69">
        <v>41640</v>
      </c>
      <c r="E3463" s="52" t="s">
        <v>4527</v>
      </c>
      <c r="F3463" s="52" t="s">
        <v>2785</v>
      </c>
      <c r="G3463" s="52" t="s">
        <v>26</v>
      </c>
      <c r="H3463" s="52" t="s">
        <v>4528</v>
      </c>
      <c r="I3463" s="52" t="s">
        <v>3001</v>
      </c>
      <c r="J3463" s="95">
        <v>5</v>
      </c>
      <c r="K3463" s="118">
        <v>26</v>
      </c>
      <c r="L3463" s="148"/>
      <c r="M3463" s="146" t="s">
        <v>22</v>
      </c>
      <c r="N3463" s="147"/>
      <c r="O3463" s="147"/>
      <c r="P3463" s="147"/>
      <c r="Q3463" s="147"/>
      <c r="R3463" s="147"/>
      <c r="S3463" s="147"/>
      <c r="T3463" s="147"/>
      <c r="U3463" s="149"/>
      <c r="V3463" s="52"/>
      <c r="W3463" s="52"/>
      <c r="X3463" s="52"/>
      <c r="Y3463" s="52"/>
    </row>
    <row r="3464" spans="1:27" ht="15" customHeight="1" x14ac:dyDescent="0.2">
      <c r="A3464" s="55">
        <v>41682.4139236111</v>
      </c>
      <c r="B3464" s="52" t="s">
        <v>16</v>
      </c>
      <c r="C3464" s="52" t="s">
        <v>975</v>
      </c>
      <c r="D3464" s="69">
        <v>41640</v>
      </c>
      <c r="E3464" s="52" t="s">
        <v>4529</v>
      </c>
      <c r="F3464" s="52" t="s">
        <v>4530</v>
      </c>
      <c r="G3464" s="52" t="s">
        <v>20</v>
      </c>
      <c r="H3464" s="52" t="s">
        <v>4531</v>
      </c>
      <c r="I3464" s="52" t="s">
        <v>2986</v>
      </c>
      <c r="J3464" s="95">
        <v>1</v>
      </c>
      <c r="K3464" s="118">
        <v>45</v>
      </c>
      <c r="L3464" s="148">
        <v>180</v>
      </c>
      <c r="M3464" s="146" t="s">
        <v>22</v>
      </c>
      <c r="N3464" s="147"/>
      <c r="O3464" s="147"/>
      <c r="P3464" s="147"/>
      <c r="Q3464" s="147"/>
      <c r="R3464" s="147"/>
      <c r="S3464" s="147"/>
      <c r="T3464" s="147"/>
      <c r="U3464" s="149"/>
      <c r="V3464" s="52"/>
      <c r="W3464" s="52"/>
      <c r="X3464" s="52"/>
      <c r="Y3464" s="52"/>
      <c r="Z3464" s="26"/>
      <c r="AA3464" s="26"/>
    </row>
    <row r="3465" spans="1:27" s="26" customFormat="1" ht="15" customHeight="1" x14ac:dyDescent="0.2">
      <c r="A3465" s="32">
        <v>41682.412164351852</v>
      </c>
      <c r="B3465" s="26" t="s">
        <v>16</v>
      </c>
      <c r="C3465" s="26" t="s">
        <v>975</v>
      </c>
      <c r="D3465" s="33">
        <v>41671</v>
      </c>
      <c r="E3465" s="26" t="s">
        <v>4581</v>
      </c>
      <c r="F3465" s="26" t="s">
        <v>4582</v>
      </c>
      <c r="G3465" s="26" t="s">
        <v>351</v>
      </c>
      <c r="H3465" s="26" t="s">
        <v>4583</v>
      </c>
      <c r="I3465" s="26" t="s">
        <v>2986</v>
      </c>
      <c r="J3465" s="46">
        <v>8</v>
      </c>
      <c r="K3465" s="46">
        <v>120</v>
      </c>
      <c r="L3465" s="136"/>
      <c r="M3465" s="137" t="s">
        <v>22</v>
      </c>
      <c r="N3465" s="138"/>
      <c r="O3465" s="138"/>
      <c r="P3465" s="138"/>
      <c r="Q3465" s="138"/>
      <c r="R3465" s="138"/>
      <c r="S3465" s="138"/>
      <c r="T3465" s="138"/>
      <c r="U3465" s="138"/>
      <c r="V3465" s="26" t="s">
        <v>4584</v>
      </c>
    </row>
    <row r="3466" spans="1:27" s="26" customFormat="1" ht="15" customHeight="1" x14ac:dyDescent="0.2">
      <c r="A3466" s="32">
        <v>41709.352523148147</v>
      </c>
      <c r="B3466" s="26" t="s">
        <v>16</v>
      </c>
      <c r="C3466" s="26" t="s">
        <v>975</v>
      </c>
      <c r="D3466" s="33">
        <v>41671</v>
      </c>
      <c r="E3466" s="26" t="s">
        <v>3696</v>
      </c>
      <c r="F3466" s="26" t="s">
        <v>4060</v>
      </c>
      <c r="G3466" s="26" t="s">
        <v>26</v>
      </c>
      <c r="I3466" s="26" t="s">
        <v>3001</v>
      </c>
      <c r="J3466" s="46">
        <v>19</v>
      </c>
      <c r="K3466" s="46">
        <v>143</v>
      </c>
      <c r="L3466" s="136"/>
      <c r="M3466" s="137" t="s">
        <v>22</v>
      </c>
      <c r="N3466" s="138"/>
      <c r="O3466" s="138"/>
      <c r="P3466" s="138"/>
      <c r="Q3466" s="138"/>
      <c r="R3466" s="138"/>
      <c r="S3466" s="138"/>
      <c r="T3466" s="138"/>
      <c r="U3466" s="138"/>
    </row>
    <row r="3467" spans="1:27" s="26" customFormat="1" ht="15" customHeight="1" x14ac:dyDescent="0.2">
      <c r="A3467" s="32">
        <v>41709.355138888888</v>
      </c>
      <c r="B3467" s="26" t="s">
        <v>16</v>
      </c>
      <c r="C3467" s="26" t="s">
        <v>975</v>
      </c>
      <c r="D3467" s="33">
        <v>41671</v>
      </c>
      <c r="E3467" s="26" t="s">
        <v>5125</v>
      </c>
      <c r="F3467" s="26" t="s">
        <v>5126</v>
      </c>
      <c r="G3467" s="26" t="s">
        <v>20</v>
      </c>
      <c r="H3467" s="26" t="s">
        <v>5127</v>
      </c>
      <c r="I3467" s="26" t="s">
        <v>2986</v>
      </c>
      <c r="J3467" s="46">
        <v>1</v>
      </c>
      <c r="K3467" s="46">
        <v>504</v>
      </c>
      <c r="L3467" s="136"/>
      <c r="M3467" s="137" t="s">
        <v>22</v>
      </c>
      <c r="N3467" s="138"/>
      <c r="O3467" s="138"/>
      <c r="P3467" s="138"/>
      <c r="Q3467" s="138"/>
      <c r="R3467" s="138"/>
      <c r="S3467" s="138"/>
      <c r="T3467" s="138"/>
      <c r="U3467" s="138"/>
    </row>
    <row r="3468" spans="1:27" s="26" customFormat="1" ht="15" customHeight="1" x14ac:dyDescent="0.2">
      <c r="A3468" s="32">
        <v>41709.353229166663</v>
      </c>
      <c r="B3468" s="26" t="s">
        <v>16</v>
      </c>
      <c r="C3468" s="26" t="s">
        <v>975</v>
      </c>
      <c r="D3468" s="33">
        <v>41671</v>
      </c>
      <c r="E3468" s="26" t="s">
        <v>3696</v>
      </c>
      <c r="F3468" s="26" t="s">
        <v>2854</v>
      </c>
      <c r="G3468" s="26" t="s">
        <v>26</v>
      </c>
      <c r="I3468" s="26" t="s">
        <v>2986</v>
      </c>
      <c r="J3468" s="46">
        <v>10</v>
      </c>
      <c r="K3468" s="46">
        <v>57</v>
      </c>
      <c r="L3468" s="136"/>
      <c r="M3468" s="137" t="s">
        <v>22</v>
      </c>
      <c r="N3468" s="138"/>
      <c r="O3468" s="138"/>
      <c r="P3468" s="138"/>
      <c r="Q3468" s="138"/>
      <c r="R3468" s="138"/>
      <c r="S3468" s="138"/>
      <c r="T3468" s="138"/>
      <c r="U3468" s="138"/>
    </row>
    <row r="3469" spans="1:27" s="26" customFormat="1" ht="15" customHeight="1" x14ac:dyDescent="0.2">
      <c r="A3469" s="32">
        <v>41709.357743055552</v>
      </c>
      <c r="B3469" s="26" t="s">
        <v>16</v>
      </c>
      <c r="C3469" s="26" t="s">
        <v>975</v>
      </c>
      <c r="D3469" s="33">
        <v>41671</v>
      </c>
      <c r="E3469" s="26" t="s">
        <v>5128</v>
      </c>
      <c r="F3469" s="26" t="s">
        <v>1714</v>
      </c>
      <c r="G3469" s="26" t="s">
        <v>20</v>
      </c>
      <c r="H3469" s="26" t="s">
        <v>2275</v>
      </c>
      <c r="I3469" s="26" t="s">
        <v>3001</v>
      </c>
      <c r="J3469" s="46">
        <v>1</v>
      </c>
      <c r="K3469" s="46">
        <v>85</v>
      </c>
      <c r="L3469" s="136"/>
      <c r="M3469" s="137" t="s">
        <v>22</v>
      </c>
      <c r="N3469" s="138"/>
      <c r="O3469" s="138"/>
      <c r="P3469" s="138"/>
      <c r="Q3469" s="138"/>
      <c r="R3469" s="138"/>
      <c r="S3469" s="138"/>
      <c r="T3469" s="138"/>
      <c r="U3469" s="138"/>
    </row>
    <row r="3470" spans="1:27" s="26" customFormat="1" ht="15" customHeight="1" x14ac:dyDescent="0.2">
      <c r="A3470" s="32">
        <v>41709.356724537036</v>
      </c>
      <c r="B3470" s="26" t="s">
        <v>16</v>
      </c>
      <c r="C3470" s="26" t="s">
        <v>975</v>
      </c>
      <c r="D3470" s="33">
        <v>41671</v>
      </c>
      <c r="E3470" s="26" t="s">
        <v>5129</v>
      </c>
      <c r="F3470" s="26" t="s">
        <v>20</v>
      </c>
      <c r="G3470" s="26" t="s">
        <v>20</v>
      </c>
      <c r="H3470" s="26" t="s">
        <v>2085</v>
      </c>
      <c r="I3470" s="26" t="s">
        <v>2986</v>
      </c>
      <c r="J3470" s="46">
        <v>1</v>
      </c>
      <c r="K3470" s="46">
        <v>42</v>
      </c>
      <c r="L3470" s="136"/>
      <c r="M3470" s="137" t="s">
        <v>22</v>
      </c>
      <c r="N3470" s="138"/>
      <c r="O3470" s="138"/>
      <c r="P3470" s="138"/>
      <c r="Q3470" s="138"/>
      <c r="R3470" s="138"/>
      <c r="S3470" s="138"/>
      <c r="T3470" s="138"/>
      <c r="U3470" s="138"/>
    </row>
    <row r="3471" spans="1:27" ht="15" customHeight="1" x14ac:dyDescent="0.2">
      <c r="A3471" s="32">
        <v>41709.360555555555</v>
      </c>
      <c r="B3471" s="26" t="s">
        <v>16</v>
      </c>
      <c r="C3471" s="26" t="s">
        <v>975</v>
      </c>
      <c r="D3471" s="33">
        <v>41671</v>
      </c>
      <c r="E3471" s="26" t="s">
        <v>5130</v>
      </c>
      <c r="F3471" s="26" t="s">
        <v>5131</v>
      </c>
      <c r="G3471" s="34" t="s">
        <v>156</v>
      </c>
      <c r="H3471" s="26" t="s">
        <v>5132</v>
      </c>
      <c r="I3471" s="26" t="s">
        <v>2986</v>
      </c>
      <c r="J3471" s="46">
        <v>1</v>
      </c>
      <c r="K3471" s="46">
        <v>5000</v>
      </c>
      <c r="L3471" s="136">
        <v>1500</v>
      </c>
      <c r="M3471" s="137" t="s">
        <v>44</v>
      </c>
      <c r="V3471" s="26"/>
      <c r="W3471" s="26"/>
      <c r="X3471" s="26"/>
      <c r="Y3471" s="26"/>
      <c r="Z3471" s="26"/>
      <c r="AA3471" s="26"/>
    </row>
    <row r="3472" spans="1:27" ht="15" customHeight="1" x14ac:dyDescent="0.2">
      <c r="A3472" s="37">
        <v>41808.432291666701</v>
      </c>
      <c r="B3472" s="26" t="s">
        <v>16</v>
      </c>
      <c r="C3472" s="26" t="s">
        <v>670</v>
      </c>
      <c r="D3472" s="91" t="s">
        <v>7147</v>
      </c>
      <c r="E3472" s="26" t="s">
        <v>7670</v>
      </c>
      <c r="F3472" s="26" t="s">
        <v>7671</v>
      </c>
      <c r="G3472" s="34" t="s">
        <v>26</v>
      </c>
      <c r="H3472" s="26" t="s">
        <v>7672</v>
      </c>
      <c r="I3472" s="26" t="s">
        <v>7268</v>
      </c>
      <c r="J3472" s="46">
        <v>1</v>
      </c>
      <c r="K3472" s="46">
        <v>4</v>
      </c>
      <c r="L3472" s="136"/>
      <c r="M3472" s="137" t="s">
        <v>22</v>
      </c>
      <c r="V3472" s="26"/>
      <c r="W3472" s="26"/>
      <c r="X3472" s="26"/>
      <c r="Y3472" s="26"/>
      <c r="Z3472" s="26"/>
      <c r="AA3472" s="131"/>
    </row>
    <row r="3473" spans="1:27" ht="15" customHeight="1" x14ac:dyDescent="0.2">
      <c r="A3473" s="37">
        <v>41808.433125000003</v>
      </c>
      <c r="B3473" s="26" t="s">
        <v>16</v>
      </c>
      <c r="C3473" s="26" t="s">
        <v>670</v>
      </c>
      <c r="D3473" s="91" t="s">
        <v>7147</v>
      </c>
      <c r="E3473" s="26" t="s">
        <v>7673</v>
      </c>
      <c r="F3473" s="26" t="s">
        <v>931</v>
      </c>
      <c r="G3473" s="34" t="s">
        <v>26</v>
      </c>
      <c r="H3473" s="26" t="s">
        <v>7674</v>
      </c>
      <c r="I3473" s="26" t="s">
        <v>7268</v>
      </c>
      <c r="J3473" s="46">
        <v>1</v>
      </c>
      <c r="K3473" s="46">
        <v>10</v>
      </c>
      <c r="L3473" s="136"/>
      <c r="M3473" s="137" t="s">
        <v>22</v>
      </c>
      <c r="V3473" s="26"/>
      <c r="W3473" s="26"/>
      <c r="X3473" s="26"/>
      <c r="Y3473" s="26"/>
      <c r="Z3473" s="26"/>
      <c r="AA3473" s="131"/>
    </row>
    <row r="3474" spans="1:27" ht="15" customHeight="1" x14ac:dyDescent="0.2">
      <c r="A3474" s="37">
        <v>41808.435636574097</v>
      </c>
      <c r="B3474" s="26" t="s">
        <v>16</v>
      </c>
      <c r="C3474" s="26" t="s">
        <v>670</v>
      </c>
      <c r="D3474" s="91" t="s">
        <v>7147</v>
      </c>
      <c r="E3474" s="26" t="s">
        <v>7675</v>
      </c>
      <c r="F3474" s="26" t="s">
        <v>1507</v>
      </c>
      <c r="G3474" s="34" t="s">
        <v>42</v>
      </c>
      <c r="H3474" s="26"/>
      <c r="I3474" s="26" t="s">
        <v>3171</v>
      </c>
      <c r="J3474" s="46">
        <v>1</v>
      </c>
      <c r="K3474" s="46">
        <v>8</v>
      </c>
      <c r="L3474" s="136">
        <v>30</v>
      </c>
      <c r="M3474" s="137" t="s">
        <v>22</v>
      </c>
      <c r="V3474" s="26"/>
      <c r="W3474" s="26"/>
      <c r="X3474" s="26"/>
      <c r="Y3474" s="26"/>
      <c r="Z3474" s="26"/>
      <c r="AA3474" s="131"/>
    </row>
    <row r="3475" spans="1:27" ht="15" customHeight="1" x14ac:dyDescent="0.2">
      <c r="A3475" s="37">
        <v>41808.441296296303</v>
      </c>
      <c r="B3475" s="26" t="s">
        <v>16</v>
      </c>
      <c r="C3475" s="26" t="s">
        <v>670</v>
      </c>
      <c r="D3475" s="91" t="s">
        <v>7147</v>
      </c>
      <c r="E3475" s="26" t="s">
        <v>7670</v>
      </c>
      <c r="F3475" s="26" t="s">
        <v>21</v>
      </c>
      <c r="G3475" s="34" t="s">
        <v>26</v>
      </c>
      <c r="H3475" s="26" t="s">
        <v>7676</v>
      </c>
      <c r="I3475" s="26" t="s">
        <v>3001</v>
      </c>
      <c r="J3475" s="46">
        <v>1</v>
      </c>
      <c r="K3475" s="46">
        <v>4</v>
      </c>
      <c r="L3475" s="136"/>
      <c r="M3475" s="137" t="s">
        <v>22</v>
      </c>
      <c r="V3475" s="26"/>
      <c r="W3475" s="26"/>
      <c r="X3475" s="26"/>
      <c r="Y3475" s="26"/>
      <c r="Z3475" s="26"/>
      <c r="AA3475" s="131"/>
    </row>
    <row r="3476" spans="1:27" ht="15" customHeight="1" x14ac:dyDescent="0.2">
      <c r="A3476" s="37">
        <v>41808.474502314799</v>
      </c>
      <c r="B3476" s="26" t="s">
        <v>16</v>
      </c>
      <c r="C3476" s="26" t="s">
        <v>23</v>
      </c>
      <c r="D3476" s="91" t="s">
        <v>7147</v>
      </c>
      <c r="E3476" s="26" t="s">
        <v>7677</v>
      </c>
      <c r="F3476" s="26" t="s">
        <v>4926</v>
      </c>
      <c r="G3476" s="34" t="s">
        <v>42</v>
      </c>
      <c r="H3476" s="26" t="s">
        <v>7678</v>
      </c>
      <c r="I3476" s="26" t="s">
        <v>3001</v>
      </c>
      <c r="J3476" s="46">
        <v>1</v>
      </c>
      <c r="K3476" s="46">
        <v>13</v>
      </c>
      <c r="L3476" s="136">
        <v>50</v>
      </c>
      <c r="M3476" s="137" t="s">
        <v>22</v>
      </c>
      <c r="V3476" s="26"/>
      <c r="W3476" s="26"/>
      <c r="X3476" s="26"/>
      <c r="Y3476" s="26"/>
      <c r="Z3476" s="26"/>
      <c r="AA3476" s="131"/>
    </row>
    <row r="3477" spans="1:27" ht="15" customHeight="1" x14ac:dyDescent="0.2">
      <c r="A3477" s="37">
        <v>41808.546678240702</v>
      </c>
      <c r="B3477" s="26" t="s">
        <v>152</v>
      </c>
      <c r="C3477" s="26" t="s">
        <v>213</v>
      </c>
      <c r="D3477" s="91" t="s">
        <v>7147</v>
      </c>
      <c r="E3477" s="26" t="s">
        <v>7679</v>
      </c>
      <c r="F3477" s="26" t="s">
        <v>2074</v>
      </c>
      <c r="G3477" s="34" t="s">
        <v>60</v>
      </c>
      <c r="H3477" s="26" t="s">
        <v>7680</v>
      </c>
      <c r="I3477" s="26" t="s">
        <v>7681</v>
      </c>
      <c r="J3477" s="46">
        <v>3</v>
      </c>
      <c r="K3477" s="46">
        <v>15</v>
      </c>
      <c r="L3477" s="136"/>
      <c r="M3477" s="137" t="s">
        <v>22</v>
      </c>
      <c r="V3477" s="26"/>
      <c r="W3477" s="26"/>
      <c r="X3477" s="26"/>
      <c r="Y3477" s="26"/>
      <c r="Z3477" s="26"/>
      <c r="AA3477" s="131"/>
    </row>
    <row r="3478" spans="1:27" ht="15" customHeight="1" x14ac:dyDescent="0.2">
      <c r="A3478" s="37">
        <v>41808.5480902778</v>
      </c>
      <c r="B3478" s="26" t="s">
        <v>152</v>
      </c>
      <c r="C3478" s="26" t="s">
        <v>213</v>
      </c>
      <c r="D3478" s="91" t="s">
        <v>7147</v>
      </c>
      <c r="E3478" s="26" t="s">
        <v>7574</v>
      </c>
      <c r="F3478" s="26" t="s">
        <v>4151</v>
      </c>
      <c r="G3478" s="34" t="s">
        <v>60</v>
      </c>
      <c r="H3478" s="26" t="s">
        <v>2077</v>
      </c>
      <c r="I3478" s="26" t="s">
        <v>3778</v>
      </c>
      <c r="J3478" s="46">
        <v>1</v>
      </c>
      <c r="K3478" s="46">
        <v>7</v>
      </c>
      <c r="L3478" s="136"/>
      <c r="M3478" s="137" t="s">
        <v>44</v>
      </c>
      <c r="P3478" s="138">
        <v>10</v>
      </c>
      <c r="V3478" s="26"/>
      <c r="W3478" s="26"/>
      <c r="X3478" s="26"/>
      <c r="Y3478" s="26"/>
      <c r="Z3478" s="26"/>
      <c r="AA3478" s="131"/>
    </row>
    <row r="3479" spans="1:27" ht="15" customHeight="1" x14ac:dyDescent="0.2">
      <c r="A3479" s="37">
        <v>41808.550254629597</v>
      </c>
      <c r="B3479" s="26" t="s">
        <v>152</v>
      </c>
      <c r="C3479" s="26" t="s">
        <v>213</v>
      </c>
      <c r="D3479" s="91" t="s">
        <v>7147</v>
      </c>
      <c r="E3479" s="26" t="s">
        <v>7682</v>
      </c>
      <c r="F3479" s="26" t="s">
        <v>7683</v>
      </c>
      <c r="G3479" s="34" t="s">
        <v>26</v>
      </c>
      <c r="H3479" s="26" t="s">
        <v>7684</v>
      </c>
      <c r="I3479" s="26" t="s">
        <v>2986</v>
      </c>
      <c r="J3479" s="46">
        <v>1</v>
      </c>
      <c r="K3479" s="46">
        <v>21</v>
      </c>
      <c r="L3479" s="136"/>
      <c r="M3479" s="137" t="s">
        <v>44</v>
      </c>
      <c r="P3479" s="138">
        <v>15</v>
      </c>
      <c r="V3479" s="26"/>
      <c r="W3479" s="26"/>
      <c r="X3479" s="26"/>
      <c r="Y3479" s="26"/>
      <c r="Z3479" s="26"/>
      <c r="AA3479" s="131"/>
    </row>
    <row r="3480" spans="1:27" ht="15" customHeight="1" x14ac:dyDescent="0.2">
      <c r="A3480" s="37">
        <v>41808.551377314798</v>
      </c>
      <c r="B3480" s="26" t="s">
        <v>152</v>
      </c>
      <c r="C3480" s="26" t="s">
        <v>213</v>
      </c>
      <c r="D3480" s="91" t="s">
        <v>7147</v>
      </c>
      <c r="E3480" s="26" t="s">
        <v>158</v>
      </c>
      <c r="F3480" s="26" t="s">
        <v>1649</v>
      </c>
      <c r="G3480" s="34" t="s">
        <v>26</v>
      </c>
      <c r="H3480" s="26" t="s">
        <v>7685</v>
      </c>
      <c r="I3480" s="26" t="s">
        <v>2986</v>
      </c>
      <c r="J3480" s="46">
        <v>1</v>
      </c>
      <c r="K3480" s="46">
        <v>5</v>
      </c>
      <c r="L3480" s="136"/>
      <c r="M3480" s="137" t="s">
        <v>22</v>
      </c>
      <c r="V3480" s="26"/>
      <c r="W3480" s="26"/>
      <c r="X3480" s="26"/>
      <c r="Y3480" s="26"/>
      <c r="Z3480" s="26"/>
      <c r="AA3480" s="131"/>
    </row>
    <row r="3481" spans="1:27" ht="15" customHeight="1" x14ac:dyDescent="0.2">
      <c r="A3481" s="37">
        <v>41808.553599537001</v>
      </c>
      <c r="B3481" s="26" t="s">
        <v>152</v>
      </c>
      <c r="C3481" s="26" t="s">
        <v>213</v>
      </c>
      <c r="D3481" s="91" t="s">
        <v>7147</v>
      </c>
      <c r="E3481" s="26" t="s">
        <v>7577</v>
      </c>
      <c r="F3481" s="26" t="s">
        <v>4151</v>
      </c>
      <c r="G3481" s="34" t="s">
        <v>60</v>
      </c>
      <c r="H3481" s="26" t="s">
        <v>7686</v>
      </c>
      <c r="I3481" s="26" t="s">
        <v>3778</v>
      </c>
      <c r="J3481" s="46">
        <v>2</v>
      </c>
      <c r="K3481" s="46">
        <v>20</v>
      </c>
      <c r="L3481" s="136"/>
      <c r="M3481" s="137" t="s">
        <v>22</v>
      </c>
      <c r="V3481" s="26"/>
      <c r="W3481" s="26"/>
      <c r="X3481" s="26"/>
      <c r="Y3481" s="26"/>
      <c r="Z3481" s="26"/>
      <c r="AA3481" s="131"/>
    </row>
    <row r="3482" spans="1:27" ht="15" customHeight="1" x14ac:dyDescent="0.2">
      <c r="A3482" s="37">
        <v>41808.5550925926</v>
      </c>
      <c r="B3482" s="26" t="s">
        <v>152</v>
      </c>
      <c r="C3482" s="26" t="s">
        <v>213</v>
      </c>
      <c r="D3482" s="91" t="s">
        <v>7147</v>
      </c>
      <c r="E3482" s="26" t="s">
        <v>7687</v>
      </c>
      <c r="F3482" s="26" t="s">
        <v>4151</v>
      </c>
      <c r="G3482" s="34" t="s">
        <v>60</v>
      </c>
      <c r="H3482" s="26" t="s">
        <v>6068</v>
      </c>
      <c r="I3482" s="26" t="s">
        <v>3778</v>
      </c>
      <c r="J3482" s="46">
        <v>3</v>
      </c>
      <c r="K3482" s="46">
        <v>13</v>
      </c>
      <c r="L3482" s="136"/>
      <c r="M3482" s="137" t="s">
        <v>22</v>
      </c>
      <c r="V3482" s="26" t="s">
        <v>7688</v>
      </c>
      <c r="W3482" s="26"/>
      <c r="X3482" s="26"/>
      <c r="Y3482" s="26"/>
      <c r="Z3482" s="26"/>
      <c r="AA3482" s="131"/>
    </row>
    <row r="3483" spans="1:27" ht="15" customHeight="1" x14ac:dyDescent="0.2">
      <c r="A3483" s="37">
        <v>41808.556782407402</v>
      </c>
      <c r="B3483" s="26" t="s">
        <v>152</v>
      </c>
      <c r="C3483" s="26" t="s">
        <v>213</v>
      </c>
      <c r="D3483" s="91" t="s">
        <v>7147</v>
      </c>
      <c r="E3483" s="26" t="s">
        <v>4275</v>
      </c>
      <c r="F3483" s="26" t="s">
        <v>2074</v>
      </c>
      <c r="G3483" s="34" t="s">
        <v>60</v>
      </c>
      <c r="H3483" s="26" t="s">
        <v>6068</v>
      </c>
      <c r="I3483" s="26" t="s">
        <v>3778</v>
      </c>
      <c r="J3483" s="46">
        <v>3</v>
      </c>
      <c r="K3483" s="46">
        <v>11</v>
      </c>
      <c r="L3483" s="136"/>
      <c r="M3483" s="137" t="s">
        <v>22</v>
      </c>
      <c r="V3483" s="26"/>
      <c r="W3483" s="26"/>
      <c r="X3483" s="26"/>
      <c r="Y3483" s="26"/>
      <c r="Z3483" s="26"/>
      <c r="AA3483" s="131"/>
    </row>
    <row r="3484" spans="1:27" ht="15" customHeight="1" x14ac:dyDescent="0.2">
      <c r="A3484" s="37">
        <v>41808.560185185197</v>
      </c>
      <c r="B3484" s="26" t="s">
        <v>152</v>
      </c>
      <c r="C3484" s="26" t="s">
        <v>213</v>
      </c>
      <c r="D3484" s="91" t="s">
        <v>7147</v>
      </c>
      <c r="E3484" s="26" t="s">
        <v>1215</v>
      </c>
      <c r="F3484" s="26" t="s">
        <v>7689</v>
      </c>
      <c r="G3484" s="34" t="s">
        <v>42</v>
      </c>
      <c r="H3484" s="26"/>
      <c r="I3484" s="26" t="s">
        <v>7681</v>
      </c>
      <c r="J3484" s="46">
        <v>1</v>
      </c>
      <c r="K3484" s="46">
        <v>15</v>
      </c>
      <c r="L3484" s="136"/>
      <c r="M3484" s="137" t="s">
        <v>44</v>
      </c>
      <c r="N3484" s="138">
        <v>75</v>
      </c>
      <c r="V3484" s="26" t="s">
        <v>7690</v>
      </c>
      <c r="W3484" s="26"/>
      <c r="X3484" s="26"/>
      <c r="Y3484" s="26"/>
      <c r="Z3484" s="26"/>
      <c r="AA3484" s="131"/>
    </row>
    <row r="3485" spans="1:27" ht="15" customHeight="1" x14ac:dyDescent="0.2">
      <c r="A3485" s="37">
        <v>41808.629166666702</v>
      </c>
      <c r="B3485" s="26" t="s">
        <v>152</v>
      </c>
      <c r="C3485" s="26" t="s">
        <v>1196</v>
      </c>
      <c r="D3485" s="91" t="s">
        <v>6224</v>
      </c>
      <c r="E3485" s="26" t="s">
        <v>7691</v>
      </c>
      <c r="F3485" s="26" t="s">
        <v>1204</v>
      </c>
      <c r="G3485" s="34" t="s">
        <v>26</v>
      </c>
      <c r="H3485" s="26" t="s">
        <v>7692</v>
      </c>
      <c r="I3485" s="26" t="s">
        <v>2812</v>
      </c>
      <c r="J3485" s="115">
        <v>1</v>
      </c>
      <c r="K3485" s="115">
        <v>10</v>
      </c>
      <c r="L3485" s="136"/>
      <c r="M3485" s="137" t="s">
        <v>22</v>
      </c>
      <c r="V3485" s="26"/>
      <c r="W3485" s="26"/>
      <c r="X3485" s="26"/>
      <c r="Y3485" s="26"/>
      <c r="Z3485" s="26"/>
      <c r="AA3485" s="131"/>
    </row>
    <row r="3486" spans="1:27" ht="15" customHeight="1" x14ac:dyDescent="0.2">
      <c r="A3486" s="37">
        <v>41808.631874999999</v>
      </c>
      <c r="B3486" s="26" t="s">
        <v>152</v>
      </c>
      <c r="C3486" s="26" t="s">
        <v>1196</v>
      </c>
      <c r="D3486" s="91" t="s">
        <v>6224</v>
      </c>
      <c r="E3486" s="26" t="s">
        <v>5096</v>
      </c>
      <c r="F3486" s="26" t="s">
        <v>7693</v>
      </c>
      <c r="G3486" s="34" t="s">
        <v>20</v>
      </c>
      <c r="H3486" s="26" t="s">
        <v>7694</v>
      </c>
      <c r="I3486" s="26" t="s">
        <v>2986</v>
      </c>
      <c r="J3486" s="115">
        <v>3</v>
      </c>
      <c r="K3486" s="115">
        <v>127</v>
      </c>
      <c r="L3486" s="136">
        <v>261</v>
      </c>
      <c r="M3486" s="137" t="s">
        <v>22</v>
      </c>
      <c r="V3486" s="26"/>
      <c r="W3486" s="26"/>
      <c r="X3486" s="26"/>
      <c r="Y3486" s="26"/>
      <c r="Z3486" s="26"/>
      <c r="AA3486" s="131"/>
    </row>
    <row r="3487" spans="1:27" ht="15" customHeight="1" x14ac:dyDescent="0.2">
      <c r="A3487" s="37">
        <v>41808.634155092601</v>
      </c>
      <c r="B3487" s="26" t="s">
        <v>152</v>
      </c>
      <c r="C3487" s="26" t="s">
        <v>1196</v>
      </c>
      <c r="D3487" s="91" t="s">
        <v>6224</v>
      </c>
      <c r="E3487" s="26" t="s">
        <v>7695</v>
      </c>
      <c r="F3487" s="26" t="s">
        <v>1843</v>
      </c>
      <c r="G3487" s="34" t="s">
        <v>26</v>
      </c>
      <c r="H3487" s="26" t="s">
        <v>7696</v>
      </c>
      <c r="I3487" s="26" t="s">
        <v>2812</v>
      </c>
      <c r="J3487" s="115">
        <v>1</v>
      </c>
      <c r="K3487" s="115">
        <v>6</v>
      </c>
      <c r="L3487" s="136"/>
      <c r="M3487" s="137" t="s">
        <v>44</v>
      </c>
      <c r="P3487" s="138">
        <v>103</v>
      </c>
      <c r="V3487" s="26"/>
      <c r="W3487" s="26"/>
      <c r="X3487" s="26"/>
      <c r="Y3487" s="26"/>
      <c r="Z3487" s="26"/>
      <c r="AA3487" s="131"/>
    </row>
    <row r="3488" spans="1:27" ht="15" customHeight="1" x14ac:dyDescent="0.2">
      <c r="A3488" s="37">
        <v>41808.635775463001</v>
      </c>
      <c r="B3488" s="34" t="s">
        <v>152</v>
      </c>
      <c r="C3488" s="34" t="s">
        <v>1196</v>
      </c>
      <c r="D3488" s="91" t="s">
        <v>6224</v>
      </c>
      <c r="E3488" s="26" t="s">
        <v>1215</v>
      </c>
      <c r="F3488" s="26" t="s">
        <v>7697</v>
      </c>
      <c r="G3488" s="34" t="s">
        <v>26</v>
      </c>
      <c r="H3488" s="26" t="s">
        <v>7698</v>
      </c>
      <c r="I3488" s="26" t="s">
        <v>2986</v>
      </c>
      <c r="J3488" s="115">
        <v>1</v>
      </c>
      <c r="K3488" s="115">
        <v>2</v>
      </c>
      <c r="L3488" s="136"/>
      <c r="M3488" s="137" t="s">
        <v>22</v>
      </c>
      <c r="V3488" s="26"/>
      <c r="W3488" s="26"/>
      <c r="X3488" s="26"/>
      <c r="Y3488" s="26"/>
      <c r="Z3488" s="26"/>
      <c r="AA3488" s="131"/>
    </row>
    <row r="3489" spans="1:27" ht="15" customHeight="1" x14ac:dyDescent="0.2">
      <c r="A3489" s="37">
        <v>41808.637071759302</v>
      </c>
      <c r="B3489" s="26" t="s">
        <v>152</v>
      </c>
      <c r="C3489" s="26" t="s">
        <v>1196</v>
      </c>
      <c r="D3489" s="91" t="s">
        <v>6224</v>
      </c>
      <c r="E3489" s="26" t="s">
        <v>1215</v>
      </c>
      <c r="F3489" s="26" t="s">
        <v>1846</v>
      </c>
      <c r="G3489" s="34" t="s">
        <v>26</v>
      </c>
      <c r="H3489" s="26" t="s">
        <v>7699</v>
      </c>
      <c r="I3489" s="26" t="s">
        <v>2812</v>
      </c>
      <c r="J3489" s="115">
        <v>1</v>
      </c>
      <c r="K3489" s="115">
        <v>44</v>
      </c>
      <c r="L3489" s="136"/>
      <c r="M3489" s="137" t="s">
        <v>44</v>
      </c>
      <c r="O3489" s="138">
        <v>50</v>
      </c>
      <c r="V3489" s="26"/>
      <c r="W3489" s="26"/>
      <c r="X3489" s="26"/>
      <c r="Y3489" s="26"/>
      <c r="Z3489" s="26"/>
      <c r="AA3489" s="131"/>
    </row>
    <row r="3490" spans="1:27" ht="15" customHeight="1" x14ac:dyDescent="0.2">
      <c r="A3490" s="37">
        <v>41808.638356481497</v>
      </c>
      <c r="B3490" s="26" t="s">
        <v>152</v>
      </c>
      <c r="C3490" s="26" t="s">
        <v>1196</v>
      </c>
      <c r="D3490" s="91" t="s">
        <v>6224</v>
      </c>
      <c r="E3490" s="26" t="s">
        <v>7695</v>
      </c>
      <c r="F3490" s="26" t="s">
        <v>5821</v>
      </c>
      <c r="G3490" s="34" t="s">
        <v>26</v>
      </c>
      <c r="H3490" s="26" t="s">
        <v>7700</v>
      </c>
      <c r="I3490" s="26" t="s">
        <v>2986</v>
      </c>
      <c r="J3490" s="115">
        <v>2</v>
      </c>
      <c r="K3490" s="115">
        <v>49</v>
      </c>
      <c r="L3490" s="136">
        <v>480</v>
      </c>
      <c r="M3490" s="137" t="s">
        <v>22</v>
      </c>
      <c r="V3490" s="26"/>
      <c r="W3490" s="26"/>
      <c r="X3490" s="26"/>
      <c r="Y3490" s="26"/>
      <c r="Z3490" s="26"/>
      <c r="AA3490" s="131"/>
    </row>
    <row r="3491" spans="1:27" ht="15" customHeight="1" x14ac:dyDescent="0.2">
      <c r="A3491" s="37">
        <v>41808.639490740701</v>
      </c>
      <c r="B3491" s="26" t="s">
        <v>152</v>
      </c>
      <c r="C3491" s="26" t="s">
        <v>1196</v>
      </c>
      <c r="D3491" s="91" t="s">
        <v>6224</v>
      </c>
      <c r="E3491" s="26" t="s">
        <v>1237</v>
      </c>
      <c r="F3491" s="26" t="s">
        <v>7701</v>
      </c>
      <c r="G3491" s="34" t="s">
        <v>20</v>
      </c>
      <c r="H3491" s="26" t="s">
        <v>7702</v>
      </c>
      <c r="I3491" s="26" t="s">
        <v>2986</v>
      </c>
      <c r="J3491" s="115">
        <v>3</v>
      </c>
      <c r="K3491" s="115">
        <v>74</v>
      </c>
      <c r="L3491" s="136">
        <v>195</v>
      </c>
      <c r="M3491" s="137" t="s">
        <v>22</v>
      </c>
      <c r="V3491" s="26"/>
      <c r="W3491" s="26"/>
      <c r="X3491" s="26"/>
      <c r="Y3491" s="26"/>
      <c r="Z3491" s="26"/>
      <c r="AA3491" s="131"/>
    </row>
    <row r="3492" spans="1:27" ht="15" customHeight="1" x14ac:dyDescent="0.2">
      <c r="A3492" s="37">
        <v>41808.640775462998</v>
      </c>
      <c r="B3492" s="26" t="s">
        <v>152</v>
      </c>
      <c r="C3492" s="26" t="s">
        <v>1196</v>
      </c>
      <c r="D3492" s="91" t="s">
        <v>6224</v>
      </c>
      <c r="E3492" s="26" t="s">
        <v>2551</v>
      </c>
      <c r="F3492" s="26" t="s">
        <v>7703</v>
      </c>
      <c r="G3492" s="34" t="s">
        <v>20</v>
      </c>
      <c r="H3492" s="26" t="s">
        <v>7704</v>
      </c>
      <c r="I3492" s="26" t="s">
        <v>2986</v>
      </c>
      <c r="J3492" s="115">
        <v>2</v>
      </c>
      <c r="K3492" s="115">
        <v>41</v>
      </c>
      <c r="L3492" s="136">
        <v>126</v>
      </c>
      <c r="M3492" s="137" t="s">
        <v>22</v>
      </c>
      <c r="V3492" s="26"/>
      <c r="W3492" s="26"/>
      <c r="X3492" s="26"/>
      <c r="Y3492" s="26"/>
      <c r="Z3492" s="26"/>
      <c r="AA3492" s="131"/>
    </row>
    <row r="3493" spans="1:27" ht="15" customHeight="1" x14ac:dyDescent="0.2">
      <c r="A3493" s="37">
        <v>41808.6417939815</v>
      </c>
      <c r="B3493" s="26" t="s">
        <v>152</v>
      </c>
      <c r="C3493" s="26" t="s">
        <v>1196</v>
      </c>
      <c r="D3493" s="91" t="s">
        <v>6224</v>
      </c>
      <c r="E3493" s="26" t="s">
        <v>1244</v>
      </c>
      <c r="F3493" s="26" t="s">
        <v>7705</v>
      </c>
      <c r="G3493" s="34" t="s">
        <v>20</v>
      </c>
      <c r="H3493" s="26" t="s">
        <v>7706</v>
      </c>
      <c r="I3493" s="26" t="s">
        <v>2986</v>
      </c>
      <c r="J3493" s="115">
        <v>4</v>
      </c>
      <c r="K3493" s="115">
        <v>80</v>
      </c>
      <c r="L3493" s="136">
        <v>210</v>
      </c>
      <c r="M3493" s="137" t="s">
        <v>22</v>
      </c>
      <c r="V3493" s="26"/>
      <c r="W3493" s="26"/>
      <c r="X3493" s="26"/>
      <c r="Y3493" s="26"/>
      <c r="Z3493" s="26"/>
      <c r="AA3493" s="131"/>
    </row>
    <row r="3494" spans="1:27" ht="15" customHeight="1" x14ac:dyDescent="0.2">
      <c r="A3494" s="37">
        <v>41808.6427430556</v>
      </c>
      <c r="B3494" s="26" t="s">
        <v>152</v>
      </c>
      <c r="C3494" s="26" t="s">
        <v>1196</v>
      </c>
      <c r="D3494" s="91" t="s">
        <v>6224</v>
      </c>
      <c r="E3494" s="26" t="s">
        <v>2860</v>
      </c>
      <c r="F3494" s="26" t="s">
        <v>7705</v>
      </c>
      <c r="G3494" s="34" t="s">
        <v>20</v>
      </c>
      <c r="H3494" s="26" t="s">
        <v>7706</v>
      </c>
      <c r="I3494" s="26" t="s">
        <v>2986</v>
      </c>
      <c r="J3494" s="115">
        <v>4</v>
      </c>
      <c r="K3494" s="115">
        <v>70</v>
      </c>
      <c r="L3494" s="136">
        <v>186</v>
      </c>
      <c r="M3494" s="137" t="s">
        <v>22</v>
      </c>
      <c r="V3494" s="26"/>
      <c r="W3494" s="26"/>
      <c r="X3494" s="26"/>
      <c r="Y3494" s="26"/>
      <c r="Z3494" s="26"/>
      <c r="AA3494" s="131"/>
    </row>
    <row r="3495" spans="1:27" ht="15" customHeight="1" x14ac:dyDescent="0.2">
      <c r="A3495" s="37">
        <v>41808.6436805556</v>
      </c>
      <c r="B3495" s="26" t="s">
        <v>152</v>
      </c>
      <c r="C3495" s="26" t="s">
        <v>1196</v>
      </c>
      <c r="D3495" s="91" t="s">
        <v>6224</v>
      </c>
      <c r="E3495" s="26" t="s">
        <v>5096</v>
      </c>
      <c r="F3495" s="26" t="s">
        <v>7707</v>
      </c>
      <c r="G3495" s="34" t="s">
        <v>20</v>
      </c>
      <c r="H3495" s="26" t="s">
        <v>7708</v>
      </c>
      <c r="I3495" s="26" t="s">
        <v>2986</v>
      </c>
      <c r="J3495" s="115">
        <v>3</v>
      </c>
      <c r="K3495" s="115">
        <v>109</v>
      </c>
      <c r="L3495" s="136">
        <v>261</v>
      </c>
      <c r="M3495" s="137" t="s">
        <v>22</v>
      </c>
      <c r="V3495" s="26"/>
      <c r="W3495" s="26"/>
      <c r="X3495" s="26"/>
      <c r="Y3495" s="26"/>
      <c r="Z3495" s="26"/>
      <c r="AA3495" s="131"/>
    </row>
    <row r="3496" spans="1:27" ht="15" customHeight="1" x14ac:dyDescent="0.2">
      <c r="A3496" s="37">
        <v>41808.644178240698</v>
      </c>
      <c r="B3496" s="26" t="s">
        <v>16</v>
      </c>
      <c r="C3496" s="26" t="s">
        <v>23</v>
      </c>
      <c r="D3496" s="91" t="s">
        <v>7147</v>
      </c>
      <c r="E3496" s="26" t="s">
        <v>3104</v>
      </c>
      <c r="F3496" s="26" t="s">
        <v>7709</v>
      </c>
      <c r="G3496" s="34" t="s">
        <v>42</v>
      </c>
      <c r="H3496" s="26"/>
      <c r="I3496" s="26" t="s">
        <v>7710</v>
      </c>
      <c r="J3496" s="46">
        <v>1</v>
      </c>
      <c r="K3496" s="46">
        <v>26</v>
      </c>
      <c r="L3496" s="136">
        <v>220</v>
      </c>
      <c r="M3496" s="137" t="s">
        <v>22</v>
      </c>
      <c r="U3496" s="138">
        <v>5</v>
      </c>
      <c r="V3496" s="26"/>
      <c r="W3496" s="26"/>
      <c r="X3496" s="26"/>
      <c r="Y3496" s="26"/>
      <c r="Z3496" s="26"/>
      <c r="AA3496" s="131"/>
    </row>
    <row r="3497" spans="1:27" ht="15" customHeight="1" x14ac:dyDescent="0.2">
      <c r="A3497" s="37">
        <v>41808.644502314797</v>
      </c>
      <c r="B3497" s="26" t="s">
        <v>152</v>
      </c>
      <c r="C3497" s="26" t="s">
        <v>1196</v>
      </c>
      <c r="D3497" s="91" t="s">
        <v>6224</v>
      </c>
      <c r="E3497" s="26" t="s">
        <v>1244</v>
      </c>
      <c r="F3497" s="26" t="s">
        <v>7711</v>
      </c>
      <c r="G3497" s="34" t="s">
        <v>20</v>
      </c>
      <c r="H3497" s="26" t="s">
        <v>7712</v>
      </c>
      <c r="I3497" s="26" t="s">
        <v>2986</v>
      </c>
      <c r="J3497" s="115">
        <v>2</v>
      </c>
      <c r="K3497" s="115">
        <v>36</v>
      </c>
      <c r="L3497" s="136">
        <v>111</v>
      </c>
      <c r="M3497" s="137" t="s">
        <v>22</v>
      </c>
      <c r="V3497" s="26"/>
      <c r="W3497" s="26"/>
      <c r="X3497" s="26"/>
      <c r="Y3497" s="26"/>
      <c r="Z3497" s="26"/>
      <c r="AA3497" s="131"/>
    </row>
    <row r="3498" spans="1:27" ht="15" customHeight="1" x14ac:dyDescent="0.2">
      <c r="A3498" s="37">
        <v>41808.645266203697</v>
      </c>
      <c r="B3498" s="26" t="s">
        <v>152</v>
      </c>
      <c r="C3498" s="26" t="s">
        <v>1196</v>
      </c>
      <c r="D3498" s="91" t="s">
        <v>6224</v>
      </c>
      <c r="E3498" s="26" t="s">
        <v>2551</v>
      </c>
      <c r="F3498" s="26" t="s">
        <v>7713</v>
      </c>
      <c r="G3498" s="34" t="s">
        <v>20</v>
      </c>
      <c r="H3498" s="26" t="s">
        <v>7714</v>
      </c>
      <c r="I3498" s="26" t="s">
        <v>2986</v>
      </c>
      <c r="J3498" s="115">
        <v>3</v>
      </c>
      <c r="K3498" s="115">
        <v>16</v>
      </c>
      <c r="L3498" s="136">
        <v>48</v>
      </c>
      <c r="M3498" s="137" t="s">
        <v>22</v>
      </c>
      <c r="V3498" s="26"/>
      <c r="W3498" s="26"/>
      <c r="X3498" s="26"/>
      <c r="Y3498" s="26"/>
      <c r="Z3498" s="26"/>
      <c r="AA3498" s="131"/>
    </row>
    <row r="3499" spans="1:27" ht="15" customHeight="1" x14ac:dyDescent="0.2">
      <c r="A3499" s="37">
        <v>41808.646064814799</v>
      </c>
      <c r="B3499" s="26" t="s">
        <v>16</v>
      </c>
      <c r="C3499" s="26" t="s">
        <v>23</v>
      </c>
      <c r="D3499" s="91" t="s">
        <v>7147</v>
      </c>
      <c r="E3499" s="26" t="s">
        <v>7715</v>
      </c>
      <c r="F3499" s="26" t="s">
        <v>5174</v>
      </c>
      <c r="G3499" s="34" t="s">
        <v>42</v>
      </c>
      <c r="H3499" s="26" t="s">
        <v>7716</v>
      </c>
      <c r="I3499" s="26" t="s">
        <v>7098</v>
      </c>
      <c r="J3499" s="46">
        <v>2</v>
      </c>
      <c r="K3499" s="46">
        <v>15</v>
      </c>
      <c r="L3499" s="136"/>
      <c r="M3499" s="137" t="s">
        <v>44</v>
      </c>
      <c r="P3499" s="138">
        <v>18</v>
      </c>
      <c r="U3499" s="138">
        <v>15</v>
      </c>
      <c r="V3499" s="26" t="s">
        <v>7717</v>
      </c>
      <c r="W3499" s="26"/>
      <c r="X3499" s="26"/>
      <c r="Y3499" s="26"/>
      <c r="Z3499" s="26"/>
      <c r="AA3499" s="131"/>
    </row>
    <row r="3500" spans="1:27" ht="15" customHeight="1" x14ac:dyDescent="0.2">
      <c r="A3500" s="37">
        <v>41808.646064814799</v>
      </c>
      <c r="B3500" s="26" t="s">
        <v>152</v>
      </c>
      <c r="C3500" s="26" t="s">
        <v>1196</v>
      </c>
      <c r="D3500" s="91" t="s">
        <v>6224</v>
      </c>
      <c r="E3500" s="26" t="s">
        <v>1237</v>
      </c>
      <c r="F3500" s="26" t="s">
        <v>7718</v>
      </c>
      <c r="G3500" s="34" t="s">
        <v>20</v>
      </c>
      <c r="H3500" s="26" t="s">
        <v>7719</v>
      </c>
      <c r="I3500" s="26" t="s">
        <v>2986</v>
      </c>
      <c r="J3500" s="115">
        <v>2</v>
      </c>
      <c r="K3500" s="115">
        <v>45</v>
      </c>
      <c r="L3500" s="136">
        <v>114</v>
      </c>
      <c r="M3500" s="137" t="s">
        <v>22</v>
      </c>
      <c r="V3500" s="26"/>
      <c r="W3500" s="26"/>
      <c r="X3500" s="26"/>
      <c r="Y3500" s="26"/>
      <c r="Z3500" s="26"/>
      <c r="AA3500" s="131"/>
    </row>
    <row r="3501" spans="1:27" ht="15" customHeight="1" x14ac:dyDescent="0.2">
      <c r="A3501" s="37">
        <v>41808.6468634259</v>
      </c>
      <c r="B3501" s="26" t="s">
        <v>152</v>
      </c>
      <c r="C3501" s="26" t="s">
        <v>1196</v>
      </c>
      <c r="D3501" s="91" t="s">
        <v>6224</v>
      </c>
      <c r="E3501" s="26" t="s">
        <v>2860</v>
      </c>
      <c r="F3501" s="26" t="s">
        <v>7720</v>
      </c>
      <c r="G3501" s="34" t="s">
        <v>20</v>
      </c>
      <c r="H3501" s="26" t="s">
        <v>7721</v>
      </c>
      <c r="I3501" s="26" t="s">
        <v>2986</v>
      </c>
      <c r="J3501" s="115">
        <v>3</v>
      </c>
      <c r="K3501" s="115">
        <v>122</v>
      </c>
      <c r="L3501" s="136">
        <v>312</v>
      </c>
      <c r="M3501" s="137" t="s">
        <v>22</v>
      </c>
      <c r="V3501" s="26"/>
      <c r="W3501" s="26"/>
      <c r="X3501" s="26"/>
      <c r="Y3501" s="26"/>
      <c r="Z3501" s="26"/>
      <c r="AA3501" s="131"/>
    </row>
    <row r="3502" spans="1:27" ht="15" customHeight="1" x14ac:dyDescent="0.2">
      <c r="A3502" s="37">
        <v>41808.647789351897</v>
      </c>
      <c r="B3502" s="26" t="s">
        <v>152</v>
      </c>
      <c r="C3502" s="26" t="s">
        <v>1196</v>
      </c>
      <c r="D3502" s="91" t="s">
        <v>6224</v>
      </c>
      <c r="E3502" s="26" t="s">
        <v>5096</v>
      </c>
      <c r="F3502" s="26" t="s">
        <v>7722</v>
      </c>
      <c r="G3502" s="34" t="s">
        <v>20</v>
      </c>
      <c r="H3502" s="26" t="s">
        <v>7723</v>
      </c>
      <c r="I3502" s="26" t="s">
        <v>2986</v>
      </c>
      <c r="J3502" s="115">
        <v>3</v>
      </c>
      <c r="K3502" s="115">
        <v>93</v>
      </c>
      <c r="L3502" s="136">
        <v>249</v>
      </c>
      <c r="M3502" s="137" t="s">
        <v>22</v>
      </c>
      <c r="V3502" s="26"/>
      <c r="W3502" s="26"/>
      <c r="X3502" s="26"/>
      <c r="Y3502" s="26"/>
      <c r="Z3502" s="26"/>
      <c r="AA3502" s="131"/>
    </row>
    <row r="3503" spans="1:27" ht="15" customHeight="1" x14ac:dyDescent="0.2">
      <c r="A3503" s="37">
        <v>41808.651365740698</v>
      </c>
      <c r="B3503" s="26" t="s">
        <v>152</v>
      </c>
      <c r="C3503" s="26" t="s">
        <v>1196</v>
      </c>
      <c r="D3503" s="91" t="s">
        <v>6224</v>
      </c>
      <c r="E3503" s="26" t="s">
        <v>1237</v>
      </c>
      <c r="F3503" s="26" t="s">
        <v>7724</v>
      </c>
      <c r="G3503" s="34" t="s">
        <v>20</v>
      </c>
      <c r="H3503" s="26" t="s">
        <v>7725</v>
      </c>
      <c r="I3503" s="26" t="s">
        <v>2986</v>
      </c>
      <c r="J3503" s="115">
        <v>2</v>
      </c>
      <c r="K3503" s="115">
        <v>19</v>
      </c>
      <c r="L3503" s="136">
        <v>20</v>
      </c>
      <c r="M3503" s="137" t="s">
        <v>22</v>
      </c>
      <c r="V3503" s="26"/>
      <c r="W3503" s="26"/>
      <c r="X3503" s="26"/>
      <c r="Y3503" s="26"/>
      <c r="Z3503" s="26"/>
      <c r="AA3503" s="131"/>
    </row>
    <row r="3504" spans="1:27" ht="15" customHeight="1" x14ac:dyDescent="0.2">
      <c r="A3504" s="37">
        <v>41808.652187500003</v>
      </c>
      <c r="B3504" s="26" t="s">
        <v>152</v>
      </c>
      <c r="C3504" s="26" t="s">
        <v>1196</v>
      </c>
      <c r="D3504" s="91" t="s">
        <v>6224</v>
      </c>
      <c r="E3504" s="26" t="s">
        <v>5096</v>
      </c>
      <c r="F3504" s="26" t="s">
        <v>7726</v>
      </c>
      <c r="G3504" s="34" t="s">
        <v>20</v>
      </c>
      <c r="H3504" s="26" t="s">
        <v>7727</v>
      </c>
      <c r="I3504" s="26" t="s">
        <v>2986</v>
      </c>
      <c r="J3504" s="115">
        <v>3</v>
      </c>
      <c r="K3504" s="115">
        <v>70</v>
      </c>
      <c r="L3504" s="136">
        <v>126</v>
      </c>
      <c r="M3504" s="137" t="s">
        <v>22</v>
      </c>
      <c r="V3504" s="26"/>
      <c r="W3504" s="26"/>
      <c r="X3504" s="26"/>
      <c r="Y3504" s="26"/>
      <c r="Z3504" s="26"/>
      <c r="AA3504" s="131"/>
    </row>
    <row r="3505" spans="1:27" ht="15" customHeight="1" x14ac:dyDescent="0.2">
      <c r="A3505" s="37">
        <v>41808.654872685198</v>
      </c>
      <c r="B3505" s="26" t="s">
        <v>152</v>
      </c>
      <c r="C3505" s="26" t="s">
        <v>1196</v>
      </c>
      <c r="D3505" s="91" t="s">
        <v>6224</v>
      </c>
      <c r="E3505" s="26" t="s">
        <v>1237</v>
      </c>
      <c r="F3505" s="26" t="s">
        <v>7728</v>
      </c>
      <c r="G3505" s="34" t="s">
        <v>351</v>
      </c>
      <c r="H3505" s="26" t="s">
        <v>6133</v>
      </c>
      <c r="I3505" s="26" t="s">
        <v>2986</v>
      </c>
      <c r="J3505" s="115">
        <v>4</v>
      </c>
      <c r="K3505" s="115">
        <v>284</v>
      </c>
      <c r="L3505" s="136">
        <v>60</v>
      </c>
      <c r="M3505" s="137" t="s">
        <v>22</v>
      </c>
      <c r="V3505" s="26"/>
      <c r="W3505" s="26"/>
      <c r="X3505" s="26"/>
      <c r="Y3505" s="26"/>
      <c r="Z3505" s="26"/>
      <c r="AA3505" s="131"/>
    </row>
    <row r="3506" spans="1:27" ht="15" customHeight="1" x14ac:dyDescent="0.2">
      <c r="A3506" s="37">
        <v>41808.658599536997</v>
      </c>
      <c r="B3506" s="26" t="s">
        <v>152</v>
      </c>
      <c r="C3506" s="26" t="s">
        <v>1196</v>
      </c>
      <c r="D3506" s="91" t="s">
        <v>6224</v>
      </c>
      <c r="E3506" s="26" t="s">
        <v>2551</v>
      </c>
      <c r="F3506" s="26" t="s">
        <v>7729</v>
      </c>
      <c r="G3506" s="34" t="s">
        <v>351</v>
      </c>
      <c r="H3506" s="26" t="s">
        <v>6133</v>
      </c>
      <c r="I3506" s="26" t="s">
        <v>2986</v>
      </c>
      <c r="J3506" s="115">
        <v>3</v>
      </c>
      <c r="K3506" s="115">
        <v>141</v>
      </c>
      <c r="L3506" s="136">
        <v>60</v>
      </c>
      <c r="M3506" s="137" t="s">
        <v>22</v>
      </c>
      <c r="V3506" s="26"/>
      <c r="W3506" s="26"/>
      <c r="X3506" s="26"/>
      <c r="Y3506" s="26"/>
      <c r="Z3506" s="26"/>
      <c r="AA3506" s="131"/>
    </row>
    <row r="3507" spans="1:27" ht="15" customHeight="1" x14ac:dyDescent="0.2">
      <c r="A3507" s="37">
        <v>41808.668159722198</v>
      </c>
      <c r="B3507" s="26" t="s">
        <v>152</v>
      </c>
      <c r="C3507" s="26" t="s">
        <v>1196</v>
      </c>
      <c r="D3507" s="91" t="s">
        <v>6224</v>
      </c>
      <c r="E3507" s="26" t="s">
        <v>1237</v>
      </c>
      <c r="F3507" s="26" t="s">
        <v>7730</v>
      </c>
      <c r="G3507" s="34" t="s">
        <v>351</v>
      </c>
      <c r="H3507" s="26" t="s">
        <v>7731</v>
      </c>
      <c r="I3507" s="26" t="s">
        <v>2986</v>
      </c>
      <c r="J3507" s="115">
        <v>2</v>
      </c>
      <c r="K3507" s="115">
        <v>93</v>
      </c>
      <c r="L3507" s="136">
        <v>60</v>
      </c>
      <c r="M3507" s="137" t="s">
        <v>22</v>
      </c>
      <c r="V3507" s="26"/>
      <c r="W3507" s="26"/>
      <c r="X3507" s="26"/>
      <c r="Y3507" s="26"/>
      <c r="Z3507" s="26"/>
      <c r="AA3507" s="131"/>
    </row>
    <row r="3508" spans="1:27" ht="15" customHeight="1" x14ac:dyDescent="0.2">
      <c r="A3508" s="37">
        <v>41808.668877314798</v>
      </c>
      <c r="B3508" s="26" t="s">
        <v>152</v>
      </c>
      <c r="C3508" s="26" t="s">
        <v>1196</v>
      </c>
      <c r="D3508" s="91" t="s">
        <v>6224</v>
      </c>
      <c r="E3508" s="26" t="s">
        <v>2551</v>
      </c>
      <c r="F3508" s="26" t="s">
        <v>7732</v>
      </c>
      <c r="G3508" s="34" t="s">
        <v>351</v>
      </c>
      <c r="H3508" s="26" t="s">
        <v>6133</v>
      </c>
      <c r="I3508" s="26" t="s">
        <v>2986</v>
      </c>
      <c r="J3508" s="115">
        <v>4</v>
      </c>
      <c r="K3508" s="115">
        <v>150</v>
      </c>
      <c r="L3508" s="136">
        <v>60</v>
      </c>
      <c r="M3508" s="137" t="s">
        <v>22</v>
      </c>
      <c r="V3508" s="26"/>
      <c r="W3508" s="26"/>
      <c r="X3508" s="26"/>
      <c r="Y3508" s="26"/>
      <c r="Z3508" s="26"/>
      <c r="AA3508" s="131"/>
    </row>
    <row r="3509" spans="1:27" ht="15" customHeight="1" x14ac:dyDescent="0.2">
      <c r="A3509" s="37">
        <v>41808.669814814799</v>
      </c>
      <c r="B3509" s="26" t="s">
        <v>152</v>
      </c>
      <c r="C3509" s="26" t="s">
        <v>1196</v>
      </c>
      <c r="D3509" s="91" t="s">
        <v>6224</v>
      </c>
      <c r="E3509" s="26" t="s">
        <v>7733</v>
      </c>
      <c r="F3509" s="26" t="s">
        <v>7734</v>
      </c>
      <c r="G3509" s="34" t="s">
        <v>351</v>
      </c>
      <c r="H3509" s="26" t="s">
        <v>7735</v>
      </c>
      <c r="I3509" s="26" t="s">
        <v>2986</v>
      </c>
      <c r="J3509" s="115">
        <v>1</v>
      </c>
      <c r="K3509" s="115">
        <v>35</v>
      </c>
      <c r="L3509" s="136">
        <v>75</v>
      </c>
      <c r="M3509" s="137" t="s">
        <v>22</v>
      </c>
      <c r="V3509" s="26"/>
      <c r="W3509" s="26"/>
      <c r="X3509" s="26"/>
      <c r="Y3509" s="26"/>
      <c r="Z3509" s="26"/>
      <c r="AA3509" s="131"/>
    </row>
    <row r="3510" spans="1:27" ht="15" customHeight="1" x14ac:dyDescent="0.2">
      <c r="A3510" s="37">
        <v>41808.6717361111</v>
      </c>
      <c r="B3510" s="26" t="s">
        <v>152</v>
      </c>
      <c r="C3510" s="26" t="s">
        <v>1196</v>
      </c>
      <c r="D3510" s="91" t="s">
        <v>6224</v>
      </c>
      <c r="E3510" s="26" t="s">
        <v>1237</v>
      </c>
      <c r="F3510" s="26" t="s">
        <v>7736</v>
      </c>
      <c r="G3510" s="34" t="s">
        <v>351</v>
      </c>
      <c r="H3510" s="26" t="s">
        <v>6133</v>
      </c>
      <c r="I3510" s="26" t="s">
        <v>2986</v>
      </c>
      <c r="J3510" s="115">
        <v>4</v>
      </c>
      <c r="K3510" s="115">
        <v>446</v>
      </c>
      <c r="L3510" s="136">
        <v>100</v>
      </c>
      <c r="M3510" s="137" t="s">
        <v>22</v>
      </c>
      <c r="V3510" s="26"/>
      <c r="W3510" s="26"/>
      <c r="X3510" s="26"/>
      <c r="Y3510" s="26"/>
      <c r="Z3510" s="26"/>
      <c r="AA3510" s="131"/>
    </row>
    <row r="3511" spans="1:27" ht="15" customHeight="1" x14ac:dyDescent="0.2">
      <c r="A3511" s="37">
        <v>41808.672361111101</v>
      </c>
      <c r="B3511" s="26" t="s">
        <v>152</v>
      </c>
      <c r="C3511" s="26" t="s">
        <v>1196</v>
      </c>
      <c r="D3511" s="91" t="s">
        <v>6224</v>
      </c>
      <c r="E3511" s="26" t="s">
        <v>2551</v>
      </c>
      <c r="F3511" s="26" t="s">
        <v>7737</v>
      </c>
      <c r="G3511" s="34" t="s">
        <v>351</v>
      </c>
      <c r="H3511" s="26" t="s">
        <v>7738</v>
      </c>
      <c r="I3511" s="26" t="s">
        <v>2986</v>
      </c>
      <c r="J3511" s="115">
        <v>4</v>
      </c>
      <c r="K3511" s="115">
        <v>94</v>
      </c>
      <c r="L3511" s="136">
        <v>60</v>
      </c>
      <c r="M3511" s="137" t="s">
        <v>22</v>
      </c>
      <c r="V3511" s="26"/>
      <c r="W3511" s="26"/>
      <c r="X3511" s="26"/>
      <c r="Y3511" s="26"/>
      <c r="Z3511" s="26"/>
      <c r="AA3511" s="131"/>
    </row>
    <row r="3512" spans="1:27" ht="15" customHeight="1" x14ac:dyDescent="0.2">
      <c r="A3512" s="37">
        <v>41808.672974537003</v>
      </c>
      <c r="B3512" s="26" t="s">
        <v>152</v>
      </c>
      <c r="C3512" s="26" t="s">
        <v>1196</v>
      </c>
      <c r="D3512" s="91" t="s">
        <v>6224</v>
      </c>
      <c r="E3512" s="26" t="s">
        <v>1244</v>
      </c>
      <c r="F3512" s="26" t="s">
        <v>7739</v>
      </c>
      <c r="G3512" s="34" t="s">
        <v>351</v>
      </c>
      <c r="H3512" s="26" t="s">
        <v>7740</v>
      </c>
      <c r="I3512" s="26" t="s">
        <v>2986</v>
      </c>
      <c r="J3512" s="115">
        <v>3</v>
      </c>
      <c r="K3512" s="115">
        <v>233</v>
      </c>
      <c r="L3512" s="136">
        <v>60</v>
      </c>
      <c r="M3512" s="137" t="s">
        <v>22</v>
      </c>
      <c r="V3512" s="26"/>
      <c r="W3512" s="26"/>
      <c r="X3512" s="26"/>
      <c r="Y3512" s="26"/>
      <c r="Z3512" s="26"/>
      <c r="AA3512" s="131"/>
    </row>
    <row r="3513" spans="1:27" ht="15" customHeight="1" x14ac:dyDescent="0.2">
      <c r="A3513" s="37">
        <v>41808.673611111102</v>
      </c>
      <c r="B3513" s="26" t="s">
        <v>152</v>
      </c>
      <c r="C3513" s="26" t="s">
        <v>1196</v>
      </c>
      <c r="D3513" s="91" t="s">
        <v>6224</v>
      </c>
      <c r="E3513" s="26" t="s">
        <v>2860</v>
      </c>
      <c r="F3513" s="26" t="s">
        <v>7741</v>
      </c>
      <c r="G3513" s="34" t="s">
        <v>351</v>
      </c>
      <c r="H3513" s="26" t="s">
        <v>6133</v>
      </c>
      <c r="I3513" s="26" t="s">
        <v>2986</v>
      </c>
      <c r="J3513" s="115">
        <v>4</v>
      </c>
      <c r="K3513" s="115">
        <v>563</v>
      </c>
      <c r="L3513" s="136">
        <v>100</v>
      </c>
      <c r="M3513" s="137" t="s">
        <v>22</v>
      </c>
      <c r="V3513" s="26"/>
      <c r="W3513" s="26"/>
      <c r="X3513" s="26"/>
      <c r="Y3513" s="26"/>
      <c r="Z3513" s="26"/>
      <c r="AA3513" s="131"/>
    </row>
    <row r="3514" spans="1:27" ht="15" customHeight="1" x14ac:dyDescent="0.2">
      <c r="A3514" s="37">
        <v>41808.674108796302</v>
      </c>
      <c r="B3514" s="26" t="s">
        <v>152</v>
      </c>
      <c r="C3514" s="26" t="s">
        <v>1196</v>
      </c>
      <c r="D3514" s="91" t="s">
        <v>6224</v>
      </c>
      <c r="E3514" s="26" t="s">
        <v>5096</v>
      </c>
      <c r="F3514" s="26" t="s">
        <v>7742</v>
      </c>
      <c r="G3514" s="34" t="s">
        <v>351</v>
      </c>
      <c r="H3514" s="26" t="s">
        <v>6133</v>
      </c>
      <c r="I3514" s="26" t="s">
        <v>2986</v>
      </c>
      <c r="J3514" s="115">
        <v>4</v>
      </c>
      <c r="K3514" s="115">
        <v>170</v>
      </c>
      <c r="L3514" s="136">
        <v>60</v>
      </c>
      <c r="M3514" s="137" t="s">
        <v>22</v>
      </c>
      <c r="V3514" s="26"/>
      <c r="W3514" s="26"/>
      <c r="X3514" s="26"/>
      <c r="Y3514" s="26"/>
      <c r="Z3514" s="26"/>
      <c r="AA3514" s="131"/>
    </row>
    <row r="3515" spans="1:27" ht="15" customHeight="1" x14ac:dyDescent="0.2">
      <c r="A3515" s="37">
        <v>41808.675185185202</v>
      </c>
      <c r="B3515" s="26" t="s">
        <v>152</v>
      </c>
      <c r="C3515" s="26" t="s">
        <v>1196</v>
      </c>
      <c r="D3515" s="91" t="s">
        <v>6224</v>
      </c>
      <c r="E3515" s="26" t="s">
        <v>2594</v>
      </c>
      <c r="F3515" s="26" t="s">
        <v>7743</v>
      </c>
      <c r="G3515" s="34" t="s">
        <v>42</v>
      </c>
      <c r="H3515" s="26" t="s">
        <v>7744</v>
      </c>
      <c r="I3515" s="26" t="s">
        <v>2986</v>
      </c>
      <c r="J3515" s="115">
        <v>2</v>
      </c>
      <c r="K3515" s="115">
        <v>25</v>
      </c>
      <c r="L3515" s="136">
        <v>25</v>
      </c>
      <c r="M3515" s="137" t="s">
        <v>22</v>
      </c>
      <c r="V3515" s="26"/>
      <c r="W3515" s="26"/>
      <c r="X3515" s="26"/>
      <c r="Y3515" s="26"/>
      <c r="Z3515" s="26"/>
      <c r="AA3515" s="131"/>
    </row>
    <row r="3516" spans="1:27" ht="15" customHeight="1" x14ac:dyDescent="0.2">
      <c r="A3516" s="37">
        <v>41808.678981481498</v>
      </c>
      <c r="B3516" s="26" t="s">
        <v>152</v>
      </c>
      <c r="C3516" s="26" t="s">
        <v>1196</v>
      </c>
      <c r="D3516" s="91" t="s">
        <v>6224</v>
      </c>
      <c r="E3516" s="26" t="s">
        <v>2827</v>
      </c>
      <c r="F3516" s="26" t="s">
        <v>7745</v>
      </c>
      <c r="G3516" s="34" t="s">
        <v>42</v>
      </c>
      <c r="H3516" s="26" t="s">
        <v>60</v>
      </c>
      <c r="I3516" s="26" t="s">
        <v>2986</v>
      </c>
      <c r="J3516" s="115">
        <v>1</v>
      </c>
      <c r="K3516" s="115">
        <v>18</v>
      </c>
      <c r="L3516" s="136"/>
      <c r="M3516" s="137" t="s">
        <v>22</v>
      </c>
      <c r="V3516" s="26"/>
      <c r="W3516" s="26"/>
      <c r="X3516" s="26"/>
      <c r="Y3516" s="26"/>
      <c r="Z3516" s="26"/>
      <c r="AA3516" s="131"/>
    </row>
    <row r="3517" spans="1:27" ht="15" customHeight="1" x14ac:dyDescent="0.2">
      <c r="A3517" s="37">
        <v>41809.578055555598</v>
      </c>
      <c r="B3517" s="26" t="s">
        <v>16</v>
      </c>
      <c r="C3517" s="26" t="s">
        <v>17</v>
      </c>
      <c r="D3517" s="91" t="s">
        <v>7147</v>
      </c>
      <c r="E3517" s="26" t="s">
        <v>7746</v>
      </c>
      <c r="F3517" s="26" t="s">
        <v>7747</v>
      </c>
      <c r="G3517" s="34" t="s">
        <v>42</v>
      </c>
      <c r="H3517" s="26" t="s">
        <v>7748</v>
      </c>
      <c r="I3517" s="26" t="s">
        <v>2925</v>
      </c>
      <c r="J3517" s="46">
        <v>1</v>
      </c>
      <c r="K3517" s="46">
        <v>15</v>
      </c>
      <c r="L3517" s="136"/>
      <c r="M3517" s="137" t="s">
        <v>44</v>
      </c>
      <c r="P3517" s="138">
        <v>20</v>
      </c>
      <c r="V3517" s="26"/>
      <c r="W3517" s="26"/>
      <c r="X3517" s="26"/>
      <c r="Y3517" s="26"/>
      <c r="Z3517" s="26"/>
      <c r="AA3517" s="131"/>
    </row>
    <row r="3518" spans="1:27" ht="15" customHeight="1" x14ac:dyDescent="0.2">
      <c r="A3518" s="37">
        <v>41809.579664351899</v>
      </c>
      <c r="B3518" s="26" t="s">
        <v>16</v>
      </c>
      <c r="C3518" s="26" t="s">
        <v>17</v>
      </c>
      <c r="D3518" s="91" t="s">
        <v>7147</v>
      </c>
      <c r="E3518" s="26" t="s">
        <v>7749</v>
      </c>
      <c r="F3518" s="26" t="s">
        <v>7750</v>
      </c>
      <c r="G3518" s="34" t="s">
        <v>42</v>
      </c>
      <c r="H3518" s="26" t="s">
        <v>7751</v>
      </c>
      <c r="I3518" s="26" t="s">
        <v>2926</v>
      </c>
      <c r="J3518" s="46">
        <v>2</v>
      </c>
      <c r="K3518" s="46">
        <v>45</v>
      </c>
      <c r="L3518" s="136"/>
      <c r="M3518" s="137" t="s">
        <v>22</v>
      </c>
      <c r="V3518" s="26"/>
      <c r="W3518" s="26"/>
      <c r="X3518" s="26"/>
      <c r="Y3518" s="26"/>
      <c r="Z3518" s="26"/>
      <c r="AA3518" s="131"/>
    </row>
    <row r="3519" spans="1:27" ht="15" customHeight="1" x14ac:dyDescent="0.2">
      <c r="A3519" s="37">
        <v>41809.606967592597</v>
      </c>
      <c r="B3519" s="26" t="s">
        <v>16</v>
      </c>
      <c r="C3519" s="26" t="s">
        <v>23</v>
      </c>
      <c r="D3519" s="91" t="s">
        <v>7147</v>
      </c>
      <c r="E3519" s="26" t="s">
        <v>2816</v>
      </c>
      <c r="F3519" s="26" t="s">
        <v>7752</v>
      </c>
      <c r="G3519" s="34" t="s">
        <v>42</v>
      </c>
      <c r="H3519" s="26" t="s">
        <v>7753</v>
      </c>
      <c r="I3519" s="26" t="s">
        <v>3001</v>
      </c>
      <c r="J3519" s="46">
        <v>1</v>
      </c>
      <c r="K3519" s="46">
        <v>27</v>
      </c>
      <c r="L3519" s="136">
        <v>125</v>
      </c>
      <c r="M3519" s="137" t="s">
        <v>44</v>
      </c>
      <c r="P3519" s="138">
        <v>3</v>
      </c>
      <c r="U3519" s="138">
        <v>5</v>
      </c>
      <c r="V3519" s="26"/>
      <c r="W3519" s="26"/>
      <c r="X3519" s="26"/>
      <c r="Y3519" s="26"/>
      <c r="Z3519" s="26"/>
      <c r="AA3519" s="131"/>
    </row>
    <row r="3520" spans="1:27" ht="15" customHeight="1" x14ac:dyDescent="0.2">
      <c r="A3520" s="37">
        <v>41809.614363425899</v>
      </c>
      <c r="B3520" s="26" t="s">
        <v>152</v>
      </c>
      <c r="C3520" s="26" t="s">
        <v>213</v>
      </c>
      <c r="D3520" s="91" t="s">
        <v>7147</v>
      </c>
      <c r="E3520" s="26" t="s">
        <v>7577</v>
      </c>
      <c r="F3520" s="26" t="s">
        <v>7754</v>
      </c>
      <c r="G3520" s="34" t="s">
        <v>26</v>
      </c>
      <c r="H3520" s="26"/>
      <c r="I3520" s="26" t="s">
        <v>7755</v>
      </c>
      <c r="J3520" s="46">
        <v>1</v>
      </c>
      <c r="K3520" s="46">
        <v>7</v>
      </c>
      <c r="L3520" s="136">
        <v>105</v>
      </c>
      <c r="M3520" s="137" t="s">
        <v>22</v>
      </c>
      <c r="U3520" s="138">
        <v>20</v>
      </c>
      <c r="V3520" s="26" t="s">
        <v>7756</v>
      </c>
      <c r="W3520" s="26"/>
      <c r="X3520" s="26"/>
      <c r="Y3520" s="26"/>
      <c r="Z3520" s="26"/>
      <c r="AA3520" s="131"/>
    </row>
    <row r="3521" spans="1:27" ht="15" customHeight="1" x14ac:dyDescent="0.2">
      <c r="A3521" s="37">
        <v>41809.6164699074</v>
      </c>
      <c r="B3521" s="26" t="s">
        <v>152</v>
      </c>
      <c r="C3521" s="26" t="s">
        <v>213</v>
      </c>
      <c r="D3521" s="91" t="s">
        <v>7147</v>
      </c>
      <c r="E3521" s="26" t="s">
        <v>7757</v>
      </c>
      <c r="F3521" s="26" t="s">
        <v>7758</v>
      </c>
      <c r="G3521" s="34" t="s">
        <v>26</v>
      </c>
      <c r="H3521" s="26" t="s">
        <v>7759</v>
      </c>
      <c r="I3521" s="26" t="s">
        <v>7760</v>
      </c>
      <c r="J3521" s="46">
        <v>1</v>
      </c>
      <c r="K3521" s="46">
        <v>7</v>
      </c>
      <c r="L3521" s="136">
        <v>105</v>
      </c>
      <c r="M3521" s="137" t="s">
        <v>44</v>
      </c>
      <c r="P3521" s="138">
        <v>10</v>
      </c>
      <c r="U3521" s="138">
        <v>20</v>
      </c>
      <c r="V3521" s="26" t="s">
        <v>7761</v>
      </c>
      <c r="W3521" s="26"/>
      <c r="X3521" s="26"/>
      <c r="Y3521" s="26"/>
      <c r="Z3521" s="26"/>
      <c r="AA3521" s="131"/>
    </row>
    <row r="3522" spans="1:27" ht="15" customHeight="1" x14ac:dyDescent="0.2">
      <c r="A3522" s="37">
        <v>41809.618587962999</v>
      </c>
      <c r="B3522" s="26" t="s">
        <v>152</v>
      </c>
      <c r="C3522" s="26" t="s">
        <v>213</v>
      </c>
      <c r="D3522" s="91" t="s">
        <v>7147</v>
      </c>
      <c r="E3522" s="26" t="s">
        <v>2307</v>
      </c>
      <c r="F3522" s="26" t="s">
        <v>7762</v>
      </c>
      <c r="G3522" s="34" t="s">
        <v>26</v>
      </c>
      <c r="H3522" s="26" t="s">
        <v>7763</v>
      </c>
      <c r="I3522" s="26" t="s">
        <v>2986</v>
      </c>
      <c r="J3522" s="46">
        <v>1</v>
      </c>
      <c r="K3522" s="46">
        <v>7</v>
      </c>
      <c r="L3522" s="136">
        <v>105</v>
      </c>
      <c r="M3522" s="137" t="s">
        <v>44</v>
      </c>
      <c r="P3522" s="138">
        <v>30</v>
      </c>
      <c r="U3522" s="138">
        <v>20</v>
      </c>
      <c r="V3522" s="26" t="s">
        <v>7764</v>
      </c>
      <c r="W3522" s="26"/>
      <c r="X3522" s="26"/>
      <c r="Y3522" s="26"/>
      <c r="Z3522" s="26"/>
      <c r="AA3522" s="131"/>
    </row>
    <row r="3523" spans="1:27" ht="15" customHeight="1" x14ac:dyDescent="0.2">
      <c r="A3523" s="37">
        <v>41809.909756944398</v>
      </c>
      <c r="B3523" s="26" t="s">
        <v>152</v>
      </c>
      <c r="C3523" s="26" t="s">
        <v>4162</v>
      </c>
      <c r="D3523" s="91" t="s">
        <v>7147</v>
      </c>
      <c r="E3523" s="26" t="s">
        <v>7487</v>
      </c>
      <c r="F3523" s="26" t="s">
        <v>7765</v>
      </c>
      <c r="G3523" s="34" t="s">
        <v>26</v>
      </c>
      <c r="H3523" s="26" t="s">
        <v>7766</v>
      </c>
      <c r="I3523" s="26" t="s">
        <v>2926</v>
      </c>
      <c r="J3523" s="46">
        <v>1</v>
      </c>
      <c r="K3523" s="46">
        <v>0</v>
      </c>
      <c r="L3523" s="136"/>
      <c r="M3523" s="137" t="s">
        <v>22</v>
      </c>
      <c r="U3523" s="138">
        <v>0</v>
      </c>
      <c r="V3523" s="26" t="s">
        <v>7767</v>
      </c>
      <c r="W3523" s="26"/>
      <c r="X3523" s="26"/>
      <c r="Y3523" s="26"/>
      <c r="Z3523" s="26"/>
      <c r="AA3523" s="131"/>
    </row>
    <row r="3524" spans="1:27" ht="15" customHeight="1" x14ac:dyDescent="0.2">
      <c r="A3524" s="37">
        <v>41809.911793981497</v>
      </c>
      <c r="B3524" s="26" t="s">
        <v>152</v>
      </c>
      <c r="C3524" s="26" t="s">
        <v>4162</v>
      </c>
      <c r="D3524" s="91" t="s">
        <v>7147</v>
      </c>
      <c r="E3524" s="26"/>
      <c r="F3524" s="26" t="s">
        <v>7768</v>
      </c>
      <c r="G3524" s="34" t="s">
        <v>26</v>
      </c>
      <c r="H3524" s="26" t="s">
        <v>7769</v>
      </c>
      <c r="I3524" s="26" t="s">
        <v>2925</v>
      </c>
      <c r="J3524" s="46">
        <v>1</v>
      </c>
      <c r="K3524" s="46">
        <v>0</v>
      </c>
      <c r="L3524" s="136"/>
      <c r="M3524" s="137" t="s">
        <v>22</v>
      </c>
      <c r="V3524" s="26"/>
      <c r="W3524" s="26"/>
      <c r="X3524" s="26"/>
      <c r="Y3524" s="26"/>
      <c r="Z3524" s="26"/>
      <c r="AA3524" s="131"/>
    </row>
    <row r="3525" spans="1:27" ht="15" customHeight="1" x14ac:dyDescent="0.2">
      <c r="A3525" s="37">
        <v>41809.918020833298</v>
      </c>
      <c r="B3525" s="26" t="s">
        <v>152</v>
      </c>
      <c r="C3525" s="26" t="s">
        <v>4162</v>
      </c>
      <c r="D3525" s="91" t="s">
        <v>7147</v>
      </c>
      <c r="E3525" s="26" t="s">
        <v>7770</v>
      </c>
      <c r="F3525" s="26" t="s">
        <v>7771</v>
      </c>
      <c r="G3525" s="34" t="s">
        <v>26</v>
      </c>
      <c r="H3525" s="26" t="s">
        <v>7772</v>
      </c>
      <c r="I3525" s="26" t="s">
        <v>2986</v>
      </c>
      <c r="J3525" s="46">
        <v>1</v>
      </c>
      <c r="K3525" s="46">
        <v>25</v>
      </c>
      <c r="L3525" s="136">
        <v>1</v>
      </c>
      <c r="M3525" s="137" t="s">
        <v>44</v>
      </c>
      <c r="O3525" s="138">
        <v>20</v>
      </c>
      <c r="Q3525" s="138">
        <v>80</v>
      </c>
      <c r="U3525" s="138">
        <v>10</v>
      </c>
      <c r="V3525" s="26" t="s">
        <v>7773</v>
      </c>
      <c r="W3525" s="26"/>
      <c r="X3525" s="26"/>
      <c r="Y3525" s="26"/>
      <c r="Z3525" s="26"/>
      <c r="AA3525" s="131"/>
    </row>
    <row r="3526" spans="1:27" ht="15" customHeight="1" x14ac:dyDescent="0.2">
      <c r="A3526" s="37">
        <v>41810.6348842593</v>
      </c>
      <c r="B3526" s="26" t="s">
        <v>16</v>
      </c>
      <c r="C3526" s="26" t="s">
        <v>23</v>
      </c>
      <c r="D3526" s="91" t="s">
        <v>7147</v>
      </c>
      <c r="E3526" s="26" t="s">
        <v>7774</v>
      </c>
      <c r="F3526" s="26" t="s">
        <v>7775</v>
      </c>
      <c r="G3526" s="34" t="s">
        <v>42</v>
      </c>
      <c r="H3526" s="26" t="s">
        <v>7776</v>
      </c>
      <c r="I3526" s="26" t="s">
        <v>2926</v>
      </c>
      <c r="J3526" s="46">
        <v>1</v>
      </c>
      <c r="K3526" s="46">
        <v>28</v>
      </c>
      <c r="L3526" s="136">
        <v>120</v>
      </c>
      <c r="M3526" s="137" t="s">
        <v>22</v>
      </c>
      <c r="V3526" s="26"/>
      <c r="W3526" s="26"/>
      <c r="X3526" s="26"/>
      <c r="Y3526" s="26"/>
      <c r="Z3526" s="26"/>
      <c r="AA3526" s="131"/>
    </row>
    <row r="3527" spans="1:27" ht="15" customHeight="1" x14ac:dyDescent="0.2">
      <c r="A3527" s="37">
        <v>41811.665902777801</v>
      </c>
      <c r="B3527" s="26" t="s">
        <v>38</v>
      </c>
      <c r="C3527" s="26" t="s">
        <v>62</v>
      </c>
      <c r="D3527" s="91" t="s">
        <v>7147</v>
      </c>
      <c r="E3527" s="26" t="s">
        <v>7777</v>
      </c>
      <c r="F3527" s="26" t="s">
        <v>1485</v>
      </c>
      <c r="G3527" s="34" t="s">
        <v>26</v>
      </c>
      <c r="H3527" s="26" t="s">
        <v>5647</v>
      </c>
      <c r="I3527" s="26" t="s">
        <v>3038</v>
      </c>
      <c r="J3527" s="46">
        <v>1</v>
      </c>
      <c r="K3527" s="46">
        <v>4</v>
      </c>
      <c r="L3527" s="136">
        <v>60</v>
      </c>
      <c r="M3527" s="137" t="s">
        <v>44</v>
      </c>
      <c r="O3527" s="138">
        <v>10</v>
      </c>
      <c r="V3527" s="26"/>
      <c r="W3527" s="26"/>
      <c r="X3527" s="26"/>
      <c r="Y3527" s="26"/>
      <c r="Z3527" s="26"/>
      <c r="AA3527" s="131"/>
    </row>
    <row r="3528" spans="1:27" ht="15" customHeight="1" x14ac:dyDescent="0.2">
      <c r="A3528" s="37">
        <v>41811.671006944402</v>
      </c>
      <c r="B3528" s="26" t="s">
        <v>38</v>
      </c>
      <c r="C3528" s="26" t="s">
        <v>62</v>
      </c>
      <c r="D3528" s="91" t="s">
        <v>7147</v>
      </c>
      <c r="E3528" s="26" t="s">
        <v>6875</v>
      </c>
      <c r="F3528" s="26" t="s">
        <v>263</v>
      </c>
      <c r="G3528" s="34" t="s">
        <v>26</v>
      </c>
      <c r="H3528" s="26" t="s">
        <v>4758</v>
      </c>
      <c r="I3528" s="26" t="s">
        <v>3678</v>
      </c>
      <c r="J3528" s="46">
        <v>1</v>
      </c>
      <c r="K3528" s="46">
        <v>16</v>
      </c>
      <c r="L3528" s="136">
        <v>160</v>
      </c>
      <c r="M3528" s="137" t="s">
        <v>44</v>
      </c>
      <c r="O3528" s="138">
        <v>15</v>
      </c>
      <c r="V3528" s="26"/>
      <c r="W3528" s="26"/>
      <c r="X3528" s="26"/>
      <c r="Y3528" s="26"/>
      <c r="Z3528" s="26"/>
      <c r="AA3528" s="131"/>
    </row>
    <row r="3529" spans="1:27" ht="15" customHeight="1" x14ac:dyDescent="0.2">
      <c r="A3529" s="37">
        <v>41811.672962962999</v>
      </c>
      <c r="B3529" s="26" t="s">
        <v>38</v>
      </c>
      <c r="C3529" s="26" t="s">
        <v>62</v>
      </c>
      <c r="D3529" s="91" t="s">
        <v>7147</v>
      </c>
      <c r="E3529" s="26" t="s">
        <v>7778</v>
      </c>
      <c r="F3529" s="26" t="s">
        <v>6873</v>
      </c>
      <c r="G3529" s="34" t="s">
        <v>26</v>
      </c>
      <c r="H3529" s="26" t="s">
        <v>6984</v>
      </c>
      <c r="I3529" s="26" t="s">
        <v>3678</v>
      </c>
      <c r="J3529" s="46">
        <v>1</v>
      </c>
      <c r="K3529" s="46">
        <v>8</v>
      </c>
      <c r="L3529" s="136">
        <v>120</v>
      </c>
      <c r="M3529" s="137" t="s">
        <v>44</v>
      </c>
      <c r="O3529" s="138">
        <v>10</v>
      </c>
      <c r="V3529" s="26"/>
      <c r="W3529" s="26"/>
      <c r="X3529" s="26"/>
      <c r="Y3529" s="26"/>
      <c r="Z3529" s="26"/>
      <c r="AA3529" s="131"/>
    </row>
    <row r="3530" spans="1:27" ht="15" customHeight="1" x14ac:dyDescent="0.2">
      <c r="A3530" s="37">
        <v>41811.675162036998</v>
      </c>
      <c r="B3530" s="26" t="s">
        <v>38</v>
      </c>
      <c r="C3530" s="26" t="s">
        <v>62</v>
      </c>
      <c r="D3530" s="91" t="s">
        <v>7147</v>
      </c>
      <c r="E3530" s="26" t="s">
        <v>7779</v>
      </c>
      <c r="F3530" s="26" t="s">
        <v>273</v>
      </c>
      <c r="G3530" s="34" t="s">
        <v>26</v>
      </c>
      <c r="H3530" s="26" t="s">
        <v>5972</v>
      </c>
      <c r="I3530" s="26" t="s">
        <v>3678</v>
      </c>
      <c r="J3530" s="46">
        <v>1</v>
      </c>
      <c r="K3530" s="46">
        <v>19</v>
      </c>
      <c r="L3530" s="136">
        <v>270</v>
      </c>
      <c r="M3530" s="137" t="s">
        <v>44</v>
      </c>
      <c r="O3530" s="138">
        <v>10</v>
      </c>
      <c r="Q3530" s="138">
        <v>58</v>
      </c>
      <c r="V3530" s="26"/>
      <c r="W3530" s="26"/>
      <c r="X3530" s="26"/>
      <c r="Y3530" s="26"/>
      <c r="Z3530" s="26"/>
      <c r="AA3530" s="131"/>
    </row>
    <row r="3531" spans="1:27" ht="15" customHeight="1" x14ac:dyDescent="0.2">
      <c r="A3531" s="37">
        <v>41811.677337963003</v>
      </c>
      <c r="B3531" s="26" t="s">
        <v>38</v>
      </c>
      <c r="C3531" s="26" t="s">
        <v>62</v>
      </c>
      <c r="D3531" s="91" t="s">
        <v>7147</v>
      </c>
      <c r="E3531" s="26" t="s">
        <v>7780</v>
      </c>
      <c r="F3531" s="26" t="s">
        <v>7781</v>
      </c>
      <c r="G3531" s="34" t="s">
        <v>26</v>
      </c>
      <c r="H3531" s="26" t="s">
        <v>6984</v>
      </c>
      <c r="I3531" s="26" t="s">
        <v>6974</v>
      </c>
      <c r="J3531" s="46">
        <v>1</v>
      </c>
      <c r="K3531" s="46">
        <v>18</v>
      </c>
      <c r="L3531" s="136">
        <v>300</v>
      </c>
      <c r="M3531" s="137" t="s">
        <v>44</v>
      </c>
      <c r="O3531" s="138">
        <v>15</v>
      </c>
      <c r="V3531" s="26"/>
      <c r="W3531" s="26"/>
      <c r="X3531" s="26"/>
      <c r="Y3531" s="26"/>
      <c r="Z3531" s="26"/>
      <c r="AA3531" s="131"/>
    </row>
    <row r="3532" spans="1:27" ht="15" customHeight="1" x14ac:dyDescent="0.2">
      <c r="A3532" s="37">
        <v>41811.678993055597</v>
      </c>
      <c r="B3532" s="26" t="s">
        <v>38</v>
      </c>
      <c r="C3532" s="26" t="s">
        <v>62</v>
      </c>
      <c r="D3532" s="91" t="s">
        <v>6224</v>
      </c>
      <c r="E3532" s="26" t="s">
        <v>7782</v>
      </c>
      <c r="F3532" s="26" t="s">
        <v>263</v>
      </c>
      <c r="G3532" s="34" t="s">
        <v>26</v>
      </c>
      <c r="H3532" s="26" t="s">
        <v>6880</v>
      </c>
      <c r="I3532" s="26" t="s">
        <v>3678</v>
      </c>
      <c r="J3532" s="115">
        <v>1</v>
      </c>
      <c r="K3532" s="115">
        <v>12</v>
      </c>
      <c r="L3532" s="136">
        <v>120</v>
      </c>
      <c r="M3532" s="137" t="s">
        <v>44</v>
      </c>
      <c r="O3532" s="138">
        <v>10</v>
      </c>
      <c r="V3532" s="26"/>
      <c r="W3532" s="26"/>
      <c r="X3532" s="26"/>
      <c r="Y3532" s="26"/>
      <c r="Z3532" s="26"/>
      <c r="AA3532" s="131"/>
    </row>
    <row r="3533" spans="1:27" ht="15" customHeight="1" x14ac:dyDescent="0.2">
      <c r="A3533" s="37">
        <v>41811.707442129598</v>
      </c>
      <c r="B3533" s="26" t="s">
        <v>38</v>
      </c>
      <c r="C3533" s="26" t="s">
        <v>62</v>
      </c>
      <c r="D3533" s="91" t="s">
        <v>7147</v>
      </c>
      <c r="E3533" s="26" t="s">
        <v>63</v>
      </c>
      <c r="F3533" s="26" t="s">
        <v>1311</v>
      </c>
      <c r="G3533" s="34" t="s">
        <v>26</v>
      </c>
      <c r="H3533" s="26" t="s">
        <v>5972</v>
      </c>
      <c r="I3533" s="26" t="s">
        <v>6985</v>
      </c>
      <c r="J3533" s="46">
        <v>1</v>
      </c>
      <c r="K3533" s="46">
        <v>25</v>
      </c>
      <c r="L3533" s="136">
        <v>330</v>
      </c>
      <c r="M3533" s="137" t="s">
        <v>44</v>
      </c>
      <c r="O3533" s="138">
        <v>20</v>
      </c>
      <c r="Q3533" s="138">
        <v>59</v>
      </c>
      <c r="V3533" s="26"/>
      <c r="W3533" s="26"/>
      <c r="X3533" s="26"/>
      <c r="Y3533" s="26"/>
      <c r="Z3533" s="26"/>
      <c r="AA3533" s="131"/>
    </row>
    <row r="3534" spans="1:27" ht="15" customHeight="1" x14ac:dyDescent="0.2">
      <c r="A3534" s="37">
        <v>41813.444270833301</v>
      </c>
      <c r="B3534" s="26" t="s">
        <v>16</v>
      </c>
      <c r="C3534" s="26" t="s">
        <v>799</v>
      </c>
      <c r="D3534" s="91" t="s">
        <v>7147</v>
      </c>
      <c r="E3534" s="26" t="s">
        <v>7598</v>
      </c>
      <c r="F3534" s="26" t="s">
        <v>7783</v>
      </c>
      <c r="G3534" s="34" t="s">
        <v>156</v>
      </c>
      <c r="H3534" s="26" t="s">
        <v>7784</v>
      </c>
      <c r="I3534" s="26" t="s">
        <v>2926</v>
      </c>
      <c r="J3534" s="46">
        <v>1</v>
      </c>
      <c r="K3534" s="46">
        <v>28</v>
      </c>
      <c r="L3534" s="136"/>
      <c r="M3534" s="137" t="s">
        <v>44</v>
      </c>
      <c r="O3534" s="138">
        <v>110</v>
      </c>
      <c r="P3534" s="138">
        <v>22</v>
      </c>
      <c r="V3534" s="26"/>
      <c r="W3534" s="26"/>
      <c r="X3534" s="26"/>
      <c r="Y3534" s="26"/>
      <c r="Z3534" s="26"/>
      <c r="AA3534" s="131"/>
    </row>
    <row r="3535" spans="1:27" ht="15" customHeight="1" x14ac:dyDescent="0.2">
      <c r="A3535" s="37">
        <v>41813.4465277778</v>
      </c>
      <c r="B3535" s="26" t="s">
        <v>16</v>
      </c>
      <c r="C3535" s="26" t="s">
        <v>799</v>
      </c>
      <c r="D3535" s="91" t="s">
        <v>7147</v>
      </c>
      <c r="E3535" s="26" t="s">
        <v>7785</v>
      </c>
      <c r="F3535" s="26" t="s">
        <v>7599</v>
      </c>
      <c r="G3535" s="34" t="s">
        <v>156</v>
      </c>
      <c r="H3535" s="26" t="s">
        <v>7786</v>
      </c>
      <c r="I3535" s="26" t="s">
        <v>2926</v>
      </c>
      <c r="J3535" s="46">
        <v>1</v>
      </c>
      <c r="K3535" s="46">
        <v>22</v>
      </c>
      <c r="L3535" s="136"/>
      <c r="M3535" s="137" t="s">
        <v>44</v>
      </c>
      <c r="O3535" s="138">
        <v>10</v>
      </c>
      <c r="P3535" s="138">
        <v>6</v>
      </c>
      <c r="V3535" s="26"/>
      <c r="W3535" s="26"/>
      <c r="X3535" s="26"/>
      <c r="Y3535" s="26"/>
      <c r="Z3535" s="26"/>
      <c r="AA3535" s="131"/>
    </row>
    <row r="3536" spans="1:27" ht="15" customHeight="1" x14ac:dyDescent="0.2">
      <c r="A3536" s="37">
        <v>41813.4547453704</v>
      </c>
      <c r="B3536" s="26" t="s">
        <v>16</v>
      </c>
      <c r="C3536" s="26" t="s">
        <v>799</v>
      </c>
      <c r="D3536" s="91" t="s">
        <v>7147</v>
      </c>
      <c r="E3536" s="26" t="s">
        <v>7787</v>
      </c>
      <c r="F3536" s="26" t="s">
        <v>7788</v>
      </c>
      <c r="G3536" s="34" t="s">
        <v>20</v>
      </c>
      <c r="H3536" s="26" t="s">
        <v>7789</v>
      </c>
      <c r="I3536" s="26" t="s">
        <v>3001</v>
      </c>
      <c r="J3536" s="46">
        <v>5</v>
      </c>
      <c r="K3536" s="46">
        <v>294</v>
      </c>
      <c r="L3536" s="136"/>
      <c r="M3536" s="137" t="s">
        <v>44</v>
      </c>
      <c r="P3536" s="138">
        <v>7.5</v>
      </c>
      <c r="V3536" s="26"/>
      <c r="W3536" s="26"/>
      <c r="X3536" s="26"/>
      <c r="Y3536" s="26"/>
      <c r="Z3536" s="26"/>
      <c r="AA3536" s="131"/>
    </row>
    <row r="3537" spans="1:27" ht="15" customHeight="1" x14ac:dyDescent="0.2">
      <c r="A3537" s="37">
        <v>41813.456793981502</v>
      </c>
      <c r="B3537" s="26" t="s">
        <v>16</v>
      </c>
      <c r="C3537" s="26" t="s">
        <v>999</v>
      </c>
      <c r="D3537" s="91" t="s">
        <v>7147</v>
      </c>
      <c r="E3537" s="26" t="s">
        <v>7790</v>
      </c>
      <c r="F3537" s="26" t="s">
        <v>7791</v>
      </c>
      <c r="G3537" s="34" t="s">
        <v>26</v>
      </c>
      <c r="H3537" s="26" t="s">
        <v>7792</v>
      </c>
      <c r="I3537" s="26" t="s">
        <v>2812</v>
      </c>
      <c r="J3537" s="46">
        <v>3</v>
      </c>
      <c r="K3537" s="46">
        <v>3</v>
      </c>
      <c r="L3537" s="136">
        <v>15</v>
      </c>
      <c r="M3537" s="137" t="s">
        <v>44</v>
      </c>
      <c r="O3537" s="138">
        <v>5</v>
      </c>
      <c r="P3537" s="138">
        <v>8</v>
      </c>
      <c r="V3537" s="26"/>
      <c r="W3537" s="26"/>
      <c r="X3537" s="26"/>
      <c r="Y3537" s="26"/>
      <c r="Z3537" s="26"/>
      <c r="AA3537" s="131"/>
    </row>
    <row r="3538" spans="1:27" ht="15" customHeight="1" x14ac:dyDescent="0.2">
      <c r="A3538" s="37">
        <v>41813.465127314797</v>
      </c>
      <c r="B3538" s="26" t="s">
        <v>38</v>
      </c>
      <c r="C3538" s="26" t="s">
        <v>47</v>
      </c>
      <c r="D3538" s="91" t="s">
        <v>7147</v>
      </c>
      <c r="E3538" s="26" t="s">
        <v>7793</v>
      </c>
      <c r="F3538" s="26" t="s">
        <v>7794</v>
      </c>
      <c r="G3538" s="34" t="s">
        <v>26</v>
      </c>
      <c r="H3538" s="26" t="s">
        <v>7795</v>
      </c>
      <c r="I3538" s="26" t="s">
        <v>3001</v>
      </c>
      <c r="J3538" s="46">
        <v>2</v>
      </c>
      <c r="K3538" s="46">
        <v>34</v>
      </c>
      <c r="L3538" s="136">
        <v>1500</v>
      </c>
      <c r="M3538" s="137" t="s">
        <v>22</v>
      </c>
      <c r="U3538" s="138">
        <v>250</v>
      </c>
      <c r="V3538" s="26"/>
      <c r="W3538" s="26"/>
      <c r="X3538" s="26"/>
      <c r="Y3538" s="26"/>
      <c r="Z3538" s="26"/>
      <c r="AA3538" s="131"/>
    </row>
    <row r="3539" spans="1:27" ht="15" customHeight="1" x14ac:dyDescent="0.2">
      <c r="A3539" s="37">
        <v>41813.486030092601</v>
      </c>
      <c r="B3539" s="26" t="s">
        <v>16</v>
      </c>
      <c r="C3539" s="26" t="s">
        <v>23</v>
      </c>
      <c r="D3539" s="91" t="s">
        <v>7147</v>
      </c>
      <c r="E3539" s="26" t="s">
        <v>7796</v>
      </c>
      <c r="F3539" s="26" t="s">
        <v>7797</v>
      </c>
      <c r="G3539" s="34" t="s">
        <v>156</v>
      </c>
      <c r="H3539" s="26" t="s">
        <v>7798</v>
      </c>
      <c r="I3539" s="26" t="s">
        <v>7098</v>
      </c>
      <c r="J3539" s="46">
        <v>1</v>
      </c>
      <c r="K3539" s="46">
        <v>40</v>
      </c>
      <c r="L3539" s="136">
        <v>6</v>
      </c>
      <c r="M3539" s="137" t="s">
        <v>44</v>
      </c>
      <c r="O3539" s="138">
        <v>30</v>
      </c>
      <c r="V3539" s="26" t="s">
        <v>7799</v>
      </c>
      <c r="W3539" s="26"/>
      <c r="X3539" s="26"/>
      <c r="Y3539" s="26"/>
      <c r="Z3539" s="26"/>
      <c r="AA3539" s="131"/>
    </row>
    <row r="3540" spans="1:27" ht="15" customHeight="1" x14ac:dyDescent="0.2">
      <c r="A3540" s="37">
        <v>41813.5008101852</v>
      </c>
      <c r="B3540" s="26" t="s">
        <v>16</v>
      </c>
      <c r="C3540" s="26" t="s">
        <v>23</v>
      </c>
      <c r="D3540" s="91" t="s">
        <v>7147</v>
      </c>
      <c r="E3540" s="26" t="s">
        <v>7800</v>
      </c>
      <c r="F3540" s="26" t="s">
        <v>7801</v>
      </c>
      <c r="G3540" s="34" t="s">
        <v>26</v>
      </c>
      <c r="H3540" s="26" t="s">
        <v>7802</v>
      </c>
      <c r="I3540" s="26" t="s">
        <v>2812</v>
      </c>
      <c r="J3540" s="46">
        <v>1</v>
      </c>
      <c r="K3540" s="46">
        <v>4</v>
      </c>
      <c r="L3540" s="136"/>
      <c r="M3540" s="137" t="s">
        <v>22</v>
      </c>
      <c r="V3540" s="26"/>
      <c r="W3540" s="26"/>
      <c r="X3540" s="26"/>
      <c r="Y3540" s="26"/>
      <c r="Z3540" s="26"/>
      <c r="AA3540" s="131"/>
    </row>
    <row r="3541" spans="1:27" ht="15" customHeight="1" x14ac:dyDescent="0.2">
      <c r="A3541" s="37">
        <v>41813.548298611102</v>
      </c>
      <c r="B3541" s="26" t="s">
        <v>16</v>
      </c>
      <c r="C3541" s="26" t="s">
        <v>23</v>
      </c>
      <c r="D3541" s="91" t="s">
        <v>7147</v>
      </c>
      <c r="E3541" s="26" t="s">
        <v>1508</v>
      </c>
      <c r="F3541" s="26" t="s">
        <v>7803</v>
      </c>
      <c r="G3541" s="34" t="s">
        <v>42</v>
      </c>
      <c r="H3541" s="26" t="s">
        <v>7804</v>
      </c>
      <c r="I3541" s="26" t="s">
        <v>3001</v>
      </c>
      <c r="J3541" s="46">
        <v>1</v>
      </c>
      <c r="K3541" s="46">
        <v>11</v>
      </c>
      <c r="L3541" s="136"/>
      <c r="M3541" s="137" t="s">
        <v>22</v>
      </c>
      <c r="U3541" s="138">
        <v>3</v>
      </c>
      <c r="V3541" s="26"/>
      <c r="W3541" s="26"/>
      <c r="X3541" s="26"/>
      <c r="Y3541" s="26"/>
      <c r="Z3541" s="26"/>
      <c r="AA3541" s="131"/>
    </row>
    <row r="3542" spans="1:27" ht="15" customHeight="1" x14ac:dyDescent="0.2">
      <c r="A3542" s="37">
        <v>41816.463576388902</v>
      </c>
      <c r="B3542" s="26" t="s">
        <v>16</v>
      </c>
      <c r="C3542" s="26" t="s">
        <v>799</v>
      </c>
      <c r="D3542" s="91" t="s">
        <v>7147</v>
      </c>
      <c r="E3542" s="26" t="s">
        <v>5344</v>
      </c>
      <c r="F3542" s="26" t="s">
        <v>4160</v>
      </c>
      <c r="G3542" s="34" t="s">
        <v>42</v>
      </c>
      <c r="H3542" s="26" t="s">
        <v>7805</v>
      </c>
      <c r="I3542" s="26" t="s">
        <v>3001</v>
      </c>
      <c r="J3542" s="46">
        <v>4</v>
      </c>
      <c r="K3542" s="46">
        <v>35</v>
      </c>
      <c r="L3542" s="136">
        <v>175</v>
      </c>
      <c r="M3542" s="137" t="s">
        <v>44</v>
      </c>
      <c r="P3542" s="138">
        <v>6</v>
      </c>
      <c r="V3542" s="26" t="s">
        <v>7806</v>
      </c>
      <c r="W3542" s="26"/>
      <c r="X3542" s="26"/>
      <c r="Y3542" s="26"/>
      <c r="Z3542" s="26"/>
      <c r="AA3542" s="131"/>
    </row>
    <row r="3543" spans="1:27" ht="15" customHeight="1" x14ac:dyDescent="0.2">
      <c r="A3543" s="37">
        <v>41816.473738425899</v>
      </c>
      <c r="B3543" s="26" t="s">
        <v>16</v>
      </c>
      <c r="C3543" s="26" t="s">
        <v>799</v>
      </c>
      <c r="D3543" s="91" t="s">
        <v>7147</v>
      </c>
      <c r="E3543" s="26" t="s">
        <v>5818</v>
      </c>
      <c r="F3543" s="26" t="s">
        <v>7807</v>
      </c>
      <c r="G3543" s="34" t="s">
        <v>156</v>
      </c>
      <c r="H3543" s="26" t="s">
        <v>7808</v>
      </c>
      <c r="I3543" s="26" t="s">
        <v>2926</v>
      </c>
      <c r="J3543" s="46">
        <v>3</v>
      </c>
      <c r="K3543" s="46">
        <v>4</v>
      </c>
      <c r="L3543" s="136">
        <v>6</v>
      </c>
      <c r="M3543" s="137" t="s">
        <v>44</v>
      </c>
      <c r="O3543" s="138">
        <v>10</v>
      </c>
      <c r="P3543" s="138">
        <v>7</v>
      </c>
      <c r="V3543" s="26"/>
      <c r="W3543" s="26"/>
      <c r="X3543" s="26"/>
      <c r="Y3543" s="26"/>
      <c r="Z3543" s="26"/>
      <c r="AA3543" s="131"/>
    </row>
    <row r="3544" spans="1:27" ht="15" customHeight="1" x14ac:dyDescent="0.2">
      <c r="A3544" s="37">
        <v>41817.326782407399</v>
      </c>
      <c r="B3544" s="26" t="s">
        <v>152</v>
      </c>
      <c r="C3544" s="26" t="s">
        <v>213</v>
      </c>
      <c r="D3544" s="91" t="s">
        <v>7147</v>
      </c>
      <c r="E3544" s="26" t="s">
        <v>3111</v>
      </c>
      <c r="F3544" s="26" t="s">
        <v>7579</v>
      </c>
      <c r="G3544" s="34" t="s">
        <v>60</v>
      </c>
      <c r="H3544" s="26"/>
      <c r="I3544" s="26" t="s">
        <v>3140</v>
      </c>
      <c r="J3544" s="46">
        <v>1</v>
      </c>
      <c r="K3544" s="46">
        <v>3</v>
      </c>
      <c r="L3544" s="136"/>
      <c r="M3544" s="137" t="s">
        <v>22</v>
      </c>
      <c r="V3544" s="26" t="s">
        <v>7809</v>
      </c>
      <c r="W3544" s="26"/>
      <c r="X3544" s="26"/>
      <c r="Y3544" s="26"/>
      <c r="Z3544" s="26"/>
      <c r="AA3544" s="131"/>
    </row>
    <row r="3545" spans="1:27" ht="15" customHeight="1" x14ac:dyDescent="0.2">
      <c r="A3545" s="37">
        <v>41817.331516203703</v>
      </c>
      <c r="B3545" s="26" t="s">
        <v>152</v>
      </c>
      <c r="C3545" s="26" t="s">
        <v>213</v>
      </c>
      <c r="D3545" s="91" t="s">
        <v>7147</v>
      </c>
      <c r="E3545" s="26" t="s">
        <v>7574</v>
      </c>
      <c r="F3545" s="26" t="s">
        <v>7810</v>
      </c>
      <c r="G3545" s="34" t="s">
        <v>60</v>
      </c>
      <c r="H3545" s="26" t="s">
        <v>6068</v>
      </c>
      <c r="I3545" s="26" t="s">
        <v>7681</v>
      </c>
      <c r="J3545" s="46">
        <v>5</v>
      </c>
      <c r="K3545" s="46">
        <v>23</v>
      </c>
      <c r="L3545" s="136"/>
      <c r="M3545" s="137" t="s">
        <v>44</v>
      </c>
      <c r="P3545" s="138">
        <v>12</v>
      </c>
      <c r="V3545" s="26"/>
      <c r="W3545" s="26"/>
      <c r="X3545" s="26"/>
      <c r="Y3545" s="26"/>
      <c r="Z3545" s="26"/>
      <c r="AA3545" s="131"/>
    </row>
    <row r="3546" spans="1:27" ht="15" customHeight="1" x14ac:dyDescent="0.2">
      <c r="A3546" s="37">
        <v>41817.333703703698</v>
      </c>
      <c r="B3546" s="26" t="s">
        <v>152</v>
      </c>
      <c r="C3546" s="26" t="s">
        <v>213</v>
      </c>
      <c r="D3546" s="91" t="s">
        <v>7147</v>
      </c>
      <c r="E3546" s="26" t="s">
        <v>2307</v>
      </c>
      <c r="F3546" s="26" t="s">
        <v>4151</v>
      </c>
      <c r="G3546" s="34" t="s">
        <v>60</v>
      </c>
      <c r="H3546" s="26" t="s">
        <v>2077</v>
      </c>
      <c r="I3546" s="26" t="s">
        <v>3778</v>
      </c>
      <c r="J3546" s="46">
        <v>2</v>
      </c>
      <c r="K3546" s="46">
        <v>15</v>
      </c>
      <c r="L3546" s="136"/>
      <c r="M3546" s="137" t="s">
        <v>44</v>
      </c>
      <c r="P3546" s="138">
        <v>7</v>
      </c>
      <c r="V3546" s="26"/>
      <c r="W3546" s="26"/>
      <c r="X3546" s="26"/>
      <c r="Y3546" s="26"/>
      <c r="Z3546" s="26"/>
      <c r="AA3546" s="131"/>
    </row>
    <row r="3547" spans="1:27" ht="15" customHeight="1" x14ac:dyDescent="0.2">
      <c r="A3547" s="37">
        <v>41817.337384259299</v>
      </c>
      <c r="B3547" s="26" t="s">
        <v>152</v>
      </c>
      <c r="C3547" s="26" t="s">
        <v>213</v>
      </c>
      <c r="D3547" s="91" t="s">
        <v>7147</v>
      </c>
      <c r="E3547" s="26" t="s">
        <v>5618</v>
      </c>
      <c r="F3547" s="26" t="s">
        <v>373</v>
      </c>
      <c r="G3547" s="34" t="s">
        <v>26</v>
      </c>
      <c r="H3547" s="26" t="s">
        <v>7811</v>
      </c>
      <c r="I3547" s="26" t="s">
        <v>2986</v>
      </c>
      <c r="J3547" s="46">
        <v>2</v>
      </c>
      <c r="K3547" s="46">
        <v>4</v>
      </c>
      <c r="L3547" s="136"/>
      <c r="M3547" s="137" t="s">
        <v>44</v>
      </c>
      <c r="P3547" s="138">
        <v>6</v>
      </c>
      <c r="V3547" s="26" t="s">
        <v>7812</v>
      </c>
      <c r="W3547" s="26"/>
      <c r="X3547" s="26"/>
      <c r="Y3547" s="26"/>
      <c r="Z3547" s="26"/>
      <c r="AA3547" s="131"/>
    </row>
    <row r="3548" spans="1:27" ht="15" customHeight="1" x14ac:dyDescent="0.2">
      <c r="A3548" s="37">
        <v>41817.340081018498</v>
      </c>
      <c r="B3548" s="26" t="s">
        <v>152</v>
      </c>
      <c r="C3548" s="26" t="s">
        <v>213</v>
      </c>
      <c r="D3548" s="91" t="s">
        <v>7147</v>
      </c>
      <c r="E3548" s="26" t="s">
        <v>7813</v>
      </c>
      <c r="F3548" s="26" t="s">
        <v>5267</v>
      </c>
      <c r="G3548" s="34" t="s">
        <v>26</v>
      </c>
      <c r="H3548" s="26" t="s">
        <v>7814</v>
      </c>
      <c r="I3548" s="26" t="s">
        <v>2986</v>
      </c>
      <c r="J3548" s="46">
        <v>1</v>
      </c>
      <c r="K3548" s="46">
        <v>5</v>
      </c>
      <c r="L3548" s="136"/>
      <c r="M3548" s="137" t="s">
        <v>44</v>
      </c>
      <c r="P3548" s="138">
        <v>5</v>
      </c>
      <c r="V3548" s="26"/>
      <c r="W3548" s="26"/>
      <c r="X3548" s="26"/>
      <c r="Y3548" s="26"/>
      <c r="Z3548" s="26"/>
      <c r="AA3548" s="131"/>
    </row>
    <row r="3549" spans="1:27" ht="15" customHeight="1" x14ac:dyDescent="0.2">
      <c r="A3549" s="37">
        <v>41817.343043981498</v>
      </c>
      <c r="B3549" s="26" t="s">
        <v>152</v>
      </c>
      <c r="C3549" s="26" t="s">
        <v>213</v>
      </c>
      <c r="D3549" s="91" t="s">
        <v>7147</v>
      </c>
      <c r="E3549" s="26" t="s">
        <v>7815</v>
      </c>
      <c r="F3549" s="26" t="s">
        <v>7816</v>
      </c>
      <c r="G3549" s="34" t="s">
        <v>26</v>
      </c>
      <c r="H3549" s="26" t="s">
        <v>7817</v>
      </c>
      <c r="I3549" s="26" t="s">
        <v>2986</v>
      </c>
      <c r="J3549" s="46">
        <v>1</v>
      </c>
      <c r="K3549" s="46">
        <v>1</v>
      </c>
      <c r="L3549" s="136"/>
      <c r="M3549" s="137" t="s">
        <v>22</v>
      </c>
      <c r="V3549" s="26" t="s">
        <v>7818</v>
      </c>
      <c r="W3549" s="26"/>
      <c r="X3549" s="26"/>
      <c r="Y3549" s="26"/>
      <c r="Z3549" s="26"/>
      <c r="AA3549" s="131"/>
    </row>
    <row r="3550" spans="1:27" ht="15" customHeight="1" x14ac:dyDescent="0.2">
      <c r="A3550" s="37">
        <v>41817.345069444404</v>
      </c>
      <c r="B3550" s="26" t="s">
        <v>152</v>
      </c>
      <c r="C3550" s="26" t="s">
        <v>213</v>
      </c>
      <c r="D3550" s="91" t="s">
        <v>7147</v>
      </c>
      <c r="E3550" s="26" t="s">
        <v>7819</v>
      </c>
      <c r="F3550" s="26" t="s">
        <v>7820</v>
      </c>
      <c r="G3550" s="34" t="s">
        <v>26</v>
      </c>
      <c r="H3550" s="26" t="s">
        <v>7584</v>
      </c>
      <c r="I3550" s="26" t="s">
        <v>2986</v>
      </c>
      <c r="J3550" s="46">
        <v>2</v>
      </c>
      <c r="K3550" s="46">
        <v>26</v>
      </c>
      <c r="L3550" s="136"/>
      <c r="M3550" s="137" t="s">
        <v>44</v>
      </c>
      <c r="P3550" s="138">
        <v>15</v>
      </c>
      <c r="V3550" s="26"/>
      <c r="W3550" s="26"/>
      <c r="X3550" s="26"/>
      <c r="Y3550" s="26"/>
      <c r="Z3550" s="26"/>
      <c r="AA3550" s="131"/>
    </row>
    <row r="3551" spans="1:27" ht="15" customHeight="1" x14ac:dyDescent="0.2">
      <c r="A3551" s="37">
        <v>41817.346550925897</v>
      </c>
      <c r="B3551" s="26" t="s">
        <v>152</v>
      </c>
      <c r="C3551" s="26" t="s">
        <v>213</v>
      </c>
      <c r="D3551" s="91" t="s">
        <v>7147</v>
      </c>
      <c r="E3551" s="26" t="s">
        <v>3111</v>
      </c>
      <c r="F3551" s="26" t="s">
        <v>2074</v>
      </c>
      <c r="G3551" s="34" t="s">
        <v>26</v>
      </c>
      <c r="H3551" s="26" t="s">
        <v>7821</v>
      </c>
      <c r="I3551" s="26" t="s">
        <v>3778</v>
      </c>
      <c r="J3551" s="46">
        <v>2</v>
      </c>
      <c r="K3551" s="46">
        <v>10</v>
      </c>
      <c r="L3551" s="136"/>
      <c r="M3551" s="137" t="s">
        <v>44</v>
      </c>
      <c r="P3551" s="138">
        <v>5</v>
      </c>
      <c r="V3551" s="26"/>
      <c r="W3551" s="26"/>
      <c r="X3551" s="26"/>
      <c r="Y3551" s="26"/>
      <c r="Z3551" s="26"/>
      <c r="AA3551" s="131"/>
    </row>
    <row r="3552" spans="1:27" ht="15" customHeight="1" x14ac:dyDescent="0.2">
      <c r="A3552" s="37">
        <v>41817.348981481497</v>
      </c>
      <c r="B3552" s="26" t="s">
        <v>152</v>
      </c>
      <c r="C3552" s="26" t="s">
        <v>213</v>
      </c>
      <c r="D3552" s="91" t="s">
        <v>7147</v>
      </c>
      <c r="E3552" s="26" t="s">
        <v>7822</v>
      </c>
      <c r="F3552" s="26" t="s">
        <v>7823</v>
      </c>
      <c r="G3552" s="34" t="s">
        <v>26</v>
      </c>
      <c r="H3552" s="26" t="s">
        <v>7824</v>
      </c>
      <c r="I3552" s="26" t="s">
        <v>2986</v>
      </c>
      <c r="J3552" s="46">
        <v>1</v>
      </c>
      <c r="K3552" s="46">
        <v>4</v>
      </c>
      <c r="L3552" s="136"/>
      <c r="M3552" s="137" t="s">
        <v>22</v>
      </c>
      <c r="V3552" s="26"/>
      <c r="W3552" s="26"/>
      <c r="X3552" s="26"/>
      <c r="Y3552" s="26"/>
      <c r="Z3552" s="26"/>
      <c r="AA3552" s="131"/>
    </row>
    <row r="3553" spans="1:27" ht="15" customHeight="1" x14ac:dyDescent="0.2">
      <c r="A3553" s="37">
        <v>41817.351504629602</v>
      </c>
      <c r="B3553" s="26" t="s">
        <v>152</v>
      </c>
      <c r="C3553" s="26" t="s">
        <v>213</v>
      </c>
      <c r="D3553" s="91" t="s">
        <v>7147</v>
      </c>
      <c r="E3553" s="26" t="s">
        <v>7825</v>
      </c>
      <c r="F3553" s="26" t="s">
        <v>5271</v>
      </c>
      <c r="G3553" s="34" t="s">
        <v>26</v>
      </c>
      <c r="H3553" s="26" t="s">
        <v>7826</v>
      </c>
      <c r="I3553" s="26" t="s">
        <v>2986</v>
      </c>
      <c r="J3553" s="46">
        <v>1</v>
      </c>
      <c r="K3553" s="46">
        <v>2</v>
      </c>
      <c r="L3553" s="136"/>
      <c r="M3553" s="137" t="s">
        <v>22</v>
      </c>
      <c r="V3553" s="26" t="s">
        <v>7827</v>
      </c>
      <c r="W3553" s="26"/>
      <c r="X3553" s="26"/>
      <c r="Y3553" s="26"/>
      <c r="Z3553" s="26"/>
      <c r="AA3553" s="131"/>
    </row>
    <row r="3554" spans="1:27" ht="15" customHeight="1" x14ac:dyDescent="0.2">
      <c r="A3554" s="37">
        <v>41817.354178240697</v>
      </c>
      <c r="B3554" s="26" t="s">
        <v>152</v>
      </c>
      <c r="C3554" s="26" t="s">
        <v>213</v>
      </c>
      <c r="D3554" s="91" t="s">
        <v>7147</v>
      </c>
      <c r="E3554" s="26" t="s">
        <v>7828</v>
      </c>
      <c r="F3554" s="26" t="s">
        <v>2395</v>
      </c>
      <c r="G3554" s="34" t="s">
        <v>26</v>
      </c>
      <c r="H3554" s="26" t="s">
        <v>7829</v>
      </c>
      <c r="I3554" s="26" t="s">
        <v>2986</v>
      </c>
      <c r="J3554" s="46">
        <v>1</v>
      </c>
      <c r="K3554" s="46">
        <v>7</v>
      </c>
      <c r="L3554" s="136"/>
      <c r="M3554" s="137" t="s">
        <v>44</v>
      </c>
      <c r="P3554" s="138">
        <v>5</v>
      </c>
      <c r="V3554" s="26"/>
      <c r="W3554" s="26"/>
      <c r="X3554" s="26"/>
      <c r="Y3554" s="26"/>
      <c r="Z3554" s="26"/>
      <c r="AA3554" s="131"/>
    </row>
    <row r="3555" spans="1:27" ht="15" customHeight="1" x14ac:dyDescent="0.2">
      <c r="A3555" s="37">
        <v>41817.356087963002</v>
      </c>
      <c r="B3555" s="26" t="s">
        <v>152</v>
      </c>
      <c r="C3555" s="26" t="s">
        <v>213</v>
      </c>
      <c r="D3555" s="91" t="s">
        <v>7147</v>
      </c>
      <c r="E3555" s="26" t="s">
        <v>3306</v>
      </c>
      <c r="F3555" s="26" t="s">
        <v>7816</v>
      </c>
      <c r="G3555" s="34" t="s">
        <v>26</v>
      </c>
      <c r="H3555" s="26" t="s">
        <v>7830</v>
      </c>
      <c r="I3555" s="26" t="s">
        <v>2986</v>
      </c>
      <c r="J3555" s="46">
        <v>1</v>
      </c>
      <c r="K3555" s="46">
        <v>2</v>
      </c>
      <c r="L3555" s="136"/>
      <c r="M3555" s="137" t="s">
        <v>22</v>
      </c>
      <c r="V3555" s="26"/>
      <c r="W3555" s="26"/>
      <c r="X3555" s="26"/>
      <c r="Y3555" s="26"/>
      <c r="Z3555" s="26"/>
      <c r="AA3555" s="131"/>
    </row>
    <row r="3556" spans="1:27" ht="15" customHeight="1" x14ac:dyDescent="0.2">
      <c r="A3556" s="37">
        <v>41817.357233796298</v>
      </c>
      <c r="B3556" s="26" t="s">
        <v>152</v>
      </c>
      <c r="C3556" s="26" t="s">
        <v>213</v>
      </c>
      <c r="D3556" s="91" t="s">
        <v>7147</v>
      </c>
      <c r="E3556" s="26" t="s">
        <v>7831</v>
      </c>
      <c r="F3556" s="26" t="s">
        <v>7832</v>
      </c>
      <c r="G3556" s="34" t="s">
        <v>26</v>
      </c>
      <c r="H3556" s="26" t="s">
        <v>7833</v>
      </c>
      <c r="I3556" s="26" t="s">
        <v>2986</v>
      </c>
      <c r="J3556" s="46">
        <v>1</v>
      </c>
      <c r="K3556" s="46">
        <v>5</v>
      </c>
      <c r="L3556" s="136"/>
      <c r="M3556" s="137" t="s">
        <v>22</v>
      </c>
      <c r="V3556" s="26"/>
      <c r="W3556" s="26"/>
      <c r="X3556" s="26"/>
      <c r="Y3556" s="26"/>
      <c r="Z3556" s="26"/>
      <c r="AA3556" s="131"/>
    </row>
    <row r="3557" spans="1:27" ht="15" customHeight="1" x14ac:dyDescent="0.2">
      <c r="A3557" s="37">
        <v>41817.358993055597</v>
      </c>
      <c r="B3557" s="26" t="s">
        <v>152</v>
      </c>
      <c r="C3557" s="26" t="s">
        <v>213</v>
      </c>
      <c r="D3557" s="91" t="s">
        <v>7147</v>
      </c>
      <c r="E3557" s="26" t="s">
        <v>7834</v>
      </c>
      <c r="F3557" s="26" t="s">
        <v>7835</v>
      </c>
      <c r="G3557" s="34" t="s">
        <v>26</v>
      </c>
      <c r="H3557" s="26" t="s">
        <v>7836</v>
      </c>
      <c r="I3557" s="26" t="s">
        <v>2986</v>
      </c>
      <c r="J3557" s="46">
        <v>1</v>
      </c>
      <c r="K3557" s="46">
        <v>3</v>
      </c>
      <c r="L3557" s="136"/>
      <c r="M3557" s="137" t="s">
        <v>22</v>
      </c>
      <c r="V3557" s="26"/>
      <c r="W3557" s="26"/>
      <c r="X3557" s="26"/>
      <c r="Y3557" s="26"/>
      <c r="Z3557" s="26"/>
      <c r="AA3557" s="131"/>
    </row>
    <row r="3558" spans="1:27" ht="15" customHeight="1" x14ac:dyDescent="0.2">
      <c r="A3558" s="37">
        <v>41817.3609953704</v>
      </c>
      <c r="B3558" s="26" t="s">
        <v>152</v>
      </c>
      <c r="C3558" s="26" t="s">
        <v>213</v>
      </c>
      <c r="D3558" s="91" t="s">
        <v>7147</v>
      </c>
      <c r="E3558" s="26" t="s">
        <v>2952</v>
      </c>
      <c r="F3558" s="26" t="s">
        <v>2369</v>
      </c>
      <c r="G3558" s="34" t="s">
        <v>26</v>
      </c>
      <c r="H3558" s="26" t="s">
        <v>2086</v>
      </c>
      <c r="I3558" s="26" t="s">
        <v>2986</v>
      </c>
      <c r="J3558" s="46">
        <v>1</v>
      </c>
      <c r="K3558" s="46">
        <v>1</v>
      </c>
      <c r="L3558" s="136"/>
      <c r="M3558" s="137" t="s">
        <v>22</v>
      </c>
      <c r="V3558" s="26" t="s">
        <v>7837</v>
      </c>
      <c r="W3558" s="26"/>
      <c r="X3558" s="26"/>
      <c r="Y3558" s="26"/>
      <c r="Z3558" s="26"/>
      <c r="AA3558" s="131"/>
    </row>
    <row r="3559" spans="1:27" ht="15" customHeight="1" x14ac:dyDescent="0.2">
      <c r="A3559" s="37">
        <v>41817.362256944398</v>
      </c>
      <c r="B3559" s="26" t="s">
        <v>152</v>
      </c>
      <c r="C3559" s="26" t="s">
        <v>213</v>
      </c>
      <c r="D3559" s="91" t="s">
        <v>7147</v>
      </c>
      <c r="E3559" s="26" t="s">
        <v>2078</v>
      </c>
      <c r="F3559" s="26" t="s">
        <v>7816</v>
      </c>
      <c r="G3559" s="34" t="s">
        <v>26</v>
      </c>
      <c r="H3559" s="26" t="s">
        <v>7838</v>
      </c>
      <c r="I3559" s="26" t="s">
        <v>2986</v>
      </c>
      <c r="J3559" s="46">
        <v>1</v>
      </c>
      <c r="K3559" s="46">
        <v>3</v>
      </c>
      <c r="L3559" s="136"/>
      <c r="M3559" s="137" t="s">
        <v>22</v>
      </c>
      <c r="V3559" s="26"/>
      <c r="W3559" s="26"/>
      <c r="X3559" s="26"/>
      <c r="Y3559" s="26"/>
      <c r="Z3559" s="26"/>
      <c r="AA3559" s="131"/>
    </row>
    <row r="3560" spans="1:27" ht="15" customHeight="1" x14ac:dyDescent="0.2">
      <c r="A3560" s="37">
        <v>41817.363865740699</v>
      </c>
      <c r="B3560" s="26" t="s">
        <v>152</v>
      </c>
      <c r="C3560" s="26" t="s">
        <v>213</v>
      </c>
      <c r="D3560" s="91" t="s">
        <v>7147</v>
      </c>
      <c r="E3560" s="26" t="s">
        <v>35</v>
      </c>
      <c r="F3560" s="26" t="s">
        <v>1463</v>
      </c>
      <c r="G3560" s="34" t="s">
        <v>26</v>
      </c>
      <c r="H3560" s="26" t="s">
        <v>7839</v>
      </c>
      <c r="I3560" s="26" t="s">
        <v>2986</v>
      </c>
      <c r="J3560" s="46">
        <v>1</v>
      </c>
      <c r="K3560" s="46">
        <v>9</v>
      </c>
      <c r="L3560" s="136"/>
      <c r="M3560" s="137" t="s">
        <v>44</v>
      </c>
      <c r="P3560" s="138">
        <v>12</v>
      </c>
      <c r="V3560" s="26" t="s">
        <v>7840</v>
      </c>
      <c r="W3560" s="26"/>
      <c r="X3560" s="26"/>
      <c r="Y3560" s="26"/>
      <c r="Z3560" s="26"/>
      <c r="AA3560" s="131"/>
    </row>
    <row r="3561" spans="1:27" ht="15" customHeight="1" x14ac:dyDescent="0.2">
      <c r="A3561" s="37">
        <v>41817.3667361111</v>
      </c>
      <c r="B3561" s="26" t="s">
        <v>152</v>
      </c>
      <c r="C3561" s="26" t="s">
        <v>213</v>
      </c>
      <c r="D3561" s="91" t="s">
        <v>7147</v>
      </c>
      <c r="E3561" s="26" t="s">
        <v>706</v>
      </c>
      <c r="F3561" s="26" t="s">
        <v>7841</v>
      </c>
      <c r="G3561" s="34" t="s">
        <v>26</v>
      </c>
      <c r="H3561" s="26" t="s">
        <v>7842</v>
      </c>
      <c r="I3561" s="26" t="s">
        <v>2986</v>
      </c>
      <c r="J3561" s="46">
        <v>1</v>
      </c>
      <c r="K3561" s="46">
        <v>5</v>
      </c>
      <c r="L3561" s="136"/>
      <c r="M3561" s="137" t="s">
        <v>22</v>
      </c>
      <c r="V3561" s="26"/>
      <c r="W3561" s="26"/>
      <c r="X3561" s="26"/>
      <c r="Y3561" s="26"/>
      <c r="Z3561" s="26"/>
      <c r="AA3561" s="131"/>
    </row>
    <row r="3562" spans="1:27" ht="15" customHeight="1" x14ac:dyDescent="0.2">
      <c r="A3562" s="37">
        <v>41817.446805555599</v>
      </c>
      <c r="B3562" s="26" t="s">
        <v>16</v>
      </c>
      <c r="C3562" s="26" t="s">
        <v>23</v>
      </c>
      <c r="D3562" s="177">
        <v>41791</v>
      </c>
      <c r="E3562" s="26" t="s">
        <v>181</v>
      </c>
      <c r="F3562" s="26" t="s">
        <v>7843</v>
      </c>
      <c r="G3562" s="34" t="s">
        <v>42</v>
      </c>
      <c r="H3562" s="26" t="s">
        <v>7844</v>
      </c>
      <c r="I3562" s="26" t="s">
        <v>6482</v>
      </c>
      <c r="J3562" s="115">
        <v>1</v>
      </c>
      <c r="K3562" s="115">
        <v>22</v>
      </c>
      <c r="L3562" s="136">
        <v>190</v>
      </c>
      <c r="M3562" s="137" t="s">
        <v>22</v>
      </c>
      <c r="U3562" s="138">
        <v>10</v>
      </c>
      <c r="V3562" s="26"/>
      <c r="W3562" s="26"/>
      <c r="X3562" s="26"/>
      <c r="Y3562" s="26"/>
      <c r="Z3562" s="26"/>
      <c r="AA3562" s="131"/>
    </row>
    <row r="3563" spans="1:27" ht="15" customHeight="1" x14ac:dyDescent="0.2">
      <c r="A3563" s="37">
        <v>41817.570625</v>
      </c>
      <c r="B3563" s="26" t="s">
        <v>152</v>
      </c>
      <c r="C3563" s="26" t="s">
        <v>213</v>
      </c>
      <c r="D3563" s="91" t="s">
        <v>7147</v>
      </c>
      <c r="E3563" s="26" t="s">
        <v>706</v>
      </c>
      <c r="F3563" s="26" t="s">
        <v>7845</v>
      </c>
      <c r="G3563" s="34" t="s">
        <v>20</v>
      </c>
      <c r="H3563" s="26" t="s">
        <v>7846</v>
      </c>
      <c r="I3563" s="26" t="s">
        <v>2986</v>
      </c>
      <c r="J3563" s="46">
        <v>1</v>
      </c>
      <c r="K3563" s="46">
        <v>39</v>
      </c>
      <c r="L3563" s="136"/>
      <c r="M3563" s="137" t="s">
        <v>44</v>
      </c>
      <c r="N3563" s="138">
        <v>136.5</v>
      </c>
      <c r="V3563" s="26" t="s">
        <v>7847</v>
      </c>
      <c r="W3563" s="26"/>
      <c r="X3563" s="26"/>
      <c r="Y3563" s="26"/>
      <c r="Z3563" s="26"/>
      <c r="AA3563" s="131"/>
    </row>
    <row r="3564" spans="1:27" ht="15" customHeight="1" x14ac:dyDescent="0.2">
      <c r="A3564" s="37">
        <v>41817.572719907403</v>
      </c>
      <c r="B3564" s="26" t="s">
        <v>152</v>
      </c>
      <c r="C3564" s="26" t="s">
        <v>213</v>
      </c>
      <c r="D3564" s="91" t="s">
        <v>7147</v>
      </c>
      <c r="E3564" s="26" t="s">
        <v>7848</v>
      </c>
      <c r="F3564" s="26" t="s">
        <v>7849</v>
      </c>
      <c r="G3564" s="34" t="s">
        <v>42</v>
      </c>
      <c r="H3564" s="26" t="s">
        <v>7850</v>
      </c>
      <c r="I3564" s="26" t="s">
        <v>2986</v>
      </c>
      <c r="J3564" s="46">
        <v>1</v>
      </c>
      <c r="K3564" s="46">
        <v>104</v>
      </c>
      <c r="L3564" s="136"/>
      <c r="M3564" s="137" t="s">
        <v>44</v>
      </c>
      <c r="N3564" s="138">
        <v>364</v>
      </c>
      <c r="V3564" s="26"/>
      <c r="W3564" s="26"/>
      <c r="X3564" s="26"/>
      <c r="Y3564" s="26"/>
      <c r="Z3564" s="26"/>
      <c r="AA3564" s="131"/>
    </row>
    <row r="3565" spans="1:27" ht="15" customHeight="1" x14ac:dyDescent="0.2">
      <c r="A3565" s="37">
        <v>41817.575127314798</v>
      </c>
      <c r="B3565" s="26" t="s">
        <v>152</v>
      </c>
      <c r="C3565" s="26" t="s">
        <v>213</v>
      </c>
      <c r="D3565" s="91" t="s">
        <v>7147</v>
      </c>
      <c r="E3565" s="26" t="s">
        <v>7851</v>
      </c>
      <c r="F3565" s="26" t="s">
        <v>7689</v>
      </c>
      <c r="G3565" s="34" t="s">
        <v>42</v>
      </c>
      <c r="H3565" s="26" t="s">
        <v>7852</v>
      </c>
      <c r="I3565" s="26"/>
      <c r="J3565" s="46">
        <v>1</v>
      </c>
      <c r="K3565" s="46">
        <v>15</v>
      </c>
      <c r="L3565" s="136"/>
      <c r="M3565" s="137" t="s">
        <v>44</v>
      </c>
      <c r="N3565" s="138">
        <v>75</v>
      </c>
      <c r="V3565" s="26" t="s">
        <v>7853</v>
      </c>
      <c r="W3565" s="26"/>
      <c r="X3565" s="26"/>
      <c r="Y3565" s="26"/>
      <c r="Z3565" s="26"/>
      <c r="AA3565" s="131"/>
    </row>
    <row r="3566" spans="1:27" ht="15" customHeight="1" x14ac:dyDescent="0.2">
      <c r="A3566" s="37">
        <v>41817.581828703696</v>
      </c>
      <c r="B3566" s="26" t="s">
        <v>152</v>
      </c>
      <c r="C3566" s="26" t="s">
        <v>213</v>
      </c>
      <c r="D3566" s="91" t="s">
        <v>7147</v>
      </c>
      <c r="E3566" s="26" t="s">
        <v>7854</v>
      </c>
      <c r="F3566" s="26" t="s">
        <v>7855</v>
      </c>
      <c r="G3566" s="34" t="s">
        <v>20</v>
      </c>
      <c r="H3566" s="26" t="s">
        <v>7856</v>
      </c>
      <c r="I3566" s="26" t="s">
        <v>2986</v>
      </c>
      <c r="J3566" s="46">
        <v>1</v>
      </c>
      <c r="K3566" s="46">
        <v>28</v>
      </c>
      <c r="L3566" s="136"/>
      <c r="M3566" s="137" t="s">
        <v>44</v>
      </c>
      <c r="N3566" s="138">
        <v>98</v>
      </c>
      <c r="V3566" s="26"/>
      <c r="W3566" s="26"/>
      <c r="X3566" s="26"/>
      <c r="Y3566" s="26"/>
      <c r="Z3566" s="26"/>
      <c r="AA3566" s="131"/>
    </row>
    <row r="3567" spans="1:27" ht="15" customHeight="1" x14ac:dyDescent="0.2">
      <c r="A3567" s="37">
        <v>41817.5838194444</v>
      </c>
      <c r="B3567" s="26" t="s">
        <v>152</v>
      </c>
      <c r="C3567" s="26" t="s">
        <v>213</v>
      </c>
      <c r="D3567" s="91" t="s">
        <v>7147</v>
      </c>
      <c r="E3567" s="26" t="s">
        <v>2861</v>
      </c>
      <c r="F3567" s="26" t="s">
        <v>7857</v>
      </c>
      <c r="G3567" s="34" t="s">
        <v>42</v>
      </c>
      <c r="H3567" s="26" t="s">
        <v>7858</v>
      </c>
      <c r="I3567" s="26" t="s">
        <v>2986</v>
      </c>
      <c r="J3567" s="46">
        <v>1</v>
      </c>
      <c r="K3567" s="46">
        <v>17</v>
      </c>
      <c r="L3567" s="136"/>
      <c r="M3567" s="137" t="s">
        <v>44</v>
      </c>
      <c r="N3567" s="138">
        <v>59.5</v>
      </c>
      <c r="P3567" s="138">
        <v>43</v>
      </c>
      <c r="V3567" s="26"/>
      <c r="W3567" s="26"/>
      <c r="X3567" s="26"/>
      <c r="Y3567" s="26"/>
      <c r="Z3567" s="26"/>
      <c r="AA3567" s="131"/>
    </row>
    <row r="3568" spans="1:27" ht="15" customHeight="1" x14ac:dyDescent="0.2">
      <c r="A3568" s="37">
        <v>41817.586898148198</v>
      </c>
      <c r="B3568" s="26" t="s">
        <v>152</v>
      </c>
      <c r="C3568" s="26" t="s">
        <v>213</v>
      </c>
      <c r="D3568" s="91" t="s">
        <v>7147</v>
      </c>
      <c r="E3568" s="26" t="s">
        <v>706</v>
      </c>
      <c r="F3568" s="26" t="s">
        <v>7859</v>
      </c>
      <c r="G3568" s="34" t="s">
        <v>20</v>
      </c>
      <c r="H3568" s="26" t="s">
        <v>7860</v>
      </c>
      <c r="I3568" s="26" t="s">
        <v>2986</v>
      </c>
      <c r="J3568" s="46">
        <v>1</v>
      </c>
      <c r="K3568" s="46">
        <v>29</v>
      </c>
      <c r="L3568" s="136"/>
      <c r="M3568" s="137" t="s">
        <v>44</v>
      </c>
      <c r="N3568" s="138">
        <v>91</v>
      </c>
      <c r="V3568" s="26"/>
      <c r="W3568" s="26"/>
      <c r="X3568" s="26"/>
      <c r="Y3568" s="26"/>
      <c r="Z3568" s="26"/>
      <c r="AA3568" s="131"/>
    </row>
    <row r="3569" spans="1:27" ht="15" customHeight="1" x14ac:dyDescent="0.2">
      <c r="A3569" s="37">
        <v>41818.596747685202</v>
      </c>
      <c r="B3569" s="26" t="s">
        <v>38</v>
      </c>
      <c r="C3569" s="26" t="s">
        <v>1030</v>
      </c>
      <c r="D3569" s="91" t="s">
        <v>7147</v>
      </c>
      <c r="E3569" s="26" t="s">
        <v>7861</v>
      </c>
      <c r="F3569" s="26" t="s">
        <v>7862</v>
      </c>
      <c r="G3569" s="34" t="s">
        <v>42</v>
      </c>
      <c r="H3569" s="26" t="s">
        <v>7863</v>
      </c>
      <c r="I3569" s="26" t="s">
        <v>2986</v>
      </c>
      <c r="J3569" s="46">
        <v>1</v>
      </c>
      <c r="K3569" s="46">
        <v>39</v>
      </c>
      <c r="L3569" s="136"/>
      <c r="M3569" s="137" t="s">
        <v>44</v>
      </c>
      <c r="N3569" s="138">
        <v>79.5</v>
      </c>
      <c r="V3569" s="26" t="s">
        <v>7864</v>
      </c>
      <c r="W3569" s="26"/>
      <c r="X3569" s="26"/>
      <c r="Y3569" s="26"/>
      <c r="Z3569" s="26"/>
      <c r="AA3569" s="131"/>
    </row>
    <row r="3570" spans="1:27" ht="15" customHeight="1" x14ac:dyDescent="0.2">
      <c r="A3570" s="37">
        <v>41818.598043981503</v>
      </c>
      <c r="B3570" s="26" t="s">
        <v>38</v>
      </c>
      <c r="C3570" s="26" t="s">
        <v>1030</v>
      </c>
      <c r="D3570" s="91" t="s">
        <v>7147</v>
      </c>
      <c r="E3570" s="26" t="s">
        <v>7865</v>
      </c>
      <c r="F3570" s="26" t="s">
        <v>7862</v>
      </c>
      <c r="G3570" s="34" t="s">
        <v>42</v>
      </c>
      <c r="H3570" s="26" t="s">
        <v>7863</v>
      </c>
      <c r="I3570" s="26" t="s">
        <v>2986</v>
      </c>
      <c r="J3570" s="46">
        <v>1</v>
      </c>
      <c r="K3570" s="46">
        <v>11</v>
      </c>
      <c r="L3570" s="136"/>
      <c r="M3570" s="137" t="s">
        <v>44</v>
      </c>
      <c r="N3570" s="138">
        <v>41</v>
      </c>
      <c r="P3570" s="138">
        <v>17.22</v>
      </c>
      <c r="U3570" s="138">
        <v>0</v>
      </c>
      <c r="V3570" s="26" t="s">
        <v>7866</v>
      </c>
      <c r="W3570" s="26"/>
      <c r="X3570" s="26"/>
      <c r="Y3570" s="26"/>
      <c r="Z3570" s="26"/>
      <c r="AA3570" s="131"/>
    </row>
    <row r="3571" spans="1:27" ht="15" customHeight="1" x14ac:dyDescent="0.2">
      <c r="A3571" s="37">
        <v>41818.599062499998</v>
      </c>
      <c r="B3571" s="26" t="s">
        <v>38</v>
      </c>
      <c r="C3571" s="26" t="s">
        <v>1030</v>
      </c>
      <c r="D3571" s="91" t="s">
        <v>7147</v>
      </c>
      <c r="E3571" s="26" t="s">
        <v>7867</v>
      </c>
      <c r="F3571" s="26" t="s">
        <v>7862</v>
      </c>
      <c r="G3571" s="34" t="s">
        <v>42</v>
      </c>
      <c r="H3571" s="26" t="s">
        <v>7863</v>
      </c>
      <c r="I3571" s="26" t="s">
        <v>2986</v>
      </c>
      <c r="J3571" s="46">
        <v>1</v>
      </c>
      <c r="K3571" s="46">
        <v>15</v>
      </c>
      <c r="L3571" s="136"/>
      <c r="M3571" s="137" t="s">
        <v>44</v>
      </c>
      <c r="N3571" s="138">
        <v>55.5</v>
      </c>
      <c r="U3571" s="138">
        <v>0</v>
      </c>
      <c r="V3571" s="26" t="s">
        <v>7868</v>
      </c>
      <c r="W3571" s="26"/>
      <c r="X3571" s="26"/>
      <c r="Y3571" s="26"/>
      <c r="Z3571" s="26"/>
      <c r="AA3571" s="131"/>
    </row>
    <row r="3572" spans="1:27" ht="15" customHeight="1" x14ac:dyDescent="0.2">
      <c r="A3572" s="37">
        <v>41818.6003935185</v>
      </c>
      <c r="B3572" s="26" t="s">
        <v>38</v>
      </c>
      <c r="C3572" s="26" t="s">
        <v>1030</v>
      </c>
      <c r="D3572" s="91" t="s">
        <v>7147</v>
      </c>
      <c r="E3572" s="26" t="s">
        <v>7869</v>
      </c>
      <c r="F3572" s="26" t="s">
        <v>7870</v>
      </c>
      <c r="G3572" s="34" t="s">
        <v>26</v>
      </c>
      <c r="H3572" s="26" t="s">
        <v>7871</v>
      </c>
      <c r="I3572" s="26" t="s">
        <v>2986</v>
      </c>
      <c r="J3572" s="46">
        <v>1</v>
      </c>
      <c r="K3572" s="46">
        <v>18</v>
      </c>
      <c r="L3572" s="136"/>
      <c r="M3572" s="137" t="s">
        <v>44</v>
      </c>
      <c r="P3572" s="138">
        <v>40.54</v>
      </c>
      <c r="U3572" s="138">
        <v>0</v>
      </c>
      <c r="V3572" s="26"/>
      <c r="W3572" s="26"/>
      <c r="X3572" s="26"/>
      <c r="Y3572" s="26"/>
      <c r="Z3572" s="26"/>
      <c r="AA3572" s="131"/>
    </row>
    <row r="3573" spans="1:27" ht="15" customHeight="1" x14ac:dyDescent="0.2">
      <c r="A3573" s="37">
        <v>41818.677187499998</v>
      </c>
      <c r="B3573" s="26" t="s">
        <v>152</v>
      </c>
      <c r="C3573" s="26" t="s">
        <v>213</v>
      </c>
      <c r="D3573" s="91" t="s">
        <v>7147</v>
      </c>
      <c r="E3573" s="26" t="s">
        <v>7872</v>
      </c>
      <c r="F3573" s="26" t="s">
        <v>2079</v>
      </c>
      <c r="G3573" s="34" t="s">
        <v>26</v>
      </c>
      <c r="H3573" s="26" t="s">
        <v>7833</v>
      </c>
      <c r="I3573" s="26" t="s">
        <v>2986</v>
      </c>
      <c r="J3573" s="46">
        <v>2</v>
      </c>
      <c r="K3573" s="46">
        <v>56</v>
      </c>
      <c r="L3573" s="136"/>
      <c r="M3573" s="137" t="s">
        <v>44</v>
      </c>
      <c r="P3573" s="138">
        <v>30</v>
      </c>
      <c r="V3573" s="26"/>
      <c r="W3573" s="26"/>
      <c r="X3573" s="26"/>
      <c r="Y3573" s="26"/>
      <c r="Z3573" s="26"/>
      <c r="AA3573" s="131"/>
    </row>
    <row r="3574" spans="1:27" ht="15" customHeight="1" x14ac:dyDescent="0.2">
      <c r="A3574" s="37">
        <v>41818.678090277797</v>
      </c>
      <c r="B3574" s="26" t="s">
        <v>152</v>
      </c>
      <c r="C3574" s="26" t="s">
        <v>213</v>
      </c>
      <c r="D3574" s="91" t="s">
        <v>7147</v>
      </c>
      <c r="E3574" s="26" t="s">
        <v>7825</v>
      </c>
      <c r="F3574" s="26" t="s">
        <v>7841</v>
      </c>
      <c r="G3574" s="34" t="s">
        <v>26</v>
      </c>
      <c r="H3574" s="26" t="s">
        <v>7873</v>
      </c>
      <c r="I3574" s="26" t="s">
        <v>2986</v>
      </c>
      <c r="J3574" s="46">
        <v>1</v>
      </c>
      <c r="K3574" s="46">
        <v>18</v>
      </c>
      <c r="L3574" s="136"/>
      <c r="M3574" s="137" t="s">
        <v>22</v>
      </c>
      <c r="V3574" s="26"/>
      <c r="W3574" s="26"/>
      <c r="X3574" s="26"/>
      <c r="Y3574" s="26"/>
      <c r="Z3574" s="26"/>
      <c r="AA3574" s="131"/>
    </row>
    <row r="3575" spans="1:27" ht="15" customHeight="1" x14ac:dyDescent="0.2">
      <c r="A3575" s="37">
        <v>41818.679837962998</v>
      </c>
      <c r="B3575" s="26" t="s">
        <v>152</v>
      </c>
      <c r="C3575" s="26" t="s">
        <v>213</v>
      </c>
      <c r="D3575" s="91" t="s">
        <v>7147</v>
      </c>
      <c r="E3575" s="26" t="s">
        <v>2946</v>
      </c>
      <c r="F3575" s="26" t="s">
        <v>2369</v>
      </c>
      <c r="G3575" s="34" t="s">
        <v>26</v>
      </c>
      <c r="H3575" s="26" t="s">
        <v>7874</v>
      </c>
      <c r="I3575" s="26" t="s">
        <v>2986</v>
      </c>
      <c r="J3575" s="46">
        <v>1</v>
      </c>
      <c r="K3575" s="46">
        <v>0</v>
      </c>
      <c r="L3575" s="136"/>
      <c r="M3575" s="137" t="s">
        <v>22</v>
      </c>
      <c r="V3575" s="26" t="s">
        <v>7875</v>
      </c>
      <c r="W3575" s="26"/>
      <c r="X3575" s="26"/>
      <c r="Y3575" s="26"/>
      <c r="Z3575" s="26"/>
      <c r="AA3575" s="131"/>
    </row>
    <row r="3576" spans="1:27" ht="15" customHeight="1" x14ac:dyDescent="0.2">
      <c r="A3576" s="37">
        <v>41818.684537036999</v>
      </c>
      <c r="B3576" s="26" t="s">
        <v>152</v>
      </c>
      <c r="C3576" s="26" t="s">
        <v>213</v>
      </c>
      <c r="D3576" s="91" t="s">
        <v>6224</v>
      </c>
      <c r="E3576" s="26" t="s">
        <v>7876</v>
      </c>
      <c r="F3576" s="26" t="s">
        <v>21</v>
      </c>
      <c r="G3576" s="34" t="s">
        <v>26</v>
      </c>
      <c r="H3576" s="26" t="s">
        <v>7877</v>
      </c>
      <c r="I3576" s="26" t="s">
        <v>2986</v>
      </c>
      <c r="J3576" s="115">
        <v>1</v>
      </c>
      <c r="K3576" s="115">
        <v>2</v>
      </c>
      <c r="L3576" s="136"/>
      <c r="M3576" s="137" t="s">
        <v>22</v>
      </c>
      <c r="V3576" s="26" t="s">
        <v>7878</v>
      </c>
      <c r="W3576" s="26"/>
      <c r="X3576" s="26"/>
      <c r="Y3576" s="26"/>
      <c r="Z3576" s="26"/>
      <c r="AA3576" s="131"/>
    </row>
    <row r="3577" spans="1:27" ht="15" customHeight="1" x14ac:dyDescent="0.2">
      <c r="A3577" s="37">
        <v>41818.685624999998</v>
      </c>
      <c r="B3577" s="26" t="s">
        <v>152</v>
      </c>
      <c r="C3577" s="26" t="s">
        <v>213</v>
      </c>
      <c r="D3577" s="91" t="s">
        <v>7147</v>
      </c>
      <c r="E3577" s="26" t="s">
        <v>7879</v>
      </c>
      <c r="F3577" s="26" t="s">
        <v>7880</v>
      </c>
      <c r="G3577" s="34" t="s">
        <v>26</v>
      </c>
      <c r="H3577" s="26" t="s">
        <v>7833</v>
      </c>
      <c r="I3577" s="26" t="s">
        <v>2986</v>
      </c>
      <c r="J3577" s="46">
        <v>1</v>
      </c>
      <c r="K3577" s="46">
        <v>3</v>
      </c>
      <c r="L3577" s="136"/>
      <c r="M3577" s="137" t="s">
        <v>22</v>
      </c>
      <c r="V3577" s="26"/>
      <c r="W3577" s="26"/>
      <c r="X3577" s="26"/>
      <c r="Y3577" s="26"/>
      <c r="Z3577" s="26"/>
      <c r="AA3577" s="131"/>
    </row>
    <row r="3578" spans="1:27" ht="15" customHeight="1" x14ac:dyDescent="0.2">
      <c r="A3578" s="37">
        <v>41818.687303240702</v>
      </c>
      <c r="B3578" s="26" t="s">
        <v>152</v>
      </c>
      <c r="C3578" s="26" t="s">
        <v>213</v>
      </c>
      <c r="D3578" s="91" t="s">
        <v>7147</v>
      </c>
      <c r="E3578" s="26" t="s">
        <v>7881</v>
      </c>
      <c r="F3578" s="26" t="s">
        <v>7841</v>
      </c>
      <c r="G3578" s="34" t="s">
        <v>26</v>
      </c>
      <c r="H3578" s="26" t="s">
        <v>7882</v>
      </c>
      <c r="I3578" s="26" t="s">
        <v>2986</v>
      </c>
      <c r="J3578" s="46">
        <v>1</v>
      </c>
      <c r="K3578" s="46">
        <v>5</v>
      </c>
      <c r="L3578" s="136"/>
      <c r="M3578" s="137" t="s">
        <v>22</v>
      </c>
      <c r="V3578" s="26"/>
      <c r="W3578" s="26"/>
      <c r="X3578" s="26"/>
      <c r="Y3578" s="26"/>
      <c r="Z3578" s="26"/>
      <c r="AA3578" s="131"/>
    </row>
    <row r="3579" spans="1:27" ht="15" customHeight="1" x14ac:dyDescent="0.2">
      <c r="A3579" s="37">
        <v>41818.706678240698</v>
      </c>
      <c r="B3579" s="26" t="s">
        <v>152</v>
      </c>
      <c r="C3579" s="26" t="s">
        <v>213</v>
      </c>
      <c r="D3579" s="91" t="s">
        <v>7147</v>
      </c>
      <c r="E3579" s="26" t="s">
        <v>7364</v>
      </c>
      <c r="F3579" s="26" t="s">
        <v>7883</v>
      </c>
      <c r="G3579" s="34" t="s">
        <v>42</v>
      </c>
      <c r="H3579" s="26" t="s">
        <v>7884</v>
      </c>
      <c r="I3579" s="26" t="s">
        <v>2986</v>
      </c>
      <c r="J3579" s="46">
        <v>1</v>
      </c>
      <c r="K3579" s="46">
        <v>7</v>
      </c>
      <c r="L3579" s="136"/>
      <c r="M3579" s="137" t="s">
        <v>44</v>
      </c>
      <c r="N3579" s="138">
        <v>14</v>
      </c>
      <c r="V3579" s="26" t="s">
        <v>7885</v>
      </c>
      <c r="W3579" s="26"/>
      <c r="X3579" s="26"/>
      <c r="Y3579" s="26"/>
      <c r="Z3579" s="26"/>
      <c r="AA3579" s="131"/>
    </row>
    <row r="3580" spans="1:27" ht="15" customHeight="1" x14ac:dyDescent="0.2">
      <c r="A3580" s="37">
        <v>41819.4503819444</v>
      </c>
      <c r="B3580" s="26" t="s">
        <v>16</v>
      </c>
      <c r="C3580" s="26" t="s">
        <v>4617</v>
      </c>
      <c r="D3580" s="91" t="s">
        <v>7147</v>
      </c>
      <c r="E3580" s="26" t="s">
        <v>5779</v>
      </c>
      <c r="F3580" s="26" t="s">
        <v>5780</v>
      </c>
      <c r="G3580" s="34" t="s">
        <v>26</v>
      </c>
      <c r="H3580" s="26" t="s">
        <v>5781</v>
      </c>
      <c r="I3580" s="26" t="s">
        <v>2986</v>
      </c>
      <c r="J3580" s="46">
        <v>69</v>
      </c>
      <c r="K3580" s="46">
        <v>471</v>
      </c>
      <c r="L3580" s="136">
        <v>246</v>
      </c>
      <c r="M3580" s="137" t="s">
        <v>44</v>
      </c>
      <c r="N3580" s="138">
        <v>2798.11</v>
      </c>
      <c r="P3580" s="138">
        <v>1024.33</v>
      </c>
      <c r="V3580" s="26"/>
      <c r="W3580" s="26"/>
      <c r="X3580" s="26"/>
      <c r="Y3580" s="26"/>
      <c r="Z3580" s="26"/>
      <c r="AA3580" s="131"/>
    </row>
    <row r="3581" spans="1:27" ht="15" customHeight="1" x14ac:dyDescent="0.2">
      <c r="A3581" s="37">
        <v>41819.737928240698</v>
      </c>
      <c r="B3581" s="26" t="s">
        <v>16</v>
      </c>
      <c r="C3581" s="26" t="s">
        <v>406</v>
      </c>
      <c r="D3581" s="91" t="s">
        <v>7147</v>
      </c>
      <c r="E3581" s="26" t="s">
        <v>5469</v>
      </c>
      <c r="F3581" s="26" t="s">
        <v>435</v>
      </c>
      <c r="G3581" s="34" t="s">
        <v>26</v>
      </c>
      <c r="H3581" s="26" t="s">
        <v>5470</v>
      </c>
      <c r="I3581" s="26" t="s">
        <v>3001</v>
      </c>
      <c r="J3581" s="46">
        <v>1</v>
      </c>
      <c r="K3581" s="46">
        <v>10</v>
      </c>
      <c r="L3581" s="136"/>
      <c r="M3581" s="137" t="s">
        <v>44</v>
      </c>
      <c r="O3581" s="138">
        <v>50</v>
      </c>
      <c r="V3581" s="26"/>
      <c r="W3581" s="26"/>
      <c r="X3581" s="26"/>
      <c r="Y3581" s="26"/>
      <c r="Z3581" s="26"/>
      <c r="AA3581" s="131"/>
    </row>
    <row r="3582" spans="1:27" ht="15" customHeight="1" x14ac:dyDescent="0.2">
      <c r="A3582" s="37">
        <v>41819.741527777798</v>
      </c>
      <c r="B3582" s="26" t="s">
        <v>16</v>
      </c>
      <c r="C3582" s="26" t="s">
        <v>406</v>
      </c>
      <c r="D3582" s="91" t="s">
        <v>7147</v>
      </c>
      <c r="E3582" s="26" t="s">
        <v>7886</v>
      </c>
      <c r="F3582" s="26" t="s">
        <v>7887</v>
      </c>
      <c r="G3582" s="34" t="s">
        <v>26</v>
      </c>
      <c r="H3582" s="26" t="s">
        <v>7888</v>
      </c>
      <c r="I3582" s="26" t="s">
        <v>3001</v>
      </c>
      <c r="J3582" s="46">
        <v>1</v>
      </c>
      <c r="K3582" s="46">
        <v>0</v>
      </c>
      <c r="L3582" s="136"/>
      <c r="M3582" s="137" t="s">
        <v>22</v>
      </c>
      <c r="V3582" s="26"/>
      <c r="W3582" s="26"/>
      <c r="X3582" s="26"/>
      <c r="Y3582" s="26"/>
      <c r="Z3582" s="26"/>
      <c r="AA3582" s="131"/>
    </row>
    <row r="3583" spans="1:27" ht="15" customHeight="1" x14ac:dyDescent="0.2">
      <c r="A3583" s="37">
        <v>41819.743414351899</v>
      </c>
      <c r="B3583" s="26" t="s">
        <v>16</v>
      </c>
      <c r="C3583" s="26" t="s">
        <v>406</v>
      </c>
      <c r="D3583" s="91" t="s">
        <v>7147</v>
      </c>
      <c r="E3583" s="26" t="s">
        <v>7889</v>
      </c>
      <c r="F3583" s="26" t="s">
        <v>4340</v>
      </c>
      <c r="G3583" s="34" t="s">
        <v>26</v>
      </c>
      <c r="H3583" s="26" t="s">
        <v>7890</v>
      </c>
      <c r="I3583" s="26" t="s">
        <v>3001</v>
      </c>
      <c r="J3583" s="46">
        <v>1</v>
      </c>
      <c r="K3583" s="46">
        <v>0</v>
      </c>
      <c r="L3583" s="136"/>
      <c r="M3583" s="137" t="s">
        <v>22</v>
      </c>
      <c r="V3583" s="26"/>
      <c r="W3583" s="26"/>
      <c r="X3583" s="26"/>
      <c r="Y3583" s="26"/>
      <c r="Z3583" s="26"/>
      <c r="AA3583" s="131"/>
    </row>
    <row r="3584" spans="1:27" ht="15" customHeight="1" x14ac:dyDescent="0.2">
      <c r="A3584" s="37">
        <v>41819.745150463001</v>
      </c>
      <c r="B3584" s="26" t="s">
        <v>16</v>
      </c>
      <c r="C3584" s="26" t="s">
        <v>406</v>
      </c>
      <c r="D3584" s="91" t="s">
        <v>7147</v>
      </c>
      <c r="E3584" s="26" t="s">
        <v>6299</v>
      </c>
      <c r="F3584" s="26" t="s">
        <v>432</v>
      </c>
      <c r="G3584" s="34" t="s">
        <v>26</v>
      </c>
      <c r="H3584" s="26" t="s">
        <v>6309</v>
      </c>
      <c r="I3584" s="26" t="s">
        <v>3001</v>
      </c>
      <c r="J3584" s="46">
        <v>1</v>
      </c>
      <c r="K3584" s="46">
        <v>12</v>
      </c>
      <c r="L3584" s="136"/>
      <c r="M3584" s="137" t="s">
        <v>44</v>
      </c>
      <c r="O3584" s="138">
        <v>60</v>
      </c>
      <c r="V3584" s="26"/>
      <c r="W3584" s="26"/>
      <c r="X3584" s="26"/>
      <c r="Y3584" s="26"/>
      <c r="Z3584" s="26"/>
      <c r="AA3584" s="131"/>
    </row>
    <row r="3585" spans="1:27" ht="15" customHeight="1" x14ac:dyDescent="0.2">
      <c r="A3585" s="37">
        <v>41819.747962963003</v>
      </c>
      <c r="B3585" s="26" t="s">
        <v>16</v>
      </c>
      <c r="C3585" s="26" t="s">
        <v>406</v>
      </c>
      <c r="D3585" s="91" t="s">
        <v>7147</v>
      </c>
      <c r="E3585" s="26" t="s">
        <v>3614</v>
      </c>
      <c r="F3585" s="26" t="s">
        <v>2456</v>
      </c>
      <c r="G3585" s="34" t="s">
        <v>26</v>
      </c>
      <c r="H3585" s="26" t="s">
        <v>6305</v>
      </c>
      <c r="I3585" s="26" t="s">
        <v>3001</v>
      </c>
      <c r="J3585" s="46">
        <v>1</v>
      </c>
      <c r="K3585" s="46">
        <v>7</v>
      </c>
      <c r="L3585" s="136"/>
      <c r="M3585" s="137" t="s">
        <v>44</v>
      </c>
      <c r="O3585" s="138">
        <v>15</v>
      </c>
      <c r="V3585" s="26"/>
      <c r="W3585" s="26"/>
      <c r="X3585" s="26"/>
      <c r="Y3585" s="26"/>
      <c r="Z3585" s="26"/>
      <c r="AA3585" s="131"/>
    </row>
    <row r="3586" spans="1:27" ht="15" customHeight="1" x14ac:dyDescent="0.2">
      <c r="A3586" s="37">
        <v>41819.7494560185</v>
      </c>
      <c r="B3586" s="26" t="s">
        <v>16</v>
      </c>
      <c r="C3586" s="26" t="s">
        <v>406</v>
      </c>
      <c r="D3586" s="91" t="s">
        <v>7147</v>
      </c>
      <c r="E3586" s="26" t="s">
        <v>5469</v>
      </c>
      <c r="F3586" s="26" t="s">
        <v>423</v>
      </c>
      <c r="G3586" s="34" t="s">
        <v>26</v>
      </c>
      <c r="H3586" s="26" t="s">
        <v>424</v>
      </c>
      <c r="I3586" s="26" t="s">
        <v>3001</v>
      </c>
      <c r="J3586" s="46">
        <v>1</v>
      </c>
      <c r="K3586" s="46">
        <v>14</v>
      </c>
      <c r="L3586" s="136"/>
      <c r="M3586" s="137" t="s">
        <v>44</v>
      </c>
      <c r="O3586" s="138">
        <v>70</v>
      </c>
      <c r="V3586" s="26"/>
      <c r="W3586" s="26"/>
      <c r="X3586" s="26"/>
      <c r="Y3586" s="26"/>
      <c r="Z3586" s="26"/>
      <c r="AA3586" s="131"/>
    </row>
    <row r="3587" spans="1:27" ht="15" customHeight="1" x14ac:dyDescent="0.2">
      <c r="A3587" s="37">
        <v>41819.750706018502</v>
      </c>
      <c r="B3587" s="26" t="s">
        <v>16</v>
      </c>
      <c r="C3587" s="26" t="s">
        <v>406</v>
      </c>
      <c r="D3587" s="91" t="s">
        <v>7147</v>
      </c>
      <c r="E3587" s="26" t="s">
        <v>5473</v>
      </c>
      <c r="F3587" s="26" t="s">
        <v>438</v>
      </c>
      <c r="G3587" s="34" t="s">
        <v>26</v>
      </c>
      <c r="H3587" s="26" t="s">
        <v>6304</v>
      </c>
      <c r="I3587" s="26" t="s">
        <v>3001</v>
      </c>
      <c r="J3587" s="46">
        <v>1</v>
      </c>
      <c r="K3587" s="46">
        <v>0</v>
      </c>
      <c r="L3587" s="136"/>
      <c r="M3587" s="137" t="s">
        <v>22</v>
      </c>
      <c r="V3587" s="26"/>
      <c r="W3587" s="26"/>
      <c r="X3587" s="26"/>
      <c r="Y3587" s="26"/>
      <c r="Z3587" s="26"/>
      <c r="AA3587" s="131"/>
    </row>
    <row r="3588" spans="1:27" ht="15" customHeight="1" x14ac:dyDescent="0.2">
      <c r="A3588" s="37">
        <v>41819.757800925901</v>
      </c>
      <c r="B3588" s="26" t="s">
        <v>16</v>
      </c>
      <c r="C3588" s="26" t="s">
        <v>406</v>
      </c>
      <c r="D3588" s="91" t="s">
        <v>7147</v>
      </c>
      <c r="E3588" s="26" t="s">
        <v>7891</v>
      </c>
      <c r="F3588" s="26" t="s">
        <v>414</v>
      </c>
      <c r="G3588" s="34" t="s">
        <v>26</v>
      </c>
      <c r="H3588" s="26" t="s">
        <v>7892</v>
      </c>
      <c r="I3588" s="26" t="s">
        <v>3001</v>
      </c>
      <c r="J3588" s="46">
        <v>1</v>
      </c>
      <c r="K3588" s="46">
        <v>0</v>
      </c>
      <c r="L3588" s="136"/>
      <c r="M3588" s="137" t="s">
        <v>22</v>
      </c>
      <c r="V3588" s="26"/>
      <c r="W3588" s="26"/>
      <c r="X3588" s="26"/>
      <c r="Y3588" s="26"/>
      <c r="Z3588" s="26"/>
      <c r="AA3588" s="131"/>
    </row>
    <row r="3589" spans="1:27" ht="15" customHeight="1" x14ac:dyDescent="0.2">
      <c r="A3589" s="37">
        <v>41819.793969907398</v>
      </c>
      <c r="B3589" s="26" t="s">
        <v>16</v>
      </c>
      <c r="C3589" s="26" t="s">
        <v>406</v>
      </c>
      <c r="D3589" s="91" t="s">
        <v>7147</v>
      </c>
      <c r="E3589" s="26" t="s">
        <v>3852</v>
      </c>
      <c r="F3589" s="26" t="s">
        <v>7893</v>
      </c>
      <c r="G3589" s="34" t="s">
        <v>26</v>
      </c>
      <c r="H3589" s="26" t="s">
        <v>5505</v>
      </c>
      <c r="I3589" s="26" t="s">
        <v>3001</v>
      </c>
      <c r="J3589" s="46">
        <v>1</v>
      </c>
      <c r="K3589" s="46">
        <v>12</v>
      </c>
      <c r="L3589" s="136"/>
      <c r="M3589" s="137" t="s">
        <v>44</v>
      </c>
      <c r="O3589" s="138">
        <v>35</v>
      </c>
      <c r="V3589" s="26"/>
      <c r="W3589" s="26"/>
      <c r="X3589" s="26"/>
      <c r="Y3589" s="26"/>
      <c r="Z3589" s="26"/>
      <c r="AA3589" s="131"/>
    </row>
    <row r="3590" spans="1:27" ht="15" customHeight="1" x14ac:dyDescent="0.2">
      <c r="A3590" s="37">
        <v>41820.365752314799</v>
      </c>
      <c r="B3590" s="26" t="s">
        <v>16</v>
      </c>
      <c r="C3590" s="26" t="s">
        <v>406</v>
      </c>
      <c r="D3590" s="91" t="s">
        <v>7147</v>
      </c>
      <c r="E3590" s="26" t="s">
        <v>416</v>
      </c>
      <c r="F3590" s="26" t="s">
        <v>113</v>
      </c>
      <c r="G3590" s="34" t="s">
        <v>26</v>
      </c>
      <c r="H3590" s="26" t="s">
        <v>5506</v>
      </c>
      <c r="I3590" s="26" t="s">
        <v>3001</v>
      </c>
      <c r="J3590" s="46">
        <v>1</v>
      </c>
      <c r="K3590" s="46">
        <v>3</v>
      </c>
      <c r="L3590" s="136"/>
      <c r="M3590" s="137" t="s">
        <v>44</v>
      </c>
      <c r="O3590" s="138">
        <v>15</v>
      </c>
      <c r="V3590" s="26"/>
      <c r="W3590" s="26"/>
      <c r="X3590" s="26"/>
      <c r="Y3590" s="26"/>
      <c r="Z3590" s="26"/>
      <c r="AA3590" s="131"/>
    </row>
    <row r="3591" spans="1:27" ht="15" customHeight="1" x14ac:dyDescent="0.2">
      <c r="A3591" s="37">
        <v>41820.367743055598</v>
      </c>
      <c r="B3591" s="26" t="s">
        <v>16</v>
      </c>
      <c r="C3591" s="26" t="s">
        <v>406</v>
      </c>
      <c r="D3591" s="91" t="s">
        <v>7147</v>
      </c>
      <c r="E3591" s="26" t="s">
        <v>419</v>
      </c>
      <c r="F3591" s="26" t="s">
        <v>408</v>
      </c>
      <c r="G3591" s="34" t="s">
        <v>26</v>
      </c>
      <c r="H3591" s="26" t="s">
        <v>6297</v>
      </c>
      <c r="I3591" s="26" t="s">
        <v>3001</v>
      </c>
      <c r="J3591" s="46">
        <v>1</v>
      </c>
      <c r="K3591" s="46">
        <v>8</v>
      </c>
      <c r="L3591" s="136"/>
      <c r="M3591" s="137" t="s">
        <v>44</v>
      </c>
      <c r="O3591" s="138">
        <v>15</v>
      </c>
      <c r="V3591" s="26"/>
      <c r="W3591" s="26"/>
      <c r="X3591" s="26"/>
      <c r="Y3591" s="26"/>
      <c r="Z3591" s="26"/>
      <c r="AA3591" s="131"/>
    </row>
    <row r="3592" spans="1:27" ht="15" customHeight="1" x14ac:dyDescent="0.2">
      <c r="A3592" s="37">
        <v>41820.368969907402</v>
      </c>
      <c r="B3592" s="26" t="s">
        <v>16</v>
      </c>
      <c r="C3592" s="26" t="s">
        <v>406</v>
      </c>
      <c r="D3592" s="91" t="s">
        <v>7147</v>
      </c>
      <c r="E3592" s="26" t="s">
        <v>4806</v>
      </c>
      <c r="F3592" s="26" t="s">
        <v>299</v>
      </c>
      <c r="G3592" s="34" t="s">
        <v>26</v>
      </c>
      <c r="H3592" s="26" t="s">
        <v>7894</v>
      </c>
      <c r="I3592" s="26" t="s">
        <v>3001</v>
      </c>
      <c r="J3592" s="46">
        <v>1</v>
      </c>
      <c r="K3592" s="46">
        <v>0</v>
      </c>
      <c r="L3592" s="136"/>
      <c r="M3592" s="137" t="s">
        <v>22</v>
      </c>
      <c r="V3592" s="26"/>
      <c r="W3592" s="26"/>
      <c r="X3592" s="26"/>
      <c r="Y3592" s="26"/>
      <c r="Z3592" s="26"/>
      <c r="AA3592" s="131"/>
    </row>
    <row r="3593" spans="1:27" ht="15" customHeight="1" x14ac:dyDescent="0.2">
      <c r="A3593" s="37">
        <v>41820.369606481501</v>
      </c>
      <c r="B3593" s="26" t="s">
        <v>16</v>
      </c>
      <c r="C3593" s="26" t="s">
        <v>406</v>
      </c>
      <c r="D3593" s="91" t="s">
        <v>7147</v>
      </c>
      <c r="E3593" s="26" t="s">
        <v>7895</v>
      </c>
      <c r="F3593" s="26" t="s">
        <v>373</v>
      </c>
      <c r="G3593" s="34" t="s">
        <v>26</v>
      </c>
      <c r="H3593" s="26" t="s">
        <v>6298</v>
      </c>
      <c r="I3593" s="26" t="s">
        <v>3001</v>
      </c>
      <c r="K3593" s="46">
        <v>15</v>
      </c>
      <c r="L3593" s="136"/>
      <c r="M3593" s="137" t="s">
        <v>22</v>
      </c>
      <c r="V3593" s="26"/>
      <c r="W3593" s="26"/>
      <c r="X3593" s="26"/>
      <c r="Y3593" s="26"/>
      <c r="Z3593" s="26"/>
      <c r="AA3593" s="131"/>
    </row>
    <row r="3594" spans="1:27" ht="15" customHeight="1" x14ac:dyDescent="0.2">
      <c r="A3594" s="37">
        <v>41820.370462963001</v>
      </c>
      <c r="B3594" s="26" t="s">
        <v>16</v>
      </c>
      <c r="C3594" s="26" t="s">
        <v>406</v>
      </c>
      <c r="D3594" s="91" t="s">
        <v>7147</v>
      </c>
      <c r="E3594" s="26" t="s">
        <v>7896</v>
      </c>
      <c r="F3594" s="26" t="s">
        <v>6300</v>
      </c>
      <c r="G3594" s="34" t="s">
        <v>26</v>
      </c>
      <c r="H3594" s="26" t="s">
        <v>6301</v>
      </c>
      <c r="I3594" s="26" t="s">
        <v>3001</v>
      </c>
      <c r="J3594" s="46">
        <v>1</v>
      </c>
      <c r="K3594" s="46">
        <v>18</v>
      </c>
      <c r="L3594" s="136"/>
      <c r="M3594" s="137" t="s">
        <v>44</v>
      </c>
      <c r="O3594" s="138">
        <v>40</v>
      </c>
      <c r="V3594" s="26"/>
      <c r="W3594" s="26"/>
      <c r="X3594" s="26"/>
      <c r="Y3594" s="26"/>
      <c r="Z3594" s="26"/>
      <c r="AA3594" s="131"/>
    </row>
    <row r="3595" spans="1:27" ht="15" customHeight="1" x14ac:dyDescent="0.2">
      <c r="A3595" s="37">
        <v>41820.371666666702</v>
      </c>
      <c r="B3595" s="26" t="s">
        <v>16</v>
      </c>
      <c r="C3595" s="26" t="s">
        <v>406</v>
      </c>
      <c r="D3595" s="91" t="s">
        <v>7147</v>
      </c>
      <c r="E3595" s="26" t="s">
        <v>425</v>
      </c>
      <c r="F3595" s="26" t="s">
        <v>7897</v>
      </c>
      <c r="G3595" s="34" t="s">
        <v>26</v>
      </c>
      <c r="H3595" s="26" t="s">
        <v>7898</v>
      </c>
      <c r="I3595" s="26" t="s">
        <v>3001</v>
      </c>
      <c r="J3595" s="46">
        <v>1</v>
      </c>
      <c r="K3595" s="46">
        <v>5</v>
      </c>
      <c r="L3595" s="136"/>
      <c r="M3595" s="137" t="s">
        <v>44</v>
      </c>
      <c r="O3595" s="138">
        <v>35</v>
      </c>
      <c r="V3595" s="26"/>
      <c r="W3595" s="26"/>
      <c r="X3595" s="26"/>
      <c r="Y3595" s="26"/>
      <c r="Z3595" s="26"/>
      <c r="AA3595" s="131"/>
    </row>
    <row r="3596" spans="1:27" ht="15" customHeight="1" x14ac:dyDescent="0.2">
      <c r="A3596" s="37">
        <v>41820.3740972222</v>
      </c>
      <c r="B3596" s="26" t="s">
        <v>16</v>
      </c>
      <c r="C3596" s="26" t="s">
        <v>406</v>
      </c>
      <c r="D3596" s="91" t="s">
        <v>7147</v>
      </c>
      <c r="E3596" s="26" t="s">
        <v>5481</v>
      </c>
      <c r="F3596" s="26" t="s">
        <v>423</v>
      </c>
      <c r="G3596" s="34" t="s">
        <v>20</v>
      </c>
      <c r="H3596" s="26" t="s">
        <v>424</v>
      </c>
      <c r="I3596" s="26" t="s">
        <v>3001</v>
      </c>
      <c r="J3596" s="46">
        <v>1</v>
      </c>
      <c r="K3596" s="46">
        <v>15</v>
      </c>
      <c r="L3596" s="136"/>
      <c r="M3596" s="137" t="s">
        <v>44</v>
      </c>
      <c r="O3596" s="138">
        <v>35</v>
      </c>
      <c r="V3596" s="26"/>
      <c r="W3596" s="26"/>
      <c r="X3596" s="26"/>
      <c r="Y3596" s="26"/>
      <c r="Z3596" s="26"/>
      <c r="AA3596" s="131"/>
    </row>
    <row r="3597" spans="1:27" ht="15" customHeight="1" x14ac:dyDescent="0.2">
      <c r="A3597" s="37">
        <v>41820.375347222202</v>
      </c>
      <c r="B3597" s="26" t="s">
        <v>16</v>
      </c>
      <c r="C3597" s="26" t="s">
        <v>406</v>
      </c>
      <c r="D3597" s="91" t="s">
        <v>7147</v>
      </c>
      <c r="E3597" s="26" t="s">
        <v>3614</v>
      </c>
      <c r="F3597" s="26" t="s">
        <v>420</v>
      </c>
      <c r="G3597" s="34" t="s">
        <v>26</v>
      </c>
      <c r="H3597" s="26" t="s">
        <v>7899</v>
      </c>
      <c r="I3597" s="26" t="s">
        <v>3001</v>
      </c>
      <c r="J3597" s="46">
        <v>1</v>
      </c>
      <c r="K3597" s="46">
        <v>3</v>
      </c>
      <c r="L3597" s="136"/>
      <c r="M3597" s="137" t="s">
        <v>44</v>
      </c>
      <c r="O3597" s="138">
        <v>15</v>
      </c>
      <c r="V3597" s="26"/>
      <c r="W3597" s="26"/>
      <c r="X3597" s="26"/>
      <c r="Y3597" s="26"/>
      <c r="Z3597" s="26"/>
      <c r="AA3597" s="131"/>
    </row>
    <row r="3598" spans="1:27" ht="15" customHeight="1" x14ac:dyDescent="0.2">
      <c r="A3598" s="37">
        <v>41820.383252314801</v>
      </c>
      <c r="B3598" s="26" t="s">
        <v>16</v>
      </c>
      <c r="C3598" s="26" t="s">
        <v>406</v>
      </c>
      <c r="D3598" s="91" t="s">
        <v>7147</v>
      </c>
      <c r="E3598" s="26" t="s">
        <v>5503</v>
      </c>
      <c r="F3598" s="26" t="s">
        <v>435</v>
      </c>
      <c r="G3598" s="34" t="s">
        <v>26</v>
      </c>
      <c r="H3598" s="26" t="s">
        <v>5470</v>
      </c>
      <c r="I3598" s="26" t="s">
        <v>3001</v>
      </c>
      <c r="J3598" s="46">
        <v>1</v>
      </c>
      <c r="K3598" s="46">
        <v>14</v>
      </c>
      <c r="L3598" s="136"/>
      <c r="M3598" s="137" t="s">
        <v>44</v>
      </c>
      <c r="O3598" s="138">
        <v>60</v>
      </c>
      <c r="V3598" s="26"/>
      <c r="W3598" s="26"/>
      <c r="X3598" s="26"/>
      <c r="Y3598" s="26"/>
      <c r="Z3598" s="26"/>
      <c r="AA3598" s="131"/>
    </row>
    <row r="3599" spans="1:27" ht="15" customHeight="1" x14ac:dyDescent="0.2">
      <c r="A3599" s="37">
        <v>41820.391620370399</v>
      </c>
      <c r="B3599" s="26" t="s">
        <v>16</v>
      </c>
      <c r="C3599" s="26" t="s">
        <v>406</v>
      </c>
      <c r="D3599" s="91" t="s">
        <v>7147</v>
      </c>
      <c r="E3599" s="26" t="s">
        <v>5503</v>
      </c>
      <c r="F3599" s="26" t="s">
        <v>1571</v>
      </c>
      <c r="G3599" s="34" t="s">
        <v>26</v>
      </c>
      <c r="H3599" s="26" t="s">
        <v>7900</v>
      </c>
      <c r="I3599" s="26" t="s">
        <v>3001</v>
      </c>
      <c r="J3599" s="46">
        <v>1</v>
      </c>
      <c r="K3599" s="46">
        <v>5</v>
      </c>
      <c r="L3599" s="136"/>
      <c r="M3599" s="137" t="s">
        <v>44</v>
      </c>
      <c r="O3599" s="138">
        <v>5</v>
      </c>
      <c r="V3599" s="26"/>
      <c r="W3599" s="26"/>
      <c r="X3599" s="26"/>
      <c r="Y3599" s="26"/>
      <c r="Z3599" s="26"/>
      <c r="AA3599" s="131"/>
    </row>
    <row r="3600" spans="1:27" ht="15" customHeight="1" x14ac:dyDescent="0.2">
      <c r="A3600" s="37">
        <v>41820.392523148199</v>
      </c>
      <c r="B3600" s="26" t="s">
        <v>16</v>
      </c>
      <c r="C3600" s="26" t="s">
        <v>406</v>
      </c>
      <c r="D3600" s="91" t="s">
        <v>7147</v>
      </c>
      <c r="E3600" s="26" t="s">
        <v>5475</v>
      </c>
      <c r="F3600" s="26" t="s">
        <v>2466</v>
      </c>
      <c r="G3600" s="34" t="s">
        <v>26</v>
      </c>
      <c r="H3600" s="26" t="s">
        <v>5505</v>
      </c>
      <c r="I3600" s="26" t="s">
        <v>3001</v>
      </c>
      <c r="J3600" s="46">
        <v>1</v>
      </c>
      <c r="K3600" s="46">
        <v>4</v>
      </c>
      <c r="L3600" s="136"/>
      <c r="M3600" s="137" t="s">
        <v>44</v>
      </c>
      <c r="O3600" s="138">
        <v>20</v>
      </c>
      <c r="V3600" s="26"/>
      <c r="W3600" s="26"/>
      <c r="X3600" s="26"/>
      <c r="Y3600" s="26"/>
      <c r="Z3600" s="26"/>
      <c r="AA3600" s="131"/>
    </row>
    <row r="3601" spans="1:27" ht="15" customHeight="1" x14ac:dyDescent="0.2">
      <c r="A3601" s="37">
        <v>41820.393263888902</v>
      </c>
      <c r="B3601" s="26" t="s">
        <v>16</v>
      </c>
      <c r="C3601" s="26" t="s">
        <v>406</v>
      </c>
      <c r="D3601" s="91" t="s">
        <v>7147</v>
      </c>
      <c r="E3601" s="26" t="s">
        <v>3865</v>
      </c>
      <c r="F3601" s="26" t="s">
        <v>429</v>
      </c>
      <c r="G3601" s="34" t="s">
        <v>26</v>
      </c>
      <c r="H3601" s="26" t="s">
        <v>430</v>
      </c>
      <c r="I3601" s="26" t="s">
        <v>3001</v>
      </c>
      <c r="J3601" s="46">
        <v>1</v>
      </c>
      <c r="K3601" s="46">
        <v>6</v>
      </c>
      <c r="L3601" s="136"/>
      <c r="M3601" s="137" t="s">
        <v>44</v>
      </c>
      <c r="O3601" s="138">
        <v>30</v>
      </c>
      <c r="V3601" s="26"/>
      <c r="W3601" s="26"/>
      <c r="X3601" s="26"/>
      <c r="Y3601" s="26"/>
      <c r="Z3601" s="26"/>
      <c r="AA3601" s="131"/>
    </row>
    <row r="3602" spans="1:27" ht="15" customHeight="1" x14ac:dyDescent="0.2">
      <c r="A3602" s="37">
        <v>41820.394189814797</v>
      </c>
      <c r="B3602" s="26" t="s">
        <v>16</v>
      </c>
      <c r="C3602" s="26" t="s">
        <v>406</v>
      </c>
      <c r="D3602" s="91" t="s">
        <v>7147</v>
      </c>
      <c r="E3602" s="26" t="s">
        <v>5479</v>
      </c>
      <c r="F3602" s="26" t="s">
        <v>423</v>
      </c>
      <c r="G3602" s="34" t="s">
        <v>26</v>
      </c>
      <c r="H3602" s="26" t="s">
        <v>424</v>
      </c>
      <c r="I3602" s="26" t="s">
        <v>3001</v>
      </c>
      <c r="J3602" s="46">
        <v>1</v>
      </c>
      <c r="K3602" s="46">
        <v>13</v>
      </c>
      <c r="L3602" s="136"/>
      <c r="M3602" s="137" t="s">
        <v>44</v>
      </c>
      <c r="O3602" s="138">
        <v>65</v>
      </c>
      <c r="V3602" s="26"/>
      <c r="W3602" s="26"/>
      <c r="X3602" s="26"/>
      <c r="Y3602" s="26"/>
      <c r="Z3602" s="26"/>
      <c r="AA3602" s="131"/>
    </row>
    <row r="3603" spans="1:27" ht="15" customHeight="1" x14ac:dyDescent="0.2">
      <c r="A3603" s="37">
        <v>41820.395081018498</v>
      </c>
      <c r="B3603" s="26" t="s">
        <v>16</v>
      </c>
      <c r="C3603" s="26" t="s">
        <v>406</v>
      </c>
      <c r="D3603" s="91" t="s">
        <v>7147</v>
      </c>
      <c r="E3603" s="26" t="s">
        <v>7886</v>
      </c>
      <c r="F3603" s="26" t="s">
        <v>408</v>
      </c>
      <c r="G3603" s="34" t="s">
        <v>26</v>
      </c>
      <c r="H3603" s="26" t="s">
        <v>6297</v>
      </c>
      <c r="I3603" s="26" t="s">
        <v>3001</v>
      </c>
      <c r="J3603" s="46">
        <v>1</v>
      </c>
      <c r="K3603" s="46">
        <v>17</v>
      </c>
      <c r="L3603" s="136"/>
      <c r="M3603" s="137" t="s">
        <v>44</v>
      </c>
      <c r="O3603" s="138">
        <v>35</v>
      </c>
      <c r="V3603" s="26"/>
      <c r="W3603" s="26"/>
      <c r="X3603" s="26"/>
      <c r="Y3603" s="26"/>
      <c r="Z3603" s="26"/>
      <c r="AA3603" s="131"/>
    </row>
    <row r="3604" spans="1:27" ht="15" customHeight="1" x14ac:dyDescent="0.2">
      <c r="A3604" s="37">
        <v>41820.395983796298</v>
      </c>
      <c r="B3604" s="26" t="s">
        <v>16</v>
      </c>
      <c r="C3604" s="26" t="s">
        <v>406</v>
      </c>
      <c r="D3604" s="91" t="s">
        <v>7147</v>
      </c>
      <c r="E3604" s="26" t="s">
        <v>5481</v>
      </c>
      <c r="F3604" s="26" t="s">
        <v>299</v>
      </c>
      <c r="G3604" s="34" t="s">
        <v>26</v>
      </c>
      <c r="H3604" s="26" t="s">
        <v>7894</v>
      </c>
      <c r="I3604" s="26" t="s">
        <v>3001</v>
      </c>
      <c r="J3604" s="46">
        <v>1</v>
      </c>
      <c r="K3604" s="46">
        <v>8</v>
      </c>
      <c r="L3604" s="136"/>
      <c r="M3604" s="137" t="s">
        <v>44</v>
      </c>
      <c r="O3604" s="138">
        <v>10</v>
      </c>
      <c r="V3604" s="26"/>
      <c r="W3604" s="26"/>
      <c r="X3604" s="26"/>
      <c r="Y3604" s="26"/>
      <c r="Z3604" s="26"/>
      <c r="AA3604" s="131"/>
    </row>
    <row r="3605" spans="1:27" ht="15" customHeight="1" x14ac:dyDescent="0.2">
      <c r="A3605" s="37">
        <v>41820.3964583333</v>
      </c>
      <c r="B3605" s="26" t="s">
        <v>16</v>
      </c>
      <c r="C3605" s="26" t="s">
        <v>406</v>
      </c>
      <c r="D3605" s="91" t="s">
        <v>7147</v>
      </c>
      <c r="E3605" s="26" t="s">
        <v>6299</v>
      </c>
      <c r="F3605" s="26" t="s">
        <v>6300</v>
      </c>
      <c r="G3605" s="34" t="s">
        <v>26</v>
      </c>
      <c r="H3605" s="26" t="s">
        <v>6301</v>
      </c>
      <c r="I3605" s="26" t="s">
        <v>3001</v>
      </c>
      <c r="J3605" s="46">
        <v>1</v>
      </c>
      <c r="K3605" s="46">
        <v>7</v>
      </c>
      <c r="L3605" s="136"/>
      <c r="M3605" s="137" t="s">
        <v>22</v>
      </c>
      <c r="V3605" s="26"/>
      <c r="W3605" s="26"/>
      <c r="X3605" s="26"/>
      <c r="Y3605" s="26"/>
      <c r="Z3605" s="26"/>
      <c r="AA3605" s="131"/>
    </row>
    <row r="3606" spans="1:27" ht="15" customHeight="1" x14ac:dyDescent="0.2">
      <c r="A3606" s="37">
        <v>41820.397303240701</v>
      </c>
      <c r="B3606" s="26" t="s">
        <v>16</v>
      </c>
      <c r="C3606" s="26" t="s">
        <v>406</v>
      </c>
      <c r="D3606" s="91" t="s">
        <v>7147</v>
      </c>
      <c r="E3606" s="26" t="s">
        <v>5495</v>
      </c>
      <c r="F3606" s="26" t="s">
        <v>411</v>
      </c>
      <c r="G3606" s="34" t="s">
        <v>20</v>
      </c>
      <c r="H3606" s="26" t="s">
        <v>5496</v>
      </c>
      <c r="I3606" s="26" t="s">
        <v>3001</v>
      </c>
      <c r="J3606" s="46">
        <v>1</v>
      </c>
      <c r="K3606" s="46">
        <v>0</v>
      </c>
      <c r="L3606" s="136"/>
      <c r="M3606" s="137" t="s">
        <v>22</v>
      </c>
      <c r="V3606" s="26"/>
      <c r="W3606" s="26"/>
      <c r="X3606" s="26"/>
      <c r="Y3606" s="26"/>
      <c r="Z3606" s="26"/>
      <c r="AA3606" s="131"/>
    </row>
    <row r="3607" spans="1:27" ht="15" customHeight="1" x14ac:dyDescent="0.2">
      <c r="A3607" s="37">
        <v>41820.398229166698</v>
      </c>
      <c r="B3607" s="26" t="s">
        <v>16</v>
      </c>
      <c r="C3607" s="26" t="s">
        <v>406</v>
      </c>
      <c r="D3607" s="91" t="s">
        <v>7147</v>
      </c>
      <c r="E3607" s="26" t="s">
        <v>7886</v>
      </c>
      <c r="F3607" s="26" t="s">
        <v>420</v>
      </c>
      <c r="G3607" s="34" t="s">
        <v>26</v>
      </c>
      <c r="H3607" s="26" t="s">
        <v>7899</v>
      </c>
      <c r="I3607" s="26" t="s">
        <v>3001</v>
      </c>
      <c r="J3607" s="46">
        <v>1</v>
      </c>
      <c r="K3607" s="46">
        <v>4</v>
      </c>
      <c r="L3607" s="136"/>
      <c r="M3607" s="137" t="s">
        <v>22</v>
      </c>
      <c r="V3607" s="26"/>
      <c r="W3607" s="26"/>
      <c r="X3607" s="26"/>
      <c r="Y3607" s="26"/>
      <c r="Z3607" s="26"/>
      <c r="AA3607" s="131"/>
    </row>
    <row r="3608" spans="1:27" ht="15" customHeight="1" x14ac:dyDescent="0.2">
      <c r="A3608" s="37">
        <v>41820.403368055602</v>
      </c>
      <c r="B3608" s="26" t="s">
        <v>16</v>
      </c>
      <c r="C3608" s="26" t="s">
        <v>406</v>
      </c>
      <c r="D3608" s="91" t="s">
        <v>7147</v>
      </c>
      <c r="E3608" s="26" t="s">
        <v>5481</v>
      </c>
      <c r="F3608" s="26" t="s">
        <v>438</v>
      </c>
      <c r="G3608" s="34" t="s">
        <v>26</v>
      </c>
      <c r="H3608" s="26" t="s">
        <v>6304</v>
      </c>
      <c r="I3608" s="26" t="s">
        <v>3001</v>
      </c>
      <c r="J3608" s="46">
        <v>1</v>
      </c>
      <c r="K3608" s="46">
        <v>9</v>
      </c>
      <c r="L3608" s="136"/>
      <c r="M3608" s="137" t="s">
        <v>44</v>
      </c>
      <c r="O3608" s="138">
        <v>20</v>
      </c>
      <c r="V3608" s="26"/>
      <c r="W3608" s="26"/>
      <c r="X3608" s="26"/>
      <c r="Y3608" s="26"/>
      <c r="Z3608" s="26"/>
      <c r="AA3608" s="131"/>
    </row>
    <row r="3609" spans="1:27" ht="15" customHeight="1" x14ac:dyDescent="0.2">
      <c r="A3609" s="37">
        <v>41820.403657407398</v>
      </c>
      <c r="B3609" s="26" t="s">
        <v>152</v>
      </c>
      <c r="C3609" s="26" t="s">
        <v>465</v>
      </c>
      <c r="D3609" s="91" t="s">
        <v>7147</v>
      </c>
      <c r="E3609" s="26" t="s">
        <v>7901</v>
      </c>
      <c r="F3609" s="26" t="s">
        <v>7902</v>
      </c>
      <c r="G3609" s="34" t="s">
        <v>20</v>
      </c>
      <c r="H3609" s="26" t="s">
        <v>7903</v>
      </c>
      <c r="I3609" s="26" t="s">
        <v>2812</v>
      </c>
      <c r="J3609" s="46">
        <v>1</v>
      </c>
      <c r="K3609" s="46">
        <v>27</v>
      </c>
      <c r="L3609" s="136"/>
      <c r="M3609" s="137" t="s">
        <v>22</v>
      </c>
      <c r="V3609" s="26"/>
      <c r="W3609" s="26"/>
      <c r="X3609" s="26"/>
      <c r="Y3609" s="26"/>
      <c r="Z3609" s="26"/>
      <c r="AA3609" s="131"/>
    </row>
    <row r="3610" spans="1:27" ht="15" customHeight="1" x14ac:dyDescent="0.2">
      <c r="A3610" s="37">
        <v>41820.403796296298</v>
      </c>
      <c r="B3610" s="26" t="s">
        <v>16</v>
      </c>
      <c r="C3610" s="26" t="s">
        <v>406</v>
      </c>
      <c r="D3610" s="91" t="s">
        <v>7147</v>
      </c>
      <c r="E3610" s="26" t="s">
        <v>6299</v>
      </c>
      <c r="F3610" s="26" t="s">
        <v>432</v>
      </c>
      <c r="G3610" s="34" t="s">
        <v>26</v>
      </c>
      <c r="H3610" s="26" t="s">
        <v>6309</v>
      </c>
      <c r="I3610" s="26" t="s">
        <v>3001</v>
      </c>
      <c r="J3610" s="46">
        <v>1</v>
      </c>
      <c r="K3610" s="46">
        <v>9</v>
      </c>
      <c r="L3610" s="136"/>
      <c r="M3610" s="137" t="s">
        <v>22</v>
      </c>
      <c r="V3610" s="26"/>
      <c r="W3610" s="26"/>
      <c r="X3610" s="26"/>
      <c r="Y3610" s="26"/>
      <c r="Z3610" s="26"/>
      <c r="AA3610" s="131"/>
    </row>
    <row r="3611" spans="1:27" ht="15" customHeight="1" x14ac:dyDescent="0.2">
      <c r="A3611" s="37">
        <v>41820.404699074097</v>
      </c>
      <c r="B3611" s="26" t="s">
        <v>16</v>
      </c>
      <c r="C3611" s="26" t="s">
        <v>406</v>
      </c>
      <c r="D3611" s="91" t="s">
        <v>7147</v>
      </c>
      <c r="E3611" s="26" t="s">
        <v>3614</v>
      </c>
      <c r="F3611" s="26" t="s">
        <v>2456</v>
      </c>
      <c r="G3611" s="34" t="s">
        <v>26</v>
      </c>
      <c r="H3611" s="26" t="s">
        <v>7904</v>
      </c>
      <c r="I3611" s="26" t="s">
        <v>3001</v>
      </c>
      <c r="J3611" s="46">
        <v>1</v>
      </c>
      <c r="K3611" s="46">
        <v>6</v>
      </c>
      <c r="L3611" s="136"/>
      <c r="M3611" s="137" t="s">
        <v>44</v>
      </c>
      <c r="O3611" s="138">
        <v>15</v>
      </c>
      <c r="V3611" s="26"/>
      <c r="W3611" s="26"/>
      <c r="X3611" s="26"/>
      <c r="Y3611" s="26"/>
      <c r="Z3611" s="26"/>
      <c r="AA3611" s="131"/>
    </row>
    <row r="3612" spans="1:27" ht="15" customHeight="1" x14ac:dyDescent="0.2">
      <c r="A3612" s="37">
        <v>41820.404641203699</v>
      </c>
      <c r="B3612" s="26" t="s">
        <v>16</v>
      </c>
      <c r="C3612" s="26" t="s">
        <v>406</v>
      </c>
      <c r="D3612" s="91" t="s">
        <v>7147</v>
      </c>
      <c r="E3612" s="26" t="s">
        <v>3614</v>
      </c>
      <c r="F3612" s="26" t="s">
        <v>2456</v>
      </c>
      <c r="G3612" s="34" t="s">
        <v>26</v>
      </c>
      <c r="H3612" s="26" t="s">
        <v>7904</v>
      </c>
      <c r="I3612" s="26" t="s">
        <v>3001</v>
      </c>
      <c r="J3612" s="46">
        <v>1</v>
      </c>
      <c r="K3612" s="46">
        <v>6</v>
      </c>
      <c r="L3612" s="136"/>
      <c r="M3612" s="137" t="s">
        <v>44</v>
      </c>
      <c r="O3612" s="138">
        <v>15</v>
      </c>
      <c r="V3612" s="26"/>
      <c r="W3612" s="26"/>
      <c r="X3612" s="26"/>
      <c r="Y3612" s="26"/>
      <c r="Z3612" s="26"/>
      <c r="AA3612" s="131"/>
    </row>
    <row r="3613" spans="1:27" ht="15" customHeight="1" x14ac:dyDescent="0.2">
      <c r="A3613" s="37">
        <v>41820.404837962997</v>
      </c>
      <c r="B3613" s="26" t="s">
        <v>152</v>
      </c>
      <c r="C3613" s="26" t="s">
        <v>465</v>
      </c>
      <c r="D3613" s="91" t="s">
        <v>7147</v>
      </c>
      <c r="E3613" s="26" t="s">
        <v>7905</v>
      </c>
      <c r="F3613" s="26" t="s">
        <v>7906</v>
      </c>
      <c r="G3613" s="34" t="s">
        <v>26</v>
      </c>
      <c r="H3613" s="26" t="s">
        <v>7907</v>
      </c>
      <c r="I3613" s="26"/>
      <c r="J3613" s="46">
        <v>15</v>
      </c>
      <c r="K3613" s="46">
        <v>100</v>
      </c>
      <c r="L3613" s="136"/>
      <c r="M3613" s="137" t="s">
        <v>22</v>
      </c>
      <c r="V3613" s="26" t="s">
        <v>7908</v>
      </c>
      <c r="W3613" s="26"/>
      <c r="X3613" s="26"/>
      <c r="Y3613" s="26"/>
      <c r="Z3613" s="26"/>
      <c r="AA3613" s="131"/>
    </row>
    <row r="3614" spans="1:27" ht="15" customHeight="1" x14ac:dyDescent="0.2">
      <c r="A3614" s="37">
        <v>41820.405335648102</v>
      </c>
      <c r="B3614" s="26" t="s">
        <v>16</v>
      </c>
      <c r="C3614" s="26" t="s">
        <v>406</v>
      </c>
      <c r="D3614" s="91" t="s">
        <v>7147</v>
      </c>
      <c r="E3614" s="26" t="s">
        <v>5469</v>
      </c>
      <c r="F3614" s="26" t="s">
        <v>435</v>
      </c>
      <c r="G3614" s="34" t="s">
        <v>26</v>
      </c>
      <c r="H3614" s="26" t="s">
        <v>5470</v>
      </c>
      <c r="I3614" s="26" t="s">
        <v>3001</v>
      </c>
      <c r="J3614" s="46">
        <v>1</v>
      </c>
      <c r="K3614" s="46">
        <v>8</v>
      </c>
      <c r="L3614" s="136"/>
      <c r="M3614" s="137" t="s">
        <v>44</v>
      </c>
      <c r="O3614" s="138">
        <v>20</v>
      </c>
      <c r="V3614" s="26"/>
      <c r="W3614" s="26"/>
      <c r="X3614" s="26"/>
      <c r="Y3614" s="26"/>
      <c r="Z3614" s="26"/>
      <c r="AA3614" s="131"/>
    </row>
    <row r="3615" spans="1:27" ht="15" customHeight="1" x14ac:dyDescent="0.2">
      <c r="A3615" s="37">
        <v>41820.643252314803</v>
      </c>
      <c r="B3615" s="26" t="s">
        <v>16</v>
      </c>
      <c r="C3615" s="26" t="s">
        <v>406</v>
      </c>
      <c r="D3615" s="91" t="s">
        <v>7147</v>
      </c>
      <c r="E3615" s="26" t="s">
        <v>7909</v>
      </c>
      <c r="F3615" s="26" t="s">
        <v>7910</v>
      </c>
      <c r="G3615" s="34" t="s">
        <v>156</v>
      </c>
      <c r="H3615" s="26" t="s">
        <v>785</v>
      </c>
      <c r="I3615" s="26" t="s">
        <v>4717</v>
      </c>
      <c r="J3615" s="46">
        <v>1</v>
      </c>
      <c r="K3615" s="46">
        <v>21</v>
      </c>
      <c r="L3615" s="136">
        <v>2100</v>
      </c>
      <c r="M3615" s="137" t="s">
        <v>22</v>
      </c>
      <c r="V3615" s="26"/>
      <c r="W3615" s="26"/>
      <c r="X3615" s="26"/>
      <c r="Y3615" s="26"/>
      <c r="Z3615" s="26"/>
      <c r="AA3615" s="131"/>
    </row>
    <row r="3616" spans="1:27" ht="15" customHeight="1" x14ac:dyDescent="0.2">
      <c r="A3616" s="37">
        <v>41820.6437731482</v>
      </c>
      <c r="B3616" s="26" t="s">
        <v>16</v>
      </c>
      <c r="C3616" s="26" t="s">
        <v>406</v>
      </c>
      <c r="D3616" s="91" t="s">
        <v>7147</v>
      </c>
      <c r="E3616" s="26" t="s">
        <v>7909</v>
      </c>
      <c r="F3616" s="26" t="s">
        <v>7911</v>
      </c>
      <c r="G3616" s="34" t="s">
        <v>156</v>
      </c>
      <c r="H3616" s="26"/>
      <c r="I3616" s="26" t="s">
        <v>4717</v>
      </c>
      <c r="J3616" s="46">
        <v>1</v>
      </c>
      <c r="K3616" s="46">
        <v>20</v>
      </c>
      <c r="L3616" s="136">
        <v>2000</v>
      </c>
      <c r="M3616" s="137" t="s">
        <v>22</v>
      </c>
      <c r="V3616" s="26"/>
      <c r="W3616" s="26"/>
      <c r="X3616" s="26"/>
      <c r="Y3616" s="26"/>
      <c r="Z3616" s="26"/>
      <c r="AA3616" s="131"/>
    </row>
    <row r="3617" spans="1:27" ht="15" customHeight="1" x14ac:dyDescent="0.2">
      <c r="A3617" s="37">
        <v>41820.660358796304</v>
      </c>
      <c r="B3617" s="26" t="s">
        <v>16</v>
      </c>
      <c r="C3617" s="26" t="s">
        <v>406</v>
      </c>
      <c r="D3617" s="91" t="s">
        <v>7147</v>
      </c>
      <c r="E3617" s="26" t="s">
        <v>7912</v>
      </c>
      <c r="F3617" s="26" t="s">
        <v>7913</v>
      </c>
      <c r="G3617" s="34" t="s">
        <v>20</v>
      </c>
      <c r="H3617" s="26" t="s">
        <v>6297</v>
      </c>
      <c r="I3617" s="26" t="s">
        <v>3001</v>
      </c>
      <c r="J3617" s="46">
        <v>1</v>
      </c>
      <c r="K3617" s="46">
        <v>11</v>
      </c>
      <c r="L3617" s="136">
        <v>22</v>
      </c>
      <c r="M3617" s="137" t="s">
        <v>22</v>
      </c>
      <c r="V3617" s="26"/>
      <c r="W3617" s="26"/>
      <c r="X3617" s="26"/>
      <c r="Y3617" s="26"/>
      <c r="Z3617" s="26"/>
      <c r="AA3617" s="131"/>
    </row>
    <row r="3618" spans="1:27" ht="15" customHeight="1" x14ac:dyDescent="0.2">
      <c r="A3618" s="37">
        <v>41820.661296296297</v>
      </c>
      <c r="B3618" s="26" t="s">
        <v>16</v>
      </c>
      <c r="C3618" s="26" t="s">
        <v>406</v>
      </c>
      <c r="D3618" s="91" t="s">
        <v>7147</v>
      </c>
      <c r="E3618" s="26" t="s">
        <v>7914</v>
      </c>
      <c r="F3618" s="26" t="s">
        <v>7292</v>
      </c>
      <c r="G3618" s="34" t="s">
        <v>20</v>
      </c>
      <c r="H3618" s="26" t="s">
        <v>7915</v>
      </c>
      <c r="I3618" s="26" t="s">
        <v>3001</v>
      </c>
      <c r="J3618" s="46">
        <v>1</v>
      </c>
      <c r="K3618" s="46">
        <v>11</v>
      </c>
      <c r="L3618" s="136">
        <v>22</v>
      </c>
      <c r="M3618" s="137" t="s">
        <v>22</v>
      </c>
      <c r="V3618" s="26"/>
      <c r="W3618" s="26"/>
      <c r="X3618" s="26"/>
      <c r="Y3618" s="26"/>
      <c r="Z3618" s="26"/>
      <c r="AA3618" s="131"/>
    </row>
    <row r="3619" spans="1:27" ht="15" customHeight="1" x14ac:dyDescent="0.2">
      <c r="A3619" s="37">
        <v>41820.662777777798</v>
      </c>
      <c r="B3619" s="26" t="s">
        <v>16</v>
      </c>
      <c r="C3619" s="26" t="s">
        <v>406</v>
      </c>
      <c r="D3619" s="91" t="s">
        <v>7147</v>
      </c>
      <c r="E3619" s="26" t="s">
        <v>7916</v>
      </c>
      <c r="F3619" s="26" t="s">
        <v>7917</v>
      </c>
      <c r="G3619" s="34" t="s">
        <v>20</v>
      </c>
      <c r="H3619" s="26" t="s">
        <v>7918</v>
      </c>
      <c r="I3619" s="26" t="s">
        <v>3001</v>
      </c>
      <c r="J3619" s="46">
        <v>1</v>
      </c>
      <c r="K3619" s="46">
        <v>28</v>
      </c>
      <c r="L3619" s="136">
        <v>56</v>
      </c>
      <c r="M3619" s="137" t="s">
        <v>22</v>
      </c>
      <c r="V3619" s="26"/>
      <c r="W3619" s="26"/>
      <c r="X3619" s="26"/>
      <c r="Y3619" s="26"/>
      <c r="Z3619" s="26"/>
      <c r="AA3619" s="131"/>
    </row>
    <row r="3620" spans="1:27" ht="15" customHeight="1" x14ac:dyDescent="0.2">
      <c r="A3620" s="37">
        <v>41820.666030092601</v>
      </c>
      <c r="B3620" s="26" t="s">
        <v>16</v>
      </c>
      <c r="C3620" s="26" t="s">
        <v>406</v>
      </c>
      <c r="D3620" s="91" t="s">
        <v>7147</v>
      </c>
      <c r="E3620" s="26" t="s">
        <v>7919</v>
      </c>
      <c r="F3620" s="26" t="s">
        <v>7920</v>
      </c>
      <c r="G3620" s="34" t="s">
        <v>42</v>
      </c>
      <c r="H3620" s="26" t="s">
        <v>7921</v>
      </c>
      <c r="I3620" s="26" t="s">
        <v>3001</v>
      </c>
      <c r="J3620" s="46">
        <v>1</v>
      </c>
      <c r="K3620" s="46">
        <v>10</v>
      </c>
      <c r="L3620" s="136">
        <v>20</v>
      </c>
      <c r="M3620" s="137" t="s">
        <v>44</v>
      </c>
      <c r="O3620" s="138">
        <v>5</v>
      </c>
      <c r="V3620" s="26"/>
      <c r="W3620" s="26"/>
      <c r="X3620" s="26"/>
      <c r="Y3620" s="26"/>
      <c r="Z3620" s="26"/>
      <c r="AA3620" s="131"/>
    </row>
    <row r="3621" spans="1:27" ht="15" customHeight="1" x14ac:dyDescent="0.2">
      <c r="A3621" s="37">
        <v>41820.667025463001</v>
      </c>
      <c r="B3621" s="26" t="s">
        <v>16</v>
      </c>
      <c r="C3621" s="26" t="s">
        <v>406</v>
      </c>
      <c r="D3621" s="91" t="s">
        <v>7147</v>
      </c>
      <c r="E3621" s="26" t="s">
        <v>7922</v>
      </c>
      <c r="F3621" s="26" t="s">
        <v>7920</v>
      </c>
      <c r="G3621" s="34" t="s">
        <v>42</v>
      </c>
      <c r="H3621" s="26" t="s">
        <v>7921</v>
      </c>
      <c r="I3621" s="26" t="s">
        <v>3001</v>
      </c>
      <c r="J3621" s="46">
        <v>1</v>
      </c>
      <c r="K3621" s="46">
        <v>13</v>
      </c>
      <c r="L3621" s="136">
        <v>26</v>
      </c>
      <c r="M3621" s="137" t="s">
        <v>22</v>
      </c>
      <c r="V3621" s="26"/>
      <c r="W3621" s="26"/>
      <c r="X3621" s="26"/>
      <c r="Y3621" s="26"/>
      <c r="Z3621" s="26"/>
      <c r="AA3621" s="131"/>
    </row>
    <row r="3622" spans="1:27" ht="15" customHeight="1" x14ac:dyDescent="0.2">
      <c r="A3622" s="37">
        <v>41820.668206018498</v>
      </c>
      <c r="B3622" s="26" t="s">
        <v>16</v>
      </c>
      <c r="C3622" s="26" t="s">
        <v>406</v>
      </c>
      <c r="D3622" s="91" t="s">
        <v>7147</v>
      </c>
      <c r="E3622" s="26" t="s">
        <v>3852</v>
      </c>
      <c r="F3622" s="26" t="s">
        <v>7923</v>
      </c>
      <c r="G3622" s="34" t="s">
        <v>42</v>
      </c>
      <c r="H3622" s="26" t="s">
        <v>6297</v>
      </c>
      <c r="I3622" s="26" t="s">
        <v>3001</v>
      </c>
      <c r="J3622" s="46">
        <v>1</v>
      </c>
      <c r="K3622" s="46">
        <v>10</v>
      </c>
      <c r="L3622" s="136">
        <v>20</v>
      </c>
      <c r="M3622" s="137" t="s">
        <v>44</v>
      </c>
      <c r="O3622" s="138">
        <v>10</v>
      </c>
      <c r="V3622" s="26"/>
      <c r="W3622" s="26"/>
      <c r="X3622" s="26"/>
      <c r="Y3622" s="26"/>
      <c r="Z3622" s="26"/>
      <c r="AA3622" s="131"/>
    </row>
    <row r="3623" spans="1:27" ht="15" customHeight="1" x14ac:dyDescent="0.2">
      <c r="A3623" s="37">
        <v>41820.6687268518</v>
      </c>
      <c r="B3623" s="26" t="s">
        <v>16</v>
      </c>
      <c r="C3623" s="26" t="s">
        <v>406</v>
      </c>
      <c r="D3623" s="91" t="s">
        <v>7147</v>
      </c>
      <c r="E3623" s="26" t="s">
        <v>6306</v>
      </c>
      <c r="F3623" s="26" t="s">
        <v>7923</v>
      </c>
      <c r="G3623" s="34" t="s">
        <v>42</v>
      </c>
      <c r="H3623" s="26" t="s">
        <v>7924</v>
      </c>
      <c r="I3623" s="26" t="s">
        <v>3001</v>
      </c>
      <c r="J3623" s="46">
        <v>1</v>
      </c>
      <c r="K3623" s="46">
        <v>10</v>
      </c>
      <c r="L3623" s="136">
        <v>20</v>
      </c>
      <c r="M3623" s="137" t="s">
        <v>22</v>
      </c>
      <c r="V3623" s="26"/>
      <c r="W3623" s="26"/>
      <c r="X3623" s="26"/>
      <c r="Y3623" s="26"/>
      <c r="Z3623" s="26"/>
      <c r="AA3623" s="131"/>
    </row>
    <row r="3624" spans="1:27" ht="15" customHeight="1" x14ac:dyDescent="0.2">
      <c r="A3624" s="37">
        <v>41820.670057870397</v>
      </c>
      <c r="B3624" s="26" t="s">
        <v>16</v>
      </c>
      <c r="C3624" s="26" t="s">
        <v>406</v>
      </c>
      <c r="D3624" s="91" t="s">
        <v>7147</v>
      </c>
      <c r="E3624" s="26" t="s">
        <v>419</v>
      </c>
      <c r="F3624" s="26" t="s">
        <v>7925</v>
      </c>
      <c r="G3624" s="34" t="s">
        <v>20</v>
      </c>
      <c r="H3624" s="26" t="s">
        <v>7926</v>
      </c>
      <c r="I3624" s="26" t="s">
        <v>3001</v>
      </c>
      <c r="J3624" s="46">
        <v>1</v>
      </c>
      <c r="K3624" s="46">
        <v>33</v>
      </c>
      <c r="L3624" s="136">
        <v>66</v>
      </c>
      <c r="M3624" s="137" t="s">
        <v>22</v>
      </c>
      <c r="V3624" s="26"/>
      <c r="W3624" s="26"/>
      <c r="X3624" s="26"/>
      <c r="Y3624" s="26"/>
      <c r="Z3624" s="26"/>
      <c r="AA3624" s="131"/>
    </row>
    <row r="3625" spans="1:27" ht="15" customHeight="1" x14ac:dyDescent="0.2">
      <c r="A3625" s="37">
        <v>41820.759236111102</v>
      </c>
      <c r="B3625" s="26" t="s">
        <v>152</v>
      </c>
      <c r="C3625" s="26" t="s">
        <v>1196</v>
      </c>
      <c r="D3625" s="91" t="s">
        <v>7147</v>
      </c>
      <c r="E3625" s="26" t="s">
        <v>7927</v>
      </c>
      <c r="F3625" s="26" t="s">
        <v>7928</v>
      </c>
      <c r="G3625" s="34" t="s">
        <v>26</v>
      </c>
      <c r="H3625" s="26" t="s">
        <v>7929</v>
      </c>
      <c r="I3625" s="26" t="s">
        <v>3265</v>
      </c>
      <c r="J3625" s="46">
        <v>1</v>
      </c>
      <c r="K3625" s="46">
        <v>15</v>
      </c>
      <c r="L3625" s="136">
        <v>2350</v>
      </c>
      <c r="M3625" s="137" t="s">
        <v>44</v>
      </c>
      <c r="O3625" s="138">
        <v>540</v>
      </c>
      <c r="U3625" s="138">
        <v>735</v>
      </c>
      <c r="V3625" s="26"/>
      <c r="W3625" s="26"/>
      <c r="X3625" s="26"/>
      <c r="Y3625" s="26"/>
      <c r="Z3625" s="26"/>
      <c r="AA3625" s="131"/>
    </row>
    <row r="3626" spans="1:27" ht="15" customHeight="1" x14ac:dyDescent="0.2">
      <c r="A3626" s="37">
        <v>41820.766099537002</v>
      </c>
      <c r="B3626" s="26" t="s">
        <v>152</v>
      </c>
      <c r="C3626" s="26" t="s">
        <v>1196</v>
      </c>
      <c r="D3626" s="91" t="s">
        <v>7147</v>
      </c>
      <c r="E3626" s="26" t="s">
        <v>7930</v>
      </c>
      <c r="F3626" s="26" t="s">
        <v>7931</v>
      </c>
      <c r="G3626" s="34" t="s">
        <v>156</v>
      </c>
      <c r="H3626" s="26" t="s">
        <v>7932</v>
      </c>
      <c r="I3626" s="26" t="s">
        <v>7933</v>
      </c>
      <c r="J3626" s="46">
        <v>1</v>
      </c>
      <c r="K3626" s="46">
        <v>255</v>
      </c>
      <c r="L3626" s="136"/>
      <c r="M3626" s="137" t="s">
        <v>44</v>
      </c>
      <c r="O3626" s="138">
        <v>510</v>
      </c>
      <c r="P3626" s="138">
        <v>349</v>
      </c>
      <c r="S3626" s="138">
        <v>287</v>
      </c>
      <c r="V3626" s="26"/>
      <c r="W3626" s="26"/>
      <c r="X3626" s="26"/>
      <c r="Y3626" s="26"/>
      <c r="Z3626" s="26"/>
      <c r="AA3626" s="131"/>
    </row>
    <row r="3627" spans="1:27" ht="15" customHeight="1" x14ac:dyDescent="0.2">
      <c r="A3627" s="37">
        <v>41820.767430555599</v>
      </c>
      <c r="B3627" s="26" t="s">
        <v>152</v>
      </c>
      <c r="C3627" s="26" t="s">
        <v>1196</v>
      </c>
      <c r="D3627" s="91" t="s">
        <v>7147</v>
      </c>
      <c r="E3627" s="26" t="s">
        <v>7927</v>
      </c>
      <c r="F3627" s="26" t="s">
        <v>7928</v>
      </c>
      <c r="G3627" s="34" t="s">
        <v>156</v>
      </c>
      <c r="H3627" s="26" t="s">
        <v>7929</v>
      </c>
      <c r="I3627" s="26" t="s">
        <v>7934</v>
      </c>
      <c r="J3627" s="46">
        <v>1</v>
      </c>
      <c r="K3627" s="46">
        <v>15</v>
      </c>
      <c r="L3627" s="136"/>
      <c r="M3627" s="137" t="s">
        <v>22</v>
      </c>
      <c r="V3627" s="26"/>
      <c r="W3627" s="26"/>
      <c r="X3627" s="26"/>
      <c r="Y3627" s="26"/>
      <c r="Z3627" s="26"/>
      <c r="AA3627" s="131"/>
    </row>
    <row r="3628" spans="1:27" ht="15" customHeight="1" x14ac:dyDescent="0.2">
      <c r="A3628" s="37">
        <v>41820.7681481482</v>
      </c>
      <c r="B3628" s="26" t="s">
        <v>152</v>
      </c>
      <c r="C3628" s="26" t="s">
        <v>1196</v>
      </c>
      <c r="D3628" s="91" t="s">
        <v>7147</v>
      </c>
      <c r="E3628" s="26" t="s">
        <v>7927</v>
      </c>
      <c r="F3628" s="26" t="s">
        <v>7928</v>
      </c>
      <c r="G3628" s="34" t="s">
        <v>156</v>
      </c>
      <c r="H3628" s="26" t="s">
        <v>7929</v>
      </c>
      <c r="I3628" s="26" t="s">
        <v>7935</v>
      </c>
      <c r="J3628" s="46">
        <v>1</v>
      </c>
      <c r="K3628" s="46">
        <v>13</v>
      </c>
      <c r="L3628" s="136"/>
      <c r="M3628" s="137" t="s">
        <v>22</v>
      </c>
      <c r="V3628" s="26"/>
      <c r="W3628" s="26"/>
      <c r="X3628" s="26"/>
      <c r="Y3628" s="26"/>
      <c r="Z3628" s="26"/>
      <c r="AA3628" s="131"/>
    </row>
    <row r="3629" spans="1:27" ht="15" customHeight="1" x14ac:dyDescent="0.2">
      <c r="A3629" s="37">
        <v>41820.769143518497</v>
      </c>
      <c r="B3629" s="26" t="s">
        <v>152</v>
      </c>
      <c r="C3629" s="26" t="s">
        <v>1196</v>
      </c>
      <c r="D3629" s="91" t="s">
        <v>7147</v>
      </c>
      <c r="E3629" s="26" t="s">
        <v>7936</v>
      </c>
      <c r="F3629" s="26" t="s">
        <v>7928</v>
      </c>
      <c r="G3629" s="34" t="s">
        <v>156</v>
      </c>
      <c r="H3629" s="26" t="s">
        <v>7937</v>
      </c>
      <c r="I3629" s="26" t="s">
        <v>7938</v>
      </c>
      <c r="J3629" s="46">
        <v>2</v>
      </c>
      <c r="K3629" s="46">
        <v>15</v>
      </c>
      <c r="L3629" s="136"/>
      <c r="M3629" s="137" t="s">
        <v>22</v>
      </c>
      <c r="V3629" s="26"/>
      <c r="W3629" s="26"/>
      <c r="X3629" s="26"/>
      <c r="Y3629" s="26"/>
      <c r="Z3629" s="26"/>
      <c r="AA3629" s="131"/>
    </row>
    <row r="3630" spans="1:27" ht="15" customHeight="1" x14ac:dyDescent="0.2">
      <c r="A3630" s="37">
        <v>41820.770370370403</v>
      </c>
      <c r="B3630" s="26" t="s">
        <v>152</v>
      </c>
      <c r="C3630" s="26" t="s">
        <v>1196</v>
      </c>
      <c r="D3630" s="91" t="s">
        <v>7147</v>
      </c>
      <c r="E3630" s="26" t="s">
        <v>7939</v>
      </c>
      <c r="F3630" s="26" t="s">
        <v>7940</v>
      </c>
      <c r="G3630" s="34" t="s">
        <v>156</v>
      </c>
      <c r="H3630" s="26" t="s">
        <v>7941</v>
      </c>
      <c r="I3630" s="26" t="s">
        <v>7942</v>
      </c>
      <c r="J3630" s="46">
        <v>1</v>
      </c>
      <c r="K3630" s="46">
        <v>8</v>
      </c>
      <c r="L3630" s="136">
        <v>515</v>
      </c>
      <c r="M3630" s="137" t="s">
        <v>22</v>
      </c>
      <c r="V3630" s="26"/>
      <c r="W3630" s="26"/>
      <c r="X3630" s="26"/>
      <c r="Y3630" s="26"/>
      <c r="Z3630" s="26"/>
      <c r="AA3630" s="131"/>
    </row>
    <row r="3631" spans="1:27" ht="15" customHeight="1" x14ac:dyDescent="0.2">
      <c r="A3631" s="37">
        <v>41820.771064814799</v>
      </c>
      <c r="B3631" s="26" t="s">
        <v>152</v>
      </c>
      <c r="C3631" s="26" t="s">
        <v>1196</v>
      </c>
      <c r="D3631" s="91" t="s">
        <v>7147</v>
      </c>
      <c r="E3631" s="26" t="s">
        <v>7943</v>
      </c>
      <c r="F3631" s="26" t="s">
        <v>7940</v>
      </c>
      <c r="G3631" s="34" t="s">
        <v>156</v>
      </c>
      <c r="H3631" s="26" t="s">
        <v>7941</v>
      </c>
      <c r="I3631" s="26" t="s">
        <v>7935</v>
      </c>
      <c r="J3631" s="46">
        <v>1</v>
      </c>
      <c r="K3631" s="46">
        <v>8</v>
      </c>
      <c r="L3631" s="136"/>
      <c r="M3631" s="137" t="s">
        <v>22</v>
      </c>
      <c r="V3631" s="26"/>
      <c r="W3631" s="26"/>
      <c r="X3631" s="26"/>
      <c r="Y3631" s="26"/>
      <c r="Z3631" s="26"/>
      <c r="AA3631" s="131"/>
    </row>
    <row r="3632" spans="1:27" ht="15" customHeight="1" x14ac:dyDescent="0.2">
      <c r="A3632" s="37">
        <v>41820.771898148101</v>
      </c>
      <c r="B3632" s="26" t="s">
        <v>152</v>
      </c>
      <c r="C3632" s="26" t="s">
        <v>1196</v>
      </c>
      <c r="D3632" s="91" t="s">
        <v>7147</v>
      </c>
      <c r="E3632" s="26" t="s">
        <v>7944</v>
      </c>
      <c r="F3632" s="26" t="s">
        <v>7940</v>
      </c>
      <c r="G3632" s="34" t="s">
        <v>156</v>
      </c>
      <c r="H3632" s="26" t="s">
        <v>7941</v>
      </c>
      <c r="I3632" s="26" t="s">
        <v>7935</v>
      </c>
      <c r="J3632" s="46">
        <v>1</v>
      </c>
      <c r="K3632" s="46">
        <v>8</v>
      </c>
      <c r="L3632" s="136"/>
      <c r="M3632" s="137" t="s">
        <v>22</v>
      </c>
      <c r="V3632" s="26"/>
      <c r="W3632" s="26"/>
      <c r="X3632" s="26"/>
      <c r="Y3632" s="26"/>
      <c r="Z3632" s="26"/>
      <c r="AA3632" s="131"/>
    </row>
    <row r="3633" spans="1:27" ht="15" customHeight="1" x14ac:dyDescent="0.2">
      <c r="A3633" s="37">
        <v>41820.772615740701</v>
      </c>
      <c r="B3633" s="26" t="s">
        <v>152</v>
      </c>
      <c r="C3633" s="26" t="s">
        <v>1196</v>
      </c>
      <c r="D3633" s="91" t="s">
        <v>7147</v>
      </c>
      <c r="E3633" s="26" t="s">
        <v>7945</v>
      </c>
      <c r="F3633" s="26" t="s">
        <v>7940</v>
      </c>
      <c r="G3633" s="34" t="s">
        <v>156</v>
      </c>
      <c r="H3633" s="26" t="s">
        <v>7941</v>
      </c>
      <c r="I3633" s="26" t="s">
        <v>7935</v>
      </c>
      <c r="J3633" s="46">
        <v>1</v>
      </c>
      <c r="K3633" s="46">
        <v>8</v>
      </c>
      <c r="L3633" s="136"/>
      <c r="M3633" s="137" t="s">
        <v>22</v>
      </c>
      <c r="V3633" s="26"/>
      <c r="W3633" s="26"/>
      <c r="X3633" s="26"/>
      <c r="Y3633" s="26"/>
      <c r="Z3633" s="26"/>
      <c r="AA3633" s="131"/>
    </row>
    <row r="3634" spans="1:27" ht="15" customHeight="1" x14ac:dyDescent="0.2">
      <c r="A3634" s="37">
        <v>41820.773090277798</v>
      </c>
      <c r="B3634" s="26" t="s">
        <v>152</v>
      </c>
      <c r="C3634" s="26" t="s">
        <v>1196</v>
      </c>
      <c r="D3634" s="91" t="s">
        <v>7147</v>
      </c>
      <c r="E3634" s="26" t="s">
        <v>7946</v>
      </c>
      <c r="F3634" s="26" t="s">
        <v>7940</v>
      </c>
      <c r="G3634" s="34" t="s">
        <v>156</v>
      </c>
      <c r="H3634" s="26" t="s">
        <v>7941</v>
      </c>
      <c r="I3634" s="26" t="s">
        <v>7935</v>
      </c>
      <c r="J3634" s="46">
        <v>1</v>
      </c>
      <c r="K3634" s="46">
        <v>8</v>
      </c>
      <c r="L3634" s="136"/>
      <c r="M3634" s="137" t="s">
        <v>22</v>
      </c>
      <c r="V3634" s="26"/>
      <c r="W3634" s="26"/>
      <c r="X3634" s="26"/>
      <c r="Y3634" s="26"/>
      <c r="Z3634" s="26"/>
      <c r="AA3634" s="131"/>
    </row>
    <row r="3635" spans="1:27" ht="15" customHeight="1" x14ac:dyDescent="0.2">
      <c r="A3635" s="37">
        <v>41820.779571759304</v>
      </c>
      <c r="B3635" s="26" t="s">
        <v>152</v>
      </c>
      <c r="C3635" s="26" t="s">
        <v>1196</v>
      </c>
      <c r="D3635" s="91" t="s">
        <v>7147</v>
      </c>
      <c r="E3635" s="26" t="s">
        <v>7947</v>
      </c>
      <c r="F3635" s="26" t="s">
        <v>1204</v>
      </c>
      <c r="G3635" s="34" t="s">
        <v>26</v>
      </c>
      <c r="H3635" s="26" t="s">
        <v>7948</v>
      </c>
      <c r="I3635" s="26" t="s">
        <v>2812</v>
      </c>
      <c r="J3635" s="46">
        <v>1</v>
      </c>
      <c r="K3635" s="46">
        <v>10</v>
      </c>
      <c r="L3635" s="136"/>
      <c r="M3635" s="137" t="s">
        <v>22</v>
      </c>
      <c r="V3635" s="26"/>
      <c r="W3635" s="26"/>
      <c r="X3635" s="26"/>
      <c r="Y3635" s="26"/>
      <c r="Z3635" s="26"/>
      <c r="AA3635" s="131"/>
    </row>
    <row r="3636" spans="1:27" ht="15" customHeight="1" x14ac:dyDescent="0.2">
      <c r="A3636" s="37">
        <v>41820.780358796299</v>
      </c>
      <c r="B3636" s="26" t="s">
        <v>152</v>
      </c>
      <c r="C3636" s="26" t="s">
        <v>1196</v>
      </c>
      <c r="D3636" s="91" t="s">
        <v>7147</v>
      </c>
      <c r="E3636" s="26" t="s">
        <v>7949</v>
      </c>
      <c r="F3636" s="26" t="s">
        <v>1843</v>
      </c>
      <c r="G3636" s="34" t="s">
        <v>26</v>
      </c>
      <c r="H3636" s="26" t="s">
        <v>7950</v>
      </c>
      <c r="I3636" s="26" t="s">
        <v>2812</v>
      </c>
      <c r="J3636" s="46">
        <v>1</v>
      </c>
      <c r="K3636" s="46">
        <v>12</v>
      </c>
      <c r="L3636" s="136"/>
      <c r="M3636" s="137" t="s">
        <v>22</v>
      </c>
      <c r="V3636" s="26"/>
      <c r="W3636" s="26"/>
      <c r="X3636" s="26"/>
      <c r="Y3636" s="26"/>
      <c r="Z3636" s="26"/>
      <c r="AA3636" s="131"/>
    </row>
    <row r="3637" spans="1:27" ht="15" customHeight="1" x14ac:dyDescent="0.2">
      <c r="A3637" s="37">
        <v>41820.781423611101</v>
      </c>
      <c r="B3637" s="26" t="s">
        <v>152</v>
      </c>
      <c r="C3637" s="26" t="s">
        <v>1196</v>
      </c>
      <c r="D3637" s="91" t="s">
        <v>7147</v>
      </c>
      <c r="E3637" s="26" t="s">
        <v>7951</v>
      </c>
      <c r="F3637" s="26" t="s">
        <v>120</v>
      </c>
      <c r="G3637" s="34" t="s">
        <v>26</v>
      </c>
      <c r="H3637" s="26" t="s">
        <v>7952</v>
      </c>
      <c r="I3637" s="26" t="s">
        <v>7953</v>
      </c>
      <c r="J3637" s="46">
        <v>1</v>
      </c>
      <c r="K3637" s="46">
        <v>8</v>
      </c>
      <c r="L3637" s="136"/>
      <c r="M3637" s="137" t="s">
        <v>22</v>
      </c>
      <c r="V3637" s="26"/>
      <c r="W3637" s="26"/>
      <c r="X3637" s="26"/>
      <c r="Y3637" s="26"/>
      <c r="Z3637" s="26"/>
      <c r="AA3637" s="131"/>
    </row>
    <row r="3638" spans="1:27" ht="15" customHeight="1" x14ac:dyDescent="0.2">
      <c r="A3638" s="37">
        <v>41820.782291666699</v>
      </c>
      <c r="B3638" s="26" t="s">
        <v>152</v>
      </c>
      <c r="C3638" s="26" t="s">
        <v>1196</v>
      </c>
      <c r="D3638" s="91" t="s">
        <v>7147</v>
      </c>
      <c r="E3638" s="26" t="s">
        <v>7954</v>
      </c>
      <c r="F3638" s="26" t="s">
        <v>7955</v>
      </c>
      <c r="G3638" s="34" t="s">
        <v>26</v>
      </c>
      <c r="H3638" s="26" t="s">
        <v>7956</v>
      </c>
      <c r="I3638" s="26" t="s">
        <v>2812</v>
      </c>
      <c r="J3638" s="46">
        <v>1</v>
      </c>
      <c r="K3638" s="46">
        <v>94</v>
      </c>
      <c r="L3638" s="136"/>
      <c r="M3638" s="137" t="s">
        <v>44</v>
      </c>
      <c r="O3638" s="138">
        <v>125</v>
      </c>
      <c r="V3638" s="26"/>
      <c r="W3638" s="26"/>
      <c r="X3638" s="26"/>
      <c r="Y3638" s="26"/>
      <c r="Z3638" s="26"/>
      <c r="AA3638" s="131"/>
    </row>
    <row r="3639" spans="1:27" ht="15" customHeight="1" x14ac:dyDescent="0.2">
      <c r="A3639" s="37">
        <v>41820.788761574098</v>
      </c>
      <c r="B3639" s="26" t="s">
        <v>152</v>
      </c>
      <c r="C3639" s="26" t="s">
        <v>1196</v>
      </c>
      <c r="D3639" s="91" t="s">
        <v>7147</v>
      </c>
      <c r="E3639" s="26"/>
      <c r="F3639" s="26" t="s">
        <v>7957</v>
      </c>
      <c r="G3639" s="34" t="s">
        <v>351</v>
      </c>
      <c r="H3639" s="26" t="s">
        <v>7958</v>
      </c>
      <c r="I3639" s="26" t="s">
        <v>2986</v>
      </c>
      <c r="J3639" s="46">
        <v>2</v>
      </c>
      <c r="K3639" s="46">
        <v>45</v>
      </c>
      <c r="L3639" s="136">
        <v>60</v>
      </c>
      <c r="M3639" s="137" t="s">
        <v>22</v>
      </c>
      <c r="V3639" s="26"/>
      <c r="W3639" s="26"/>
      <c r="X3639" s="26"/>
      <c r="Y3639" s="26"/>
      <c r="Z3639" s="26"/>
      <c r="AA3639" s="131"/>
    </row>
    <row r="3640" spans="1:27" ht="15" customHeight="1" x14ac:dyDescent="0.2">
      <c r="A3640" s="37">
        <v>41820.789583333302</v>
      </c>
      <c r="B3640" s="26" t="s">
        <v>152</v>
      </c>
      <c r="C3640" s="26" t="s">
        <v>1196</v>
      </c>
      <c r="D3640" s="91" t="s">
        <v>7147</v>
      </c>
      <c r="E3640" s="26"/>
      <c r="F3640" s="26" t="s">
        <v>7959</v>
      </c>
      <c r="G3640" s="34" t="s">
        <v>351</v>
      </c>
      <c r="H3640" s="26" t="s">
        <v>7960</v>
      </c>
      <c r="I3640" s="26" t="s">
        <v>2986</v>
      </c>
      <c r="J3640" s="46">
        <v>2</v>
      </c>
      <c r="K3640" s="46">
        <v>45</v>
      </c>
      <c r="L3640" s="136">
        <v>60</v>
      </c>
      <c r="M3640" s="137" t="s">
        <v>22</v>
      </c>
      <c r="V3640" s="26"/>
      <c r="W3640" s="26"/>
      <c r="X3640" s="26"/>
      <c r="Y3640" s="26"/>
      <c r="Z3640" s="26"/>
      <c r="AA3640" s="131"/>
    </row>
    <row r="3641" spans="1:27" ht="15" customHeight="1" x14ac:dyDescent="0.2">
      <c r="A3641" s="37">
        <v>41820.790509259299</v>
      </c>
      <c r="B3641" s="26" t="s">
        <v>152</v>
      </c>
      <c r="C3641" s="26" t="s">
        <v>1196</v>
      </c>
      <c r="D3641" s="91" t="s">
        <v>7147</v>
      </c>
      <c r="E3641" s="26"/>
      <c r="F3641" s="26" t="s">
        <v>7961</v>
      </c>
      <c r="G3641" s="34" t="s">
        <v>351</v>
      </c>
      <c r="H3641" s="26" t="s">
        <v>7962</v>
      </c>
      <c r="I3641" s="26" t="s">
        <v>2986</v>
      </c>
      <c r="J3641" s="46">
        <v>1</v>
      </c>
      <c r="K3641" s="46">
        <v>150</v>
      </c>
      <c r="L3641" s="136">
        <v>60</v>
      </c>
      <c r="M3641" s="137" t="s">
        <v>22</v>
      </c>
      <c r="V3641" s="26"/>
      <c r="W3641" s="26"/>
      <c r="X3641" s="26"/>
      <c r="Y3641" s="26"/>
      <c r="Z3641" s="26"/>
      <c r="AA3641" s="131"/>
    </row>
    <row r="3642" spans="1:27" ht="15" customHeight="1" x14ac:dyDescent="0.2">
      <c r="A3642" s="37">
        <v>41820.791365740697</v>
      </c>
      <c r="B3642" s="26" t="s">
        <v>152</v>
      </c>
      <c r="C3642" s="26" t="s">
        <v>1196</v>
      </c>
      <c r="D3642" s="91" t="s">
        <v>7147</v>
      </c>
      <c r="E3642" s="26"/>
      <c r="F3642" s="26" t="s">
        <v>7963</v>
      </c>
      <c r="G3642" s="34" t="s">
        <v>351</v>
      </c>
      <c r="H3642" s="26" t="s">
        <v>7964</v>
      </c>
      <c r="I3642" s="26" t="s">
        <v>2986</v>
      </c>
      <c r="J3642" s="46">
        <v>1</v>
      </c>
      <c r="K3642" s="46">
        <v>110</v>
      </c>
      <c r="L3642" s="136"/>
      <c r="M3642" s="137" t="s">
        <v>22</v>
      </c>
      <c r="V3642" s="26"/>
      <c r="W3642" s="26"/>
      <c r="X3642" s="26"/>
      <c r="Y3642" s="26"/>
      <c r="Z3642" s="26"/>
      <c r="AA3642" s="131"/>
    </row>
    <row r="3643" spans="1:27" ht="15" customHeight="1" x14ac:dyDescent="0.2">
      <c r="A3643" s="37">
        <v>41820.792349536998</v>
      </c>
      <c r="B3643" s="26" t="s">
        <v>152</v>
      </c>
      <c r="C3643" s="26" t="s">
        <v>1196</v>
      </c>
      <c r="D3643" s="91" t="s">
        <v>7147</v>
      </c>
      <c r="E3643" s="26"/>
      <c r="F3643" s="26" t="s">
        <v>7965</v>
      </c>
      <c r="G3643" s="34" t="s">
        <v>351</v>
      </c>
      <c r="H3643" s="26"/>
      <c r="I3643" s="26" t="s">
        <v>2986</v>
      </c>
      <c r="J3643" s="46">
        <v>1</v>
      </c>
      <c r="K3643" s="46">
        <v>38</v>
      </c>
      <c r="L3643" s="136">
        <v>60</v>
      </c>
      <c r="M3643" s="137" t="s">
        <v>22</v>
      </c>
      <c r="V3643" s="26"/>
      <c r="W3643" s="26"/>
      <c r="X3643" s="26"/>
      <c r="Y3643" s="26"/>
      <c r="Z3643" s="26"/>
      <c r="AA3643" s="131"/>
    </row>
    <row r="3644" spans="1:27" ht="15" customHeight="1" x14ac:dyDescent="0.2">
      <c r="A3644" s="37">
        <v>41820.793541666702</v>
      </c>
      <c r="B3644" s="26" t="s">
        <v>152</v>
      </c>
      <c r="C3644" s="26" t="s">
        <v>1196</v>
      </c>
      <c r="D3644" s="91" t="s">
        <v>7147</v>
      </c>
      <c r="E3644" s="26"/>
      <c r="F3644" s="26" t="s">
        <v>7966</v>
      </c>
      <c r="G3644" s="34" t="s">
        <v>351</v>
      </c>
      <c r="H3644" s="26" t="s">
        <v>7967</v>
      </c>
      <c r="I3644" s="26" t="s">
        <v>2986</v>
      </c>
      <c r="J3644" s="46">
        <v>1</v>
      </c>
      <c r="K3644" s="46">
        <v>352</v>
      </c>
      <c r="L3644" s="136">
        <v>60</v>
      </c>
      <c r="M3644" s="137" t="s">
        <v>22</v>
      </c>
      <c r="V3644" s="26"/>
      <c r="W3644" s="26"/>
      <c r="X3644" s="26"/>
      <c r="Y3644" s="26"/>
      <c r="Z3644" s="26"/>
      <c r="AA3644" s="131"/>
    </row>
    <row r="3645" spans="1:27" ht="15" customHeight="1" x14ac:dyDescent="0.2">
      <c r="A3645" s="37">
        <v>41820.794398148202</v>
      </c>
      <c r="B3645" s="26" t="s">
        <v>152</v>
      </c>
      <c r="C3645" s="26" t="s">
        <v>1196</v>
      </c>
      <c r="D3645" s="91" t="s">
        <v>7147</v>
      </c>
      <c r="E3645" s="26"/>
      <c r="F3645" s="26" t="s">
        <v>7968</v>
      </c>
      <c r="G3645" s="34" t="s">
        <v>351</v>
      </c>
      <c r="H3645" s="26" t="s">
        <v>7969</v>
      </c>
      <c r="I3645" s="26" t="s">
        <v>2986</v>
      </c>
      <c r="J3645" s="46">
        <v>1</v>
      </c>
      <c r="K3645" s="46">
        <v>85</v>
      </c>
      <c r="L3645" s="136">
        <v>60</v>
      </c>
      <c r="M3645" s="137" t="s">
        <v>22</v>
      </c>
      <c r="V3645" s="26"/>
      <c r="W3645" s="26"/>
      <c r="X3645" s="26"/>
      <c r="Y3645" s="26"/>
      <c r="Z3645" s="26"/>
      <c r="AA3645" s="131"/>
    </row>
    <row r="3646" spans="1:27" ht="15" customHeight="1" x14ac:dyDescent="0.2">
      <c r="A3646" s="37">
        <v>41820.795057870397</v>
      </c>
      <c r="B3646" s="26" t="s">
        <v>152</v>
      </c>
      <c r="C3646" s="26" t="s">
        <v>1196</v>
      </c>
      <c r="D3646" s="91" t="s">
        <v>7147</v>
      </c>
      <c r="E3646" s="26"/>
      <c r="F3646" s="26" t="s">
        <v>7970</v>
      </c>
      <c r="G3646" s="34" t="s">
        <v>351</v>
      </c>
      <c r="H3646" s="26" t="s">
        <v>7962</v>
      </c>
      <c r="I3646" s="26" t="s">
        <v>2986</v>
      </c>
      <c r="J3646" s="46">
        <v>2</v>
      </c>
      <c r="K3646" s="46">
        <v>75</v>
      </c>
      <c r="L3646" s="136">
        <v>100</v>
      </c>
      <c r="M3646" s="137" t="s">
        <v>22</v>
      </c>
      <c r="V3646" s="26"/>
      <c r="W3646" s="26"/>
      <c r="X3646" s="26"/>
      <c r="Y3646" s="26"/>
      <c r="Z3646" s="26"/>
      <c r="AA3646" s="131"/>
    </row>
    <row r="3647" spans="1:27" ht="15" customHeight="1" x14ac:dyDescent="0.2">
      <c r="A3647" s="37">
        <v>41820.796354166698</v>
      </c>
      <c r="B3647" s="26" t="s">
        <v>152</v>
      </c>
      <c r="C3647" s="26" t="s">
        <v>1196</v>
      </c>
      <c r="D3647" s="91" t="s">
        <v>7147</v>
      </c>
      <c r="E3647" s="26"/>
      <c r="F3647" s="26" t="s">
        <v>7971</v>
      </c>
      <c r="G3647" s="34" t="s">
        <v>20</v>
      </c>
      <c r="H3647" s="26" t="s">
        <v>7972</v>
      </c>
      <c r="I3647" s="26" t="s">
        <v>2986</v>
      </c>
      <c r="J3647" s="46">
        <v>2</v>
      </c>
      <c r="K3647" s="46">
        <v>124</v>
      </c>
      <c r="L3647" s="136">
        <v>300</v>
      </c>
      <c r="M3647" s="137" t="s">
        <v>22</v>
      </c>
      <c r="V3647" s="26"/>
      <c r="W3647" s="26"/>
      <c r="X3647" s="26"/>
      <c r="Y3647" s="26"/>
      <c r="Z3647" s="26"/>
      <c r="AA3647" s="131"/>
    </row>
    <row r="3648" spans="1:27" ht="15" customHeight="1" x14ac:dyDescent="0.2">
      <c r="A3648" s="37">
        <v>41820.797650462999</v>
      </c>
      <c r="B3648" s="26" t="s">
        <v>152</v>
      </c>
      <c r="C3648" s="26" t="s">
        <v>1196</v>
      </c>
      <c r="D3648" s="91" t="s">
        <v>7147</v>
      </c>
      <c r="E3648" s="26"/>
      <c r="F3648" s="26" t="s">
        <v>7973</v>
      </c>
      <c r="G3648" s="34" t="s">
        <v>20</v>
      </c>
      <c r="H3648" s="26" t="s">
        <v>7974</v>
      </c>
      <c r="I3648" s="26" t="s">
        <v>2986</v>
      </c>
      <c r="J3648" s="46">
        <v>2</v>
      </c>
      <c r="K3648" s="46">
        <v>46</v>
      </c>
      <c r="L3648" s="136">
        <v>111</v>
      </c>
      <c r="M3648" s="137" t="s">
        <v>22</v>
      </c>
      <c r="V3648" s="26"/>
      <c r="W3648" s="26"/>
      <c r="X3648" s="26"/>
      <c r="Y3648" s="26"/>
      <c r="Z3648" s="26"/>
      <c r="AA3648" s="131"/>
    </row>
    <row r="3649" spans="1:27" ht="15" customHeight="1" x14ac:dyDescent="0.2">
      <c r="A3649" s="37">
        <v>41820.798692129603</v>
      </c>
      <c r="B3649" s="26" t="s">
        <v>152</v>
      </c>
      <c r="C3649" s="26" t="s">
        <v>1196</v>
      </c>
      <c r="D3649" s="91" t="s">
        <v>7147</v>
      </c>
      <c r="E3649" s="26"/>
      <c r="F3649" s="26" t="s">
        <v>7975</v>
      </c>
      <c r="G3649" s="34" t="s">
        <v>20</v>
      </c>
      <c r="H3649" s="26" t="s">
        <v>7976</v>
      </c>
      <c r="I3649" s="26" t="s">
        <v>2986</v>
      </c>
      <c r="J3649" s="46">
        <v>3</v>
      </c>
      <c r="K3649" s="46">
        <v>39</v>
      </c>
      <c r="L3649" s="136">
        <v>93</v>
      </c>
      <c r="M3649" s="137" t="s">
        <v>22</v>
      </c>
      <c r="V3649" s="26"/>
      <c r="W3649" s="26"/>
      <c r="X3649" s="26"/>
      <c r="Y3649" s="26"/>
      <c r="Z3649" s="26"/>
      <c r="AA3649" s="131"/>
    </row>
    <row r="3650" spans="1:27" ht="15" customHeight="1" x14ac:dyDescent="0.2">
      <c r="A3650" s="37">
        <v>41820.799780092602</v>
      </c>
      <c r="B3650" s="26" t="s">
        <v>152</v>
      </c>
      <c r="C3650" s="26" t="s">
        <v>1196</v>
      </c>
      <c r="D3650" s="91" t="s">
        <v>7147</v>
      </c>
      <c r="E3650" s="26"/>
      <c r="F3650" s="26" t="s">
        <v>7977</v>
      </c>
      <c r="G3650" s="34" t="s">
        <v>20</v>
      </c>
      <c r="H3650" s="26" t="s">
        <v>7978</v>
      </c>
      <c r="I3650" s="26" t="s">
        <v>2986</v>
      </c>
      <c r="J3650" s="46">
        <v>1</v>
      </c>
      <c r="K3650" s="46">
        <v>28</v>
      </c>
      <c r="L3650" s="136">
        <v>72</v>
      </c>
      <c r="M3650" s="137" t="s">
        <v>22</v>
      </c>
      <c r="V3650" s="26"/>
      <c r="W3650" s="26"/>
      <c r="X3650" s="26"/>
      <c r="Y3650" s="26"/>
      <c r="Z3650" s="26"/>
      <c r="AA3650" s="131"/>
    </row>
    <row r="3651" spans="1:27" ht="15" customHeight="1" x14ac:dyDescent="0.2">
      <c r="A3651" s="37">
        <v>41820.800706018497</v>
      </c>
      <c r="B3651" s="26" t="s">
        <v>152</v>
      </c>
      <c r="C3651" s="26" t="s">
        <v>1196</v>
      </c>
      <c r="D3651" s="91" t="s">
        <v>7147</v>
      </c>
      <c r="E3651" s="26"/>
      <c r="F3651" s="26" t="s">
        <v>7979</v>
      </c>
      <c r="G3651" s="34" t="s">
        <v>20</v>
      </c>
      <c r="H3651" s="26" t="s">
        <v>7960</v>
      </c>
      <c r="I3651" s="26" t="s">
        <v>2986</v>
      </c>
      <c r="J3651" s="46">
        <v>2</v>
      </c>
      <c r="K3651" s="46">
        <v>28</v>
      </c>
      <c r="L3651" s="136">
        <v>72</v>
      </c>
      <c r="M3651" s="137" t="s">
        <v>22</v>
      </c>
      <c r="V3651" s="26"/>
      <c r="W3651" s="26"/>
      <c r="X3651" s="26"/>
      <c r="Y3651" s="26"/>
      <c r="Z3651" s="26"/>
      <c r="AA3651" s="131"/>
    </row>
    <row r="3652" spans="1:27" ht="15" customHeight="1" x14ac:dyDescent="0.2">
      <c r="A3652" s="37">
        <v>41820.8046412037</v>
      </c>
      <c r="B3652" s="26" t="s">
        <v>152</v>
      </c>
      <c r="C3652" s="26" t="s">
        <v>1196</v>
      </c>
      <c r="D3652" s="91" t="s">
        <v>7147</v>
      </c>
      <c r="E3652" s="26"/>
      <c r="F3652" s="26" t="s">
        <v>7980</v>
      </c>
      <c r="G3652" s="34" t="s">
        <v>42</v>
      </c>
      <c r="H3652" s="26" t="s">
        <v>7981</v>
      </c>
      <c r="I3652" s="26" t="s">
        <v>2986</v>
      </c>
      <c r="J3652" s="46">
        <v>2</v>
      </c>
      <c r="K3652" s="46">
        <v>44</v>
      </c>
      <c r="L3652" s="136"/>
      <c r="M3652" s="137" t="s">
        <v>22</v>
      </c>
      <c r="V3652" s="26"/>
      <c r="W3652" s="26"/>
      <c r="X3652" s="26"/>
      <c r="Y3652" s="26"/>
      <c r="Z3652" s="26"/>
      <c r="AA3652" s="131"/>
    </row>
    <row r="3653" spans="1:27" ht="15" customHeight="1" x14ac:dyDescent="0.2">
      <c r="A3653" s="37">
        <v>41820.805972222202</v>
      </c>
      <c r="B3653" s="26" t="s">
        <v>152</v>
      </c>
      <c r="C3653" s="26" t="s">
        <v>1196</v>
      </c>
      <c r="D3653" s="91" t="s">
        <v>7147</v>
      </c>
      <c r="E3653" s="26"/>
      <c r="F3653" s="26" t="s">
        <v>7982</v>
      </c>
      <c r="G3653" s="34" t="s">
        <v>42</v>
      </c>
      <c r="H3653" s="26" t="s">
        <v>7983</v>
      </c>
      <c r="I3653" s="26" t="s">
        <v>2986</v>
      </c>
      <c r="J3653" s="46">
        <v>2</v>
      </c>
      <c r="K3653" s="46">
        <v>22</v>
      </c>
      <c r="L3653" s="136">
        <v>54</v>
      </c>
      <c r="M3653" s="137" t="s">
        <v>22</v>
      </c>
      <c r="V3653" s="26"/>
      <c r="W3653" s="26"/>
      <c r="X3653" s="26"/>
      <c r="Y3653" s="26"/>
      <c r="Z3653" s="26"/>
      <c r="AA3653" s="131"/>
    </row>
    <row r="3654" spans="1:27" ht="15" customHeight="1" x14ac:dyDescent="0.2">
      <c r="A3654" s="37">
        <v>41820.8067592593</v>
      </c>
      <c r="B3654" s="26" t="s">
        <v>152</v>
      </c>
      <c r="C3654" s="26" t="s">
        <v>1196</v>
      </c>
      <c r="D3654" s="91" t="s">
        <v>7147</v>
      </c>
      <c r="E3654" s="26"/>
      <c r="F3654" s="26" t="s">
        <v>1242</v>
      </c>
      <c r="G3654" s="34" t="s">
        <v>60</v>
      </c>
      <c r="H3654" s="26" t="s">
        <v>7984</v>
      </c>
      <c r="I3654" s="26" t="s">
        <v>2925</v>
      </c>
      <c r="J3654" s="46">
        <v>1</v>
      </c>
      <c r="K3654" s="46">
        <v>14</v>
      </c>
      <c r="L3654" s="136"/>
      <c r="M3654" s="137" t="s">
        <v>22</v>
      </c>
      <c r="V3654" s="26"/>
      <c r="W3654" s="26"/>
      <c r="X3654" s="26"/>
      <c r="Y3654" s="26"/>
      <c r="Z3654" s="26"/>
      <c r="AA3654" s="131"/>
    </row>
    <row r="3655" spans="1:27" ht="15" customHeight="1" x14ac:dyDescent="0.2">
      <c r="A3655" s="37">
        <v>41820.807395833297</v>
      </c>
      <c r="B3655" s="26" t="s">
        <v>152</v>
      </c>
      <c r="C3655" s="26" t="s">
        <v>1196</v>
      </c>
      <c r="D3655" s="91" t="s">
        <v>7147</v>
      </c>
      <c r="E3655" s="26"/>
      <c r="F3655" s="26" t="s">
        <v>1861</v>
      </c>
      <c r="G3655" s="34" t="s">
        <v>60</v>
      </c>
      <c r="H3655" s="26" t="s">
        <v>7985</v>
      </c>
      <c r="I3655" s="26" t="s">
        <v>2925</v>
      </c>
      <c r="J3655" s="46">
        <v>1</v>
      </c>
      <c r="K3655" s="46">
        <v>36</v>
      </c>
      <c r="L3655" s="136"/>
      <c r="M3655" s="137" t="s">
        <v>22</v>
      </c>
      <c r="V3655" s="26"/>
      <c r="W3655" s="26"/>
      <c r="X3655" s="26"/>
      <c r="Y3655" s="26"/>
      <c r="Z3655" s="26"/>
      <c r="AA3655" s="131"/>
    </row>
    <row r="3656" spans="1:27" ht="15" customHeight="1" x14ac:dyDescent="0.2">
      <c r="A3656" s="37">
        <v>41820.808182870402</v>
      </c>
      <c r="B3656" s="26" t="s">
        <v>152</v>
      </c>
      <c r="C3656" s="26" t="s">
        <v>1196</v>
      </c>
      <c r="D3656" s="91" t="s">
        <v>7147</v>
      </c>
      <c r="E3656" s="26"/>
      <c r="F3656" s="26" t="s">
        <v>1861</v>
      </c>
      <c r="G3656" s="34" t="s">
        <v>60</v>
      </c>
      <c r="H3656" s="26" t="s">
        <v>7985</v>
      </c>
      <c r="I3656" s="26" t="s">
        <v>2926</v>
      </c>
      <c r="J3656" s="46">
        <v>3</v>
      </c>
      <c r="K3656" s="46">
        <v>69</v>
      </c>
      <c r="L3656" s="136">
        <v>685</v>
      </c>
      <c r="M3656" s="137" t="s">
        <v>22</v>
      </c>
      <c r="V3656" s="26"/>
      <c r="W3656" s="26"/>
      <c r="X3656" s="26"/>
      <c r="Y3656" s="26"/>
      <c r="Z3656" s="26"/>
      <c r="AA3656" s="131"/>
    </row>
    <row r="3657" spans="1:27" ht="15" customHeight="1" x14ac:dyDescent="0.2">
      <c r="A3657" s="37">
        <v>41821.444826388899</v>
      </c>
      <c r="B3657" s="26" t="s">
        <v>38</v>
      </c>
      <c r="C3657" s="26" t="s">
        <v>62</v>
      </c>
      <c r="D3657" s="91" t="s">
        <v>7147</v>
      </c>
      <c r="E3657" s="26" t="s">
        <v>7986</v>
      </c>
      <c r="F3657" s="26" t="s">
        <v>7987</v>
      </c>
      <c r="G3657" s="34" t="s">
        <v>26</v>
      </c>
      <c r="H3657" s="26" t="s">
        <v>1027</v>
      </c>
      <c r="I3657" s="26" t="s">
        <v>6974</v>
      </c>
      <c r="J3657" s="46">
        <v>1</v>
      </c>
      <c r="K3657" s="46">
        <v>10</v>
      </c>
      <c r="L3657" s="136">
        <v>500</v>
      </c>
      <c r="M3657" s="137" t="s">
        <v>44</v>
      </c>
      <c r="Q3657" s="138">
        <v>116</v>
      </c>
      <c r="V3657" s="26"/>
      <c r="W3657" s="26"/>
      <c r="X3657" s="26"/>
      <c r="Y3657" s="26"/>
      <c r="Z3657" s="26"/>
      <c r="AA3657" s="131"/>
    </row>
    <row r="3658" spans="1:27" ht="15" customHeight="1" x14ac:dyDescent="0.2">
      <c r="A3658" s="37">
        <v>41821.447280092601</v>
      </c>
      <c r="B3658" s="26" t="s">
        <v>38</v>
      </c>
      <c r="C3658" s="26" t="s">
        <v>62</v>
      </c>
      <c r="D3658" s="91" t="s">
        <v>7147</v>
      </c>
      <c r="E3658" s="26" t="s">
        <v>7988</v>
      </c>
      <c r="F3658" s="26" t="s">
        <v>1311</v>
      </c>
      <c r="G3658" s="34" t="s">
        <v>26</v>
      </c>
      <c r="H3658" s="26" t="s">
        <v>5972</v>
      </c>
      <c r="I3658" s="26" t="s">
        <v>6974</v>
      </c>
      <c r="J3658" s="46">
        <v>1</v>
      </c>
      <c r="K3658" s="46">
        <v>9</v>
      </c>
      <c r="L3658" s="136">
        <v>120</v>
      </c>
      <c r="M3658" s="137" t="s">
        <v>44</v>
      </c>
      <c r="O3658" s="138">
        <v>10</v>
      </c>
      <c r="Q3658" s="138">
        <v>116</v>
      </c>
      <c r="V3658" s="26"/>
      <c r="W3658" s="26"/>
      <c r="X3658" s="26"/>
      <c r="Y3658" s="26"/>
      <c r="Z3658" s="26"/>
      <c r="AA3658" s="131"/>
    </row>
    <row r="3659" spans="1:27" ht="15" customHeight="1" x14ac:dyDescent="0.2">
      <c r="A3659" s="37">
        <v>41821.478171296301</v>
      </c>
      <c r="B3659" s="26" t="s">
        <v>16</v>
      </c>
      <c r="C3659" s="26" t="s">
        <v>975</v>
      </c>
      <c r="D3659" s="91" t="s">
        <v>7989</v>
      </c>
      <c r="E3659" s="26" t="s">
        <v>7990</v>
      </c>
      <c r="F3659" s="26" t="s">
        <v>4060</v>
      </c>
      <c r="G3659" s="34" t="s">
        <v>26</v>
      </c>
      <c r="H3659" s="26" t="s">
        <v>7991</v>
      </c>
      <c r="I3659" s="26" t="s">
        <v>3001</v>
      </c>
      <c r="J3659" s="115">
        <v>27</v>
      </c>
      <c r="K3659" s="115">
        <v>1248</v>
      </c>
      <c r="L3659" s="136"/>
      <c r="M3659" s="137" t="s">
        <v>22</v>
      </c>
      <c r="V3659" s="26" t="s">
        <v>7992</v>
      </c>
      <c r="W3659" s="26"/>
      <c r="X3659" s="26"/>
      <c r="Y3659" s="26"/>
      <c r="Z3659" s="26"/>
      <c r="AA3659" s="131"/>
    </row>
    <row r="3660" spans="1:27" ht="15" customHeight="1" x14ac:dyDescent="0.2">
      <c r="A3660" s="37">
        <v>41821.478935185201</v>
      </c>
      <c r="B3660" s="26" t="s">
        <v>16</v>
      </c>
      <c r="C3660" s="26" t="s">
        <v>975</v>
      </c>
      <c r="D3660" s="91" t="s">
        <v>7989</v>
      </c>
      <c r="E3660" s="26" t="s">
        <v>7993</v>
      </c>
      <c r="F3660" s="26" t="s">
        <v>2785</v>
      </c>
      <c r="G3660" s="34" t="s">
        <v>26</v>
      </c>
      <c r="H3660" s="26" t="s">
        <v>7994</v>
      </c>
      <c r="I3660" s="26" t="s">
        <v>3001</v>
      </c>
      <c r="J3660" s="115">
        <v>8</v>
      </c>
      <c r="K3660" s="115">
        <v>79</v>
      </c>
      <c r="L3660" s="136"/>
      <c r="M3660" s="137" t="s">
        <v>22</v>
      </c>
      <c r="V3660" s="26"/>
      <c r="W3660" s="26"/>
      <c r="X3660" s="26"/>
      <c r="Y3660" s="26"/>
      <c r="Z3660" s="26"/>
      <c r="AA3660" s="131"/>
    </row>
    <row r="3661" spans="1:27" ht="15" customHeight="1" x14ac:dyDescent="0.2">
      <c r="A3661" s="37">
        <v>41821.479895833298</v>
      </c>
      <c r="B3661" s="26" t="s">
        <v>16</v>
      </c>
      <c r="C3661" s="26" t="s">
        <v>975</v>
      </c>
      <c r="D3661" s="91" t="s">
        <v>7989</v>
      </c>
      <c r="E3661" s="26" t="s">
        <v>4526</v>
      </c>
      <c r="F3661" s="26"/>
      <c r="G3661" s="34" t="s">
        <v>26</v>
      </c>
      <c r="H3661" s="26"/>
      <c r="I3661" s="26" t="s">
        <v>2986</v>
      </c>
      <c r="J3661" s="115">
        <v>13</v>
      </c>
      <c r="K3661" s="115">
        <v>437</v>
      </c>
      <c r="L3661" s="136"/>
      <c r="M3661" s="137" t="s">
        <v>22</v>
      </c>
      <c r="V3661" s="26"/>
      <c r="W3661" s="26"/>
      <c r="X3661" s="26"/>
      <c r="Y3661" s="26"/>
      <c r="Z3661" s="26"/>
      <c r="AA3661" s="131"/>
    </row>
    <row r="3662" spans="1:27" ht="15" customHeight="1" x14ac:dyDescent="0.2">
      <c r="A3662" s="37">
        <v>41821.480706018498</v>
      </c>
      <c r="B3662" s="26" t="s">
        <v>16</v>
      </c>
      <c r="C3662" s="26" t="s">
        <v>975</v>
      </c>
      <c r="D3662" s="91" t="s">
        <v>6076</v>
      </c>
      <c r="E3662" s="26" t="s">
        <v>3696</v>
      </c>
      <c r="F3662" s="26" t="s">
        <v>2085</v>
      </c>
      <c r="G3662" s="34" t="s">
        <v>26</v>
      </c>
      <c r="H3662" s="26"/>
      <c r="I3662" s="26" t="s">
        <v>3001</v>
      </c>
      <c r="J3662" s="115">
        <v>22</v>
      </c>
      <c r="K3662" s="115">
        <v>731</v>
      </c>
      <c r="L3662" s="136"/>
      <c r="M3662" s="137" t="s">
        <v>22</v>
      </c>
      <c r="V3662" s="26"/>
      <c r="W3662" s="26"/>
      <c r="X3662" s="26"/>
      <c r="Y3662" s="26"/>
      <c r="Z3662" s="26"/>
      <c r="AA3662" s="131"/>
    </row>
    <row r="3663" spans="1:27" ht="15" customHeight="1" x14ac:dyDescent="0.2">
      <c r="A3663" s="37">
        <v>41821.4812268518</v>
      </c>
      <c r="B3663" s="26" t="s">
        <v>16</v>
      </c>
      <c r="C3663" s="26" t="s">
        <v>975</v>
      </c>
      <c r="D3663" s="91" t="s">
        <v>6076</v>
      </c>
      <c r="E3663" s="26" t="s">
        <v>3696</v>
      </c>
      <c r="F3663" s="26" t="s">
        <v>2785</v>
      </c>
      <c r="G3663" s="34" t="s">
        <v>26</v>
      </c>
      <c r="H3663" s="26"/>
      <c r="I3663" s="26" t="s">
        <v>3001</v>
      </c>
      <c r="J3663" s="115">
        <v>11</v>
      </c>
      <c r="K3663" s="115">
        <v>52</v>
      </c>
      <c r="L3663" s="136"/>
      <c r="M3663" s="137" t="s">
        <v>22</v>
      </c>
      <c r="V3663" s="26"/>
      <c r="W3663" s="26"/>
      <c r="X3663" s="26"/>
      <c r="Y3663" s="26"/>
      <c r="Z3663" s="26"/>
      <c r="AA3663" s="131"/>
    </row>
    <row r="3664" spans="1:27" ht="15" customHeight="1" x14ac:dyDescent="0.2">
      <c r="A3664" s="37">
        <v>41821.481724537</v>
      </c>
      <c r="B3664" s="26" t="s">
        <v>16</v>
      </c>
      <c r="C3664" s="26" t="s">
        <v>975</v>
      </c>
      <c r="D3664" s="91" t="s">
        <v>6076</v>
      </c>
      <c r="E3664" s="26" t="s">
        <v>3696</v>
      </c>
      <c r="F3664" s="26" t="s">
        <v>4526</v>
      </c>
      <c r="G3664" s="34" t="s">
        <v>26</v>
      </c>
      <c r="H3664" s="26"/>
      <c r="I3664" s="26" t="s">
        <v>2986</v>
      </c>
      <c r="J3664" s="115">
        <v>9</v>
      </c>
      <c r="K3664" s="115">
        <v>80</v>
      </c>
      <c r="L3664" s="136"/>
      <c r="M3664" s="137" t="s">
        <v>22</v>
      </c>
      <c r="V3664" s="26"/>
      <c r="W3664" s="26"/>
      <c r="X3664" s="26"/>
      <c r="Y3664" s="26"/>
      <c r="Z3664" s="26"/>
      <c r="AA3664" s="131"/>
    </row>
    <row r="3665" spans="1:27" ht="15" customHeight="1" x14ac:dyDescent="0.2">
      <c r="A3665" s="37">
        <v>41821.484942129602</v>
      </c>
      <c r="B3665" s="26" t="s">
        <v>16</v>
      </c>
      <c r="C3665" s="26" t="s">
        <v>975</v>
      </c>
      <c r="D3665" s="91" t="s">
        <v>7147</v>
      </c>
      <c r="E3665" s="26" t="s">
        <v>3696</v>
      </c>
      <c r="F3665" s="26" t="s">
        <v>4060</v>
      </c>
      <c r="G3665" s="34" t="s">
        <v>26</v>
      </c>
      <c r="H3665" s="26" t="s">
        <v>2085</v>
      </c>
      <c r="I3665" s="26" t="s">
        <v>3001</v>
      </c>
      <c r="J3665" s="46">
        <v>25</v>
      </c>
      <c r="K3665" s="46">
        <v>620</v>
      </c>
      <c r="L3665" s="136"/>
      <c r="M3665" s="137" t="s">
        <v>22</v>
      </c>
      <c r="V3665" s="26"/>
      <c r="W3665" s="26"/>
      <c r="X3665" s="26"/>
      <c r="Y3665" s="26"/>
      <c r="Z3665" s="26"/>
      <c r="AA3665" s="131"/>
    </row>
    <row r="3666" spans="1:27" ht="15" customHeight="1" x14ac:dyDescent="0.2">
      <c r="A3666" s="37">
        <v>41821.485509259299</v>
      </c>
      <c r="B3666" s="26" t="s">
        <v>16</v>
      </c>
      <c r="C3666" s="26" t="s">
        <v>975</v>
      </c>
      <c r="D3666" s="91" t="s">
        <v>7147</v>
      </c>
      <c r="E3666" s="26" t="s">
        <v>3696</v>
      </c>
      <c r="F3666" s="26" t="s">
        <v>2785</v>
      </c>
      <c r="G3666" s="34" t="s">
        <v>26</v>
      </c>
      <c r="H3666" s="26"/>
      <c r="I3666" s="26" t="s">
        <v>3001</v>
      </c>
      <c r="J3666" s="46">
        <v>15</v>
      </c>
      <c r="K3666" s="46">
        <v>114</v>
      </c>
      <c r="L3666" s="136"/>
      <c r="M3666" s="137" t="s">
        <v>22</v>
      </c>
      <c r="V3666" s="26"/>
      <c r="W3666" s="26"/>
      <c r="X3666" s="26"/>
      <c r="Y3666" s="26"/>
      <c r="Z3666" s="26"/>
      <c r="AA3666" s="131"/>
    </row>
    <row r="3667" spans="1:27" ht="15" customHeight="1" x14ac:dyDescent="0.2">
      <c r="A3667" s="37">
        <v>41821.486226851899</v>
      </c>
      <c r="B3667" s="26" t="s">
        <v>16</v>
      </c>
      <c r="C3667" s="26" t="s">
        <v>975</v>
      </c>
      <c r="D3667" s="91" t="s">
        <v>7147</v>
      </c>
      <c r="E3667" s="26" t="s">
        <v>3696</v>
      </c>
      <c r="F3667" s="26" t="s">
        <v>4526</v>
      </c>
      <c r="G3667" s="34" t="s">
        <v>26</v>
      </c>
      <c r="H3667" s="26" t="s">
        <v>4526</v>
      </c>
      <c r="I3667" s="26" t="s">
        <v>2986</v>
      </c>
      <c r="J3667" s="46">
        <v>12</v>
      </c>
      <c r="K3667" s="46">
        <v>254</v>
      </c>
      <c r="L3667" s="136"/>
      <c r="M3667" s="137" t="s">
        <v>22</v>
      </c>
      <c r="V3667" s="26"/>
      <c r="W3667" s="26"/>
      <c r="X3667" s="26"/>
      <c r="Y3667" s="26"/>
      <c r="Z3667" s="26"/>
      <c r="AA3667" s="131"/>
    </row>
    <row r="3668" spans="1:27" ht="15" customHeight="1" x14ac:dyDescent="0.2">
      <c r="A3668" s="37">
        <v>41821.488275463002</v>
      </c>
      <c r="B3668" s="26" t="s">
        <v>38</v>
      </c>
      <c r="C3668" s="26" t="s">
        <v>62</v>
      </c>
      <c r="D3668" s="91" t="s">
        <v>7147</v>
      </c>
      <c r="E3668" s="26" t="s">
        <v>7778</v>
      </c>
      <c r="F3668" s="26" t="s">
        <v>6873</v>
      </c>
      <c r="G3668" s="34" t="s">
        <v>26</v>
      </c>
      <c r="H3668" s="26" t="s">
        <v>6984</v>
      </c>
      <c r="I3668" s="26" t="s">
        <v>6974</v>
      </c>
      <c r="J3668" s="46">
        <v>1</v>
      </c>
      <c r="K3668" s="46">
        <v>19</v>
      </c>
      <c r="L3668" s="136">
        <v>225</v>
      </c>
      <c r="M3668" s="137" t="s">
        <v>44</v>
      </c>
      <c r="O3668" s="138">
        <v>10</v>
      </c>
      <c r="V3668" s="26"/>
      <c r="W3668" s="26"/>
      <c r="X3668" s="26"/>
      <c r="Y3668" s="26"/>
      <c r="Z3668" s="26"/>
      <c r="AA3668" s="131"/>
    </row>
    <row r="3669" spans="1:27" ht="15" customHeight="1" x14ac:dyDescent="0.2">
      <c r="A3669" s="37">
        <v>41821.506562499999</v>
      </c>
      <c r="B3669" s="26" t="s">
        <v>152</v>
      </c>
      <c r="C3669" s="26" t="s">
        <v>247</v>
      </c>
      <c r="D3669" s="91" t="s">
        <v>7147</v>
      </c>
      <c r="E3669" s="26" t="s">
        <v>2827</v>
      </c>
      <c r="F3669" s="26" t="s">
        <v>7995</v>
      </c>
      <c r="G3669" s="34" t="s">
        <v>156</v>
      </c>
      <c r="H3669" s="26"/>
      <c r="I3669" s="26" t="s">
        <v>2986</v>
      </c>
      <c r="J3669" s="46">
        <v>1</v>
      </c>
      <c r="K3669" s="46">
        <v>30</v>
      </c>
      <c r="L3669" s="136"/>
      <c r="M3669" s="137" t="s">
        <v>22</v>
      </c>
      <c r="V3669" s="26" t="s">
        <v>7996</v>
      </c>
      <c r="W3669" s="26"/>
      <c r="X3669" s="26"/>
      <c r="Y3669" s="26"/>
      <c r="Z3669" s="26"/>
      <c r="AA3669" s="131"/>
    </row>
    <row r="3670" spans="1:27" ht="15" customHeight="1" x14ac:dyDescent="0.2">
      <c r="A3670" s="37">
        <v>41821.567962963003</v>
      </c>
      <c r="B3670" s="26" t="s">
        <v>16</v>
      </c>
      <c r="C3670" s="26" t="s">
        <v>545</v>
      </c>
      <c r="D3670" s="91" t="s">
        <v>7147</v>
      </c>
      <c r="E3670" s="26" t="s">
        <v>7997</v>
      </c>
      <c r="F3670" s="26" t="s">
        <v>259</v>
      </c>
      <c r="G3670" s="34" t="s">
        <v>156</v>
      </c>
      <c r="H3670" s="26" t="s">
        <v>7998</v>
      </c>
      <c r="I3670" s="26" t="s">
        <v>6700</v>
      </c>
      <c r="J3670" s="46">
        <v>20</v>
      </c>
      <c r="K3670" s="46">
        <v>16</v>
      </c>
      <c r="L3670" s="136">
        <v>480</v>
      </c>
      <c r="M3670" s="137" t="s">
        <v>44</v>
      </c>
      <c r="P3670" s="138">
        <v>256</v>
      </c>
      <c r="V3670" s="26"/>
      <c r="W3670" s="26"/>
      <c r="X3670" s="26"/>
      <c r="Y3670" s="26"/>
      <c r="Z3670" s="26"/>
      <c r="AA3670" s="131"/>
    </row>
    <row r="3671" spans="1:27" ht="15" customHeight="1" x14ac:dyDescent="0.2">
      <c r="A3671" s="37">
        <v>41821.569583333301</v>
      </c>
      <c r="B3671" s="26" t="s">
        <v>16</v>
      </c>
      <c r="C3671" s="26" t="s">
        <v>545</v>
      </c>
      <c r="D3671" s="91" t="s">
        <v>7147</v>
      </c>
      <c r="E3671" s="26" t="s">
        <v>7999</v>
      </c>
      <c r="F3671" s="26" t="s">
        <v>8000</v>
      </c>
      <c r="G3671" s="34" t="s">
        <v>42</v>
      </c>
      <c r="H3671" s="26" t="s">
        <v>8001</v>
      </c>
      <c r="I3671" s="26" t="s">
        <v>6700</v>
      </c>
      <c r="J3671" s="46">
        <v>7</v>
      </c>
      <c r="K3671" s="46">
        <v>39</v>
      </c>
      <c r="L3671" s="136"/>
      <c r="M3671" s="137" t="s">
        <v>44</v>
      </c>
      <c r="N3671" s="138">
        <v>98</v>
      </c>
      <c r="P3671" s="138">
        <v>32</v>
      </c>
      <c r="V3671" s="26"/>
      <c r="W3671" s="26"/>
      <c r="X3671" s="26"/>
      <c r="Y3671" s="26"/>
      <c r="Z3671" s="26"/>
      <c r="AA3671" s="131"/>
    </row>
    <row r="3672" spans="1:27" ht="15" customHeight="1" x14ac:dyDescent="0.2">
      <c r="A3672" s="37">
        <v>41821.5702662037</v>
      </c>
      <c r="B3672" s="26" t="s">
        <v>16</v>
      </c>
      <c r="C3672" s="26" t="s">
        <v>23</v>
      </c>
      <c r="D3672" s="91" t="s">
        <v>7147</v>
      </c>
      <c r="E3672" s="26" t="s">
        <v>8002</v>
      </c>
      <c r="F3672" s="26" t="s">
        <v>8003</v>
      </c>
      <c r="G3672" s="34" t="s">
        <v>26</v>
      </c>
      <c r="H3672" s="26" t="s">
        <v>8004</v>
      </c>
      <c r="I3672" s="26" t="s">
        <v>8005</v>
      </c>
      <c r="J3672" s="46">
        <v>1</v>
      </c>
      <c r="K3672" s="46">
        <v>52</v>
      </c>
      <c r="L3672" s="136"/>
      <c r="M3672" s="137" t="s">
        <v>22</v>
      </c>
      <c r="V3672" s="26"/>
      <c r="W3672" s="26"/>
      <c r="X3672" s="26"/>
      <c r="Y3672" s="26"/>
      <c r="Z3672" s="26"/>
      <c r="AA3672" s="131"/>
    </row>
    <row r="3673" spans="1:27" ht="15" customHeight="1" x14ac:dyDescent="0.2">
      <c r="A3673" s="37">
        <v>41821.572164351899</v>
      </c>
      <c r="B3673" s="26" t="s">
        <v>16</v>
      </c>
      <c r="C3673" s="26" t="s">
        <v>23</v>
      </c>
      <c r="D3673" s="91" t="s">
        <v>7147</v>
      </c>
      <c r="E3673" s="26" t="s">
        <v>1508</v>
      </c>
      <c r="F3673" s="26" t="s">
        <v>8006</v>
      </c>
      <c r="G3673" s="34" t="s">
        <v>42</v>
      </c>
      <c r="H3673" s="26" t="s">
        <v>8007</v>
      </c>
      <c r="I3673" s="26" t="s">
        <v>3001</v>
      </c>
      <c r="J3673" s="46">
        <v>1</v>
      </c>
      <c r="K3673" s="46">
        <v>11</v>
      </c>
      <c r="L3673" s="136">
        <v>50</v>
      </c>
      <c r="M3673" s="137" t="s">
        <v>22</v>
      </c>
      <c r="U3673" s="138">
        <v>1</v>
      </c>
      <c r="V3673" s="26"/>
      <c r="W3673" s="26"/>
      <c r="X3673" s="26"/>
      <c r="Y3673" s="26"/>
      <c r="Z3673" s="26"/>
      <c r="AA3673" s="131"/>
    </row>
    <row r="3674" spans="1:27" ht="15" customHeight="1" x14ac:dyDescent="0.2">
      <c r="A3674" s="37">
        <v>41821.584756944401</v>
      </c>
      <c r="B3674" s="26" t="s">
        <v>152</v>
      </c>
      <c r="C3674" s="26" t="s">
        <v>913</v>
      </c>
      <c r="D3674" s="91" t="s">
        <v>7147</v>
      </c>
      <c r="E3674" s="26" t="s">
        <v>8008</v>
      </c>
      <c r="F3674" s="26" t="s">
        <v>8009</v>
      </c>
      <c r="G3674" s="34" t="s">
        <v>156</v>
      </c>
      <c r="H3674" s="26" t="s">
        <v>8010</v>
      </c>
      <c r="I3674" s="26" t="s">
        <v>7297</v>
      </c>
      <c r="J3674" s="46">
        <v>1</v>
      </c>
      <c r="K3674" s="46">
        <v>15</v>
      </c>
      <c r="L3674" s="136">
        <v>600</v>
      </c>
      <c r="M3674" s="137" t="s">
        <v>22</v>
      </c>
      <c r="V3674" s="26"/>
      <c r="W3674" s="26"/>
      <c r="X3674" s="26"/>
      <c r="Y3674" s="26"/>
      <c r="Z3674" s="26"/>
      <c r="AA3674" s="131"/>
    </row>
    <row r="3675" spans="1:27" ht="15" customHeight="1" x14ac:dyDescent="0.2">
      <c r="A3675" s="37">
        <v>41821.588252314803</v>
      </c>
      <c r="B3675" s="26" t="s">
        <v>152</v>
      </c>
      <c r="C3675" s="26" t="s">
        <v>913</v>
      </c>
      <c r="D3675" s="91" t="s">
        <v>7147</v>
      </c>
      <c r="E3675" s="26" t="s">
        <v>8008</v>
      </c>
      <c r="F3675" s="26" t="s">
        <v>8011</v>
      </c>
      <c r="G3675" s="34" t="s">
        <v>351</v>
      </c>
      <c r="H3675" s="26" t="s">
        <v>8012</v>
      </c>
      <c r="I3675" s="26" t="s">
        <v>2926</v>
      </c>
      <c r="J3675" s="46">
        <v>1</v>
      </c>
      <c r="K3675" s="46">
        <v>70</v>
      </c>
      <c r="L3675" s="136">
        <v>0</v>
      </c>
      <c r="M3675" s="137" t="s">
        <v>22</v>
      </c>
      <c r="V3675" s="26"/>
      <c r="W3675" s="26"/>
      <c r="X3675" s="26"/>
      <c r="Y3675" s="26"/>
      <c r="Z3675" s="26"/>
      <c r="AA3675" s="131"/>
    </row>
    <row r="3676" spans="1:27" ht="15" customHeight="1" x14ac:dyDescent="0.2">
      <c r="A3676" s="37">
        <v>41821.594456018502</v>
      </c>
      <c r="B3676" s="26" t="s">
        <v>152</v>
      </c>
      <c r="C3676" s="26" t="s">
        <v>913</v>
      </c>
      <c r="D3676" s="91" t="s">
        <v>7147</v>
      </c>
      <c r="E3676" s="26" t="s">
        <v>7305</v>
      </c>
      <c r="F3676" s="26" t="s">
        <v>7306</v>
      </c>
      <c r="G3676" s="34" t="s">
        <v>26</v>
      </c>
      <c r="H3676" s="26" t="s">
        <v>7322</v>
      </c>
      <c r="I3676" s="26" t="s">
        <v>3001</v>
      </c>
      <c r="J3676" s="46">
        <v>1</v>
      </c>
      <c r="K3676" s="46">
        <v>16</v>
      </c>
      <c r="L3676" s="136"/>
      <c r="M3676" s="137" t="s">
        <v>22</v>
      </c>
      <c r="V3676" s="26"/>
      <c r="W3676" s="26"/>
      <c r="X3676" s="26"/>
      <c r="Y3676" s="26"/>
      <c r="Z3676" s="26"/>
      <c r="AA3676" s="131"/>
    </row>
    <row r="3677" spans="1:27" ht="15" customHeight="1" x14ac:dyDescent="0.2">
      <c r="A3677" s="37">
        <v>41821.595462963</v>
      </c>
      <c r="B3677" s="26" t="s">
        <v>152</v>
      </c>
      <c r="C3677" s="26" t="s">
        <v>913</v>
      </c>
      <c r="D3677" s="91" t="s">
        <v>7147</v>
      </c>
      <c r="E3677" s="26" t="s">
        <v>8013</v>
      </c>
      <c r="F3677" s="26" t="s">
        <v>3993</v>
      </c>
      <c r="G3677" s="34" t="s">
        <v>26</v>
      </c>
      <c r="H3677" s="26" t="s">
        <v>8014</v>
      </c>
      <c r="I3677" s="26" t="s">
        <v>2986</v>
      </c>
      <c r="J3677" s="46">
        <v>1</v>
      </c>
      <c r="K3677" s="46">
        <v>0</v>
      </c>
      <c r="L3677" s="136"/>
      <c r="M3677" s="137" t="s">
        <v>22</v>
      </c>
      <c r="V3677" s="26"/>
      <c r="W3677" s="26"/>
      <c r="X3677" s="26"/>
      <c r="Y3677" s="26"/>
      <c r="Z3677" s="26"/>
      <c r="AA3677" s="131"/>
    </row>
    <row r="3678" spans="1:27" ht="15" customHeight="1" x14ac:dyDescent="0.2">
      <c r="A3678" s="37">
        <v>41821.597789351799</v>
      </c>
      <c r="B3678" s="26" t="s">
        <v>152</v>
      </c>
      <c r="C3678" s="26" t="s">
        <v>913</v>
      </c>
      <c r="D3678" s="91" t="s">
        <v>7147</v>
      </c>
      <c r="E3678" s="26" t="s">
        <v>8015</v>
      </c>
      <c r="F3678" s="26" t="s">
        <v>6644</v>
      </c>
      <c r="G3678" s="34" t="s">
        <v>26</v>
      </c>
      <c r="H3678" s="26" t="s">
        <v>6645</v>
      </c>
      <c r="I3678" s="26" t="s">
        <v>5599</v>
      </c>
      <c r="J3678" s="46">
        <v>1</v>
      </c>
      <c r="K3678" s="46">
        <v>1</v>
      </c>
      <c r="L3678" s="136">
        <v>10</v>
      </c>
      <c r="M3678" s="137" t="s">
        <v>22</v>
      </c>
      <c r="V3678" s="26"/>
      <c r="W3678" s="26"/>
      <c r="X3678" s="26"/>
      <c r="Y3678" s="26"/>
      <c r="Z3678" s="26"/>
      <c r="AA3678" s="131"/>
    </row>
    <row r="3679" spans="1:27" ht="15" customHeight="1" x14ac:dyDescent="0.2">
      <c r="A3679" s="37">
        <v>41821.598854166703</v>
      </c>
      <c r="B3679" s="26" t="s">
        <v>152</v>
      </c>
      <c r="C3679" s="26" t="s">
        <v>913</v>
      </c>
      <c r="D3679" s="91" t="s">
        <v>7147</v>
      </c>
      <c r="E3679" s="26" t="s">
        <v>4299</v>
      </c>
      <c r="F3679" s="26" t="s">
        <v>927</v>
      </c>
      <c r="G3679" s="34" t="s">
        <v>26</v>
      </c>
      <c r="H3679" s="26" t="s">
        <v>953</v>
      </c>
      <c r="I3679" s="26" t="s">
        <v>3001</v>
      </c>
      <c r="J3679" s="46">
        <v>1</v>
      </c>
      <c r="K3679" s="46">
        <v>19</v>
      </c>
      <c r="L3679" s="136">
        <v>19</v>
      </c>
      <c r="M3679" s="137" t="s">
        <v>22</v>
      </c>
      <c r="V3679" s="26"/>
      <c r="W3679" s="26"/>
      <c r="X3679" s="26"/>
      <c r="Y3679" s="26"/>
      <c r="Z3679" s="26"/>
      <c r="AA3679" s="131"/>
    </row>
    <row r="3680" spans="1:27" ht="15" customHeight="1" x14ac:dyDescent="0.2">
      <c r="A3680" s="37">
        <v>41821.599745370397</v>
      </c>
      <c r="B3680" s="26" t="s">
        <v>152</v>
      </c>
      <c r="C3680" s="26" t="s">
        <v>913</v>
      </c>
      <c r="D3680" s="91" t="s">
        <v>7147</v>
      </c>
      <c r="E3680" s="26" t="s">
        <v>8016</v>
      </c>
      <c r="F3680" s="26" t="s">
        <v>915</v>
      </c>
      <c r="G3680" s="34" t="s">
        <v>26</v>
      </c>
      <c r="H3680" s="26" t="s">
        <v>7312</v>
      </c>
      <c r="I3680" s="26" t="s">
        <v>5627</v>
      </c>
      <c r="J3680" s="46">
        <v>1</v>
      </c>
      <c r="K3680" s="46">
        <v>10</v>
      </c>
      <c r="L3680" s="136">
        <v>250</v>
      </c>
      <c r="M3680" s="137" t="s">
        <v>22</v>
      </c>
      <c r="V3680" s="26"/>
      <c r="W3680" s="26"/>
      <c r="X3680" s="26"/>
      <c r="Y3680" s="26"/>
      <c r="Z3680" s="26"/>
      <c r="AA3680" s="131"/>
    </row>
    <row r="3681" spans="1:27" ht="15" customHeight="1" x14ac:dyDescent="0.2">
      <c r="A3681" s="37">
        <v>41821.600682870398</v>
      </c>
      <c r="B3681" s="26" t="s">
        <v>152</v>
      </c>
      <c r="C3681" s="26" t="s">
        <v>913</v>
      </c>
      <c r="D3681" s="91" t="s">
        <v>7147</v>
      </c>
      <c r="E3681" s="26" t="s">
        <v>7335</v>
      </c>
      <c r="F3681" s="26" t="s">
        <v>2346</v>
      </c>
      <c r="G3681" s="34" t="s">
        <v>26</v>
      </c>
      <c r="H3681" s="26" t="s">
        <v>828</v>
      </c>
      <c r="I3681" s="26" t="s">
        <v>3001</v>
      </c>
      <c r="J3681" s="46">
        <v>1</v>
      </c>
      <c r="K3681" s="46">
        <v>6</v>
      </c>
      <c r="L3681" s="136"/>
      <c r="M3681" s="137" t="s">
        <v>22</v>
      </c>
      <c r="V3681" s="26"/>
      <c r="W3681" s="26"/>
      <c r="X3681" s="26"/>
      <c r="Y3681" s="26"/>
      <c r="Z3681" s="26"/>
      <c r="AA3681" s="131"/>
    </row>
    <row r="3682" spans="1:27" ht="15" customHeight="1" x14ac:dyDescent="0.2">
      <c r="A3682" s="37">
        <v>41821.601493055598</v>
      </c>
      <c r="B3682" s="26" t="s">
        <v>152</v>
      </c>
      <c r="C3682" s="26" t="s">
        <v>913</v>
      </c>
      <c r="D3682" s="91" t="s">
        <v>7147</v>
      </c>
      <c r="E3682" s="26" t="s">
        <v>8017</v>
      </c>
      <c r="F3682" s="26" t="s">
        <v>1975</v>
      </c>
      <c r="G3682" s="34" t="s">
        <v>26</v>
      </c>
      <c r="H3682" s="26" t="s">
        <v>1975</v>
      </c>
      <c r="I3682" s="26" t="s">
        <v>3001</v>
      </c>
      <c r="J3682" s="46">
        <v>1</v>
      </c>
      <c r="K3682" s="46">
        <v>4</v>
      </c>
      <c r="L3682" s="136"/>
      <c r="M3682" s="137" t="s">
        <v>22</v>
      </c>
      <c r="V3682" s="26"/>
      <c r="W3682" s="26"/>
      <c r="X3682" s="26"/>
      <c r="Y3682" s="26"/>
      <c r="Z3682" s="26"/>
      <c r="AA3682" s="131"/>
    </row>
    <row r="3683" spans="1:27" ht="15" customHeight="1" x14ac:dyDescent="0.2">
      <c r="A3683" s="37">
        <v>41821.602199074099</v>
      </c>
      <c r="B3683" s="26" t="s">
        <v>152</v>
      </c>
      <c r="C3683" s="26" t="s">
        <v>913</v>
      </c>
      <c r="D3683" s="91" t="s">
        <v>7147</v>
      </c>
      <c r="E3683" s="26" t="s">
        <v>4311</v>
      </c>
      <c r="F3683" s="26" t="s">
        <v>2758</v>
      </c>
      <c r="G3683" s="34" t="s">
        <v>26</v>
      </c>
      <c r="H3683" s="26" t="s">
        <v>953</v>
      </c>
      <c r="I3683" s="26" t="s">
        <v>2986</v>
      </c>
      <c r="J3683" s="46">
        <v>1</v>
      </c>
      <c r="K3683" s="46">
        <v>6</v>
      </c>
      <c r="L3683" s="136">
        <v>6</v>
      </c>
      <c r="M3683" s="137" t="s">
        <v>22</v>
      </c>
      <c r="V3683" s="26"/>
      <c r="W3683" s="26"/>
      <c r="X3683" s="26"/>
      <c r="Y3683" s="26"/>
      <c r="Z3683" s="26"/>
      <c r="AA3683" s="131"/>
    </row>
    <row r="3684" spans="1:27" ht="15" customHeight="1" x14ac:dyDescent="0.2">
      <c r="A3684" s="37">
        <v>41821.603333333303</v>
      </c>
      <c r="B3684" s="26" t="s">
        <v>152</v>
      </c>
      <c r="C3684" s="26" t="s">
        <v>913</v>
      </c>
      <c r="D3684" s="91" t="s">
        <v>7147</v>
      </c>
      <c r="E3684" s="26" t="s">
        <v>8018</v>
      </c>
      <c r="F3684" s="26" t="s">
        <v>947</v>
      </c>
      <c r="G3684" s="34" t="s">
        <v>156</v>
      </c>
      <c r="H3684" s="26" t="s">
        <v>8019</v>
      </c>
      <c r="I3684" s="26" t="s">
        <v>5589</v>
      </c>
      <c r="J3684" s="46">
        <v>1</v>
      </c>
      <c r="K3684" s="46">
        <v>5</v>
      </c>
      <c r="L3684" s="136">
        <v>475</v>
      </c>
      <c r="M3684" s="137" t="s">
        <v>22</v>
      </c>
      <c r="V3684" s="26"/>
      <c r="W3684" s="26"/>
      <c r="X3684" s="26"/>
      <c r="Y3684" s="26"/>
      <c r="Z3684" s="26"/>
      <c r="AA3684" s="131"/>
    </row>
    <row r="3685" spans="1:27" ht="15" customHeight="1" x14ac:dyDescent="0.2">
      <c r="A3685" s="37">
        <v>41821.604004629597</v>
      </c>
      <c r="B3685" s="26" t="s">
        <v>152</v>
      </c>
      <c r="C3685" s="26" t="s">
        <v>913</v>
      </c>
      <c r="D3685" s="91" t="s">
        <v>7147</v>
      </c>
      <c r="E3685" s="26" t="s">
        <v>4299</v>
      </c>
      <c r="F3685" s="26" t="s">
        <v>927</v>
      </c>
      <c r="G3685" s="34" t="s">
        <v>26</v>
      </c>
      <c r="H3685" s="26" t="s">
        <v>953</v>
      </c>
      <c r="I3685" s="26" t="s">
        <v>2986</v>
      </c>
      <c r="J3685" s="46">
        <v>1</v>
      </c>
      <c r="K3685" s="46">
        <v>9</v>
      </c>
      <c r="L3685" s="136">
        <v>8</v>
      </c>
      <c r="M3685" s="137" t="s">
        <v>22</v>
      </c>
      <c r="V3685" s="26"/>
      <c r="W3685" s="26"/>
      <c r="X3685" s="26"/>
      <c r="Y3685" s="26"/>
      <c r="Z3685" s="26"/>
      <c r="AA3685" s="131"/>
    </row>
    <row r="3686" spans="1:27" ht="15" customHeight="1" x14ac:dyDescent="0.2">
      <c r="A3686" s="37">
        <v>41821.604699074102</v>
      </c>
      <c r="B3686" s="26" t="s">
        <v>152</v>
      </c>
      <c r="C3686" s="26" t="s">
        <v>913</v>
      </c>
      <c r="D3686" s="91" t="s">
        <v>7147</v>
      </c>
      <c r="E3686" s="26" t="s">
        <v>8020</v>
      </c>
      <c r="F3686" s="26" t="s">
        <v>3993</v>
      </c>
      <c r="G3686" s="34" t="s">
        <v>26</v>
      </c>
      <c r="H3686" s="26"/>
      <c r="I3686" s="26" t="s">
        <v>2986</v>
      </c>
      <c r="J3686" s="46">
        <v>1</v>
      </c>
      <c r="K3686" s="46">
        <v>7</v>
      </c>
      <c r="L3686" s="136">
        <v>7</v>
      </c>
      <c r="M3686" s="137" t="s">
        <v>22</v>
      </c>
      <c r="V3686" s="26"/>
      <c r="W3686" s="26"/>
      <c r="X3686" s="26"/>
      <c r="Y3686" s="26"/>
      <c r="Z3686" s="26"/>
      <c r="AA3686" s="131"/>
    </row>
    <row r="3687" spans="1:27" ht="15" customHeight="1" x14ac:dyDescent="0.2">
      <c r="A3687" s="37">
        <v>41821.605486111097</v>
      </c>
      <c r="B3687" s="26" t="s">
        <v>152</v>
      </c>
      <c r="C3687" s="26" t="s">
        <v>913</v>
      </c>
      <c r="D3687" s="91" t="s">
        <v>7147</v>
      </c>
      <c r="E3687" s="26" t="s">
        <v>8008</v>
      </c>
      <c r="F3687" s="26" t="s">
        <v>8009</v>
      </c>
      <c r="G3687" s="34" t="s">
        <v>156</v>
      </c>
      <c r="H3687" s="26" t="s">
        <v>8021</v>
      </c>
      <c r="I3687" s="26" t="s">
        <v>5643</v>
      </c>
      <c r="J3687" s="46">
        <v>1</v>
      </c>
      <c r="K3687" s="46">
        <v>15</v>
      </c>
      <c r="L3687" s="136">
        <v>600</v>
      </c>
      <c r="M3687" s="137" t="s">
        <v>22</v>
      </c>
      <c r="V3687" s="26"/>
      <c r="W3687" s="26"/>
      <c r="X3687" s="26"/>
      <c r="Y3687" s="26"/>
      <c r="Z3687" s="26"/>
      <c r="AA3687" s="131"/>
    </row>
    <row r="3688" spans="1:27" ht="15" customHeight="1" x14ac:dyDescent="0.2">
      <c r="A3688" s="37">
        <v>41821.606921296298</v>
      </c>
      <c r="B3688" s="26" t="s">
        <v>152</v>
      </c>
      <c r="C3688" s="26" t="s">
        <v>913</v>
      </c>
      <c r="D3688" s="91" t="s">
        <v>7147</v>
      </c>
      <c r="E3688" s="26" t="s">
        <v>8022</v>
      </c>
      <c r="F3688" s="26" t="s">
        <v>8023</v>
      </c>
      <c r="G3688" s="34" t="s">
        <v>42</v>
      </c>
      <c r="H3688" s="26" t="s">
        <v>8024</v>
      </c>
      <c r="I3688" s="26" t="s">
        <v>5589</v>
      </c>
      <c r="J3688" s="46">
        <v>3</v>
      </c>
      <c r="K3688" s="46">
        <v>56</v>
      </c>
      <c r="L3688" s="136">
        <v>168</v>
      </c>
      <c r="M3688" s="137" t="s">
        <v>22</v>
      </c>
      <c r="V3688" s="26"/>
      <c r="W3688" s="26"/>
      <c r="X3688" s="26"/>
      <c r="Y3688" s="26"/>
      <c r="Z3688" s="26"/>
      <c r="AA3688" s="131"/>
    </row>
    <row r="3689" spans="1:27" ht="15" customHeight="1" x14ac:dyDescent="0.2">
      <c r="A3689" s="37">
        <v>41821.609398148103</v>
      </c>
      <c r="B3689" s="26" t="s">
        <v>152</v>
      </c>
      <c r="C3689" s="26" t="s">
        <v>913</v>
      </c>
      <c r="D3689" s="91" t="s">
        <v>7147</v>
      </c>
      <c r="E3689" s="26" t="s">
        <v>8025</v>
      </c>
      <c r="F3689" s="26" t="s">
        <v>8026</v>
      </c>
      <c r="G3689" s="34" t="s">
        <v>26</v>
      </c>
      <c r="H3689" s="26" t="s">
        <v>8027</v>
      </c>
      <c r="I3689" s="26" t="s">
        <v>8028</v>
      </c>
      <c r="J3689" s="46">
        <v>1</v>
      </c>
      <c r="K3689" s="46">
        <v>4</v>
      </c>
      <c r="L3689" s="136">
        <v>140</v>
      </c>
      <c r="M3689" s="137" t="s">
        <v>44</v>
      </c>
      <c r="O3689" s="138">
        <v>20</v>
      </c>
      <c r="U3689" s="138">
        <v>120</v>
      </c>
      <c r="V3689" s="26"/>
      <c r="W3689" s="26"/>
      <c r="X3689" s="26"/>
      <c r="Y3689" s="26"/>
      <c r="Z3689" s="26"/>
      <c r="AA3689" s="131"/>
    </row>
    <row r="3690" spans="1:27" ht="15" customHeight="1" x14ac:dyDescent="0.2">
      <c r="A3690" s="37">
        <v>41821.612037036997</v>
      </c>
      <c r="B3690" s="26" t="s">
        <v>152</v>
      </c>
      <c r="C3690" s="26" t="s">
        <v>913</v>
      </c>
      <c r="D3690" s="91" t="s">
        <v>7147</v>
      </c>
      <c r="E3690" s="26" t="s">
        <v>8029</v>
      </c>
      <c r="F3690" s="26" t="s">
        <v>8030</v>
      </c>
      <c r="G3690" s="34" t="s">
        <v>42</v>
      </c>
      <c r="H3690" s="26" t="s">
        <v>7312</v>
      </c>
      <c r="I3690" s="26" t="s">
        <v>3980</v>
      </c>
      <c r="J3690" s="46">
        <v>1</v>
      </c>
      <c r="K3690" s="46">
        <v>9</v>
      </c>
      <c r="L3690" s="136">
        <v>180</v>
      </c>
      <c r="M3690" s="137" t="s">
        <v>22</v>
      </c>
      <c r="V3690" s="26"/>
      <c r="W3690" s="26"/>
      <c r="X3690" s="26"/>
      <c r="Y3690" s="26"/>
      <c r="Z3690" s="26"/>
      <c r="AA3690" s="131"/>
    </row>
    <row r="3691" spans="1:27" ht="15" customHeight="1" x14ac:dyDescent="0.2">
      <c r="A3691" s="37">
        <v>41821.612916666701</v>
      </c>
      <c r="B3691" s="26" t="s">
        <v>152</v>
      </c>
      <c r="C3691" s="26" t="s">
        <v>913</v>
      </c>
      <c r="D3691" s="91" t="s">
        <v>7147</v>
      </c>
      <c r="E3691" s="26" t="s">
        <v>6684</v>
      </c>
      <c r="F3691" s="26" t="s">
        <v>6644</v>
      </c>
      <c r="G3691" s="34" t="s">
        <v>26</v>
      </c>
      <c r="H3691" s="26" t="s">
        <v>6645</v>
      </c>
      <c r="I3691" s="26" t="s">
        <v>3980</v>
      </c>
      <c r="J3691" s="46">
        <v>1</v>
      </c>
      <c r="K3691" s="46">
        <v>8</v>
      </c>
      <c r="L3691" s="136">
        <v>80</v>
      </c>
      <c r="M3691" s="137" t="s">
        <v>22</v>
      </c>
      <c r="V3691" s="26"/>
      <c r="W3691" s="26"/>
      <c r="X3691" s="26"/>
      <c r="Y3691" s="26"/>
      <c r="Z3691" s="26"/>
      <c r="AA3691" s="131"/>
    </row>
    <row r="3692" spans="1:27" ht="15" customHeight="1" x14ac:dyDescent="0.2">
      <c r="A3692" s="37">
        <v>41821.6144444444</v>
      </c>
      <c r="B3692" s="26" t="s">
        <v>152</v>
      </c>
      <c r="C3692" s="26" t="s">
        <v>913</v>
      </c>
      <c r="D3692" s="91" t="s">
        <v>7147</v>
      </c>
      <c r="E3692" s="26" t="s">
        <v>8031</v>
      </c>
      <c r="F3692" s="26" t="s">
        <v>8032</v>
      </c>
      <c r="G3692" s="34" t="s">
        <v>42</v>
      </c>
      <c r="H3692" s="26" t="s">
        <v>8033</v>
      </c>
      <c r="I3692" s="26" t="s">
        <v>2986</v>
      </c>
      <c r="J3692" s="46">
        <v>2</v>
      </c>
      <c r="K3692" s="46">
        <v>10</v>
      </c>
      <c r="L3692" s="136">
        <v>40</v>
      </c>
      <c r="M3692" s="137" t="s">
        <v>22</v>
      </c>
      <c r="U3692" s="138">
        <v>4</v>
      </c>
      <c r="V3692" s="26"/>
      <c r="W3692" s="26"/>
      <c r="X3692" s="26"/>
      <c r="Y3692" s="26"/>
      <c r="Z3692" s="26"/>
      <c r="AA3692" s="131"/>
    </row>
    <row r="3693" spans="1:27" ht="15" customHeight="1" x14ac:dyDescent="0.2">
      <c r="A3693" s="37">
        <v>41822.4140625</v>
      </c>
      <c r="B3693" s="26" t="s">
        <v>16</v>
      </c>
      <c r="C3693" s="26" t="s">
        <v>670</v>
      </c>
      <c r="D3693" s="91" t="s">
        <v>7147</v>
      </c>
      <c r="E3693" s="26" t="s">
        <v>8034</v>
      </c>
      <c r="F3693" s="26" t="s">
        <v>8035</v>
      </c>
      <c r="G3693" s="34" t="s">
        <v>26</v>
      </c>
      <c r="H3693" s="26"/>
      <c r="I3693" s="26" t="s">
        <v>7268</v>
      </c>
      <c r="J3693" s="46">
        <v>1</v>
      </c>
      <c r="K3693" s="46">
        <v>9</v>
      </c>
      <c r="L3693" s="136">
        <v>27</v>
      </c>
      <c r="M3693" s="137" t="s">
        <v>22</v>
      </c>
      <c r="V3693" s="26"/>
      <c r="W3693" s="26"/>
      <c r="X3693" s="26"/>
      <c r="Y3693" s="26"/>
      <c r="Z3693" s="26"/>
      <c r="AA3693" s="131"/>
    </row>
    <row r="3694" spans="1:27" ht="15" customHeight="1" x14ac:dyDescent="0.2">
      <c r="A3694" s="37">
        <v>41822.414953703701</v>
      </c>
      <c r="B3694" s="26" t="s">
        <v>16</v>
      </c>
      <c r="C3694" s="26" t="s">
        <v>670</v>
      </c>
      <c r="D3694" s="91" t="s">
        <v>7147</v>
      </c>
      <c r="E3694" s="26" t="s">
        <v>67</v>
      </c>
      <c r="F3694" s="26" t="s">
        <v>8036</v>
      </c>
      <c r="G3694" s="34" t="s">
        <v>26</v>
      </c>
      <c r="H3694" s="26" t="s">
        <v>8037</v>
      </c>
      <c r="I3694" s="26" t="s">
        <v>3171</v>
      </c>
      <c r="J3694" s="46">
        <v>1</v>
      </c>
      <c r="K3694" s="46">
        <v>7</v>
      </c>
      <c r="L3694" s="136">
        <v>35</v>
      </c>
      <c r="M3694" s="137" t="s">
        <v>22</v>
      </c>
      <c r="V3694" s="26"/>
      <c r="W3694" s="26"/>
      <c r="X3694" s="26"/>
      <c r="Y3694" s="26"/>
      <c r="Z3694" s="26"/>
      <c r="AA3694" s="131"/>
    </row>
    <row r="3695" spans="1:27" ht="15" customHeight="1" x14ac:dyDescent="0.2">
      <c r="A3695" s="37">
        <v>41822.416076388901</v>
      </c>
      <c r="B3695" s="26" t="s">
        <v>16</v>
      </c>
      <c r="C3695" s="26" t="s">
        <v>670</v>
      </c>
      <c r="D3695" s="91" t="s">
        <v>7147</v>
      </c>
      <c r="E3695" s="26" t="s">
        <v>7277</v>
      </c>
      <c r="F3695" s="26" t="s">
        <v>555</v>
      </c>
      <c r="G3695" s="34" t="s">
        <v>26</v>
      </c>
      <c r="H3695" s="26" t="s">
        <v>8038</v>
      </c>
      <c r="I3695" s="26" t="s">
        <v>7268</v>
      </c>
      <c r="J3695" s="46">
        <v>2</v>
      </c>
      <c r="K3695" s="46">
        <v>30</v>
      </c>
      <c r="L3695" s="136">
        <v>33</v>
      </c>
      <c r="M3695" s="137" t="s">
        <v>22</v>
      </c>
      <c r="V3695" s="26"/>
      <c r="W3695" s="26"/>
      <c r="X3695" s="26"/>
      <c r="Y3695" s="26"/>
      <c r="Z3695" s="26"/>
      <c r="AA3695" s="131"/>
    </row>
    <row r="3696" spans="1:27" ht="15" customHeight="1" x14ac:dyDescent="0.2">
      <c r="A3696" s="37">
        <v>41822.417048611103</v>
      </c>
      <c r="B3696" s="26" t="s">
        <v>16</v>
      </c>
      <c r="C3696" s="26" t="s">
        <v>670</v>
      </c>
      <c r="D3696" s="91" t="s">
        <v>7147</v>
      </c>
      <c r="E3696" s="26" t="s">
        <v>8039</v>
      </c>
      <c r="F3696" s="26" t="s">
        <v>8040</v>
      </c>
      <c r="G3696" s="34" t="s">
        <v>26</v>
      </c>
      <c r="H3696" s="26" t="s">
        <v>8041</v>
      </c>
      <c r="I3696" s="26" t="s">
        <v>8042</v>
      </c>
      <c r="J3696" s="46">
        <v>1</v>
      </c>
      <c r="K3696" s="46">
        <v>3</v>
      </c>
      <c r="L3696" s="136">
        <v>8</v>
      </c>
      <c r="M3696" s="137" t="s">
        <v>22</v>
      </c>
      <c r="V3696" s="26"/>
      <c r="W3696" s="26"/>
      <c r="X3696" s="26"/>
      <c r="Y3696" s="26"/>
      <c r="Z3696" s="26"/>
      <c r="AA3696" s="131"/>
    </row>
    <row r="3697" spans="1:27" ht="15" customHeight="1" x14ac:dyDescent="0.2">
      <c r="A3697" s="37">
        <v>41822.419849537</v>
      </c>
      <c r="B3697" s="26" t="s">
        <v>16</v>
      </c>
      <c r="C3697" s="26" t="s">
        <v>670</v>
      </c>
      <c r="D3697" s="91" t="s">
        <v>7147</v>
      </c>
      <c r="E3697" s="26" t="s">
        <v>8043</v>
      </c>
      <c r="F3697" s="26" t="s">
        <v>6183</v>
      </c>
      <c r="G3697" s="34" t="s">
        <v>26</v>
      </c>
      <c r="H3697" s="26" t="s">
        <v>8044</v>
      </c>
      <c r="I3697" s="26" t="s">
        <v>8045</v>
      </c>
      <c r="J3697" s="46">
        <v>10</v>
      </c>
      <c r="K3697" s="46">
        <v>193</v>
      </c>
      <c r="L3697" s="136"/>
      <c r="M3697" s="137" t="s">
        <v>44</v>
      </c>
      <c r="U3697" s="138">
        <v>50</v>
      </c>
      <c r="V3697" s="26"/>
      <c r="W3697" s="26"/>
      <c r="X3697" s="26"/>
      <c r="Y3697" s="26"/>
      <c r="Z3697" s="26"/>
      <c r="AA3697" s="131"/>
    </row>
    <row r="3698" spans="1:27" ht="15" customHeight="1" x14ac:dyDescent="0.2">
      <c r="A3698" s="37">
        <v>41822.429409722201</v>
      </c>
      <c r="B3698" s="26" t="s">
        <v>16</v>
      </c>
      <c r="C3698" s="26" t="s">
        <v>23</v>
      </c>
      <c r="D3698" s="91" t="s">
        <v>7147</v>
      </c>
      <c r="E3698" s="26" t="s">
        <v>8046</v>
      </c>
      <c r="F3698" s="26" t="s">
        <v>8047</v>
      </c>
      <c r="G3698" s="34" t="s">
        <v>26</v>
      </c>
      <c r="H3698" s="26" t="s">
        <v>8048</v>
      </c>
      <c r="I3698" s="26" t="s">
        <v>6218</v>
      </c>
      <c r="J3698" s="46">
        <v>1</v>
      </c>
      <c r="K3698" s="46">
        <v>5</v>
      </c>
      <c r="L3698" s="136"/>
      <c r="M3698" s="137" t="s">
        <v>22</v>
      </c>
      <c r="U3698" s="138">
        <v>0</v>
      </c>
      <c r="V3698" s="26"/>
      <c r="W3698" s="26"/>
      <c r="X3698" s="26"/>
      <c r="Y3698" s="26"/>
      <c r="Z3698" s="26"/>
      <c r="AA3698" s="131"/>
    </row>
    <row r="3699" spans="1:27" ht="15" customHeight="1" x14ac:dyDescent="0.2">
      <c r="A3699" s="37">
        <v>41822.482199074097</v>
      </c>
      <c r="B3699" s="26" t="s">
        <v>152</v>
      </c>
      <c r="C3699" s="26" t="s">
        <v>304</v>
      </c>
      <c r="D3699" s="91" t="s">
        <v>7147</v>
      </c>
      <c r="E3699" s="26" t="s">
        <v>8049</v>
      </c>
      <c r="F3699" s="26" t="s">
        <v>8050</v>
      </c>
      <c r="G3699" s="34" t="s">
        <v>26</v>
      </c>
      <c r="H3699" s="26" t="s">
        <v>8051</v>
      </c>
      <c r="I3699" s="26" t="s">
        <v>8052</v>
      </c>
      <c r="J3699" s="46">
        <v>1</v>
      </c>
      <c r="K3699" s="46">
        <v>23</v>
      </c>
      <c r="L3699" s="136">
        <v>900</v>
      </c>
      <c r="M3699" s="137" t="s">
        <v>44</v>
      </c>
      <c r="P3699" s="138">
        <v>277.45999999999998</v>
      </c>
      <c r="Q3699" s="138">
        <v>81</v>
      </c>
      <c r="S3699" s="138">
        <v>60</v>
      </c>
      <c r="V3699" s="26"/>
      <c r="W3699" s="26"/>
      <c r="X3699" s="26"/>
      <c r="Y3699" s="26"/>
      <c r="Z3699" s="26"/>
      <c r="AA3699" s="131"/>
    </row>
    <row r="3700" spans="1:27" ht="15" customHeight="1" x14ac:dyDescent="0.2">
      <c r="A3700" s="37">
        <v>41822.483217592599</v>
      </c>
      <c r="B3700" s="26" t="s">
        <v>152</v>
      </c>
      <c r="C3700" s="26" t="s">
        <v>304</v>
      </c>
      <c r="D3700" s="91" t="s">
        <v>7147</v>
      </c>
      <c r="E3700" s="26" t="s">
        <v>8053</v>
      </c>
      <c r="F3700" s="26" t="s">
        <v>8054</v>
      </c>
      <c r="G3700" s="34" t="s">
        <v>26</v>
      </c>
      <c r="H3700" s="26" t="s">
        <v>8055</v>
      </c>
      <c r="I3700" s="26" t="s">
        <v>8052</v>
      </c>
      <c r="J3700" s="46">
        <v>1</v>
      </c>
      <c r="K3700" s="46">
        <v>29</v>
      </c>
      <c r="L3700" s="136">
        <v>1215</v>
      </c>
      <c r="M3700" s="137" t="s">
        <v>44</v>
      </c>
      <c r="O3700" s="138">
        <v>10</v>
      </c>
      <c r="P3700" s="138">
        <v>63.44</v>
      </c>
      <c r="V3700" s="26"/>
      <c r="W3700" s="26"/>
      <c r="X3700" s="26"/>
      <c r="Y3700" s="26"/>
      <c r="Z3700" s="26"/>
      <c r="AA3700" s="131"/>
    </row>
    <row r="3701" spans="1:27" ht="15" customHeight="1" x14ac:dyDescent="0.2">
      <c r="A3701" s="37">
        <v>41822.485879629603</v>
      </c>
      <c r="B3701" s="26" t="s">
        <v>152</v>
      </c>
      <c r="C3701" s="26" t="s">
        <v>304</v>
      </c>
      <c r="D3701" s="91" t="s">
        <v>7147</v>
      </c>
      <c r="E3701" s="26" t="s">
        <v>8056</v>
      </c>
      <c r="F3701" s="26" t="s">
        <v>8057</v>
      </c>
      <c r="G3701" s="34" t="s">
        <v>156</v>
      </c>
      <c r="H3701" s="26" t="s">
        <v>1281</v>
      </c>
      <c r="I3701" s="26" t="s">
        <v>8058</v>
      </c>
      <c r="J3701" s="46">
        <v>4</v>
      </c>
      <c r="K3701" s="46">
        <v>1135</v>
      </c>
      <c r="L3701" s="136"/>
      <c r="M3701" s="137" t="s">
        <v>44</v>
      </c>
      <c r="O3701" s="138">
        <v>1346.25</v>
      </c>
      <c r="P3701" s="138">
        <v>779.15</v>
      </c>
      <c r="S3701" s="138">
        <v>515</v>
      </c>
      <c r="V3701" s="26"/>
      <c r="W3701" s="26"/>
      <c r="X3701" s="26"/>
      <c r="Y3701" s="26"/>
      <c r="Z3701" s="26"/>
      <c r="AA3701" s="131"/>
    </row>
    <row r="3702" spans="1:27" ht="15" customHeight="1" x14ac:dyDescent="0.2">
      <c r="A3702" s="37">
        <v>41822.4868055556</v>
      </c>
      <c r="B3702" s="26" t="s">
        <v>152</v>
      </c>
      <c r="C3702" s="26" t="s">
        <v>304</v>
      </c>
      <c r="D3702" s="91" t="s">
        <v>7147</v>
      </c>
      <c r="E3702" s="26" t="s">
        <v>8059</v>
      </c>
      <c r="F3702" s="26" t="s">
        <v>8060</v>
      </c>
      <c r="G3702" s="34" t="s">
        <v>26</v>
      </c>
      <c r="H3702" s="26" t="s">
        <v>8061</v>
      </c>
      <c r="I3702" s="26" t="s">
        <v>2986</v>
      </c>
      <c r="J3702" s="46">
        <v>1</v>
      </c>
      <c r="K3702" s="46">
        <v>8</v>
      </c>
      <c r="L3702" s="136">
        <v>200</v>
      </c>
      <c r="M3702" s="137" t="s">
        <v>22</v>
      </c>
      <c r="V3702" s="26"/>
      <c r="W3702" s="26"/>
      <c r="X3702" s="26"/>
      <c r="Y3702" s="26"/>
      <c r="Z3702" s="26"/>
      <c r="AA3702" s="131"/>
    </row>
    <row r="3703" spans="1:27" ht="15" customHeight="1" x14ac:dyDescent="0.2">
      <c r="A3703" s="37">
        <v>41822.487569444398</v>
      </c>
      <c r="B3703" s="26" t="s">
        <v>152</v>
      </c>
      <c r="C3703" s="26" t="s">
        <v>304</v>
      </c>
      <c r="D3703" s="91" t="s">
        <v>7147</v>
      </c>
      <c r="E3703" s="26" t="s">
        <v>8062</v>
      </c>
      <c r="F3703" s="26" t="s">
        <v>120</v>
      </c>
      <c r="G3703" s="34" t="s">
        <v>26</v>
      </c>
      <c r="H3703" s="26" t="s">
        <v>8063</v>
      </c>
      <c r="I3703" s="26" t="s">
        <v>2986</v>
      </c>
      <c r="J3703" s="46">
        <v>1</v>
      </c>
      <c r="K3703" s="46">
        <v>4</v>
      </c>
      <c r="L3703" s="136">
        <v>12</v>
      </c>
      <c r="M3703" s="137" t="s">
        <v>22</v>
      </c>
      <c r="V3703" s="26"/>
      <c r="W3703" s="26"/>
      <c r="X3703" s="26"/>
      <c r="Y3703" s="26"/>
      <c r="Z3703" s="26"/>
      <c r="AA3703" s="131"/>
    </row>
    <row r="3704" spans="1:27" ht="15" customHeight="1" x14ac:dyDescent="0.2">
      <c r="A3704" s="37">
        <v>41822.488136574102</v>
      </c>
      <c r="B3704" s="26" t="s">
        <v>152</v>
      </c>
      <c r="C3704" s="26" t="s">
        <v>304</v>
      </c>
      <c r="D3704" s="91" t="s">
        <v>7147</v>
      </c>
      <c r="E3704" s="26" t="s">
        <v>1949</v>
      </c>
      <c r="F3704" s="26" t="s">
        <v>373</v>
      </c>
      <c r="G3704" s="34" t="s">
        <v>26</v>
      </c>
      <c r="H3704" s="26" t="s">
        <v>8064</v>
      </c>
      <c r="I3704" s="26" t="s">
        <v>2986</v>
      </c>
      <c r="J3704" s="46">
        <v>5</v>
      </c>
      <c r="K3704" s="46">
        <v>40</v>
      </c>
      <c r="L3704" s="136"/>
      <c r="M3704" s="137" t="s">
        <v>22</v>
      </c>
      <c r="V3704" s="26"/>
      <c r="W3704" s="26"/>
      <c r="X3704" s="26"/>
      <c r="Y3704" s="26"/>
      <c r="Z3704" s="26"/>
      <c r="AA3704" s="131"/>
    </row>
    <row r="3705" spans="1:27" ht="15" customHeight="1" x14ac:dyDescent="0.2">
      <c r="A3705" s="37">
        <v>41822.489016203697</v>
      </c>
      <c r="B3705" s="26" t="s">
        <v>152</v>
      </c>
      <c r="C3705" s="26" t="s">
        <v>304</v>
      </c>
      <c r="D3705" s="91" t="s">
        <v>7147</v>
      </c>
      <c r="E3705" s="26" t="s">
        <v>8065</v>
      </c>
      <c r="F3705" s="26" t="s">
        <v>8066</v>
      </c>
      <c r="G3705" s="34" t="s">
        <v>26</v>
      </c>
      <c r="H3705" s="26" t="s">
        <v>8067</v>
      </c>
      <c r="I3705" s="26" t="s">
        <v>2986</v>
      </c>
      <c r="J3705" s="46">
        <v>1</v>
      </c>
      <c r="K3705" s="46">
        <v>18</v>
      </c>
      <c r="L3705" s="136"/>
      <c r="M3705" s="137" t="s">
        <v>22</v>
      </c>
      <c r="V3705" s="26"/>
      <c r="W3705" s="26"/>
      <c r="X3705" s="26"/>
      <c r="Y3705" s="26"/>
      <c r="Z3705" s="26"/>
      <c r="AA3705" s="131"/>
    </row>
    <row r="3706" spans="1:27" ht="15" customHeight="1" x14ac:dyDescent="0.2">
      <c r="A3706" s="37">
        <v>41822.490243055603</v>
      </c>
      <c r="B3706" s="26" t="s">
        <v>152</v>
      </c>
      <c r="C3706" s="26" t="s">
        <v>304</v>
      </c>
      <c r="D3706" s="91" t="s">
        <v>7147</v>
      </c>
      <c r="E3706" s="26" t="s">
        <v>8068</v>
      </c>
      <c r="F3706" s="26" t="s">
        <v>8069</v>
      </c>
      <c r="G3706" s="34" t="s">
        <v>42</v>
      </c>
      <c r="H3706" s="26" t="s">
        <v>8070</v>
      </c>
      <c r="I3706" s="26" t="s">
        <v>2986</v>
      </c>
      <c r="J3706" s="46">
        <v>1</v>
      </c>
      <c r="K3706" s="46">
        <v>15</v>
      </c>
      <c r="L3706" s="136">
        <v>36</v>
      </c>
      <c r="M3706" s="137" t="s">
        <v>44</v>
      </c>
      <c r="P3706" s="138">
        <v>53.03</v>
      </c>
      <c r="V3706" s="26"/>
      <c r="W3706" s="26"/>
      <c r="X3706" s="26"/>
      <c r="Y3706" s="26"/>
      <c r="Z3706" s="26"/>
      <c r="AA3706" s="131"/>
    </row>
    <row r="3707" spans="1:27" ht="15" customHeight="1" x14ac:dyDescent="0.2">
      <c r="A3707" s="37">
        <v>41822.491076388898</v>
      </c>
      <c r="B3707" s="26" t="s">
        <v>152</v>
      </c>
      <c r="C3707" s="26" t="s">
        <v>304</v>
      </c>
      <c r="D3707" s="91" t="s">
        <v>7147</v>
      </c>
      <c r="E3707" s="26" t="s">
        <v>8071</v>
      </c>
      <c r="F3707" s="26" t="s">
        <v>8072</v>
      </c>
      <c r="G3707" s="34" t="s">
        <v>42</v>
      </c>
      <c r="H3707" s="26" t="s">
        <v>3035</v>
      </c>
      <c r="I3707" s="26" t="s">
        <v>2986</v>
      </c>
      <c r="J3707" s="46">
        <v>1</v>
      </c>
      <c r="K3707" s="46">
        <v>21</v>
      </c>
      <c r="L3707" s="136">
        <v>57</v>
      </c>
      <c r="M3707" s="137" t="s">
        <v>22</v>
      </c>
      <c r="V3707" s="26"/>
      <c r="W3707" s="26"/>
      <c r="X3707" s="26"/>
      <c r="Y3707" s="26"/>
      <c r="Z3707" s="26"/>
      <c r="AA3707" s="131"/>
    </row>
    <row r="3708" spans="1:27" ht="15" customHeight="1" x14ac:dyDescent="0.2">
      <c r="A3708" s="37">
        <v>41822.4920486111</v>
      </c>
      <c r="B3708" s="26" t="s">
        <v>152</v>
      </c>
      <c r="C3708" s="26" t="s">
        <v>304</v>
      </c>
      <c r="D3708" s="91" t="s">
        <v>7147</v>
      </c>
      <c r="E3708" s="26" t="s">
        <v>8073</v>
      </c>
      <c r="F3708" s="26" t="s">
        <v>8074</v>
      </c>
      <c r="G3708" s="34" t="s">
        <v>42</v>
      </c>
      <c r="H3708" s="26" t="s">
        <v>8075</v>
      </c>
      <c r="I3708" s="26" t="s">
        <v>2986</v>
      </c>
      <c r="J3708" s="46">
        <v>1</v>
      </c>
      <c r="K3708" s="46">
        <v>26</v>
      </c>
      <c r="L3708" s="136">
        <v>63</v>
      </c>
      <c r="M3708" s="137" t="s">
        <v>44</v>
      </c>
      <c r="O3708" s="138">
        <v>20</v>
      </c>
      <c r="V3708" s="26"/>
      <c r="W3708" s="26"/>
      <c r="X3708" s="26"/>
      <c r="Y3708" s="26"/>
      <c r="Z3708" s="26"/>
      <c r="AA3708" s="131"/>
    </row>
    <row r="3709" spans="1:27" ht="15" customHeight="1" x14ac:dyDescent="0.2">
      <c r="A3709" s="37">
        <v>41822.694270833301</v>
      </c>
      <c r="B3709" s="26" t="s">
        <v>16</v>
      </c>
      <c r="C3709" s="26" t="s">
        <v>670</v>
      </c>
      <c r="D3709" s="91" t="s">
        <v>7147</v>
      </c>
      <c r="E3709" s="26" t="s">
        <v>8076</v>
      </c>
      <c r="F3709" s="26" t="s">
        <v>299</v>
      </c>
      <c r="G3709" s="34" t="s">
        <v>26</v>
      </c>
      <c r="H3709" s="26" t="s">
        <v>8077</v>
      </c>
      <c r="I3709" s="26" t="s">
        <v>7268</v>
      </c>
      <c r="J3709" s="46">
        <v>2</v>
      </c>
      <c r="K3709" s="46">
        <v>12</v>
      </c>
      <c r="L3709" s="136"/>
      <c r="M3709" s="137" t="s">
        <v>22</v>
      </c>
      <c r="V3709" s="26"/>
      <c r="W3709" s="26"/>
      <c r="X3709" s="26"/>
      <c r="Y3709" s="26"/>
      <c r="Z3709" s="26"/>
      <c r="AA3709" s="131"/>
    </row>
    <row r="3710" spans="1:27" ht="15" customHeight="1" x14ac:dyDescent="0.2">
      <c r="A3710" s="37">
        <v>41823.481296296297</v>
      </c>
      <c r="B3710" s="26" t="s">
        <v>152</v>
      </c>
      <c r="C3710" s="26" t="s">
        <v>4162</v>
      </c>
      <c r="D3710" s="91" t="s">
        <v>7147</v>
      </c>
      <c r="E3710" s="26" t="s">
        <v>7277</v>
      </c>
      <c r="F3710" s="26" t="s">
        <v>7491</v>
      </c>
      <c r="G3710" s="34" t="s">
        <v>26</v>
      </c>
      <c r="H3710" s="26" t="s">
        <v>8078</v>
      </c>
      <c r="I3710" s="26" t="s">
        <v>2986</v>
      </c>
      <c r="J3710" s="46">
        <v>2</v>
      </c>
      <c r="K3710" s="46">
        <v>0</v>
      </c>
      <c r="L3710" s="136"/>
      <c r="M3710" s="137" t="s">
        <v>22</v>
      </c>
      <c r="V3710" s="26" t="s">
        <v>8079</v>
      </c>
      <c r="W3710" s="26"/>
      <c r="X3710" s="26"/>
      <c r="Y3710" s="26"/>
      <c r="Z3710" s="26"/>
      <c r="AA3710" s="131"/>
    </row>
    <row r="3711" spans="1:27" ht="15" customHeight="1" x14ac:dyDescent="0.2">
      <c r="A3711" s="37">
        <v>41823.483402777798</v>
      </c>
      <c r="B3711" s="26" t="s">
        <v>152</v>
      </c>
      <c r="C3711" s="26" t="s">
        <v>4162</v>
      </c>
      <c r="D3711" s="91" t="s">
        <v>7147</v>
      </c>
      <c r="E3711" s="26" t="s">
        <v>8080</v>
      </c>
      <c r="F3711" s="26" t="s">
        <v>6995</v>
      </c>
      <c r="G3711" s="34" t="s">
        <v>26</v>
      </c>
      <c r="H3711" s="26" t="s">
        <v>7481</v>
      </c>
      <c r="I3711" s="26" t="s">
        <v>2986</v>
      </c>
      <c r="J3711" s="46">
        <v>2</v>
      </c>
      <c r="K3711" s="46">
        <v>4</v>
      </c>
      <c r="L3711" s="136"/>
      <c r="M3711" s="137" t="s">
        <v>44</v>
      </c>
      <c r="O3711" s="138">
        <v>5</v>
      </c>
      <c r="V3711" s="26"/>
      <c r="W3711" s="26"/>
      <c r="X3711" s="26"/>
      <c r="Y3711" s="26"/>
      <c r="Z3711" s="26"/>
      <c r="AA3711" s="131"/>
    </row>
    <row r="3712" spans="1:27" ht="15" customHeight="1" x14ac:dyDescent="0.2">
      <c r="A3712" s="37">
        <v>41823.487708333298</v>
      </c>
      <c r="B3712" s="26" t="s">
        <v>152</v>
      </c>
      <c r="C3712" s="26" t="s">
        <v>4162</v>
      </c>
      <c r="D3712" s="91" t="s">
        <v>7147</v>
      </c>
      <c r="E3712" s="26" t="s">
        <v>67</v>
      </c>
      <c r="F3712" s="26" t="s">
        <v>8081</v>
      </c>
      <c r="G3712" s="34" t="s">
        <v>26</v>
      </c>
      <c r="H3712" s="26" t="s">
        <v>8082</v>
      </c>
      <c r="I3712" s="26" t="s">
        <v>2986</v>
      </c>
      <c r="J3712" s="46">
        <v>1</v>
      </c>
      <c r="K3712" s="46">
        <v>2</v>
      </c>
      <c r="L3712" s="136">
        <v>1</v>
      </c>
      <c r="M3712" s="137" t="s">
        <v>44</v>
      </c>
      <c r="O3712" s="138">
        <v>5</v>
      </c>
      <c r="V3712" s="26" t="s">
        <v>8083</v>
      </c>
      <c r="W3712" s="26"/>
      <c r="X3712" s="26"/>
      <c r="Y3712" s="26"/>
      <c r="Z3712" s="26"/>
      <c r="AA3712" s="131"/>
    </row>
    <row r="3713" spans="1:27" ht="15" customHeight="1" x14ac:dyDescent="0.2">
      <c r="A3713" s="37">
        <v>41823.489768518499</v>
      </c>
      <c r="B3713" s="26" t="s">
        <v>152</v>
      </c>
      <c r="C3713" s="26" t="s">
        <v>4162</v>
      </c>
      <c r="D3713" s="91" t="s">
        <v>7147</v>
      </c>
      <c r="E3713" s="26" t="s">
        <v>8084</v>
      </c>
      <c r="F3713" s="26" t="s">
        <v>8085</v>
      </c>
      <c r="G3713" s="34" t="s">
        <v>26</v>
      </c>
      <c r="H3713" s="26" t="s">
        <v>8086</v>
      </c>
      <c r="I3713" s="26" t="s">
        <v>2986</v>
      </c>
      <c r="J3713" s="46">
        <v>1</v>
      </c>
      <c r="K3713" s="46">
        <v>10</v>
      </c>
      <c r="L3713" s="136"/>
      <c r="M3713" s="137" t="s">
        <v>44</v>
      </c>
      <c r="O3713" s="138">
        <v>10</v>
      </c>
      <c r="V3713" s="26" t="s">
        <v>8087</v>
      </c>
      <c r="W3713" s="26"/>
      <c r="X3713" s="26"/>
      <c r="Y3713" s="26"/>
      <c r="Z3713" s="26"/>
      <c r="AA3713" s="131"/>
    </row>
    <row r="3714" spans="1:27" ht="15" customHeight="1" x14ac:dyDescent="0.2">
      <c r="A3714" s="37">
        <v>41823.4912847222</v>
      </c>
      <c r="B3714" s="26" t="s">
        <v>152</v>
      </c>
      <c r="C3714" s="26" t="s">
        <v>4162</v>
      </c>
      <c r="D3714" s="91" t="s">
        <v>7147</v>
      </c>
      <c r="E3714" s="26" t="s">
        <v>7490</v>
      </c>
      <c r="F3714" s="26" t="s">
        <v>8088</v>
      </c>
      <c r="G3714" s="34" t="s">
        <v>26</v>
      </c>
      <c r="H3714" s="26" t="s">
        <v>8089</v>
      </c>
      <c r="I3714" s="26" t="s">
        <v>2986</v>
      </c>
      <c r="J3714" s="46">
        <v>1</v>
      </c>
      <c r="K3714" s="46">
        <v>0</v>
      </c>
      <c r="L3714" s="136">
        <v>0</v>
      </c>
      <c r="M3714" s="137" t="s">
        <v>22</v>
      </c>
      <c r="V3714" s="26"/>
      <c r="W3714" s="26"/>
      <c r="X3714" s="26"/>
      <c r="Y3714" s="26"/>
      <c r="Z3714" s="26"/>
      <c r="AA3714" s="131"/>
    </row>
    <row r="3715" spans="1:27" ht="15" customHeight="1" x14ac:dyDescent="0.2">
      <c r="A3715" s="37">
        <v>41823.4928587963</v>
      </c>
      <c r="B3715" s="26" t="s">
        <v>152</v>
      </c>
      <c r="C3715" s="26" t="s">
        <v>4162</v>
      </c>
      <c r="D3715" s="91" t="s">
        <v>7147</v>
      </c>
      <c r="E3715" s="26" t="s">
        <v>116</v>
      </c>
      <c r="F3715" s="26" t="s">
        <v>8090</v>
      </c>
      <c r="G3715" s="34" t="s">
        <v>26</v>
      </c>
      <c r="H3715" s="26" t="s">
        <v>8091</v>
      </c>
      <c r="I3715" s="26" t="s">
        <v>2986</v>
      </c>
      <c r="J3715" s="46">
        <v>1</v>
      </c>
      <c r="K3715" s="46">
        <v>0</v>
      </c>
      <c r="L3715" s="136">
        <v>1</v>
      </c>
      <c r="M3715" s="137" t="s">
        <v>22</v>
      </c>
      <c r="V3715" s="26"/>
      <c r="W3715" s="26"/>
      <c r="X3715" s="26"/>
      <c r="Y3715" s="26"/>
      <c r="Z3715" s="26"/>
      <c r="AA3715" s="131"/>
    </row>
    <row r="3716" spans="1:27" ht="15" customHeight="1" x14ac:dyDescent="0.2">
      <c r="A3716" s="37">
        <v>41823.492881944403</v>
      </c>
      <c r="B3716" s="26" t="s">
        <v>152</v>
      </c>
      <c r="C3716" s="26" t="s">
        <v>4162</v>
      </c>
      <c r="D3716" s="91" t="s">
        <v>7147</v>
      </c>
      <c r="E3716" s="26" t="s">
        <v>116</v>
      </c>
      <c r="F3716" s="26" t="s">
        <v>8090</v>
      </c>
      <c r="G3716" s="34" t="s">
        <v>26</v>
      </c>
      <c r="H3716" s="26" t="s">
        <v>8091</v>
      </c>
      <c r="I3716" s="26" t="s">
        <v>2986</v>
      </c>
      <c r="J3716" s="46">
        <v>1</v>
      </c>
      <c r="K3716" s="46">
        <v>0</v>
      </c>
      <c r="L3716" s="136">
        <v>1</v>
      </c>
      <c r="M3716" s="137" t="s">
        <v>22</v>
      </c>
      <c r="V3716" s="26"/>
      <c r="W3716" s="26"/>
      <c r="X3716" s="26"/>
      <c r="Y3716" s="26"/>
      <c r="Z3716" s="26"/>
      <c r="AA3716" s="131"/>
    </row>
    <row r="3717" spans="1:27" ht="15" customHeight="1" x14ac:dyDescent="0.2">
      <c r="A3717" s="37">
        <v>41823.506412037001</v>
      </c>
      <c r="B3717" s="26" t="s">
        <v>38</v>
      </c>
      <c r="C3717" s="26" t="s">
        <v>187</v>
      </c>
      <c r="D3717" s="91" t="s">
        <v>7147</v>
      </c>
      <c r="E3717" s="26" t="s">
        <v>8092</v>
      </c>
      <c r="F3717" s="26" t="s">
        <v>1027</v>
      </c>
      <c r="G3717" s="34" t="s">
        <v>26</v>
      </c>
      <c r="H3717" s="26" t="s">
        <v>8093</v>
      </c>
      <c r="I3717" s="26" t="s">
        <v>3001</v>
      </c>
      <c r="J3717" s="46">
        <v>1</v>
      </c>
      <c r="K3717" s="46">
        <v>16</v>
      </c>
      <c r="L3717" s="136">
        <v>1600</v>
      </c>
      <c r="M3717" s="137" t="s">
        <v>22</v>
      </c>
      <c r="V3717" s="26"/>
      <c r="W3717" s="26"/>
      <c r="X3717" s="26"/>
      <c r="Y3717" s="26"/>
      <c r="Z3717" s="26"/>
      <c r="AA3717" s="131"/>
    </row>
    <row r="3718" spans="1:27" ht="15" customHeight="1" x14ac:dyDescent="0.2">
      <c r="A3718" s="37">
        <v>41823.520023148201</v>
      </c>
      <c r="B3718" s="26" t="s">
        <v>38</v>
      </c>
      <c r="C3718" s="26" t="s">
        <v>187</v>
      </c>
      <c r="D3718" s="91" t="s">
        <v>7147</v>
      </c>
      <c r="E3718" s="26" t="s">
        <v>8094</v>
      </c>
      <c r="F3718" s="26" t="s">
        <v>2400</v>
      </c>
      <c r="G3718" s="34" t="s">
        <v>26</v>
      </c>
      <c r="H3718" s="26" t="s">
        <v>4265</v>
      </c>
      <c r="I3718" s="26" t="s">
        <v>3001</v>
      </c>
      <c r="J3718" s="46">
        <v>11</v>
      </c>
      <c r="K3718" s="46">
        <v>107</v>
      </c>
      <c r="L3718" s="136">
        <v>1070</v>
      </c>
      <c r="M3718" s="137" t="s">
        <v>44</v>
      </c>
      <c r="O3718" s="138">
        <v>100</v>
      </c>
      <c r="T3718" s="138">
        <v>150</v>
      </c>
      <c r="V3718" s="26"/>
      <c r="W3718" s="26"/>
      <c r="X3718" s="26"/>
      <c r="Y3718" s="26"/>
      <c r="Z3718" s="26"/>
      <c r="AA3718" s="131"/>
    </row>
    <row r="3719" spans="1:27" ht="15" customHeight="1" x14ac:dyDescent="0.2">
      <c r="A3719" s="37">
        <v>41823.520995370403</v>
      </c>
      <c r="B3719" s="26" t="s">
        <v>38</v>
      </c>
      <c r="C3719" s="26" t="s">
        <v>187</v>
      </c>
      <c r="D3719" s="91" t="s">
        <v>7147</v>
      </c>
      <c r="E3719" s="26" t="s">
        <v>2175</v>
      </c>
      <c r="F3719" s="26" t="s">
        <v>7211</v>
      </c>
      <c r="G3719" s="34" t="s">
        <v>26</v>
      </c>
      <c r="H3719" s="26"/>
      <c r="I3719" s="26" t="s">
        <v>3001</v>
      </c>
      <c r="J3719" s="46">
        <v>1</v>
      </c>
      <c r="K3719" s="46">
        <v>7</v>
      </c>
      <c r="L3719" s="136">
        <v>70</v>
      </c>
      <c r="M3719" s="137" t="s">
        <v>22</v>
      </c>
      <c r="V3719" s="26"/>
      <c r="W3719" s="26"/>
      <c r="X3719" s="26"/>
      <c r="Y3719" s="26"/>
      <c r="Z3719" s="26"/>
      <c r="AA3719" s="131"/>
    </row>
    <row r="3720" spans="1:27" ht="15" customHeight="1" x14ac:dyDescent="0.2">
      <c r="A3720" s="37">
        <v>41823.524490740703</v>
      </c>
      <c r="B3720" s="26" t="s">
        <v>38</v>
      </c>
      <c r="C3720" s="26" t="s">
        <v>187</v>
      </c>
      <c r="D3720" s="91" t="s">
        <v>7147</v>
      </c>
      <c r="E3720" s="26" t="s">
        <v>7250</v>
      </c>
      <c r="F3720" s="26" t="s">
        <v>7251</v>
      </c>
      <c r="G3720" s="34" t="s">
        <v>26</v>
      </c>
      <c r="H3720" s="26" t="s">
        <v>8095</v>
      </c>
      <c r="I3720" s="26" t="s">
        <v>3265</v>
      </c>
      <c r="J3720" s="46">
        <v>1</v>
      </c>
      <c r="K3720" s="46">
        <v>4</v>
      </c>
      <c r="L3720" s="136">
        <v>30</v>
      </c>
      <c r="M3720" s="137" t="s">
        <v>22</v>
      </c>
      <c r="V3720" s="26"/>
      <c r="W3720" s="26"/>
      <c r="X3720" s="26"/>
      <c r="Y3720" s="26"/>
      <c r="Z3720" s="26"/>
      <c r="AA3720" s="131"/>
    </row>
    <row r="3721" spans="1:27" ht="15" customHeight="1" x14ac:dyDescent="0.2">
      <c r="A3721" s="37">
        <v>41823.536643518499</v>
      </c>
      <c r="B3721" s="26" t="s">
        <v>38</v>
      </c>
      <c r="C3721" s="26" t="s">
        <v>187</v>
      </c>
      <c r="D3721" s="91" t="s">
        <v>7147</v>
      </c>
      <c r="E3721" s="26" t="s">
        <v>8096</v>
      </c>
      <c r="F3721" s="26" t="s">
        <v>8097</v>
      </c>
      <c r="G3721" s="34" t="s">
        <v>26</v>
      </c>
      <c r="H3721" s="26" t="s">
        <v>7196</v>
      </c>
      <c r="I3721" s="26" t="s">
        <v>2812</v>
      </c>
      <c r="J3721" s="46">
        <v>1</v>
      </c>
      <c r="K3721" s="46">
        <v>28</v>
      </c>
      <c r="L3721" s="136">
        <v>196</v>
      </c>
      <c r="M3721" s="137" t="s">
        <v>22</v>
      </c>
      <c r="V3721" s="26"/>
      <c r="W3721" s="26"/>
      <c r="X3721" s="26"/>
      <c r="Y3721" s="26"/>
      <c r="Z3721" s="26"/>
      <c r="AA3721" s="131"/>
    </row>
    <row r="3722" spans="1:27" ht="15" customHeight="1" x14ac:dyDescent="0.2">
      <c r="A3722" s="37">
        <v>41823.539178240702</v>
      </c>
      <c r="B3722" s="26" t="s">
        <v>38</v>
      </c>
      <c r="C3722" s="26" t="s">
        <v>187</v>
      </c>
      <c r="D3722" s="91" t="s">
        <v>7147</v>
      </c>
      <c r="E3722" s="26" t="s">
        <v>4860</v>
      </c>
      <c r="F3722" s="26" t="s">
        <v>5408</v>
      </c>
      <c r="G3722" s="34" t="s">
        <v>26</v>
      </c>
      <c r="H3722" s="26" t="s">
        <v>6240</v>
      </c>
      <c r="I3722" s="26" t="s">
        <v>2812</v>
      </c>
      <c r="J3722" s="46">
        <v>1</v>
      </c>
      <c r="K3722" s="46">
        <v>10</v>
      </c>
      <c r="L3722" s="136">
        <v>70</v>
      </c>
      <c r="M3722" s="137" t="s">
        <v>22</v>
      </c>
      <c r="V3722" s="26"/>
      <c r="W3722" s="26"/>
      <c r="X3722" s="26"/>
      <c r="Y3722" s="26"/>
      <c r="Z3722" s="26"/>
      <c r="AA3722" s="131"/>
    </row>
    <row r="3723" spans="1:27" ht="15" customHeight="1" x14ac:dyDescent="0.2">
      <c r="A3723" s="37">
        <v>41823.5448958333</v>
      </c>
      <c r="B3723" s="26" t="s">
        <v>38</v>
      </c>
      <c r="C3723" s="26" t="s">
        <v>187</v>
      </c>
      <c r="D3723" s="91" t="s">
        <v>7147</v>
      </c>
      <c r="E3723" s="26" t="s">
        <v>8098</v>
      </c>
      <c r="F3723" s="26" t="s">
        <v>8099</v>
      </c>
      <c r="G3723" s="34" t="s">
        <v>26</v>
      </c>
      <c r="H3723" s="26" t="s">
        <v>8100</v>
      </c>
      <c r="I3723" s="26" t="s">
        <v>3001</v>
      </c>
      <c r="J3723" s="46">
        <v>5</v>
      </c>
      <c r="K3723" s="46">
        <v>44</v>
      </c>
      <c r="L3723" s="136">
        <v>430</v>
      </c>
      <c r="M3723" s="137" t="s">
        <v>22</v>
      </c>
      <c r="V3723" s="26" t="s">
        <v>8101</v>
      </c>
      <c r="W3723" s="26"/>
      <c r="X3723" s="26"/>
      <c r="Y3723" s="26"/>
      <c r="Z3723" s="26"/>
      <c r="AA3723" s="131"/>
    </row>
    <row r="3724" spans="1:27" ht="15" customHeight="1" x14ac:dyDescent="0.2">
      <c r="A3724" s="37">
        <v>41823.5479976852</v>
      </c>
      <c r="B3724" s="26" t="s">
        <v>38</v>
      </c>
      <c r="C3724" s="26" t="s">
        <v>187</v>
      </c>
      <c r="D3724" s="91" t="s">
        <v>7147</v>
      </c>
      <c r="E3724" s="26" t="s">
        <v>8102</v>
      </c>
      <c r="F3724" s="26" t="s">
        <v>8103</v>
      </c>
      <c r="G3724" s="34" t="s">
        <v>42</v>
      </c>
      <c r="H3724" s="26" t="s">
        <v>8104</v>
      </c>
      <c r="I3724" s="26" t="s">
        <v>3001</v>
      </c>
      <c r="J3724" s="46">
        <v>1</v>
      </c>
      <c r="K3724" s="46">
        <v>8</v>
      </c>
      <c r="L3724" s="136">
        <v>200</v>
      </c>
      <c r="M3724" s="137" t="s">
        <v>22</v>
      </c>
      <c r="V3724" s="26"/>
      <c r="W3724" s="26"/>
      <c r="X3724" s="26"/>
      <c r="Y3724" s="26"/>
      <c r="Z3724" s="26"/>
      <c r="AA3724" s="131"/>
    </row>
    <row r="3725" spans="1:27" ht="15" customHeight="1" x14ac:dyDescent="0.2">
      <c r="A3725" s="37">
        <v>41823.5605208333</v>
      </c>
      <c r="B3725" s="26" t="s">
        <v>38</v>
      </c>
      <c r="C3725" s="26" t="s">
        <v>187</v>
      </c>
      <c r="D3725" s="91" t="s">
        <v>7147</v>
      </c>
      <c r="E3725" s="26" t="s">
        <v>8105</v>
      </c>
      <c r="F3725" s="26" t="s">
        <v>6247</v>
      </c>
      <c r="G3725" s="34" t="s">
        <v>26</v>
      </c>
      <c r="H3725" s="26" t="s">
        <v>6247</v>
      </c>
      <c r="I3725" s="26" t="s">
        <v>2812</v>
      </c>
      <c r="J3725" s="46">
        <v>6</v>
      </c>
      <c r="K3725" s="46">
        <v>21</v>
      </c>
      <c r="L3725" s="136">
        <v>105</v>
      </c>
      <c r="M3725" s="137" t="s">
        <v>22</v>
      </c>
      <c r="V3725" s="26"/>
      <c r="W3725" s="26"/>
      <c r="X3725" s="26"/>
      <c r="Y3725" s="26"/>
      <c r="Z3725" s="26"/>
      <c r="AA3725" s="131"/>
    </row>
    <row r="3726" spans="1:27" ht="15" customHeight="1" x14ac:dyDescent="0.2">
      <c r="A3726" s="37">
        <v>41823.582731481503</v>
      </c>
      <c r="B3726" s="26" t="s">
        <v>16</v>
      </c>
      <c r="C3726" s="26" t="s">
        <v>512</v>
      </c>
      <c r="D3726" s="91" t="s">
        <v>7147</v>
      </c>
      <c r="E3726" s="26" t="s">
        <v>6708</v>
      </c>
      <c r="F3726" s="26" t="s">
        <v>8106</v>
      </c>
      <c r="G3726" s="34" t="s">
        <v>20</v>
      </c>
      <c r="H3726" s="26"/>
      <c r="I3726" s="26" t="s">
        <v>8107</v>
      </c>
      <c r="J3726" s="46">
        <v>1</v>
      </c>
      <c r="K3726" s="46">
        <v>107</v>
      </c>
      <c r="L3726" s="136">
        <v>321</v>
      </c>
      <c r="M3726" s="137" t="s">
        <v>22</v>
      </c>
      <c r="V3726" s="26"/>
      <c r="W3726" s="26"/>
      <c r="X3726" s="26"/>
      <c r="Y3726" s="26"/>
      <c r="Z3726" s="26"/>
      <c r="AA3726" s="131"/>
    </row>
    <row r="3727" spans="1:27" ht="15" customHeight="1" x14ac:dyDescent="0.2">
      <c r="A3727" s="37">
        <v>41823.583784722199</v>
      </c>
      <c r="B3727" s="26" t="s">
        <v>16</v>
      </c>
      <c r="C3727" s="26" t="s">
        <v>512</v>
      </c>
      <c r="D3727" s="91" t="s">
        <v>7147</v>
      </c>
      <c r="E3727" s="26" t="s">
        <v>6716</v>
      </c>
      <c r="F3727" s="26" t="s">
        <v>8108</v>
      </c>
      <c r="G3727" s="34" t="s">
        <v>26</v>
      </c>
      <c r="H3727" s="26" t="s">
        <v>6718</v>
      </c>
      <c r="I3727" s="26" t="s">
        <v>2986</v>
      </c>
      <c r="J3727" s="46">
        <v>4</v>
      </c>
      <c r="K3727" s="46">
        <v>75</v>
      </c>
      <c r="L3727" s="136"/>
      <c r="M3727" s="137" t="s">
        <v>22</v>
      </c>
      <c r="V3727" s="26"/>
      <c r="W3727" s="26"/>
      <c r="X3727" s="26"/>
      <c r="Y3727" s="26"/>
      <c r="Z3727" s="26"/>
      <c r="AA3727" s="131"/>
    </row>
    <row r="3728" spans="1:27" ht="15" customHeight="1" x14ac:dyDescent="0.2">
      <c r="A3728" s="37">
        <v>41823.5864814815</v>
      </c>
      <c r="B3728" s="26" t="s">
        <v>16</v>
      </c>
      <c r="C3728" s="26" t="s">
        <v>512</v>
      </c>
      <c r="D3728" s="91" t="s">
        <v>7147</v>
      </c>
      <c r="E3728" s="26" t="s">
        <v>6712</v>
      </c>
      <c r="F3728" s="26" t="s">
        <v>6713</v>
      </c>
      <c r="G3728" s="34" t="s">
        <v>26</v>
      </c>
      <c r="H3728" s="26" t="s">
        <v>6714</v>
      </c>
      <c r="I3728" s="26" t="s">
        <v>2812</v>
      </c>
      <c r="J3728" s="46">
        <v>3</v>
      </c>
      <c r="K3728" s="46">
        <v>47</v>
      </c>
      <c r="L3728" s="136"/>
      <c r="M3728" s="137" t="s">
        <v>22</v>
      </c>
      <c r="V3728" s="26"/>
      <c r="W3728" s="26"/>
      <c r="X3728" s="26"/>
      <c r="Y3728" s="26"/>
      <c r="Z3728" s="26"/>
      <c r="AA3728" s="131"/>
    </row>
    <row r="3729" spans="1:27" ht="15" customHeight="1" x14ac:dyDescent="0.2">
      <c r="A3729" s="37">
        <v>41823.587337962999</v>
      </c>
      <c r="B3729" s="26" t="s">
        <v>16</v>
      </c>
      <c r="C3729" s="26" t="s">
        <v>512</v>
      </c>
      <c r="D3729" s="91" t="s">
        <v>7147</v>
      </c>
      <c r="E3729" s="26" t="s">
        <v>6719</v>
      </c>
      <c r="F3729" s="26" t="s">
        <v>8108</v>
      </c>
      <c r="G3729" s="34" t="s">
        <v>26</v>
      </c>
      <c r="H3729" s="26" t="s">
        <v>6718</v>
      </c>
      <c r="I3729" s="26" t="s">
        <v>2986</v>
      </c>
      <c r="J3729" s="46">
        <v>2</v>
      </c>
      <c r="K3729" s="46">
        <v>40</v>
      </c>
      <c r="L3729" s="136"/>
      <c r="M3729" s="137" t="s">
        <v>22</v>
      </c>
      <c r="V3729" s="26"/>
      <c r="W3729" s="26"/>
      <c r="X3729" s="26"/>
      <c r="Y3729" s="26"/>
      <c r="Z3729" s="26"/>
      <c r="AA3729" s="131"/>
    </row>
    <row r="3730" spans="1:27" ht="15" customHeight="1" x14ac:dyDescent="0.2">
      <c r="A3730" s="37">
        <v>41823.588784722197</v>
      </c>
      <c r="B3730" s="26" t="s">
        <v>16</v>
      </c>
      <c r="C3730" s="26" t="s">
        <v>512</v>
      </c>
      <c r="D3730" s="91" t="s">
        <v>7147</v>
      </c>
      <c r="E3730" s="26" t="s">
        <v>8109</v>
      </c>
      <c r="F3730" s="26" t="s">
        <v>8110</v>
      </c>
      <c r="G3730" s="34" t="s">
        <v>26</v>
      </c>
      <c r="H3730" s="26" t="s">
        <v>8111</v>
      </c>
      <c r="I3730" s="26" t="s">
        <v>7760</v>
      </c>
      <c r="J3730" s="46">
        <v>1</v>
      </c>
      <c r="K3730" s="46">
        <v>5</v>
      </c>
      <c r="L3730" s="136">
        <v>225</v>
      </c>
      <c r="M3730" s="137" t="s">
        <v>22</v>
      </c>
      <c r="V3730" s="26"/>
      <c r="W3730" s="26"/>
      <c r="X3730" s="26"/>
      <c r="Y3730" s="26"/>
      <c r="Z3730" s="26"/>
      <c r="AA3730" s="131"/>
    </row>
    <row r="3731" spans="1:27" ht="15" customHeight="1" x14ac:dyDescent="0.2">
      <c r="A3731" s="37">
        <v>41823.589976851799</v>
      </c>
      <c r="B3731" s="26" t="s">
        <v>16</v>
      </c>
      <c r="C3731" s="26" t="s">
        <v>512</v>
      </c>
      <c r="D3731" s="91" t="s">
        <v>7147</v>
      </c>
      <c r="E3731" s="26" t="s">
        <v>8109</v>
      </c>
      <c r="F3731" s="26" t="s">
        <v>259</v>
      </c>
      <c r="G3731" s="34" t="s">
        <v>26</v>
      </c>
      <c r="H3731" s="26" t="s">
        <v>8111</v>
      </c>
      <c r="I3731" s="26"/>
      <c r="J3731" s="46">
        <v>1</v>
      </c>
      <c r="K3731" s="46">
        <v>3</v>
      </c>
      <c r="L3731" s="136">
        <v>135</v>
      </c>
      <c r="M3731" s="137" t="s">
        <v>22</v>
      </c>
      <c r="V3731" s="26"/>
      <c r="W3731" s="26"/>
      <c r="X3731" s="26"/>
      <c r="Y3731" s="26"/>
      <c r="Z3731" s="26"/>
      <c r="AA3731" s="131"/>
    </row>
    <row r="3732" spans="1:27" ht="15" customHeight="1" x14ac:dyDescent="0.2">
      <c r="A3732" s="37">
        <v>41824.394467592603</v>
      </c>
      <c r="B3732" s="26" t="s">
        <v>38</v>
      </c>
      <c r="C3732" s="26" t="s">
        <v>39</v>
      </c>
      <c r="D3732" s="91" t="s">
        <v>7147</v>
      </c>
      <c r="E3732" s="26" t="s">
        <v>4862</v>
      </c>
      <c r="F3732" s="26" t="s">
        <v>8112</v>
      </c>
      <c r="G3732" s="34" t="s">
        <v>60</v>
      </c>
      <c r="H3732" s="26" t="s">
        <v>8113</v>
      </c>
      <c r="I3732" s="26" t="s">
        <v>6288</v>
      </c>
      <c r="J3732" s="46">
        <v>450</v>
      </c>
      <c r="K3732" s="46">
        <v>5417</v>
      </c>
      <c r="L3732" s="136"/>
      <c r="M3732" s="137" t="s">
        <v>44</v>
      </c>
      <c r="V3732" s="26"/>
      <c r="W3732" s="26"/>
      <c r="X3732" s="26"/>
      <c r="Y3732" s="26"/>
      <c r="Z3732" s="26"/>
      <c r="AA3732" s="131"/>
    </row>
    <row r="3733" spans="1:27" ht="15" customHeight="1" x14ac:dyDescent="0.2">
      <c r="A3733" s="37">
        <v>41824.395300925898</v>
      </c>
      <c r="B3733" s="26" t="s">
        <v>38</v>
      </c>
      <c r="C3733" s="26" t="s">
        <v>39</v>
      </c>
      <c r="D3733" s="91" t="s">
        <v>7147</v>
      </c>
      <c r="E3733" s="26" t="s">
        <v>8114</v>
      </c>
      <c r="F3733" s="26" t="s">
        <v>2317</v>
      </c>
      <c r="G3733" s="34" t="s">
        <v>26</v>
      </c>
      <c r="H3733" s="26" t="s">
        <v>8115</v>
      </c>
      <c r="I3733" s="26" t="s">
        <v>5537</v>
      </c>
      <c r="J3733" s="46">
        <v>158</v>
      </c>
      <c r="K3733" s="46">
        <v>246</v>
      </c>
      <c r="L3733" s="136"/>
      <c r="M3733" s="137" t="s">
        <v>22</v>
      </c>
      <c r="V3733" s="26"/>
      <c r="W3733" s="26"/>
      <c r="X3733" s="26"/>
      <c r="Y3733" s="26"/>
      <c r="Z3733" s="26"/>
      <c r="AA3733" s="131"/>
    </row>
    <row r="3734" spans="1:27" ht="15" customHeight="1" x14ac:dyDescent="0.2">
      <c r="A3734" s="37">
        <v>41825.624305555597</v>
      </c>
      <c r="B3734" s="26" t="s">
        <v>152</v>
      </c>
      <c r="C3734" s="26" t="s">
        <v>1175</v>
      </c>
      <c r="D3734" s="91" t="s">
        <v>7147</v>
      </c>
      <c r="E3734" s="26" t="s">
        <v>8116</v>
      </c>
      <c r="F3734" s="26" t="s">
        <v>8117</v>
      </c>
      <c r="G3734" s="34" t="s">
        <v>156</v>
      </c>
      <c r="H3734" s="26" t="s">
        <v>8118</v>
      </c>
      <c r="I3734" s="26" t="s">
        <v>3038</v>
      </c>
      <c r="J3734" s="46">
        <v>1</v>
      </c>
      <c r="K3734" s="46">
        <v>350</v>
      </c>
      <c r="L3734" s="136"/>
      <c r="V3734" s="26"/>
      <c r="W3734" s="26"/>
      <c r="X3734" s="26"/>
      <c r="Y3734" s="26"/>
      <c r="Z3734" s="26"/>
      <c r="AA3734" s="131"/>
    </row>
    <row r="3735" spans="1:27" ht="15" customHeight="1" x14ac:dyDescent="0.2">
      <c r="A3735" s="37">
        <v>41825.626516203702</v>
      </c>
      <c r="B3735" s="26" t="s">
        <v>152</v>
      </c>
      <c r="C3735" s="26" t="s">
        <v>1175</v>
      </c>
      <c r="D3735" s="91" t="s">
        <v>7147</v>
      </c>
      <c r="E3735" s="26" t="s">
        <v>8119</v>
      </c>
      <c r="F3735" s="26" t="s">
        <v>8120</v>
      </c>
      <c r="G3735" s="34" t="s">
        <v>42</v>
      </c>
      <c r="H3735" s="26" t="s">
        <v>8121</v>
      </c>
      <c r="I3735" s="26" t="s">
        <v>2986</v>
      </c>
      <c r="J3735" s="46">
        <v>1</v>
      </c>
      <c r="K3735" s="46">
        <v>13</v>
      </c>
      <c r="L3735" s="136"/>
      <c r="M3735" s="137" t="s">
        <v>44</v>
      </c>
      <c r="N3735" s="138">
        <v>33.75</v>
      </c>
      <c r="V3735" s="26"/>
      <c r="W3735" s="26"/>
      <c r="X3735" s="26"/>
      <c r="Y3735" s="26"/>
      <c r="Z3735" s="26"/>
      <c r="AA3735" s="131"/>
    </row>
    <row r="3736" spans="1:27" ht="15" customHeight="1" x14ac:dyDescent="0.2">
      <c r="A3736" s="37">
        <v>41825.633298611101</v>
      </c>
      <c r="B3736" s="26" t="s">
        <v>152</v>
      </c>
      <c r="C3736" s="26" t="s">
        <v>1175</v>
      </c>
      <c r="D3736" s="91" t="s">
        <v>7147</v>
      </c>
      <c r="E3736" s="26" t="s">
        <v>6755</v>
      </c>
      <c r="F3736" s="26" t="s">
        <v>8122</v>
      </c>
      <c r="G3736" s="34" t="s">
        <v>156</v>
      </c>
      <c r="H3736" s="26" t="s">
        <v>8123</v>
      </c>
      <c r="I3736" s="26" t="s">
        <v>2812</v>
      </c>
      <c r="J3736" s="46">
        <v>1</v>
      </c>
      <c r="K3736" s="46">
        <v>75</v>
      </c>
      <c r="L3736" s="136"/>
      <c r="M3736" s="137" t="s">
        <v>44</v>
      </c>
      <c r="N3736" s="138">
        <v>390</v>
      </c>
      <c r="V3736" s="26"/>
      <c r="W3736" s="26"/>
      <c r="X3736" s="26"/>
      <c r="Y3736" s="26"/>
      <c r="Z3736" s="26"/>
      <c r="AA3736" s="131"/>
    </row>
    <row r="3737" spans="1:27" ht="15" customHeight="1" x14ac:dyDescent="0.2">
      <c r="A3737" s="37">
        <v>41825.656631944403</v>
      </c>
      <c r="B3737" s="26" t="s">
        <v>38</v>
      </c>
      <c r="C3737" s="26" t="s">
        <v>1030</v>
      </c>
      <c r="D3737" s="91" t="s">
        <v>7147</v>
      </c>
      <c r="E3737" s="26" t="s">
        <v>3555</v>
      </c>
      <c r="F3737" s="26" t="s">
        <v>8124</v>
      </c>
      <c r="G3737" s="34" t="s">
        <v>156</v>
      </c>
      <c r="H3737" s="26" t="s">
        <v>8125</v>
      </c>
      <c r="I3737" s="26" t="s">
        <v>3171</v>
      </c>
      <c r="J3737" s="46">
        <v>1</v>
      </c>
      <c r="K3737" s="46">
        <v>9</v>
      </c>
      <c r="L3737" s="136"/>
      <c r="M3737" s="137" t="s">
        <v>22</v>
      </c>
      <c r="V3737" s="26" t="s">
        <v>8126</v>
      </c>
      <c r="W3737" s="26"/>
      <c r="X3737" s="26"/>
      <c r="Y3737" s="26"/>
      <c r="Z3737" s="26"/>
      <c r="AA3737" s="131"/>
    </row>
    <row r="3738" spans="1:27" ht="15" customHeight="1" x14ac:dyDescent="0.2">
      <c r="A3738" s="37">
        <v>41826.541944444398</v>
      </c>
      <c r="B3738" s="34" t="s">
        <v>38</v>
      </c>
      <c r="C3738" s="26" t="s">
        <v>47</v>
      </c>
      <c r="D3738" s="91" t="s">
        <v>8127</v>
      </c>
      <c r="E3738" s="26" t="s">
        <v>8128</v>
      </c>
      <c r="F3738" s="26" t="s">
        <v>8129</v>
      </c>
      <c r="G3738" s="34" t="s">
        <v>26</v>
      </c>
      <c r="H3738" s="26" t="s">
        <v>8130</v>
      </c>
      <c r="I3738" s="26" t="s">
        <v>3001</v>
      </c>
      <c r="J3738" s="115">
        <v>1</v>
      </c>
      <c r="K3738" s="115">
        <v>174</v>
      </c>
      <c r="L3738" s="136">
        <v>292</v>
      </c>
      <c r="M3738" s="137" t="s">
        <v>22</v>
      </c>
      <c r="U3738" s="138">
        <v>27.82</v>
      </c>
      <c r="V3738" s="26" t="s">
        <v>8131</v>
      </c>
      <c r="W3738" s="26"/>
      <c r="X3738" s="26"/>
      <c r="Y3738" s="26"/>
      <c r="Z3738" s="26"/>
      <c r="AA3738" s="131"/>
    </row>
    <row r="3739" spans="1:27" ht="15" customHeight="1" x14ac:dyDescent="0.2">
      <c r="A3739" s="37">
        <v>41826.650474536997</v>
      </c>
      <c r="B3739" s="26" t="s">
        <v>16</v>
      </c>
      <c r="C3739" s="26" t="s">
        <v>986</v>
      </c>
      <c r="D3739" s="91" t="s">
        <v>7147</v>
      </c>
      <c r="E3739" s="26" t="s">
        <v>8132</v>
      </c>
      <c r="F3739" s="26" t="s">
        <v>8133</v>
      </c>
      <c r="G3739" s="34" t="s">
        <v>42</v>
      </c>
      <c r="H3739" s="26" t="s">
        <v>8134</v>
      </c>
      <c r="I3739" s="26" t="s">
        <v>2986</v>
      </c>
      <c r="J3739" s="46">
        <v>1</v>
      </c>
      <c r="K3739" s="46">
        <v>11</v>
      </c>
      <c r="L3739" s="136">
        <v>47</v>
      </c>
      <c r="M3739" s="137" t="s">
        <v>22</v>
      </c>
      <c r="V3739" s="26"/>
      <c r="W3739" s="26"/>
      <c r="X3739" s="26"/>
      <c r="Y3739" s="26"/>
      <c r="Z3739" s="26"/>
      <c r="AA3739" s="131"/>
    </row>
    <row r="3740" spans="1:27" ht="15" customHeight="1" x14ac:dyDescent="0.2">
      <c r="A3740" s="37">
        <v>41826.670590277798</v>
      </c>
      <c r="B3740" s="26" t="s">
        <v>16</v>
      </c>
      <c r="C3740" s="26" t="s">
        <v>986</v>
      </c>
      <c r="D3740" s="91" t="s">
        <v>7147</v>
      </c>
      <c r="E3740" s="26" t="s">
        <v>3558</v>
      </c>
      <c r="F3740" s="26" t="s">
        <v>8135</v>
      </c>
      <c r="G3740" s="34" t="s">
        <v>42</v>
      </c>
      <c r="H3740" s="26" t="s">
        <v>8134</v>
      </c>
      <c r="I3740" s="26" t="s">
        <v>2986</v>
      </c>
      <c r="J3740" s="46">
        <v>1</v>
      </c>
      <c r="K3740" s="46">
        <v>11</v>
      </c>
      <c r="L3740" s="136">
        <v>60.5</v>
      </c>
      <c r="M3740" s="137" t="s">
        <v>22</v>
      </c>
      <c r="V3740" s="26"/>
      <c r="W3740" s="26"/>
      <c r="X3740" s="26"/>
      <c r="Y3740" s="26"/>
      <c r="Z3740" s="26"/>
      <c r="AA3740" s="131"/>
    </row>
    <row r="3741" spans="1:27" ht="15" customHeight="1" x14ac:dyDescent="0.2">
      <c r="A3741" s="37">
        <v>41826.671666666698</v>
      </c>
      <c r="B3741" s="26" t="s">
        <v>16</v>
      </c>
      <c r="C3741" s="26" t="s">
        <v>986</v>
      </c>
      <c r="D3741" s="91" t="s">
        <v>7147</v>
      </c>
      <c r="E3741" s="26" t="s">
        <v>8136</v>
      </c>
      <c r="F3741" s="26" t="s">
        <v>8137</v>
      </c>
      <c r="G3741" s="34" t="s">
        <v>351</v>
      </c>
      <c r="H3741" s="26" t="s">
        <v>8138</v>
      </c>
      <c r="I3741" s="26" t="s">
        <v>2986</v>
      </c>
      <c r="J3741" s="46">
        <v>1</v>
      </c>
      <c r="K3741" s="46">
        <v>22</v>
      </c>
      <c r="L3741" s="136"/>
      <c r="M3741" s="137" t="s">
        <v>22</v>
      </c>
      <c r="V3741" s="26"/>
      <c r="W3741" s="26"/>
      <c r="X3741" s="26"/>
      <c r="Y3741" s="26"/>
      <c r="Z3741" s="26"/>
      <c r="AA3741" s="131"/>
    </row>
    <row r="3742" spans="1:27" ht="15" customHeight="1" x14ac:dyDescent="0.2">
      <c r="A3742" s="37">
        <v>41826.6730902778</v>
      </c>
      <c r="B3742" s="26" t="s">
        <v>16</v>
      </c>
      <c r="C3742" s="26" t="s">
        <v>986</v>
      </c>
      <c r="D3742" s="91" t="s">
        <v>7147</v>
      </c>
      <c r="E3742" s="26" t="s">
        <v>8139</v>
      </c>
      <c r="F3742" s="26" t="s">
        <v>8140</v>
      </c>
      <c r="G3742" s="34" t="s">
        <v>42</v>
      </c>
      <c r="H3742" s="26" t="s">
        <v>8141</v>
      </c>
      <c r="I3742" s="26" t="s">
        <v>2925</v>
      </c>
      <c r="J3742" s="46">
        <v>1</v>
      </c>
      <c r="K3742" s="46">
        <v>14</v>
      </c>
      <c r="L3742" s="136"/>
      <c r="M3742" s="137" t="s">
        <v>22</v>
      </c>
      <c r="V3742" s="26"/>
      <c r="W3742" s="26"/>
      <c r="X3742" s="26"/>
      <c r="Y3742" s="26"/>
      <c r="Z3742" s="26"/>
      <c r="AA3742" s="131"/>
    </row>
    <row r="3743" spans="1:27" ht="15" customHeight="1" x14ac:dyDescent="0.2">
      <c r="A3743" s="37">
        <v>41826.674444444398</v>
      </c>
      <c r="B3743" s="26" t="s">
        <v>16</v>
      </c>
      <c r="C3743" s="26" t="s">
        <v>986</v>
      </c>
      <c r="D3743" s="91" t="s">
        <v>7147</v>
      </c>
      <c r="E3743" s="26" t="s">
        <v>8142</v>
      </c>
      <c r="F3743" s="26" t="s">
        <v>8143</v>
      </c>
      <c r="G3743" s="34" t="s">
        <v>42</v>
      </c>
      <c r="H3743" s="26" t="s">
        <v>8144</v>
      </c>
      <c r="I3743" s="26" t="s">
        <v>2986</v>
      </c>
      <c r="J3743" s="46">
        <v>1</v>
      </c>
      <c r="K3743" s="46">
        <v>37</v>
      </c>
      <c r="L3743" s="136">
        <v>148</v>
      </c>
      <c r="M3743" s="137" t="s">
        <v>22</v>
      </c>
      <c r="V3743" s="26"/>
      <c r="W3743" s="26"/>
      <c r="X3743" s="26"/>
      <c r="Y3743" s="26"/>
      <c r="Z3743" s="26"/>
      <c r="AA3743" s="131"/>
    </row>
    <row r="3744" spans="1:27" ht="15" customHeight="1" x14ac:dyDescent="0.2">
      <c r="A3744" s="37">
        <v>41826.676030092603</v>
      </c>
      <c r="B3744" s="26" t="s">
        <v>16</v>
      </c>
      <c r="C3744" s="26" t="s">
        <v>986</v>
      </c>
      <c r="D3744" s="91" t="s">
        <v>7147</v>
      </c>
      <c r="E3744" s="26" t="s">
        <v>8145</v>
      </c>
      <c r="F3744" s="26" t="s">
        <v>8146</v>
      </c>
      <c r="G3744" s="34" t="s">
        <v>42</v>
      </c>
      <c r="H3744" s="26" t="s">
        <v>5707</v>
      </c>
      <c r="I3744" s="26" t="s">
        <v>2986</v>
      </c>
      <c r="J3744" s="46">
        <v>1</v>
      </c>
      <c r="K3744" s="46">
        <v>19</v>
      </c>
      <c r="L3744" s="136"/>
      <c r="M3744" s="137" t="s">
        <v>22</v>
      </c>
      <c r="V3744" s="26"/>
      <c r="W3744" s="26"/>
      <c r="X3744" s="26"/>
      <c r="Y3744" s="26"/>
      <c r="Z3744" s="26"/>
      <c r="AA3744" s="131"/>
    </row>
    <row r="3745" spans="1:27" ht="15" customHeight="1" x14ac:dyDescent="0.2">
      <c r="A3745" s="37">
        <v>41826.676909722199</v>
      </c>
      <c r="B3745" s="26" t="s">
        <v>16</v>
      </c>
      <c r="C3745" s="26" t="s">
        <v>986</v>
      </c>
      <c r="D3745" s="91" t="s">
        <v>7147</v>
      </c>
      <c r="E3745" s="26" t="s">
        <v>7188</v>
      </c>
      <c r="F3745" s="26" t="s">
        <v>8147</v>
      </c>
      <c r="G3745" s="34" t="s">
        <v>42</v>
      </c>
      <c r="H3745" s="26" t="s">
        <v>8148</v>
      </c>
      <c r="I3745" s="26" t="s">
        <v>2986</v>
      </c>
      <c r="J3745" s="46">
        <v>1</v>
      </c>
      <c r="K3745" s="46">
        <v>52</v>
      </c>
      <c r="L3745" s="136"/>
      <c r="M3745" s="137" t="s">
        <v>22</v>
      </c>
      <c r="V3745" s="26"/>
      <c r="W3745" s="26"/>
      <c r="X3745" s="26"/>
      <c r="Y3745" s="26"/>
      <c r="Z3745" s="26"/>
      <c r="AA3745" s="131"/>
    </row>
    <row r="3746" spans="1:27" ht="15" customHeight="1" x14ac:dyDescent="0.2">
      <c r="A3746" s="37">
        <v>41827.401701388902</v>
      </c>
      <c r="B3746" s="26" t="s">
        <v>16</v>
      </c>
      <c r="C3746" s="26" t="s">
        <v>652</v>
      </c>
      <c r="D3746" s="91" t="s">
        <v>7147</v>
      </c>
      <c r="E3746" s="26" t="s">
        <v>8149</v>
      </c>
      <c r="F3746" s="26" t="s">
        <v>7599</v>
      </c>
      <c r="G3746" s="34" t="s">
        <v>26</v>
      </c>
      <c r="H3746" s="26" t="s">
        <v>8150</v>
      </c>
      <c r="I3746" s="26" t="s">
        <v>8151</v>
      </c>
      <c r="J3746" s="46">
        <v>1</v>
      </c>
      <c r="K3746" s="46">
        <v>29</v>
      </c>
      <c r="L3746" s="136"/>
      <c r="M3746" s="137" t="s">
        <v>44</v>
      </c>
      <c r="O3746" s="138">
        <v>75</v>
      </c>
      <c r="S3746" s="138">
        <v>84.43</v>
      </c>
      <c r="V3746" s="26" t="s">
        <v>8152</v>
      </c>
      <c r="W3746" s="26"/>
      <c r="X3746" s="26"/>
      <c r="Y3746" s="26"/>
      <c r="Z3746" s="26"/>
      <c r="AA3746" s="131"/>
    </row>
    <row r="3747" spans="1:27" ht="15" customHeight="1" x14ac:dyDescent="0.2">
      <c r="A3747" s="37">
        <v>41827.407141203701</v>
      </c>
      <c r="B3747" s="26" t="s">
        <v>16</v>
      </c>
      <c r="C3747" s="26" t="s">
        <v>652</v>
      </c>
      <c r="D3747" s="91" t="s">
        <v>7147</v>
      </c>
      <c r="E3747" s="26" t="s">
        <v>8153</v>
      </c>
      <c r="F3747" s="26" t="s">
        <v>259</v>
      </c>
      <c r="G3747" s="34" t="s">
        <v>26</v>
      </c>
      <c r="H3747" s="26" t="s">
        <v>8154</v>
      </c>
      <c r="I3747" s="26" t="s">
        <v>2986</v>
      </c>
      <c r="J3747" s="46">
        <v>1</v>
      </c>
      <c r="K3747" s="46">
        <v>4</v>
      </c>
      <c r="L3747" s="136">
        <v>160</v>
      </c>
      <c r="M3747" s="137" t="s">
        <v>22</v>
      </c>
      <c r="U3747" s="138">
        <v>59.57</v>
      </c>
      <c r="V3747" s="26" t="s">
        <v>8155</v>
      </c>
      <c r="W3747" s="26"/>
      <c r="X3747" s="26"/>
      <c r="Y3747" s="26"/>
      <c r="Z3747" s="26"/>
      <c r="AA3747" s="131"/>
    </row>
    <row r="3748" spans="1:27" ht="15" customHeight="1" x14ac:dyDescent="0.2">
      <c r="A3748" s="37">
        <v>41827.411759259303</v>
      </c>
      <c r="B3748" s="26" t="s">
        <v>16</v>
      </c>
      <c r="C3748" s="26" t="s">
        <v>652</v>
      </c>
      <c r="D3748" s="91" t="s">
        <v>7147</v>
      </c>
      <c r="E3748" s="26" t="s">
        <v>8156</v>
      </c>
      <c r="F3748" s="26" t="s">
        <v>8157</v>
      </c>
      <c r="G3748" s="34" t="s">
        <v>42</v>
      </c>
      <c r="H3748" s="26" t="s">
        <v>8158</v>
      </c>
      <c r="I3748" s="26" t="s">
        <v>8159</v>
      </c>
      <c r="J3748" s="46">
        <v>1</v>
      </c>
      <c r="K3748" s="46">
        <v>28</v>
      </c>
      <c r="L3748" s="136">
        <v>787.5</v>
      </c>
      <c r="M3748" s="137" t="s">
        <v>44</v>
      </c>
      <c r="V3748" s="26" t="s">
        <v>8160</v>
      </c>
      <c r="W3748" s="26"/>
      <c r="X3748" s="26"/>
      <c r="Y3748" s="26"/>
      <c r="Z3748" s="26"/>
      <c r="AA3748" s="131"/>
    </row>
    <row r="3749" spans="1:27" ht="15" customHeight="1" x14ac:dyDescent="0.2">
      <c r="A3749" s="37">
        <v>41827.538900462998</v>
      </c>
      <c r="B3749" s="26" t="s">
        <v>16</v>
      </c>
      <c r="C3749" s="26" t="s">
        <v>83</v>
      </c>
      <c r="D3749" s="91" t="s">
        <v>7147</v>
      </c>
      <c r="E3749" s="26" t="s">
        <v>928</v>
      </c>
      <c r="F3749" s="26" t="s">
        <v>8161</v>
      </c>
      <c r="G3749" s="34" t="s">
        <v>26</v>
      </c>
      <c r="H3749" s="26" t="s">
        <v>8161</v>
      </c>
      <c r="I3749" s="26" t="s">
        <v>3001</v>
      </c>
      <c r="J3749" s="46">
        <v>1</v>
      </c>
      <c r="K3749" s="46">
        <v>40</v>
      </c>
      <c r="L3749" s="136"/>
      <c r="M3749" s="137" t="s">
        <v>44</v>
      </c>
      <c r="P3749" s="138">
        <v>30</v>
      </c>
      <c r="U3749" s="138">
        <v>30</v>
      </c>
      <c r="V3749" s="26"/>
      <c r="W3749" s="26"/>
      <c r="X3749" s="26"/>
      <c r="Y3749" s="26"/>
      <c r="Z3749" s="26"/>
      <c r="AA3749" s="131"/>
    </row>
    <row r="3750" spans="1:27" ht="15" customHeight="1" x14ac:dyDescent="0.2">
      <c r="A3750" s="37">
        <v>41827.541076388901</v>
      </c>
      <c r="B3750" s="26" t="s">
        <v>16</v>
      </c>
      <c r="C3750" s="26" t="s">
        <v>83</v>
      </c>
      <c r="D3750" s="91" t="s">
        <v>7147</v>
      </c>
      <c r="E3750" s="26" t="s">
        <v>8162</v>
      </c>
      <c r="F3750" s="26" t="s">
        <v>7056</v>
      </c>
      <c r="G3750" s="34" t="s">
        <v>26</v>
      </c>
      <c r="H3750" s="26"/>
      <c r="I3750" s="26" t="s">
        <v>3001</v>
      </c>
      <c r="J3750" s="46">
        <v>1</v>
      </c>
      <c r="K3750" s="46">
        <v>0</v>
      </c>
      <c r="L3750" s="136"/>
      <c r="M3750" s="137" t="s">
        <v>22</v>
      </c>
      <c r="V3750" s="26"/>
      <c r="W3750" s="26"/>
      <c r="X3750" s="26"/>
      <c r="Y3750" s="26"/>
      <c r="Z3750" s="26"/>
      <c r="AA3750" s="131"/>
    </row>
    <row r="3751" spans="1:27" ht="15" customHeight="1" x14ac:dyDescent="0.2">
      <c r="A3751" s="37">
        <v>41827.542361111096</v>
      </c>
      <c r="B3751" s="26" t="s">
        <v>16</v>
      </c>
      <c r="C3751" s="26" t="s">
        <v>83</v>
      </c>
      <c r="D3751" s="91" t="s">
        <v>7147</v>
      </c>
      <c r="E3751" s="26" t="s">
        <v>7059</v>
      </c>
      <c r="F3751" s="26" t="s">
        <v>931</v>
      </c>
      <c r="G3751" s="34" t="s">
        <v>26</v>
      </c>
      <c r="H3751" s="26" t="s">
        <v>5696</v>
      </c>
      <c r="I3751" s="26" t="s">
        <v>2925</v>
      </c>
      <c r="J3751" s="46">
        <v>1</v>
      </c>
      <c r="K3751" s="46">
        <v>25</v>
      </c>
      <c r="L3751" s="136">
        <v>20</v>
      </c>
      <c r="M3751" s="137" t="s">
        <v>22</v>
      </c>
      <c r="V3751" s="26"/>
      <c r="W3751" s="26"/>
      <c r="X3751" s="26"/>
      <c r="Y3751" s="26"/>
      <c r="Z3751" s="26"/>
      <c r="AA3751" s="131"/>
    </row>
    <row r="3752" spans="1:27" ht="15" customHeight="1" x14ac:dyDescent="0.2">
      <c r="A3752" s="37">
        <v>41827.543506944399</v>
      </c>
      <c r="B3752" s="26" t="s">
        <v>16</v>
      </c>
      <c r="C3752" s="26" t="s">
        <v>83</v>
      </c>
      <c r="D3752" s="91" t="s">
        <v>7147</v>
      </c>
      <c r="E3752" s="26" t="s">
        <v>8163</v>
      </c>
      <c r="F3752" s="26" t="s">
        <v>8164</v>
      </c>
      <c r="G3752" s="34" t="s">
        <v>26</v>
      </c>
      <c r="H3752" s="26" t="s">
        <v>8165</v>
      </c>
      <c r="I3752" s="26" t="s">
        <v>3001</v>
      </c>
      <c r="J3752" s="46">
        <v>1</v>
      </c>
      <c r="K3752" s="46">
        <v>2</v>
      </c>
      <c r="L3752" s="136"/>
      <c r="M3752" s="137" t="s">
        <v>44</v>
      </c>
      <c r="O3752" s="138">
        <v>5</v>
      </c>
      <c r="P3752" s="138">
        <v>36</v>
      </c>
      <c r="V3752" s="26"/>
      <c r="W3752" s="26"/>
      <c r="X3752" s="26"/>
      <c r="Y3752" s="26"/>
      <c r="Z3752" s="26"/>
      <c r="AA3752" s="131"/>
    </row>
    <row r="3753" spans="1:27" ht="15" customHeight="1" x14ac:dyDescent="0.2">
      <c r="A3753" s="37">
        <v>41827.548680555599</v>
      </c>
      <c r="B3753" s="26" t="s">
        <v>16</v>
      </c>
      <c r="C3753" s="26" t="s">
        <v>83</v>
      </c>
      <c r="D3753" s="91" t="s">
        <v>7147</v>
      </c>
      <c r="E3753" s="26" t="s">
        <v>8162</v>
      </c>
      <c r="F3753" s="26" t="s">
        <v>8161</v>
      </c>
      <c r="G3753" s="34" t="s">
        <v>26</v>
      </c>
      <c r="H3753" s="26" t="s">
        <v>8161</v>
      </c>
      <c r="I3753" s="26" t="s">
        <v>3001</v>
      </c>
      <c r="J3753" s="46">
        <v>1</v>
      </c>
      <c r="K3753" s="46">
        <v>40</v>
      </c>
      <c r="L3753" s="136"/>
      <c r="M3753" s="137" t="s">
        <v>44</v>
      </c>
      <c r="P3753" s="138">
        <v>30</v>
      </c>
      <c r="V3753" s="26"/>
      <c r="W3753" s="26"/>
      <c r="X3753" s="26"/>
      <c r="Y3753" s="26"/>
      <c r="Z3753" s="26"/>
      <c r="AA3753" s="131"/>
    </row>
    <row r="3754" spans="1:27" ht="15" customHeight="1" x14ac:dyDescent="0.2">
      <c r="A3754" s="37">
        <v>41827.550208333298</v>
      </c>
      <c r="B3754" s="26" t="s">
        <v>16</v>
      </c>
      <c r="C3754" s="26" t="s">
        <v>83</v>
      </c>
      <c r="D3754" s="91" t="s">
        <v>7147</v>
      </c>
      <c r="E3754" s="26" t="s">
        <v>7059</v>
      </c>
      <c r="F3754" s="26" t="s">
        <v>292</v>
      </c>
      <c r="G3754" s="34" t="s">
        <v>26</v>
      </c>
      <c r="H3754" s="26" t="s">
        <v>283</v>
      </c>
      <c r="I3754" s="26" t="s">
        <v>2925</v>
      </c>
      <c r="J3754" s="46">
        <v>1</v>
      </c>
      <c r="K3754" s="46">
        <v>75</v>
      </c>
      <c r="L3754" s="136">
        <v>30</v>
      </c>
      <c r="M3754" s="137" t="s">
        <v>44</v>
      </c>
      <c r="O3754" s="138">
        <v>50</v>
      </c>
      <c r="P3754" s="138">
        <v>30</v>
      </c>
      <c r="V3754" s="26"/>
      <c r="W3754" s="26"/>
      <c r="X3754" s="26"/>
      <c r="Y3754" s="26"/>
      <c r="Z3754" s="26"/>
      <c r="AA3754" s="131"/>
    </row>
    <row r="3755" spans="1:27" ht="15" customHeight="1" x14ac:dyDescent="0.2">
      <c r="A3755" s="37">
        <v>41827.5521643518</v>
      </c>
      <c r="B3755" s="26" t="s">
        <v>16</v>
      </c>
      <c r="C3755" s="26" t="s">
        <v>83</v>
      </c>
      <c r="D3755" s="91" t="s">
        <v>7147</v>
      </c>
      <c r="E3755" s="26" t="s">
        <v>2341</v>
      </c>
      <c r="F3755" s="26" t="s">
        <v>931</v>
      </c>
      <c r="G3755" s="34" t="s">
        <v>26</v>
      </c>
      <c r="H3755" s="26" t="s">
        <v>5696</v>
      </c>
      <c r="I3755" s="26" t="s">
        <v>3001</v>
      </c>
      <c r="J3755" s="46">
        <v>1</v>
      </c>
      <c r="K3755" s="46">
        <v>16</v>
      </c>
      <c r="L3755" s="136">
        <v>16</v>
      </c>
      <c r="M3755" s="137" t="s">
        <v>22</v>
      </c>
      <c r="V3755" s="26"/>
      <c r="W3755" s="26"/>
      <c r="X3755" s="26"/>
      <c r="Y3755" s="26"/>
      <c r="Z3755" s="26"/>
      <c r="AA3755" s="131"/>
    </row>
    <row r="3756" spans="1:27" ht="15" customHeight="1" x14ac:dyDescent="0.2">
      <c r="A3756" s="37">
        <v>41827.5532060185</v>
      </c>
      <c r="B3756" s="26" t="s">
        <v>16</v>
      </c>
      <c r="C3756" s="26" t="s">
        <v>83</v>
      </c>
      <c r="D3756" s="91" t="s">
        <v>7147</v>
      </c>
      <c r="E3756" s="26" t="s">
        <v>8166</v>
      </c>
      <c r="F3756" s="26" t="s">
        <v>8167</v>
      </c>
      <c r="G3756" s="34" t="s">
        <v>26</v>
      </c>
      <c r="H3756" s="26" t="s">
        <v>8168</v>
      </c>
      <c r="I3756" s="26" t="s">
        <v>3001</v>
      </c>
      <c r="J3756" s="46">
        <v>1</v>
      </c>
      <c r="K3756" s="46">
        <v>8</v>
      </c>
      <c r="L3756" s="136"/>
      <c r="M3756" s="137" t="s">
        <v>22</v>
      </c>
      <c r="V3756" s="26"/>
      <c r="W3756" s="26"/>
      <c r="X3756" s="26"/>
      <c r="Y3756" s="26"/>
      <c r="Z3756" s="26"/>
      <c r="AA3756" s="131"/>
    </row>
    <row r="3757" spans="1:27" ht="15" customHeight="1" x14ac:dyDescent="0.2">
      <c r="A3757" s="37">
        <v>41827.556527777801</v>
      </c>
      <c r="B3757" s="26" t="s">
        <v>16</v>
      </c>
      <c r="C3757" s="26" t="s">
        <v>83</v>
      </c>
      <c r="D3757" s="91" t="s">
        <v>7147</v>
      </c>
      <c r="E3757" s="26" t="s">
        <v>2491</v>
      </c>
      <c r="F3757" s="26" t="s">
        <v>8161</v>
      </c>
      <c r="G3757" s="34" t="s">
        <v>26</v>
      </c>
      <c r="H3757" s="26" t="s">
        <v>8161</v>
      </c>
      <c r="I3757" s="26" t="s">
        <v>3001</v>
      </c>
      <c r="J3757" s="46">
        <v>1</v>
      </c>
      <c r="K3757" s="46">
        <v>22</v>
      </c>
      <c r="L3757" s="136">
        <v>0</v>
      </c>
      <c r="M3757" s="137" t="s">
        <v>22</v>
      </c>
      <c r="V3757" s="26"/>
      <c r="W3757" s="26"/>
      <c r="X3757" s="26"/>
      <c r="Y3757" s="26"/>
      <c r="Z3757" s="26"/>
      <c r="AA3757" s="131"/>
    </row>
    <row r="3758" spans="1:27" ht="15" customHeight="1" x14ac:dyDescent="0.2">
      <c r="A3758" s="37">
        <v>41827.558043981502</v>
      </c>
      <c r="B3758" s="26" t="s">
        <v>16</v>
      </c>
      <c r="C3758" s="26" t="s">
        <v>83</v>
      </c>
      <c r="D3758" s="91" t="s">
        <v>7147</v>
      </c>
      <c r="E3758" s="26" t="s">
        <v>8162</v>
      </c>
      <c r="F3758" s="26" t="s">
        <v>8169</v>
      </c>
      <c r="G3758" s="34" t="s">
        <v>26</v>
      </c>
      <c r="H3758" s="26" t="s">
        <v>8170</v>
      </c>
      <c r="I3758" s="26" t="s">
        <v>3001</v>
      </c>
      <c r="J3758" s="46">
        <v>1</v>
      </c>
      <c r="K3758" s="46">
        <v>10</v>
      </c>
      <c r="L3758" s="136">
        <v>50</v>
      </c>
      <c r="M3758" s="137" t="s">
        <v>22</v>
      </c>
      <c r="V3758" s="26"/>
      <c r="W3758" s="26"/>
      <c r="X3758" s="26"/>
      <c r="Y3758" s="26"/>
      <c r="Z3758" s="26"/>
      <c r="AA3758" s="131"/>
    </row>
    <row r="3759" spans="1:27" ht="15" customHeight="1" x14ac:dyDescent="0.2">
      <c r="A3759" s="37">
        <v>41827.559722222199</v>
      </c>
      <c r="B3759" s="26" t="s">
        <v>16</v>
      </c>
      <c r="C3759" s="26" t="s">
        <v>83</v>
      </c>
      <c r="D3759" s="91" t="s">
        <v>7147</v>
      </c>
      <c r="E3759" s="26" t="s">
        <v>7059</v>
      </c>
      <c r="F3759" s="26" t="s">
        <v>120</v>
      </c>
      <c r="G3759" s="34" t="s">
        <v>26</v>
      </c>
      <c r="H3759" s="26" t="s">
        <v>8171</v>
      </c>
      <c r="I3759" s="26" t="s">
        <v>2925</v>
      </c>
      <c r="J3759" s="46">
        <v>1</v>
      </c>
      <c r="K3759" s="46">
        <v>1</v>
      </c>
      <c r="L3759" s="136"/>
      <c r="M3759" s="137" t="s">
        <v>44</v>
      </c>
      <c r="O3759" s="138">
        <v>5</v>
      </c>
      <c r="V3759" s="26"/>
      <c r="W3759" s="26"/>
      <c r="X3759" s="26"/>
      <c r="Y3759" s="26"/>
      <c r="Z3759" s="26"/>
      <c r="AA3759" s="131"/>
    </row>
    <row r="3760" spans="1:27" ht="15" customHeight="1" x14ac:dyDescent="0.2">
      <c r="A3760" s="37">
        <v>41827.5618287037</v>
      </c>
      <c r="B3760" s="26" t="s">
        <v>16</v>
      </c>
      <c r="C3760" s="26" t="s">
        <v>83</v>
      </c>
      <c r="D3760" s="91" t="s">
        <v>7147</v>
      </c>
      <c r="E3760" s="26" t="s">
        <v>8172</v>
      </c>
      <c r="F3760" s="26" t="s">
        <v>828</v>
      </c>
      <c r="G3760" s="34" t="s">
        <v>26</v>
      </c>
      <c r="H3760" s="26" t="s">
        <v>8173</v>
      </c>
      <c r="I3760" s="26" t="s">
        <v>3001</v>
      </c>
      <c r="J3760" s="46">
        <v>1</v>
      </c>
      <c r="K3760" s="46">
        <v>0</v>
      </c>
      <c r="L3760" s="136"/>
      <c r="M3760" s="137" t="s">
        <v>22</v>
      </c>
      <c r="V3760" s="26"/>
      <c r="W3760" s="26"/>
      <c r="X3760" s="26"/>
      <c r="Y3760" s="26"/>
      <c r="Z3760" s="26"/>
      <c r="AA3760" s="131"/>
    </row>
    <row r="3761" spans="1:27" ht="15" customHeight="1" x14ac:dyDescent="0.2">
      <c r="A3761" s="37">
        <v>41827.590324074103</v>
      </c>
      <c r="B3761" s="26" t="s">
        <v>16</v>
      </c>
      <c r="C3761" s="26" t="s">
        <v>83</v>
      </c>
      <c r="D3761" s="91" t="s">
        <v>7147</v>
      </c>
      <c r="E3761" s="26" t="s">
        <v>8174</v>
      </c>
      <c r="F3761" s="26" t="s">
        <v>785</v>
      </c>
      <c r="G3761" s="34" t="s">
        <v>156</v>
      </c>
      <c r="H3761" s="26" t="s">
        <v>785</v>
      </c>
      <c r="I3761" s="26" t="s">
        <v>3001</v>
      </c>
      <c r="J3761" s="46">
        <v>1</v>
      </c>
      <c r="K3761" s="46">
        <v>18</v>
      </c>
      <c r="L3761" s="136">
        <v>720</v>
      </c>
      <c r="M3761" s="137" t="s">
        <v>22</v>
      </c>
      <c r="V3761" s="26"/>
      <c r="W3761" s="26"/>
      <c r="X3761" s="26"/>
      <c r="Y3761" s="26"/>
      <c r="Z3761" s="26"/>
      <c r="AA3761" s="131"/>
    </row>
    <row r="3762" spans="1:27" ht="15" customHeight="1" x14ac:dyDescent="0.2">
      <c r="A3762" s="37">
        <v>41828.396712962996</v>
      </c>
      <c r="B3762" s="26" t="s">
        <v>38</v>
      </c>
      <c r="C3762" s="26" t="s">
        <v>39</v>
      </c>
      <c r="D3762" s="91" t="s">
        <v>7147</v>
      </c>
      <c r="E3762" s="26" t="s">
        <v>3815</v>
      </c>
      <c r="F3762" s="26" t="s">
        <v>8175</v>
      </c>
      <c r="G3762" s="34" t="s">
        <v>42</v>
      </c>
      <c r="H3762" s="26" t="s">
        <v>43</v>
      </c>
      <c r="I3762" s="26" t="s">
        <v>6288</v>
      </c>
      <c r="J3762" s="46">
        <v>1</v>
      </c>
      <c r="K3762" s="46">
        <v>22</v>
      </c>
      <c r="L3762" s="136"/>
      <c r="M3762" s="137" t="s">
        <v>44</v>
      </c>
      <c r="N3762" s="138">
        <v>157.29</v>
      </c>
      <c r="V3762" s="26"/>
      <c r="W3762" s="26"/>
      <c r="X3762" s="26"/>
      <c r="Y3762" s="26"/>
      <c r="Z3762" s="26"/>
      <c r="AA3762" s="131"/>
    </row>
    <row r="3763" spans="1:27" ht="15" customHeight="1" x14ac:dyDescent="0.2">
      <c r="A3763" s="37">
        <v>41828.397638888899</v>
      </c>
      <c r="B3763" s="26" t="s">
        <v>38</v>
      </c>
      <c r="C3763" s="26" t="s">
        <v>39</v>
      </c>
      <c r="D3763" s="91" t="s">
        <v>7147</v>
      </c>
      <c r="E3763" s="26" t="s">
        <v>8176</v>
      </c>
      <c r="F3763" s="26" t="s">
        <v>8177</v>
      </c>
      <c r="G3763" s="34" t="s">
        <v>42</v>
      </c>
      <c r="H3763" s="26" t="s">
        <v>43</v>
      </c>
      <c r="I3763" s="26" t="s">
        <v>6282</v>
      </c>
      <c r="J3763" s="46">
        <v>1</v>
      </c>
      <c r="K3763" s="46">
        <v>22</v>
      </c>
      <c r="L3763" s="136"/>
      <c r="M3763" s="137" t="s">
        <v>44</v>
      </c>
      <c r="N3763" s="138">
        <v>211.86</v>
      </c>
      <c r="V3763" s="26"/>
      <c r="W3763" s="26"/>
      <c r="X3763" s="26"/>
      <c r="Y3763" s="26"/>
      <c r="Z3763" s="26"/>
      <c r="AA3763" s="131"/>
    </row>
    <row r="3764" spans="1:27" ht="15" customHeight="1" x14ac:dyDescent="0.2">
      <c r="A3764" s="37">
        <v>41828.398819444403</v>
      </c>
      <c r="B3764" s="26" t="s">
        <v>38</v>
      </c>
      <c r="C3764" s="26" t="s">
        <v>39</v>
      </c>
      <c r="D3764" s="91" t="s">
        <v>7147</v>
      </c>
      <c r="E3764" s="26" t="s">
        <v>8178</v>
      </c>
      <c r="F3764" s="26" t="s">
        <v>8179</v>
      </c>
      <c r="G3764" s="34" t="s">
        <v>20</v>
      </c>
      <c r="H3764" s="26" t="s">
        <v>43</v>
      </c>
      <c r="I3764" s="26" t="s">
        <v>6294</v>
      </c>
      <c r="J3764" s="46">
        <v>1</v>
      </c>
      <c r="K3764" s="46">
        <v>39</v>
      </c>
      <c r="L3764" s="136"/>
      <c r="M3764" s="137" t="s">
        <v>44</v>
      </c>
      <c r="N3764" s="138">
        <v>249</v>
      </c>
      <c r="V3764" s="26"/>
      <c r="W3764" s="26"/>
      <c r="X3764" s="26"/>
      <c r="Y3764" s="26"/>
      <c r="Z3764" s="26"/>
      <c r="AA3764" s="131"/>
    </row>
    <row r="3765" spans="1:27" ht="15" customHeight="1" x14ac:dyDescent="0.2">
      <c r="A3765" s="37">
        <v>41828.399872685201</v>
      </c>
      <c r="B3765" s="26" t="s">
        <v>38</v>
      </c>
      <c r="C3765" s="26" t="s">
        <v>39</v>
      </c>
      <c r="D3765" s="91" t="s">
        <v>7147</v>
      </c>
      <c r="E3765" s="26" t="s">
        <v>8180</v>
      </c>
      <c r="F3765" s="26" t="s">
        <v>8181</v>
      </c>
      <c r="G3765" s="34" t="s">
        <v>42</v>
      </c>
      <c r="H3765" s="26" t="s">
        <v>43</v>
      </c>
      <c r="I3765" s="26" t="s">
        <v>2986</v>
      </c>
      <c r="J3765" s="46">
        <v>1</v>
      </c>
      <c r="K3765" s="46">
        <v>39</v>
      </c>
      <c r="L3765" s="136"/>
      <c r="M3765" s="137" t="s">
        <v>44</v>
      </c>
      <c r="N3765" s="138">
        <v>252</v>
      </c>
      <c r="V3765" s="26"/>
      <c r="W3765" s="26"/>
      <c r="X3765" s="26"/>
      <c r="Y3765" s="26"/>
      <c r="Z3765" s="26"/>
      <c r="AA3765" s="131"/>
    </row>
    <row r="3766" spans="1:27" ht="15" customHeight="1" x14ac:dyDescent="0.2">
      <c r="A3766" s="37">
        <v>41828.430787037003</v>
      </c>
      <c r="B3766" s="26" t="s">
        <v>152</v>
      </c>
      <c r="C3766" s="26" t="s">
        <v>8182</v>
      </c>
      <c r="D3766" s="91" t="s">
        <v>7147</v>
      </c>
      <c r="E3766" s="26" t="s">
        <v>8183</v>
      </c>
      <c r="F3766" s="26" t="s">
        <v>8184</v>
      </c>
      <c r="G3766" s="34" t="s">
        <v>26</v>
      </c>
      <c r="H3766" s="26" t="s">
        <v>2480</v>
      </c>
      <c r="I3766" s="26" t="s">
        <v>2925</v>
      </c>
      <c r="J3766" s="46">
        <v>2</v>
      </c>
      <c r="K3766" s="46">
        <v>28</v>
      </c>
      <c r="L3766" s="136"/>
      <c r="M3766" s="137" t="s">
        <v>22</v>
      </c>
      <c r="V3766" s="26"/>
      <c r="W3766" s="26"/>
      <c r="X3766" s="26"/>
      <c r="Y3766" s="26"/>
      <c r="Z3766" s="26"/>
      <c r="AA3766" s="131"/>
    </row>
    <row r="3767" spans="1:27" ht="15" customHeight="1" x14ac:dyDescent="0.2">
      <c r="A3767" s="37">
        <v>41828.432268518503</v>
      </c>
      <c r="B3767" s="26" t="s">
        <v>152</v>
      </c>
      <c r="C3767" s="26" t="s">
        <v>8182</v>
      </c>
      <c r="D3767" s="91" t="s">
        <v>7147</v>
      </c>
      <c r="E3767" s="26" t="s">
        <v>8185</v>
      </c>
      <c r="F3767" s="26" t="s">
        <v>8186</v>
      </c>
      <c r="G3767" s="34" t="s">
        <v>26</v>
      </c>
      <c r="H3767" s="26" t="s">
        <v>511</v>
      </c>
      <c r="I3767" s="26" t="s">
        <v>2812</v>
      </c>
      <c r="J3767" s="46">
        <v>1</v>
      </c>
      <c r="K3767" s="46">
        <v>32</v>
      </c>
      <c r="L3767" s="136"/>
      <c r="M3767" s="137" t="s">
        <v>22</v>
      </c>
      <c r="V3767" s="26"/>
      <c r="W3767" s="26"/>
      <c r="X3767" s="26"/>
      <c r="Y3767" s="26"/>
      <c r="Z3767" s="26"/>
      <c r="AA3767" s="131"/>
    </row>
    <row r="3768" spans="1:27" ht="15" customHeight="1" x14ac:dyDescent="0.2">
      <c r="A3768" s="37">
        <v>41828.560902777797</v>
      </c>
      <c r="B3768" s="26" t="s">
        <v>152</v>
      </c>
      <c r="C3768" s="26" t="s">
        <v>1196</v>
      </c>
      <c r="D3768" s="178">
        <v>41834</v>
      </c>
      <c r="E3768" s="26"/>
      <c r="F3768" s="26"/>
      <c r="G3768" s="34" t="s">
        <v>20</v>
      </c>
      <c r="H3768" s="26"/>
      <c r="I3768" s="26"/>
      <c r="J3768" s="115"/>
      <c r="K3768" s="115"/>
      <c r="L3768" s="136"/>
      <c r="V3768" s="26"/>
      <c r="W3768" s="26"/>
      <c r="X3768" s="26"/>
      <c r="Y3768" s="26"/>
      <c r="Z3768" s="26"/>
      <c r="AA3768" s="131"/>
    </row>
    <row r="3769" spans="1:27" ht="15" customHeight="1" x14ac:dyDescent="0.2">
      <c r="A3769" s="37">
        <v>41829.347719907397</v>
      </c>
      <c r="B3769" s="26" t="s">
        <v>152</v>
      </c>
      <c r="C3769" s="26" t="s">
        <v>281</v>
      </c>
      <c r="D3769" s="91" t="s">
        <v>7147</v>
      </c>
      <c r="E3769" s="26" t="s">
        <v>8187</v>
      </c>
      <c r="F3769" s="26" t="s">
        <v>8188</v>
      </c>
      <c r="G3769" s="34" t="s">
        <v>26</v>
      </c>
      <c r="H3769" s="26" t="s">
        <v>8189</v>
      </c>
      <c r="I3769" s="26" t="s">
        <v>3171</v>
      </c>
      <c r="J3769" s="46">
        <v>1</v>
      </c>
      <c r="K3769" s="46">
        <v>10</v>
      </c>
      <c r="L3769" s="136"/>
      <c r="M3769" s="137" t="s">
        <v>22</v>
      </c>
      <c r="V3769" s="26" t="s">
        <v>8190</v>
      </c>
      <c r="W3769" s="26"/>
      <c r="X3769" s="26"/>
      <c r="Y3769" s="26"/>
      <c r="Z3769" s="26"/>
      <c r="AA3769" s="131"/>
    </row>
    <row r="3770" spans="1:27" ht="15" customHeight="1" x14ac:dyDescent="0.2">
      <c r="A3770" s="37">
        <v>41829.409479166701</v>
      </c>
      <c r="B3770" s="34" t="s">
        <v>152</v>
      </c>
      <c r="C3770" s="26" t="s">
        <v>304</v>
      </c>
      <c r="D3770" s="91" t="s">
        <v>7147</v>
      </c>
      <c r="E3770" s="26" t="s">
        <v>8191</v>
      </c>
      <c r="F3770" s="26" t="s">
        <v>8192</v>
      </c>
      <c r="G3770" s="34" t="s">
        <v>42</v>
      </c>
      <c r="H3770" s="26" t="s">
        <v>8193</v>
      </c>
      <c r="I3770" s="26" t="s">
        <v>2986</v>
      </c>
      <c r="J3770" s="46">
        <v>1</v>
      </c>
      <c r="K3770" s="46">
        <v>25</v>
      </c>
      <c r="L3770" s="136">
        <v>63</v>
      </c>
      <c r="M3770" s="137" t="s">
        <v>44</v>
      </c>
      <c r="O3770" s="138">
        <v>5</v>
      </c>
      <c r="V3770" s="26"/>
      <c r="W3770" s="26"/>
      <c r="X3770" s="26"/>
      <c r="Y3770" s="26"/>
      <c r="Z3770" s="26"/>
      <c r="AA3770" s="131"/>
    </row>
    <row r="3771" spans="1:27" ht="15" customHeight="1" x14ac:dyDescent="0.2">
      <c r="A3771" s="37">
        <v>41829.411134259302</v>
      </c>
      <c r="B3771" s="34" t="s">
        <v>152</v>
      </c>
      <c r="C3771" s="26" t="s">
        <v>304</v>
      </c>
      <c r="D3771" s="91" t="s">
        <v>7147</v>
      </c>
      <c r="E3771" s="26" t="s">
        <v>8194</v>
      </c>
      <c r="F3771" s="26" t="s">
        <v>8195</v>
      </c>
      <c r="G3771" s="34" t="s">
        <v>42</v>
      </c>
      <c r="H3771" s="26" t="s">
        <v>8196</v>
      </c>
      <c r="I3771" s="26" t="s">
        <v>2986</v>
      </c>
      <c r="J3771" s="46">
        <v>1</v>
      </c>
      <c r="K3771" s="46">
        <v>21</v>
      </c>
      <c r="L3771" s="136">
        <v>57</v>
      </c>
      <c r="M3771" s="137" t="s">
        <v>22</v>
      </c>
      <c r="V3771" s="26"/>
      <c r="W3771" s="26"/>
      <c r="X3771" s="26"/>
      <c r="Y3771" s="26"/>
      <c r="Z3771" s="26"/>
      <c r="AA3771" s="131"/>
    </row>
    <row r="3772" spans="1:27" ht="15" customHeight="1" x14ac:dyDescent="0.2">
      <c r="A3772" s="37">
        <v>41829.431608796302</v>
      </c>
      <c r="B3772" s="34" t="s">
        <v>38</v>
      </c>
      <c r="C3772" s="26" t="s">
        <v>995</v>
      </c>
      <c r="D3772" s="91" t="s">
        <v>7147</v>
      </c>
      <c r="E3772" s="26" t="s">
        <v>8197</v>
      </c>
      <c r="F3772" s="26" t="s">
        <v>8198</v>
      </c>
      <c r="G3772" s="34" t="s">
        <v>20</v>
      </c>
      <c r="H3772" s="26" t="s">
        <v>8199</v>
      </c>
      <c r="I3772" s="26" t="s">
        <v>2986</v>
      </c>
      <c r="J3772" s="46">
        <v>1</v>
      </c>
      <c r="K3772" s="46">
        <v>25</v>
      </c>
      <c r="L3772" s="136">
        <v>75</v>
      </c>
      <c r="M3772" s="137" t="s">
        <v>44</v>
      </c>
      <c r="P3772" s="138">
        <v>24</v>
      </c>
      <c r="V3772" s="26"/>
      <c r="W3772" s="26"/>
      <c r="X3772" s="26"/>
      <c r="Y3772" s="26"/>
      <c r="Z3772" s="26"/>
      <c r="AA3772" s="131"/>
    </row>
    <row r="3773" spans="1:27" ht="15" customHeight="1" x14ac:dyDescent="0.2">
      <c r="A3773" s="37">
        <v>41829.434490740699</v>
      </c>
      <c r="B3773" s="34" t="s">
        <v>38</v>
      </c>
      <c r="C3773" s="26" t="s">
        <v>995</v>
      </c>
      <c r="D3773" s="91" t="s">
        <v>7147</v>
      </c>
      <c r="E3773" s="26" t="s">
        <v>8200</v>
      </c>
      <c r="F3773" s="26" t="s">
        <v>7437</v>
      </c>
      <c r="G3773" s="34" t="s">
        <v>26</v>
      </c>
      <c r="H3773" s="26" t="s">
        <v>8201</v>
      </c>
      <c r="I3773" s="26" t="s">
        <v>4874</v>
      </c>
      <c r="J3773" s="46">
        <v>1</v>
      </c>
      <c r="K3773" s="46">
        <v>13</v>
      </c>
      <c r="L3773" s="136">
        <v>78</v>
      </c>
      <c r="M3773" s="137" t="s">
        <v>44</v>
      </c>
      <c r="O3773" s="138">
        <v>35</v>
      </c>
      <c r="V3773" s="26"/>
      <c r="W3773" s="26"/>
      <c r="X3773" s="26"/>
      <c r="Y3773" s="26"/>
      <c r="Z3773" s="26"/>
      <c r="AA3773" s="131"/>
    </row>
    <row r="3774" spans="1:27" ht="15" customHeight="1" x14ac:dyDescent="0.2">
      <c r="A3774" s="37">
        <v>41829.442326388897</v>
      </c>
      <c r="B3774" s="34" t="s">
        <v>38</v>
      </c>
      <c r="C3774" s="26" t="s">
        <v>995</v>
      </c>
      <c r="D3774" s="91" t="s">
        <v>7147</v>
      </c>
      <c r="E3774" s="26" t="s">
        <v>1720</v>
      </c>
      <c r="F3774" s="26" t="s">
        <v>270</v>
      </c>
      <c r="G3774" s="34" t="s">
        <v>26</v>
      </c>
      <c r="H3774" s="26" t="s">
        <v>8202</v>
      </c>
      <c r="I3774" s="26" t="s">
        <v>2812</v>
      </c>
      <c r="J3774" s="46">
        <v>1</v>
      </c>
      <c r="K3774" s="46">
        <v>2</v>
      </c>
      <c r="L3774" s="136">
        <v>10</v>
      </c>
      <c r="M3774" s="137" t="s">
        <v>44</v>
      </c>
      <c r="O3774" s="138">
        <v>10</v>
      </c>
      <c r="P3774" s="138">
        <v>6</v>
      </c>
      <c r="V3774" s="26"/>
      <c r="W3774" s="26"/>
      <c r="X3774" s="26"/>
      <c r="Y3774" s="26"/>
      <c r="Z3774" s="26"/>
      <c r="AA3774" s="131"/>
    </row>
    <row r="3775" spans="1:27" ht="15" customHeight="1" x14ac:dyDescent="0.2">
      <c r="A3775" s="37">
        <v>41829.445011574098</v>
      </c>
      <c r="B3775" s="34" t="s">
        <v>38</v>
      </c>
      <c r="C3775" s="26" t="s">
        <v>995</v>
      </c>
      <c r="D3775" s="91" t="s">
        <v>7147</v>
      </c>
      <c r="E3775" s="26" t="s">
        <v>8203</v>
      </c>
      <c r="F3775" s="26" t="s">
        <v>1004</v>
      </c>
      <c r="G3775" s="34" t="s">
        <v>26</v>
      </c>
      <c r="H3775" s="26" t="s">
        <v>8204</v>
      </c>
      <c r="I3775" s="26" t="s">
        <v>2812</v>
      </c>
      <c r="J3775" s="46">
        <v>1</v>
      </c>
      <c r="K3775" s="46">
        <v>3</v>
      </c>
      <c r="L3775" s="136">
        <v>15</v>
      </c>
      <c r="M3775" s="137" t="s">
        <v>44</v>
      </c>
      <c r="O3775" s="138">
        <v>10</v>
      </c>
      <c r="P3775" s="138">
        <v>12</v>
      </c>
      <c r="V3775" s="26"/>
      <c r="W3775" s="26"/>
      <c r="X3775" s="26"/>
      <c r="Y3775" s="26"/>
      <c r="Z3775" s="26"/>
      <c r="AA3775" s="131"/>
    </row>
    <row r="3776" spans="1:27" ht="15" customHeight="1" x14ac:dyDescent="0.2">
      <c r="A3776" s="37">
        <v>41829.468067129601</v>
      </c>
      <c r="B3776" s="34" t="s">
        <v>38</v>
      </c>
      <c r="C3776" s="26" t="s">
        <v>995</v>
      </c>
      <c r="D3776" s="91" t="s">
        <v>7147</v>
      </c>
      <c r="E3776" s="26" t="s">
        <v>1142</v>
      </c>
      <c r="F3776" s="26" t="s">
        <v>1019</v>
      </c>
      <c r="G3776" s="34" t="s">
        <v>26</v>
      </c>
      <c r="H3776" s="26" t="s">
        <v>8205</v>
      </c>
      <c r="I3776" s="26" t="s">
        <v>2986</v>
      </c>
      <c r="J3776" s="46">
        <v>1</v>
      </c>
      <c r="K3776" s="46">
        <v>10</v>
      </c>
      <c r="L3776" s="136">
        <v>180</v>
      </c>
      <c r="M3776" s="137" t="s">
        <v>44</v>
      </c>
      <c r="O3776" s="138">
        <v>30</v>
      </c>
      <c r="P3776" s="138">
        <v>8</v>
      </c>
      <c r="V3776" s="26"/>
      <c r="W3776" s="26"/>
      <c r="X3776" s="26"/>
      <c r="Y3776" s="26"/>
      <c r="Z3776" s="26"/>
      <c r="AA3776" s="131"/>
    </row>
    <row r="3777" spans="1:27" ht="15" customHeight="1" x14ac:dyDescent="0.2">
      <c r="A3777" s="37">
        <v>41829.469166666699</v>
      </c>
      <c r="B3777" s="34" t="s">
        <v>152</v>
      </c>
      <c r="C3777" s="26" t="s">
        <v>304</v>
      </c>
      <c r="D3777" s="91" t="s">
        <v>7147</v>
      </c>
      <c r="E3777" s="26" t="s">
        <v>8206</v>
      </c>
      <c r="F3777" s="26" t="s">
        <v>8207</v>
      </c>
      <c r="G3777" s="34" t="s">
        <v>26</v>
      </c>
      <c r="H3777" s="26" t="s">
        <v>8208</v>
      </c>
      <c r="I3777" s="26" t="s">
        <v>2986</v>
      </c>
      <c r="J3777" s="46">
        <v>1</v>
      </c>
      <c r="K3777" s="46">
        <v>9</v>
      </c>
      <c r="L3777" s="136"/>
      <c r="M3777" s="137" t="s">
        <v>22</v>
      </c>
      <c r="V3777" s="26"/>
      <c r="W3777" s="26"/>
      <c r="X3777" s="26"/>
      <c r="Y3777" s="26"/>
      <c r="Z3777" s="26"/>
      <c r="AA3777" s="131"/>
    </row>
    <row r="3778" spans="1:27" ht="15" customHeight="1" x14ac:dyDescent="0.2">
      <c r="A3778" s="37">
        <v>41829.4699652778</v>
      </c>
      <c r="B3778" s="34" t="s">
        <v>152</v>
      </c>
      <c r="C3778" s="26" t="s">
        <v>304</v>
      </c>
      <c r="D3778" s="91" t="s">
        <v>7147</v>
      </c>
      <c r="E3778" s="26" t="s">
        <v>8209</v>
      </c>
      <c r="F3778" s="26" t="s">
        <v>8210</v>
      </c>
      <c r="G3778" s="34" t="s">
        <v>351</v>
      </c>
      <c r="H3778" s="26" t="s">
        <v>8211</v>
      </c>
      <c r="I3778" s="26" t="s">
        <v>2986</v>
      </c>
      <c r="J3778" s="46">
        <v>1</v>
      </c>
      <c r="K3778" s="46">
        <v>40</v>
      </c>
      <c r="L3778" s="136"/>
      <c r="M3778" s="137" t="s">
        <v>22</v>
      </c>
      <c r="V3778" s="26"/>
      <c r="W3778" s="26"/>
      <c r="X3778" s="26"/>
      <c r="Y3778" s="26"/>
      <c r="Z3778" s="26"/>
      <c r="AA3778" s="131"/>
    </row>
    <row r="3779" spans="1:27" ht="15" customHeight="1" x14ac:dyDescent="0.2">
      <c r="A3779" s="37">
        <v>41829.470810185201</v>
      </c>
      <c r="B3779" s="34" t="s">
        <v>152</v>
      </c>
      <c r="C3779" s="26" t="s">
        <v>304</v>
      </c>
      <c r="D3779" s="91" t="s">
        <v>7147</v>
      </c>
      <c r="E3779" s="26" t="s">
        <v>8212</v>
      </c>
      <c r="F3779" s="26" t="s">
        <v>8213</v>
      </c>
      <c r="G3779" s="34" t="s">
        <v>351</v>
      </c>
      <c r="H3779" s="26" t="s">
        <v>8214</v>
      </c>
      <c r="I3779" s="26" t="s">
        <v>8215</v>
      </c>
      <c r="J3779" s="46">
        <v>1</v>
      </c>
      <c r="K3779" s="46">
        <v>300</v>
      </c>
      <c r="L3779" s="136"/>
      <c r="M3779" s="137" t="s">
        <v>22</v>
      </c>
      <c r="V3779" s="26"/>
      <c r="W3779" s="26"/>
      <c r="X3779" s="26"/>
      <c r="Y3779" s="26"/>
      <c r="Z3779" s="26"/>
      <c r="AA3779" s="131"/>
    </row>
    <row r="3780" spans="1:27" ht="15" customHeight="1" x14ac:dyDescent="0.2">
      <c r="A3780" s="37">
        <v>41829.470914351798</v>
      </c>
      <c r="B3780" s="34" t="s">
        <v>38</v>
      </c>
      <c r="C3780" s="26" t="s">
        <v>995</v>
      </c>
      <c r="D3780" s="91" t="s">
        <v>7147</v>
      </c>
      <c r="E3780" s="26" t="s">
        <v>1145</v>
      </c>
      <c r="F3780" s="26" t="s">
        <v>197</v>
      </c>
      <c r="G3780" s="34" t="s">
        <v>26</v>
      </c>
      <c r="H3780" s="26" t="s">
        <v>1168</v>
      </c>
      <c r="I3780" s="26" t="s">
        <v>2986</v>
      </c>
      <c r="J3780" s="46">
        <v>1</v>
      </c>
      <c r="K3780" s="46">
        <v>12</v>
      </c>
      <c r="L3780" s="136">
        <v>180</v>
      </c>
      <c r="M3780" s="137" t="s">
        <v>44</v>
      </c>
      <c r="O3780" s="138">
        <v>25</v>
      </c>
      <c r="V3780" s="26"/>
      <c r="W3780" s="26"/>
      <c r="X3780" s="26"/>
      <c r="Y3780" s="26"/>
      <c r="Z3780" s="26"/>
      <c r="AA3780" s="131"/>
    </row>
    <row r="3781" spans="1:27" ht="15" customHeight="1" x14ac:dyDescent="0.2">
      <c r="A3781" s="37">
        <v>41829.474259259303</v>
      </c>
      <c r="B3781" s="34" t="s">
        <v>38</v>
      </c>
      <c r="C3781" s="26" t="s">
        <v>995</v>
      </c>
      <c r="D3781" s="91" t="s">
        <v>7147</v>
      </c>
      <c r="E3781" s="26" t="s">
        <v>4909</v>
      </c>
      <c r="F3781" s="26" t="s">
        <v>5866</v>
      </c>
      <c r="G3781" s="34" t="s">
        <v>26</v>
      </c>
      <c r="H3781" s="26" t="s">
        <v>8216</v>
      </c>
      <c r="I3781" s="26" t="s">
        <v>8217</v>
      </c>
      <c r="J3781" s="46">
        <v>1</v>
      </c>
      <c r="K3781" s="46">
        <v>1</v>
      </c>
      <c r="L3781" s="136">
        <v>15</v>
      </c>
      <c r="M3781" s="137" t="s">
        <v>44</v>
      </c>
      <c r="O3781" s="138">
        <v>5</v>
      </c>
      <c r="V3781" s="26"/>
      <c r="W3781" s="26"/>
      <c r="X3781" s="26"/>
      <c r="Y3781" s="26"/>
      <c r="Z3781" s="26"/>
      <c r="AA3781" s="131"/>
    </row>
    <row r="3782" spans="1:27" ht="15" customHeight="1" x14ac:dyDescent="0.2">
      <c r="A3782" s="37">
        <v>41829.478252314802</v>
      </c>
      <c r="B3782" s="34" t="s">
        <v>38</v>
      </c>
      <c r="C3782" s="26" t="s">
        <v>995</v>
      </c>
      <c r="D3782" s="91" t="s">
        <v>7147</v>
      </c>
      <c r="E3782" s="26" t="s">
        <v>8218</v>
      </c>
      <c r="F3782" s="26" t="s">
        <v>8219</v>
      </c>
      <c r="G3782" s="34" t="s">
        <v>26</v>
      </c>
      <c r="H3782" s="26" t="s">
        <v>8220</v>
      </c>
      <c r="I3782" s="26" t="s">
        <v>4874</v>
      </c>
      <c r="J3782" s="46">
        <v>1</v>
      </c>
      <c r="K3782" s="46">
        <v>9</v>
      </c>
      <c r="L3782" s="136">
        <v>135</v>
      </c>
      <c r="M3782" s="137" t="s">
        <v>44</v>
      </c>
      <c r="O3782" s="138">
        <v>20</v>
      </c>
      <c r="V3782" s="26"/>
      <c r="W3782" s="26"/>
      <c r="X3782" s="26"/>
      <c r="Y3782" s="26"/>
      <c r="Z3782" s="26"/>
      <c r="AA3782" s="131"/>
    </row>
    <row r="3783" spans="1:27" ht="15" customHeight="1" x14ac:dyDescent="0.2">
      <c r="A3783" s="37">
        <v>41829.478842592602</v>
      </c>
      <c r="B3783" s="26" t="s">
        <v>152</v>
      </c>
      <c r="C3783" s="26" t="s">
        <v>707</v>
      </c>
      <c r="D3783" s="91" t="s">
        <v>7147</v>
      </c>
      <c r="E3783" s="26" t="s">
        <v>529</v>
      </c>
      <c r="F3783" s="26" t="s">
        <v>721</v>
      </c>
      <c r="G3783" s="34" t="s">
        <v>26</v>
      </c>
      <c r="H3783" s="26" t="s">
        <v>8221</v>
      </c>
      <c r="I3783" s="26" t="s">
        <v>2986</v>
      </c>
      <c r="J3783" s="46">
        <v>1</v>
      </c>
      <c r="K3783" s="46">
        <v>53</v>
      </c>
      <c r="L3783" s="136"/>
      <c r="M3783" s="137" t="s">
        <v>22</v>
      </c>
      <c r="V3783" s="26"/>
      <c r="W3783" s="26"/>
      <c r="X3783" s="26"/>
      <c r="Y3783" s="26"/>
      <c r="Z3783" s="26"/>
      <c r="AA3783" s="131"/>
    </row>
    <row r="3784" spans="1:27" ht="15" customHeight="1" x14ac:dyDescent="0.2">
      <c r="A3784" s="37">
        <v>41829.482939814799</v>
      </c>
      <c r="B3784" s="34" t="s">
        <v>38</v>
      </c>
      <c r="C3784" s="26" t="s">
        <v>995</v>
      </c>
      <c r="D3784" s="91" t="s">
        <v>7147</v>
      </c>
      <c r="E3784" s="26" t="s">
        <v>1145</v>
      </c>
      <c r="F3784" s="26" t="s">
        <v>197</v>
      </c>
      <c r="G3784" s="34" t="s">
        <v>26</v>
      </c>
      <c r="H3784" s="26" t="s">
        <v>7414</v>
      </c>
      <c r="I3784" s="26" t="s">
        <v>2986</v>
      </c>
      <c r="J3784" s="46">
        <v>1</v>
      </c>
      <c r="K3784" s="46">
        <v>6</v>
      </c>
      <c r="L3784" s="136">
        <v>90</v>
      </c>
      <c r="M3784" s="137" t="s">
        <v>44</v>
      </c>
      <c r="O3784" s="138">
        <v>10</v>
      </c>
      <c r="V3784" s="26"/>
      <c r="W3784" s="26"/>
      <c r="X3784" s="26"/>
      <c r="Y3784" s="26"/>
      <c r="Z3784" s="26"/>
      <c r="AA3784" s="131"/>
    </row>
    <row r="3785" spans="1:27" ht="15" customHeight="1" x14ac:dyDescent="0.2">
      <c r="A3785" s="37">
        <v>41829.4845138889</v>
      </c>
      <c r="B3785" s="26" t="s">
        <v>152</v>
      </c>
      <c r="C3785" s="26" t="s">
        <v>707</v>
      </c>
      <c r="D3785" s="91" t="s">
        <v>7147</v>
      </c>
      <c r="E3785" s="26" t="s">
        <v>720</v>
      </c>
      <c r="F3785" s="26" t="s">
        <v>721</v>
      </c>
      <c r="G3785" s="34" t="s">
        <v>26</v>
      </c>
      <c r="H3785" s="26" t="s">
        <v>8221</v>
      </c>
      <c r="I3785" s="26" t="s">
        <v>2986</v>
      </c>
      <c r="J3785" s="46">
        <v>2</v>
      </c>
      <c r="K3785" s="46">
        <v>46</v>
      </c>
      <c r="L3785" s="136"/>
      <c r="M3785" s="137" t="s">
        <v>22</v>
      </c>
      <c r="V3785" s="26"/>
      <c r="W3785" s="26"/>
      <c r="X3785" s="26"/>
      <c r="Y3785" s="26"/>
      <c r="Z3785" s="26"/>
      <c r="AA3785" s="131"/>
    </row>
    <row r="3786" spans="1:27" ht="15" customHeight="1" x14ac:dyDescent="0.2">
      <c r="A3786" s="37">
        <v>41829.486828703702</v>
      </c>
      <c r="B3786" s="26" t="s">
        <v>16</v>
      </c>
      <c r="C3786" s="26" t="s">
        <v>532</v>
      </c>
      <c r="D3786" s="91" t="s">
        <v>7147</v>
      </c>
      <c r="E3786" s="26" t="s">
        <v>8222</v>
      </c>
      <c r="F3786" s="26" t="s">
        <v>8223</v>
      </c>
      <c r="G3786" s="34" t="s">
        <v>156</v>
      </c>
      <c r="H3786" s="26"/>
      <c r="I3786" s="26" t="s">
        <v>2986</v>
      </c>
      <c r="K3786" s="46">
        <v>45</v>
      </c>
      <c r="L3786" s="136">
        <v>157.5</v>
      </c>
      <c r="M3786" s="137" t="s">
        <v>22</v>
      </c>
      <c r="V3786" s="26"/>
      <c r="W3786" s="26"/>
      <c r="X3786" s="26"/>
      <c r="Y3786" s="26"/>
      <c r="Z3786" s="26"/>
      <c r="AA3786" s="131"/>
    </row>
    <row r="3787" spans="1:27" ht="15" customHeight="1" x14ac:dyDescent="0.2">
      <c r="A3787" s="37">
        <v>41829.488495370402</v>
      </c>
      <c r="B3787" s="26" t="s">
        <v>16</v>
      </c>
      <c r="C3787" s="26" t="s">
        <v>532</v>
      </c>
      <c r="D3787" s="91" t="s">
        <v>7147</v>
      </c>
      <c r="E3787" s="26" t="s">
        <v>8224</v>
      </c>
      <c r="F3787" s="26" t="s">
        <v>8225</v>
      </c>
      <c r="G3787" s="34" t="s">
        <v>42</v>
      </c>
      <c r="H3787" s="26" t="s">
        <v>8226</v>
      </c>
      <c r="I3787" s="26" t="s">
        <v>3038</v>
      </c>
      <c r="J3787" s="46">
        <v>1</v>
      </c>
      <c r="K3787" s="46">
        <v>26</v>
      </c>
      <c r="L3787" s="136">
        <v>169</v>
      </c>
      <c r="M3787" s="137" t="s">
        <v>22</v>
      </c>
      <c r="V3787" s="26"/>
      <c r="W3787" s="26"/>
      <c r="X3787" s="26"/>
      <c r="Y3787" s="26"/>
      <c r="Z3787" s="26"/>
      <c r="AA3787" s="131"/>
    </row>
    <row r="3788" spans="1:27" ht="15" customHeight="1" x14ac:dyDescent="0.2">
      <c r="A3788" s="37">
        <v>41829.489930555603</v>
      </c>
      <c r="B3788" s="26" t="s">
        <v>16</v>
      </c>
      <c r="C3788" s="26" t="s">
        <v>532</v>
      </c>
      <c r="D3788" s="91" t="s">
        <v>7147</v>
      </c>
      <c r="E3788" s="26" t="s">
        <v>8227</v>
      </c>
      <c r="F3788" s="26" t="s">
        <v>2608</v>
      </c>
      <c r="G3788" s="34" t="s">
        <v>42</v>
      </c>
      <c r="H3788" s="26" t="s">
        <v>8228</v>
      </c>
      <c r="I3788" s="26" t="s">
        <v>2986</v>
      </c>
      <c r="J3788" s="46">
        <v>1</v>
      </c>
      <c r="K3788" s="46">
        <v>10</v>
      </c>
      <c r="L3788" s="136"/>
      <c r="M3788" s="137" t="s">
        <v>22</v>
      </c>
      <c r="V3788" s="26"/>
      <c r="W3788" s="26"/>
      <c r="X3788" s="26"/>
      <c r="Y3788" s="26"/>
      <c r="Z3788" s="26"/>
      <c r="AA3788" s="131"/>
    </row>
    <row r="3789" spans="1:27" ht="15" customHeight="1" x14ac:dyDescent="0.2">
      <c r="A3789" s="37">
        <v>41829.4902083333</v>
      </c>
      <c r="B3789" s="26" t="s">
        <v>152</v>
      </c>
      <c r="C3789" s="26" t="s">
        <v>707</v>
      </c>
      <c r="D3789" s="91" t="s">
        <v>7147</v>
      </c>
      <c r="E3789" s="26" t="s">
        <v>724</v>
      </c>
      <c r="F3789" s="26" t="s">
        <v>721</v>
      </c>
      <c r="G3789" s="34" t="s">
        <v>26</v>
      </c>
      <c r="H3789" s="26" t="s">
        <v>8221</v>
      </c>
      <c r="I3789" s="26" t="s">
        <v>2986</v>
      </c>
      <c r="J3789" s="46">
        <v>1</v>
      </c>
      <c r="K3789" s="46">
        <v>59</v>
      </c>
      <c r="L3789" s="136"/>
      <c r="M3789" s="137" t="s">
        <v>44</v>
      </c>
      <c r="O3789" s="138">
        <v>10</v>
      </c>
      <c r="V3789" s="26"/>
      <c r="W3789" s="26"/>
      <c r="X3789" s="26"/>
      <c r="Y3789" s="26"/>
      <c r="Z3789" s="26"/>
      <c r="AA3789" s="131"/>
    </row>
    <row r="3790" spans="1:27" ht="15" customHeight="1" x14ac:dyDescent="0.2">
      <c r="A3790" s="37">
        <v>41829.4913310185</v>
      </c>
      <c r="B3790" s="26" t="s">
        <v>16</v>
      </c>
      <c r="C3790" s="26" t="s">
        <v>532</v>
      </c>
      <c r="D3790" s="91" t="s">
        <v>7147</v>
      </c>
      <c r="E3790" s="26" t="s">
        <v>1987</v>
      </c>
      <c r="F3790" s="26">
        <v>1</v>
      </c>
      <c r="G3790" s="34" t="s">
        <v>42</v>
      </c>
      <c r="H3790" s="26" t="s">
        <v>8229</v>
      </c>
      <c r="I3790" s="26" t="s">
        <v>2986</v>
      </c>
      <c r="J3790" s="46">
        <v>1</v>
      </c>
      <c r="K3790" s="46">
        <v>2</v>
      </c>
      <c r="L3790" s="136">
        <v>14</v>
      </c>
      <c r="M3790" s="137" t="s">
        <v>22</v>
      </c>
      <c r="V3790" s="26"/>
      <c r="W3790" s="26"/>
      <c r="X3790" s="26"/>
      <c r="Y3790" s="26"/>
      <c r="Z3790" s="26"/>
      <c r="AA3790" s="131"/>
    </row>
    <row r="3791" spans="1:27" ht="15" customHeight="1" x14ac:dyDescent="0.2">
      <c r="A3791" s="37">
        <v>41829.493171296301</v>
      </c>
      <c r="B3791" s="26" t="s">
        <v>16</v>
      </c>
      <c r="C3791" s="26" t="s">
        <v>532</v>
      </c>
      <c r="D3791" s="91" t="s">
        <v>7147</v>
      </c>
      <c r="E3791" s="26" t="s">
        <v>4850</v>
      </c>
      <c r="F3791" s="26" t="s">
        <v>8230</v>
      </c>
      <c r="G3791" s="34" t="s">
        <v>26</v>
      </c>
      <c r="H3791" s="26" t="s">
        <v>8231</v>
      </c>
      <c r="I3791" s="26" t="s">
        <v>2986</v>
      </c>
      <c r="J3791" s="46">
        <v>0</v>
      </c>
      <c r="K3791" s="46">
        <v>0</v>
      </c>
      <c r="L3791" s="136"/>
      <c r="M3791" s="137" t="s">
        <v>22</v>
      </c>
      <c r="V3791" s="26"/>
      <c r="W3791" s="26"/>
      <c r="X3791" s="26"/>
      <c r="Y3791" s="26"/>
      <c r="Z3791" s="26"/>
      <c r="AA3791" s="131"/>
    </row>
    <row r="3792" spans="1:27" ht="15" customHeight="1" x14ac:dyDescent="0.2">
      <c r="A3792" s="37">
        <v>41829.498587962997</v>
      </c>
      <c r="B3792" s="26" t="s">
        <v>16</v>
      </c>
      <c r="C3792" s="26" t="s">
        <v>532</v>
      </c>
      <c r="D3792" s="91" t="s">
        <v>7147</v>
      </c>
      <c r="E3792" s="26" t="s">
        <v>8232</v>
      </c>
      <c r="F3792" s="26" t="s">
        <v>8233</v>
      </c>
      <c r="G3792" s="34" t="s">
        <v>156</v>
      </c>
      <c r="H3792" s="26" t="s">
        <v>8234</v>
      </c>
      <c r="I3792" s="26" t="s">
        <v>2926</v>
      </c>
      <c r="J3792" s="46">
        <v>25</v>
      </c>
      <c r="K3792" s="46">
        <v>23</v>
      </c>
      <c r="L3792" s="136">
        <v>2070</v>
      </c>
      <c r="M3792" s="137" t="s">
        <v>22</v>
      </c>
      <c r="V3792" s="26"/>
      <c r="W3792" s="26"/>
      <c r="X3792" s="26"/>
      <c r="Y3792" s="26"/>
      <c r="Z3792" s="26"/>
      <c r="AA3792" s="131"/>
    </row>
    <row r="3793" spans="1:27" ht="15" customHeight="1" x14ac:dyDescent="0.2">
      <c r="A3793" s="37">
        <v>41829.499652777798</v>
      </c>
      <c r="B3793" s="26" t="s">
        <v>16</v>
      </c>
      <c r="C3793" s="26" t="s">
        <v>532</v>
      </c>
      <c r="D3793" s="91" t="s">
        <v>7147</v>
      </c>
      <c r="E3793" s="26" t="s">
        <v>1987</v>
      </c>
      <c r="F3793" s="26" t="s">
        <v>8235</v>
      </c>
      <c r="G3793" s="34" t="s">
        <v>351</v>
      </c>
      <c r="H3793" s="26" t="s">
        <v>8236</v>
      </c>
      <c r="I3793" s="26" t="s">
        <v>2986</v>
      </c>
      <c r="J3793" s="46" t="s">
        <v>8237</v>
      </c>
      <c r="K3793" s="46">
        <v>300</v>
      </c>
      <c r="L3793" s="136"/>
      <c r="M3793" s="137" t="s">
        <v>22</v>
      </c>
      <c r="V3793" s="26"/>
      <c r="W3793" s="26"/>
      <c r="X3793" s="26"/>
      <c r="Y3793" s="26"/>
      <c r="Z3793" s="26"/>
      <c r="AA3793" s="131"/>
    </row>
    <row r="3794" spans="1:27" ht="15" customHeight="1" x14ac:dyDescent="0.2">
      <c r="A3794" s="37">
        <v>41829.500983796301</v>
      </c>
      <c r="B3794" s="26" t="s">
        <v>16</v>
      </c>
      <c r="C3794" s="26" t="s">
        <v>532</v>
      </c>
      <c r="D3794" s="91" t="s">
        <v>7147</v>
      </c>
      <c r="E3794" s="26" t="s">
        <v>537</v>
      </c>
      <c r="F3794" s="26" t="s">
        <v>8238</v>
      </c>
      <c r="G3794" s="34" t="s">
        <v>26</v>
      </c>
      <c r="H3794" s="26" t="s">
        <v>2608</v>
      </c>
      <c r="I3794" s="26" t="s">
        <v>2986</v>
      </c>
      <c r="J3794" s="46">
        <v>8</v>
      </c>
      <c r="K3794" s="46">
        <v>100</v>
      </c>
      <c r="L3794" s="136"/>
      <c r="M3794" s="137" t="s">
        <v>22</v>
      </c>
      <c r="V3794" s="26"/>
      <c r="W3794" s="26"/>
      <c r="X3794" s="26"/>
      <c r="Y3794" s="26"/>
      <c r="Z3794" s="26"/>
      <c r="AA3794" s="131"/>
    </row>
    <row r="3795" spans="1:27" ht="15" customHeight="1" x14ac:dyDescent="0.2">
      <c r="A3795" s="37">
        <v>41829.5021180556</v>
      </c>
      <c r="B3795" s="26" t="s">
        <v>16</v>
      </c>
      <c r="C3795" s="26" t="s">
        <v>532</v>
      </c>
      <c r="D3795" s="91" t="s">
        <v>7147</v>
      </c>
      <c r="E3795" s="26" t="s">
        <v>2624</v>
      </c>
      <c r="F3795" s="26" t="s">
        <v>8238</v>
      </c>
      <c r="G3795" s="34" t="s">
        <v>26</v>
      </c>
      <c r="H3795" s="26" t="s">
        <v>2608</v>
      </c>
      <c r="I3795" s="26" t="s">
        <v>2986</v>
      </c>
      <c r="J3795" s="46">
        <v>8</v>
      </c>
      <c r="K3795" s="46">
        <v>100</v>
      </c>
      <c r="L3795" s="136"/>
      <c r="M3795" s="137" t="s">
        <v>22</v>
      </c>
      <c r="V3795" s="26"/>
      <c r="W3795" s="26"/>
      <c r="X3795" s="26"/>
      <c r="Y3795" s="26"/>
      <c r="Z3795" s="26"/>
      <c r="AA3795" s="131"/>
    </row>
    <row r="3796" spans="1:27" ht="15" customHeight="1" x14ac:dyDescent="0.2">
      <c r="A3796" s="37">
        <v>41829.502997685202</v>
      </c>
      <c r="B3796" s="26" t="s">
        <v>16</v>
      </c>
      <c r="C3796" s="26" t="s">
        <v>532</v>
      </c>
      <c r="D3796" s="91" t="s">
        <v>7147</v>
      </c>
      <c r="E3796" s="26" t="s">
        <v>537</v>
      </c>
      <c r="F3796" s="26" t="s">
        <v>8238</v>
      </c>
      <c r="G3796" s="34" t="s">
        <v>26</v>
      </c>
      <c r="H3796" s="26" t="s">
        <v>8239</v>
      </c>
      <c r="I3796" s="26" t="s">
        <v>2986</v>
      </c>
      <c r="J3796" s="46">
        <v>8</v>
      </c>
      <c r="K3796" s="46">
        <v>100</v>
      </c>
      <c r="L3796" s="136"/>
      <c r="M3796" s="137" t="s">
        <v>22</v>
      </c>
      <c r="V3796" s="26"/>
      <c r="W3796" s="26"/>
      <c r="X3796" s="26"/>
      <c r="Y3796" s="26"/>
      <c r="Z3796" s="26"/>
      <c r="AA3796" s="131"/>
    </row>
    <row r="3797" spans="1:27" ht="15" customHeight="1" x14ac:dyDescent="0.2">
      <c r="A3797" s="37">
        <v>41829.503981481503</v>
      </c>
      <c r="B3797" s="26" t="s">
        <v>38</v>
      </c>
      <c r="C3797" s="26" t="s">
        <v>532</v>
      </c>
      <c r="D3797" s="91" t="s">
        <v>7147</v>
      </c>
      <c r="E3797" s="26" t="s">
        <v>537</v>
      </c>
      <c r="F3797" s="26" t="s">
        <v>8238</v>
      </c>
      <c r="G3797" s="34" t="s">
        <v>26</v>
      </c>
      <c r="H3797" s="26" t="s">
        <v>2608</v>
      </c>
      <c r="I3797" s="26" t="s">
        <v>2986</v>
      </c>
      <c r="J3797" s="46">
        <v>8</v>
      </c>
      <c r="K3797" s="46">
        <v>100</v>
      </c>
      <c r="L3797" s="136"/>
      <c r="M3797" s="137" t="s">
        <v>22</v>
      </c>
      <c r="V3797" s="26"/>
      <c r="W3797" s="26"/>
      <c r="X3797" s="26"/>
      <c r="Y3797" s="26"/>
      <c r="Z3797" s="26"/>
      <c r="AA3797" s="131"/>
    </row>
    <row r="3798" spans="1:27" ht="15" customHeight="1" x14ac:dyDescent="0.2">
      <c r="A3798" s="37">
        <v>41829.504722222198</v>
      </c>
      <c r="B3798" s="26" t="s">
        <v>152</v>
      </c>
      <c r="C3798" s="26" t="s">
        <v>707</v>
      </c>
      <c r="D3798" s="91" t="s">
        <v>7147</v>
      </c>
      <c r="E3798" s="26" t="s">
        <v>7120</v>
      </c>
      <c r="F3798" s="26" t="s">
        <v>373</v>
      </c>
      <c r="G3798" s="34" t="s">
        <v>26</v>
      </c>
      <c r="H3798" s="26" t="s">
        <v>8240</v>
      </c>
      <c r="I3798" s="26" t="s">
        <v>2986</v>
      </c>
      <c r="J3798" s="46">
        <v>2</v>
      </c>
      <c r="K3798" s="46">
        <v>82</v>
      </c>
      <c r="L3798" s="136"/>
      <c r="M3798" s="137" t="s">
        <v>22</v>
      </c>
      <c r="V3798" s="26"/>
      <c r="W3798" s="26"/>
      <c r="X3798" s="26"/>
      <c r="Y3798" s="26"/>
      <c r="Z3798" s="26"/>
      <c r="AA3798" s="131"/>
    </row>
    <row r="3799" spans="1:27" ht="15" customHeight="1" x14ac:dyDescent="0.2">
      <c r="A3799" s="37">
        <v>41829.506388888898</v>
      </c>
      <c r="B3799" s="26" t="s">
        <v>152</v>
      </c>
      <c r="C3799" s="26" t="s">
        <v>707</v>
      </c>
      <c r="D3799" s="91" t="s">
        <v>7147</v>
      </c>
      <c r="E3799" s="26" t="s">
        <v>7123</v>
      </c>
      <c r="F3799" s="26" t="s">
        <v>8241</v>
      </c>
      <c r="G3799" s="34" t="s">
        <v>26</v>
      </c>
      <c r="H3799" s="26" t="s">
        <v>6507</v>
      </c>
      <c r="I3799" s="26" t="s">
        <v>2986</v>
      </c>
      <c r="J3799" s="46">
        <v>1</v>
      </c>
      <c r="K3799" s="46">
        <v>17</v>
      </c>
      <c r="L3799" s="136"/>
      <c r="M3799" s="137" t="s">
        <v>44</v>
      </c>
      <c r="O3799" s="138">
        <v>10</v>
      </c>
      <c r="V3799" s="26"/>
      <c r="W3799" s="26"/>
      <c r="X3799" s="26"/>
      <c r="Y3799" s="26"/>
      <c r="Z3799" s="26"/>
      <c r="AA3799" s="131"/>
    </row>
    <row r="3800" spans="1:27" ht="15" customHeight="1" x14ac:dyDescent="0.2">
      <c r="A3800" s="37">
        <v>41829.507835648103</v>
      </c>
      <c r="B3800" s="26" t="s">
        <v>152</v>
      </c>
      <c r="C3800" s="26" t="s">
        <v>707</v>
      </c>
      <c r="D3800" s="91" t="s">
        <v>7147</v>
      </c>
      <c r="E3800" s="26" t="s">
        <v>7123</v>
      </c>
      <c r="F3800" s="26" t="s">
        <v>6494</v>
      </c>
      <c r="G3800" s="34" t="s">
        <v>26</v>
      </c>
      <c r="H3800" s="26" t="s">
        <v>6494</v>
      </c>
      <c r="I3800" s="26" t="s">
        <v>2986</v>
      </c>
      <c r="J3800" s="46">
        <v>1</v>
      </c>
      <c r="K3800" s="46">
        <v>32</v>
      </c>
      <c r="L3800" s="136"/>
      <c r="M3800" s="137" t="s">
        <v>22</v>
      </c>
      <c r="V3800" s="26"/>
      <c r="W3800" s="26"/>
      <c r="X3800" s="26"/>
      <c r="Y3800" s="26"/>
      <c r="Z3800" s="26"/>
      <c r="AA3800" s="131"/>
    </row>
    <row r="3801" spans="1:27" ht="15" customHeight="1" x14ac:dyDescent="0.2">
      <c r="A3801" s="37">
        <v>41829.509189814802</v>
      </c>
      <c r="B3801" s="26" t="s">
        <v>152</v>
      </c>
      <c r="C3801" s="26" t="s">
        <v>707</v>
      </c>
      <c r="D3801" s="91" t="s">
        <v>7147</v>
      </c>
      <c r="E3801" s="26" t="s">
        <v>7123</v>
      </c>
      <c r="F3801" s="26" t="s">
        <v>7142</v>
      </c>
      <c r="G3801" s="34" t="s">
        <v>26</v>
      </c>
      <c r="H3801" s="26" t="s">
        <v>8242</v>
      </c>
      <c r="I3801" s="26" t="s">
        <v>2986</v>
      </c>
      <c r="J3801" s="46">
        <v>2</v>
      </c>
      <c r="K3801" s="46">
        <v>10</v>
      </c>
      <c r="L3801" s="136">
        <v>8</v>
      </c>
      <c r="M3801" s="137" t="s">
        <v>22</v>
      </c>
      <c r="V3801" s="26"/>
      <c r="W3801" s="26"/>
      <c r="X3801" s="26"/>
      <c r="Y3801" s="26"/>
      <c r="Z3801" s="26"/>
      <c r="AA3801" s="131"/>
    </row>
    <row r="3802" spans="1:27" ht="15" customHeight="1" x14ac:dyDescent="0.2">
      <c r="A3802" s="37">
        <v>41829.511076388902</v>
      </c>
      <c r="B3802" s="26" t="s">
        <v>152</v>
      </c>
      <c r="C3802" s="26" t="s">
        <v>707</v>
      </c>
      <c r="D3802" s="91" t="s">
        <v>7147</v>
      </c>
      <c r="E3802" s="26" t="s">
        <v>730</v>
      </c>
      <c r="F3802" s="26" t="s">
        <v>6498</v>
      </c>
      <c r="G3802" s="34" t="s">
        <v>26</v>
      </c>
      <c r="H3802" s="26" t="s">
        <v>6499</v>
      </c>
      <c r="I3802" s="26" t="s">
        <v>2986</v>
      </c>
      <c r="J3802" s="46">
        <v>1</v>
      </c>
      <c r="K3802" s="46">
        <v>23</v>
      </c>
      <c r="L3802" s="136"/>
      <c r="M3802" s="137" t="s">
        <v>22</v>
      </c>
      <c r="V3802" s="26"/>
      <c r="W3802" s="26"/>
      <c r="X3802" s="26"/>
      <c r="Y3802" s="26"/>
      <c r="Z3802" s="26"/>
      <c r="AA3802" s="131"/>
    </row>
    <row r="3803" spans="1:27" ht="15" customHeight="1" x14ac:dyDescent="0.2">
      <c r="A3803" s="37">
        <v>41829.512372685203</v>
      </c>
      <c r="B3803" s="26" t="s">
        <v>152</v>
      </c>
      <c r="C3803" s="26" t="s">
        <v>707</v>
      </c>
      <c r="D3803" s="91" t="s">
        <v>7147</v>
      </c>
      <c r="E3803" s="26" t="s">
        <v>8243</v>
      </c>
      <c r="F3803" s="26" t="s">
        <v>3122</v>
      </c>
      <c r="G3803" s="34" t="s">
        <v>42</v>
      </c>
      <c r="H3803" s="26" t="s">
        <v>113</v>
      </c>
      <c r="I3803" s="26" t="s">
        <v>2986</v>
      </c>
      <c r="J3803" s="46">
        <v>1</v>
      </c>
      <c r="K3803" s="46">
        <v>15</v>
      </c>
      <c r="L3803" s="136">
        <v>45</v>
      </c>
      <c r="M3803" s="137" t="s">
        <v>44</v>
      </c>
      <c r="O3803" s="138">
        <v>15</v>
      </c>
      <c r="V3803" s="26"/>
      <c r="W3803" s="26"/>
      <c r="X3803" s="26"/>
      <c r="Y3803" s="26"/>
      <c r="Z3803" s="26"/>
      <c r="AA3803" s="131"/>
    </row>
    <row r="3804" spans="1:27" ht="15" customHeight="1" x14ac:dyDescent="0.2">
      <c r="A3804" s="37">
        <v>41829.513171296298</v>
      </c>
      <c r="B3804" s="26" t="s">
        <v>152</v>
      </c>
      <c r="C3804" s="26" t="s">
        <v>707</v>
      </c>
      <c r="D3804" s="91" t="s">
        <v>7147</v>
      </c>
      <c r="E3804" s="26" t="s">
        <v>6515</v>
      </c>
      <c r="F3804" s="26" t="s">
        <v>8244</v>
      </c>
      <c r="G3804" s="34" t="s">
        <v>26</v>
      </c>
      <c r="H3804" s="26" t="s">
        <v>8245</v>
      </c>
      <c r="I3804" s="26" t="s">
        <v>2986</v>
      </c>
      <c r="J3804" s="46">
        <v>1</v>
      </c>
      <c r="K3804" s="46">
        <v>5</v>
      </c>
      <c r="L3804" s="136"/>
      <c r="M3804" s="137" t="s">
        <v>22</v>
      </c>
      <c r="V3804" s="26"/>
      <c r="W3804" s="26"/>
      <c r="X3804" s="26"/>
      <c r="Y3804" s="26"/>
      <c r="Z3804" s="26"/>
      <c r="AA3804" s="131"/>
    </row>
    <row r="3805" spans="1:27" ht="15" customHeight="1" x14ac:dyDescent="0.2">
      <c r="A3805" s="37">
        <v>41829.514641203699</v>
      </c>
      <c r="B3805" s="26" t="s">
        <v>152</v>
      </c>
      <c r="C3805" s="26" t="s">
        <v>707</v>
      </c>
      <c r="D3805" s="91" t="s">
        <v>7147</v>
      </c>
      <c r="E3805" s="26" t="s">
        <v>779</v>
      </c>
      <c r="F3805" s="26" t="s">
        <v>8246</v>
      </c>
      <c r="G3805" s="34" t="s">
        <v>156</v>
      </c>
      <c r="H3805" s="26" t="s">
        <v>8247</v>
      </c>
      <c r="I3805" s="26" t="s">
        <v>8248</v>
      </c>
      <c r="K3805" s="46">
        <v>75</v>
      </c>
      <c r="L3805" s="136"/>
      <c r="M3805" s="137" t="s">
        <v>44</v>
      </c>
      <c r="O3805" s="138">
        <v>25</v>
      </c>
      <c r="V3805" s="26"/>
      <c r="W3805" s="26"/>
      <c r="X3805" s="26"/>
      <c r="Y3805" s="26"/>
      <c r="Z3805" s="26"/>
      <c r="AA3805" s="131"/>
    </row>
    <row r="3806" spans="1:27" ht="15" customHeight="1" x14ac:dyDescent="0.2">
      <c r="A3806" s="37">
        <v>41829.516203703701</v>
      </c>
      <c r="B3806" s="26" t="s">
        <v>152</v>
      </c>
      <c r="C3806" s="26" t="s">
        <v>707</v>
      </c>
      <c r="D3806" s="91" t="s">
        <v>7147</v>
      </c>
      <c r="E3806" s="26" t="s">
        <v>7127</v>
      </c>
      <c r="F3806" s="26" t="s">
        <v>7128</v>
      </c>
      <c r="G3806" s="34" t="s">
        <v>156</v>
      </c>
      <c r="H3806" s="26" t="s">
        <v>8249</v>
      </c>
      <c r="I3806" s="26" t="s">
        <v>8250</v>
      </c>
      <c r="J3806" s="46">
        <v>3</v>
      </c>
      <c r="K3806" s="46">
        <v>275</v>
      </c>
      <c r="L3806" s="136"/>
      <c r="M3806" s="137" t="s">
        <v>44</v>
      </c>
      <c r="O3806" s="138">
        <v>150</v>
      </c>
      <c r="V3806" s="26"/>
      <c r="W3806" s="26"/>
      <c r="X3806" s="26"/>
      <c r="Y3806" s="26"/>
      <c r="Z3806" s="26"/>
      <c r="AA3806" s="131"/>
    </row>
    <row r="3807" spans="1:27" ht="15" customHeight="1" x14ac:dyDescent="0.2">
      <c r="A3807" s="37">
        <v>41829.517685185201</v>
      </c>
      <c r="B3807" s="26" t="s">
        <v>152</v>
      </c>
      <c r="C3807" s="26" t="s">
        <v>707</v>
      </c>
      <c r="D3807" s="91" t="s">
        <v>7147</v>
      </c>
      <c r="E3807" s="26" t="s">
        <v>8251</v>
      </c>
      <c r="F3807" s="26" t="s">
        <v>373</v>
      </c>
      <c r="G3807" s="34" t="s">
        <v>26</v>
      </c>
      <c r="H3807" s="26" t="s">
        <v>8240</v>
      </c>
      <c r="I3807" s="26" t="s">
        <v>2986</v>
      </c>
      <c r="J3807" s="46">
        <v>3</v>
      </c>
      <c r="K3807" s="46">
        <v>235</v>
      </c>
      <c r="L3807" s="136"/>
      <c r="M3807" s="137" t="s">
        <v>22</v>
      </c>
      <c r="V3807" s="26"/>
      <c r="W3807" s="26"/>
      <c r="X3807" s="26"/>
      <c r="Y3807" s="26"/>
      <c r="Z3807" s="26"/>
      <c r="AA3807" s="131"/>
    </row>
    <row r="3808" spans="1:27" ht="15" customHeight="1" x14ac:dyDescent="0.2">
      <c r="A3808" s="37">
        <v>41829.519050925897</v>
      </c>
      <c r="B3808" s="26" t="s">
        <v>152</v>
      </c>
      <c r="C3808" s="26" t="s">
        <v>707</v>
      </c>
      <c r="D3808" s="91" t="s">
        <v>7147</v>
      </c>
      <c r="E3808" s="26" t="s">
        <v>6497</v>
      </c>
      <c r="F3808" s="26" t="s">
        <v>6517</v>
      </c>
      <c r="G3808" s="34" t="s">
        <v>26</v>
      </c>
      <c r="H3808" s="26" t="s">
        <v>6518</v>
      </c>
      <c r="I3808" s="26" t="s">
        <v>2986</v>
      </c>
      <c r="J3808" s="46">
        <v>1</v>
      </c>
      <c r="K3808" s="46">
        <v>15</v>
      </c>
      <c r="L3808" s="136"/>
      <c r="M3808" s="137" t="s">
        <v>22</v>
      </c>
      <c r="V3808" s="26"/>
      <c r="W3808" s="26"/>
      <c r="X3808" s="26"/>
      <c r="Y3808" s="26"/>
      <c r="Z3808" s="26"/>
      <c r="AA3808" s="131"/>
    </row>
    <row r="3809" spans="1:27" ht="15" customHeight="1" x14ac:dyDescent="0.2">
      <c r="A3809" s="37">
        <v>41829.519837963002</v>
      </c>
      <c r="B3809" s="26" t="s">
        <v>152</v>
      </c>
      <c r="C3809" s="26" t="s">
        <v>707</v>
      </c>
      <c r="D3809" s="91" t="s">
        <v>7147</v>
      </c>
      <c r="E3809" s="26" t="s">
        <v>6497</v>
      </c>
      <c r="F3809" s="26" t="s">
        <v>8241</v>
      </c>
      <c r="G3809" s="34" t="s">
        <v>26</v>
      </c>
      <c r="H3809" s="26" t="s">
        <v>6507</v>
      </c>
      <c r="I3809" s="26" t="s">
        <v>2986</v>
      </c>
      <c r="J3809" s="46">
        <v>1</v>
      </c>
      <c r="K3809" s="46">
        <v>12</v>
      </c>
      <c r="L3809" s="136"/>
      <c r="M3809" s="137" t="s">
        <v>22</v>
      </c>
      <c r="V3809" s="26"/>
      <c r="W3809" s="26"/>
      <c r="X3809" s="26"/>
      <c r="Y3809" s="26"/>
      <c r="Z3809" s="26"/>
      <c r="AA3809" s="131"/>
    </row>
    <row r="3810" spans="1:27" ht="15" customHeight="1" x14ac:dyDescent="0.2">
      <c r="A3810" s="37">
        <v>41829.5210532407</v>
      </c>
      <c r="B3810" s="26" t="s">
        <v>152</v>
      </c>
      <c r="C3810" s="26" t="s">
        <v>707</v>
      </c>
      <c r="D3810" s="91" t="s">
        <v>7147</v>
      </c>
      <c r="E3810" s="26" t="s">
        <v>6497</v>
      </c>
      <c r="F3810" s="26" t="s">
        <v>8252</v>
      </c>
      <c r="G3810" s="34" t="s">
        <v>26</v>
      </c>
      <c r="H3810" s="26" t="s">
        <v>8253</v>
      </c>
      <c r="I3810" s="26" t="s">
        <v>2986</v>
      </c>
      <c r="J3810" s="46">
        <v>2</v>
      </c>
      <c r="K3810" s="46">
        <v>11</v>
      </c>
      <c r="L3810" s="136">
        <v>6</v>
      </c>
      <c r="M3810" s="137" t="s">
        <v>22</v>
      </c>
      <c r="V3810" s="26"/>
      <c r="W3810" s="26"/>
      <c r="X3810" s="26"/>
      <c r="Y3810" s="26"/>
      <c r="Z3810" s="26"/>
      <c r="AA3810" s="131"/>
    </row>
    <row r="3811" spans="1:27" ht="15" customHeight="1" x14ac:dyDescent="0.2">
      <c r="A3811" s="37">
        <v>41829.522060185198</v>
      </c>
      <c r="B3811" s="26" t="s">
        <v>152</v>
      </c>
      <c r="C3811" s="26" t="s">
        <v>707</v>
      </c>
      <c r="D3811" s="91" t="s">
        <v>7147</v>
      </c>
      <c r="E3811" s="26" t="s">
        <v>8254</v>
      </c>
      <c r="F3811" s="26" t="s">
        <v>4513</v>
      </c>
      <c r="G3811" s="34" t="s">
        <v>26</v>
      </c>
      <c r="H3811" s="26" t="s">
        <v>4513</v>
      </c>
      <c r="I3811" s="26" t="s">
        <v>2986</v>
      </c>
      <c r="J3811" s="46">
        <v>1</v>
      </c>
      <c r="K3811" s="46">
        <v>7</v>
      </c>
      <c r="L3811" s="136"/>
      <c r="M3811" s="137" t="s">
        <v>44</v>
      </c>
      <c r="O3811" s="138">
        <v>15</v>
      </c>
      <c r="Q3811" s="138">
        <v>30</v>
      </c>
      <c r="V3811" s="26"/>
      <c r="W3811" s="26"/>
      <c r="X3811" s="26"/>
      <c r="Y3811" s="26"/>
      <c r="Z3811" s="26"/>
      <c r="AA3811" s="131"/>
    </row>
    <row r="3812" spans="1:27" ht="15" customHeight="1" x14ac:dyDescent="0.2">
      <c r="A3812" s="37">
        <v>41829.523472222201</v>
      </c>
      <c r="B3812" s="26" t="s">
        <v>152</v>
      </c>
      <c r="C3812" s="26" t="s">
        <v>707</v>
      </c>
      <c r="D3812" s="91" t="s">
        <v>7147</v>
      </c>
      <c r="E3812" s="26" t="s">
        <v>3555</v>
      </c>
      <c r="F3812" s="26" t="s">
        <v>8255</v>
      </c>
      <c r="G3812" s="34" t="s">
        <v>26</v>
      </c>
      <c r="H3812" s="26" t="s">
        <v>8256</v>
      </c>
      <c r="I3812" s="26" t="s">
        <v>2812</v>
      </c>
      <c r="J3812" s="46">
        <v>1</v>
      </c>
      <c r="K3812" s="46">
        <v>16</v>
      </c>
      <c r="L3812" s="136"/>
      <c r="M3812" s="137" t="s">
        <v>44</v>
      </c>
      <c r="O3812" s="138">
        <v>25</v>
      </c>
      <c r="Q3812" s="138">
        <v>60</v>
      </c>
      <c r="V3812" s="26"/>
      <c r="W3812" s="26"/>
      <c r="X3812" s="26"/>
      <c r="Y3812" s="26"/>
      <c r="Z3812" s="26"/>
      <c r="AA3812" s="131"/>
    </row>
    <row r="3813" spans="1:27" ht="15" customHeight="1" x14ac:dyDescent="0.2">
      <c r="A3813" s="37">
        <v>41829.524537037003</v>
      </c>
      <c r="B3813" s="26" t="s">
        <v>152</v>
      </c>
      <c r="C3813" s="26" t="s">
        <v>707</v>
      </c>
      <c r="D3813" s="91" t="s">
        <v>7147</v>
      </c>
      <c r="E3813" s="26" t="s">
        <v>523</v>
      </c>
      <c r="F3813" s="26" t="s">
        <v>8257</v>
      </c>
      <c r="G3813" s="34" t="s">
        <v>156</v>
      </c>
      <c r="H3813" s="26" t="s">
        <v>8258</v>
      </c>
      <c r="I3813" s="26" t="s">
        <v>2812</v>
      </c>
      <c r="J3813" s="46">
        <v>1</v>
      </c>
      <c r="K3813" s="46">
        <v>175</v>
      </c>
      <c r="L3813" s="136"/>
      <c r="M3813" s="137" t="s">
        <v>44</v>
      </c>
      <c r="O3813" s="138">
        <v>75</v>
      </c>
      <c r="V3813" s="26"/>
      <c r="W3813" s="26"/>
      <c r="X3813" s="26"/>
      <c r="Y3813" s="26"/>
      <c r="Z3813" s="26"/>
      <c r="AA3813" s="131"/>
    </row>
    <row r="3814" spans="1:27" ht="15" customHeight="1" x14ac:dyDescent="0.2">
      <c r="A3814" s="37">
        <v>41829.525914351798</v>
      </c>
      <c r="B3814" s="26" t="s">
        <v>152</v>
      </c>
      <c r="C3814" s="26" t="s">
        <v>707</v>
      </c>
      <c r="D3814" s="91" t="s">
        <v>7147</v>
      </c>
      <c r="E3814" s="26" t="s">
        <v>6515</v>
      </c>
      <c r="F3814" s="26" t="s">
        <v>8259</v>
      </c>
      <c r="G3814" s="34" t="s">
        <v>26</v>
      </c>
      <c r="H3814" s="26" t="s">
        <v>8260</v>
      </c>
      <c r="I3814" s="26" t="s">
        <v>2986</v>
      </c>
      <c r="J3814" s="46">
        <v>1</v>
      </c>
      <c r="K3814" s="46">
        <v>2</v>
      </c>
      <c r="L3814" s="136">
        <v>5</v>
      </c>
      <c r="M3814" s="137" t="s">
        <v>44</v>
      </c>
      <c r="O3814" s="138">
        <v>5</v>
      </c>
      <c r="V3814" s="26"/>
      <c r="W3814" s="26"/>
      <c r="X3814" s="26"/>
      <c r="Y3814" s="26"/>
      <c r="Z3814" s="26"/>
      <c r="AA3814" s="131"/>
    </row>
    <row r="3815" spans="1:27" ht="15" customHeight="1" x14ac:dyDescent="0.2">
      <c r="A3815" s="37">
        <v>41829.527013888903</v>
      </c>
      <c r="B3815" s="26" t="s">
        <v>152</v>
      </c>
      <c r="C3815" s="26" t="s">
        <v>707</v>
      </c>
      <c r="D3815" s="91" t="s">
        <v>7147</v>
      </c>
      <c r="E3815" s="26" t="s">
        <v>8261</v>
      </c>
      <c r="F3815" s="26" t="s">
        <v>784</v>
      </c>
      <c r="G3815" s="34" t="s">
        <v>26</v>
      </c>
      <c r="H3815" s="26" t="s">
        <v>8262</v>
      </c>
      <c r="I3815" s="26" t="s">
        <v>2986</v>
      </c>
      <c r="J3815" s="46">
        <v>3</v>
      </c>
      <c r="K3815" s="46">
        <v>5</v>
      </c>
      <c r="L3815" s="136">
        <v>150</v>
      </c>
      <c r="M3815" s="137" t="s">
        <v>22</v>
      </c>
      <c r="V3815" s="26"/>
      <c r="W3815" s="26"/>
      <c r="X3815" s="26"/>
      <c r="Y3815" s="26"/>
      <c r="Z3815" s="26"/>
      <c r="AA3815" s="131"/>
    </row>
    <row r="3816" spans="1:27" ht="15" customHeight="1" x14ac:dyDescent="0.2">
      <c r="A3816" s="37">
        <v>41829.533437500002</v>
      </c>
      <c r="B3816" s="26" t="s">
        <v>152</v>
      </c>
      <c r="C3816" s="26" t="s">
        <v>707</v>
      </c>
      <c r="D3816" s="91" t="s">
        <v>7147</v>
      </c>
      <c r="E3816" s="26" t="s">
        <v>6515</v>
      </c>
      <c r="F3816" s="26" t="s">
        <v>8263</v>
      </c>
      <c r="G3816" s="34" t="s">
        <v>26</v>
      </c>
      <c r="H3816" s="26" t="s">
        <v>8264</v>
      </c>
      <c r="I3816" s="26" t="s">
        <v>2812</v>
      </c>
      <c r="J3816" s="46">
        <v>1</v>
      </c>
      <c r="K3816" s="46">
        <v>32</v>
      </c>
      <c r="L3816" s="136"/>
      <c r="M3816" s="137" t="s">
        <v>44</v>
      </c>
      <c r="O3816" s="138">
        <v>50</v>
      </c>
      <c r="V3816" s="26"/>
      <c r="W3816" s="26"/>
      <c r="X3816" s="26"/>
      <c r="Y3816" s="26"/>
      <c r="Z3816" s="26"/>
      <c r="AA3816" s="131"/>
    </row>
    <row r="3817" spans="1:27" ht="15" customHeight="1" x14ac:dyDescent="0.2">
      <c r="A3817" s="37">
        <v>41829.5343055556</v>
      </c>
      <c r="B3817" s="26" t="s">
        <v>152</v>
      </c>
      <c r="C3817" s="26" t="s">
        <v>707</v>
      </c>
      <c r="D3817" s="91" t="s">
        <v>7147</v>
      </c>
      <c r="E3817" s="26" t="s">
        <v>779</v>
      </c>
      <c r="F3817" s="26" t="s">
        <v>6517</v>
      </c>
      <c r="G3817" s="34" t="s">
        <v>26</v>
      </c>
      <c r="H3817" s="26" t="s">
        <v>6518</v>
      </c>
      <c r="I3817" s="26" t="s">
        <v>2986</v>
      </c>
      <c r="J3817" s="46">
        <v>1</v>
      </c>
      <c r="K3817" s="46">
        <v>32</v>
      </c>
      <c r="L3817" s="136"/>
      <c r="M3817" s="137" t="s">
        <v>22</v>
      </c>
      <c r="V3817" s="26"/>
      <c r="W3817" s="26"/>
      <c r="X3817" s="26"/>
      <c r="Y3817" s="26"/>
      <c r="Z3817" s="26"/>
      <c r="AA3817" s="131"/>
    </row>
    <row r="3818" spans="1:27" ht="15" customHeight="1" x14ac:dyDescent="0.2">
      <c r="A3818" s="37">
        <v>41829.535185185203</v>
      </c>
      <c r="B3818" s="26" t="s">
        <v>152</v>
      </c>
      <c r="C3818" s="26" t="s">
        <v>707</v>
      </c>
      <c r="D3818" s="91" t="s">
        <v>7147</v>
      </c>
      <c r="E3818" s="26" t="s">
        <v>523</v>
      </c>
      <c r="F3818" s="26" t="s">
        <v>8241</v>
      </c>
      <c r="G3818" s="34" t="s">
        <v>26</v>
      </c>
      <c r="H3818" s="26" t="s">
        <v>6507</v>
      </c>
      <c r="I3818" s="26" t="s">
        <v>2986</v>
      </c>
      <c r="J3818" s="46">
        <v>1</v>
      </c>
      <c r="K3818" s="46">
        <v>18</v>
      </c>
      <c r="L3818" s="136"/>
      <c r="M3818" s="137" t="s">
        <v>22</v>
      </c>
      <c r="V3818" s="26"/>
      <c r="W3818" s="26"/>
      <c r="X3818" s="26"/>
      <c r="Y3818" s="26"/>
      <c r="Z3818" s="26"/>
      <c r="AA3818" s="131"/>
    </row>
    <row r="3819" spans="1:27" ht="15" customHeight="1" x14ac:dyDescent="0.2">
      <c r="A3819" s="37">
        <v>41829.535925925898</v>
      </c>
      <c r="B3819" s="26" t="s">
        <v>152</v>
      </c>
      <c r="C3819" s="26" t="s">
        <v>707</v>
      </c>
      <c r="D3819" s="91" t="s">
        <v>7147</v>
      </c>
      <c r="E3819" s="26" t="s">
        <v>741</v>
      </c>
      <c r="F3819" s="26" t="s">
        <v>6498</v>
      </c>
      <c r="G3819" s="34" t="s">
        <v>26</v>
      </c>
      <c r="H3819" s="26" t="s">
        <v>6499</v>
      </c>
      <c r="I3819" s="26" t="s">
        <v>2986</v>
      </c>
      <c r="K3819" s="46">
        <v>55</v>
      </c>
      <c r="L3819" s="136"/>
      <c r="M3819" s="137" t="s">
        <v>22</v>
      </c>
      <c r="V3819" s="26"/>
      <c r="W3819" s="26"/>
      <c r="X3819" s="26"/>
      <c r="Y3819" s="26"/>
      <c r="Z3819" s="26"/>
      <c r="AA3819" s="131"/>
    </row>
    <row r="3820" spans="1:27" ht="15" customHeight="1" x14ac:dyDescent="0.2">
      <c r="A3820" s="37">
        <v>41829.542372685202</v>
      </c>
      <c r="B3820" s="26" t="s">
        <v>152</v>
      </c>
      <c r="C3820" s="26" t="s">
        <v>707</v>
      </c>
      <c r="D3820" s="91" t="s">
        <v>7147</v>
      </c>
      <c r="E3820" s="26" t="s">
        <v>8265</v>
      </c>
      <c r="F3820" s="26" t="s">
        <v>8266</v>
      </c>
      <c r="G3820" s="34" t="s">
        <v>26</v>
      </c>
      <c r="H3820" s="26" t="s">
        <v>8267</v>
      </c>
      <c r="I3820" s="26" t="s">
        <v>2812</v>
      </c>
      <c r="J3820" s="46">
        <v>1</v>
      </c>
      <c r="K3820" s="46">
        <v>27</v>
      </c>
      <c r="L3820" s="136"/>
      <c r="M3820" s="137" t="s">
        <v>44</v>
      </c>
      <c r="O3820" s="138">
        <v>20</v>
      </c>
      <c r="V3820" s="26"/>
      <c r="W3820" s="26"/>
      <c r="X3820" s="26"/>
      <c r="Y3820" s="26"/>
      <c r="Z3820" s="26"/>
      <c r="AA3820" s="131"/>
    </row>
    <row r="3821" spans="1:27" ht="15" customHeight="1" x14ac:dyDescent="0.2">
      <c r="A3821" s="37">
        <v>41829.626678240696</v>
      </c>
      <c r="B3821" s="34" t="s">
        <v>38</v>
      </c>
      <c r="C3821" s="26" t="s">
        <v>328</v>
      </c>
      <c r="D3821" s="91" t="s">
        <v>7147</v>
      </c>
      <c r="E3821" s="26" t="s">
        <v>8268</v>
      </c>
      <c r="F3821" s="26" t="s">
        <v>1530</v>
      </c>
      <c r="G3821" s="34" t="s">
        <v>26</v>
      </c>
      <c r="H3821" s="26" t="s">
        <v>8269</v>
      </c>
      <c r="I3821" s="26" t="s">
        <v>2986</v>
      </c>
      <c r="J3821" s="46">
        <v>1</v>
      </c>
      <c r="K3821" s="46">
        <v>5</v>
      </c>
      <c r="L3821" s="136">
        <v>20</v>
      </c>
      <c r="M3821" s="137" t="s">
        <v>44</v>
      </c>
      <c r="S3821" s="138">
        <v>9</v>
      </c>
      <c r="V3821" s="26" t="s">
        <v>8270</v>
      </c>
      <c r="W3821" s="26"/>
      <c r="X3821" s="26"/>
      <c r="Y3821" s="26"/>
      <c r="Z3821" s="26"/>
      <c r="AA3821" s="131"/>
    </row>
    <row r="3822" spans="1:27" ht="15" customHeight="1" x14ac:dyDescent="0.2">
      <c r="A3822" s="37">
        <v>41829.630937499998</v>
      </c>
      <c r="B3822" s="34" t="s">
        <v>38</v>
      </c>
      <c r="C3822" s="26" t="s">
        <v>328</v>
      </c>
      <c r="D3822" s="91" t="s">
        <v>7147</v>
      </c>
      <c r="E3822" s="26" t="s">
        <v>8271</v>
      </c>
      <c r="F3822" s="26" t="s">
        <v>890</v>
      </c>
      <c r="G3822" s="34" t="s">
        <v>26</v>
      </c>
      <c r="H3822" s="26" t="s">
        <v>7231</v>
      </c>
      <c r="I3822" s="26" t="s">
        <v>2986</v>
      </c>
      <c r="J3822" s="46">
        <v>1</v>
      </c>
      <c r="K3822" s="46">
        <v>0</v>
      </c>
      <c r="L3822" s="136"/>
      <c r="M3822" s="137" t="s">
        <v>22</v>
      </c>
      <c r="V3822" s="26" t="s">
        <v>8272</v>
      </c>
      <c r="W3822" s="26"/>
      <c r="X3822" s="26"/>
      <c r="Y3822" s="26"/>
      <c r="Z3822" s="26"/>
      <c r="AA3822" s="131"/>
    </row>
    <row r="3823" spans="1:27" ht="15" customHeight="1" x14ac:dyDescent="0.2">
      <c r="A3823" s="37">
        <v>41829.634826388901</v>
      </c>
      <c r="B3823" s="26" t="s">
        <v>38</v>
      </c>
      <c r="C3823" s="26" t="s">
        <v>8273</v>
      </c>
      <c r="D3823" s="91" t="s">
        <v>7147</v>
      </c>
      <c r="E3823" s="26" t="s">
        <v>8274</v>
      </c>
      <c r="F3823" s="26" t="s">
        <v>8275</v>
      </c>
      <c r="G3823" s="34" t="s">
        <v>26</v>
      </c>
      <c r="H3823" s="26" t="s">
        <v>8276</v>
      </c>
      <c r="I3823" s="26" t="s">
        <v>8277</v>
      </c>
      <c r="J3823" s="46">
        <v>5</v>
      </c>
      <c r="K3823" s="46">
        <v>22</v>
      </c>
      <c r="L3823" s="136">
        <v>176</v>
      </c>
      <c r="M3823" s="137" t="s">
        <v>22</v>
      </c>
      <c r="V3823" s="26"/>
      <c r="W3823" s="26"/>
      <c r="X3823" s="26"/>
      <c r="Y3823" s="26"/>
      <c r="Z3823" s="26"/>
      <c r="AA3823" s="131"/>
    </row>
    <row r="3824" spans="1:27" ht="15" customHeight="1" x14ac:dyDescent="0.2">
      <c r="A3824" s="37">
        <v>41829.635787036997</v>
      </c>
      <c r="B3824" s="26" t="s">
        <v>38</v>
      </c>
      <c r="C3824" s="26" t="s">
        <v>8273</v>
      </c>
      <c r="D3824" s="91" t="s">
        <v>7147</v>
      </c>
      <c r="E3824" s="26" t="s">
        <v>8278</v>
      </c>
      <c r="F3824" s="26" t="s">
        <v>8279</v>
      </c>
      <c r="G3824" s="34" t="s">
        <v>26</v>
      </c>
      <c r="H3824" s="26" t="s">
        <v>8280</v>
      </c>
      <c r="I3824" s="26" t="s">
        <v>8277</v>
      </c>
      <c r="J3824" s="46">
        <v>2</v>
      </c>
      <c r="K3824" s="46">
        <v>8</v>
      </c>
      <c r="L3824" s="136">
        <v>8</v>
      </c>
      <c r="M3824" s="137" t="s">
        <v>22</v>
      </c>
      <c r="V3824" s="26"/>
      <c r="W3824" s="26"/>
      <c r="X3824" s="26"/>
      <c r="Y3824" s="26"/>
      <c r="Z3824" s="26"/>
      <c r="AA3824" s="131"/>
    </row>
    <row r="3825" spans="1:27" ht="15" customHeight="1" x14ac:dyDescent="0.2">
      <c r="A3825" s="37">
        <v>41829.637060185203</v>
      </c>
      <c r="B3825" s="26" t="s">
        <v>38</v>
      </c>
      <c r="C3825" s="26" t="s">
        <v>8273</v>
      </c>
      <c r="D3825" s="91" t="s">
        <v>7147</v>
      </c>
      <c r="E3825" s="26" t="s">
        <v>7546</v>
      </c>
      <c r="F3825" s="26" t="s">
        <v>7292</v>
      </c>
      <c r="G3825" s="34" t="s">
        <v>26</v>
      </c>
      <c r="H3825" s="26" t="s">
        <v>8281</v>
      </c>
      <c r="I3825" s="26" t="s">
        <v>8282</v>
      </c>
      <c r="J3825" s="46">
        <v>2</v>
      </c>
      <c r="K3825" s="46">
        <v>16</v>
      </c>
      <c r="L3825" s="136">
        <v>16</v>
      </c>
      <c r="M3825" s="137" t="s">
        <v>22</v>
      </c>
      <c r="V3825" s="26"/>
      <c r="W3825" s="26"/>
      <c r="X3825" s="26"/>
      <c r="Y3825" s="26"/>
      <c r="Z3825" s="26"/>
      <c r="AA3825" s="131"/>
    </row>
    <row r="3826" spans="1:27" ht="15" customHeight="1" x14ac:dyDescent="0.2">
      <c r="A3826" s="37">
        <v>41830.345578703702</v>
      </c>
      <c r="B3826" s="26" t="s">
        <v>152</v>
      </c>
      <c r="C3826" s="26" t="s">
        <v>8182</v>
      </c>
      <c r="D3826" s="91" t="s">
        <v>7147</v>
      </c>
      <c r="E3826" s="26" t="s">
        <v>8283</v>
      </c>
      <c r="F3826" s="26" t="s">
        <v>8284</v>
      </c>
      <c r="G3826" s="34" t="s">
        <v>156</v>
      </c>
      <c r="H3826" s="26" t="s">
        <v>403</v>
      </c>
      <c r="I3826" s="26" t="s">
        <v>3265</v>
      </c>
      <c r="K3826" s="46">
        <v>2200</v>
      </c>
      <c r="L3826" s="136" t="s">
        <v>8285</v>
      </c>
      <c r="M3826" s="137" t="s">
        <v>44</v>
      </c>
      <c r="O3826" s="138">
        <v>1250</v>
      </c>
      <c r="T3826" s="138" t="s">
        <v>8286</v>
      </c>
      <c r="V3826" s="26"/>
      <c r="W3826" s="26"/>
      <c r="X3826" s="26"/>
      <c r="Y3826" s="26"/>
      <c r="Z3826" s="26"/>
      <c r="AA3826" s="131"/>
    </row>
    <row r="3827" spans="1:27" ht="15" customHeight="1" x14ac:dyDescent="0.2">
      <c r="A3827" s="37">
        <v>41830.382488425901</v>
      </c>
      <c r="B3827" s="26" t="s">
        <v>38</v>
      </c>
      <c r="C3827" s="26" t="s">
        <v>549</v>
      </c>
      <c r="D3827" s="91" t="s">
        <v>7147</v>
      </c>
      <c r="E3827" s="26" t="s">
        <v>8287</v>
      </c>
      <c r="F3827" s="26" t="s">
        <v>8288</v>
      </c>
      <c r="G3827" s="34" t="s">
        <v>26</v>
      </c>
      <c r="H3827" s="26" t="s">
        <v>8289</v>
      </c>
      <c r="I3827" s="26" t="s">
        <v>4942</v>
      </c>
      <c r="J3827" s="46">
        <v>3</v>
      </c>
      <c r="K3827" s="46">
        <v>75</v>
      </c>
      <c r="L3827" s="136"/>
      <c r="M3827" s="137" t="s">
        <v>22</v>
      </c>
      <c r="V3827" s="26"/>
      <c r="W3827" s="26"/>
      <c r="X3827" s="26"/>
      <c r="Y3827" s="26"/>
      <c r="Z3827" s="26"/>
      <c r="AA3827" s="131"/>
    </row>
    <row r="3828" spans="1:27" ht="15" customHeight="1" x14ac:dyDescent="0.2">
      <c r="A3828" s="37">
        <v>41830.383738425902</v>
      </c>
      <c r="B3828" s="26" t="s">
        <v>38</v>
      </c>
      <c r="C3828" s="26" t="s">
        <v>549</v>
      </c>
      <c r="D3828" s="91" t="s">
        <v>7147</v>
      </c>
      <c r="E3828" s="26" t="s">
        <v>8290</v>
      </c>
      <c r="F3828" s="26" t="s">
        <v>2100</v>
      </c>
      <c r="G3828" s="34" t="s">
        <v>26</v>
      </c>
      <c r="H3828" s="26" t="s">
        <v>8291</v>
      </c>
      <c r="I3828" s="26" t="s">
        <v>2812</v>
      </c>
      <c r="J3828" s="46">
        <v>4</v>
      </c>
      <c r="K3828" s="46">
        <v>12</v>
      </c>
      <c r="L3828" s="136"/>
      <c r="M3828" s="137" t="s">
        <v>22</v>
      </c>
      <c r="V3828" s="26"/>
      <c r="W3828" s="26"/>
      <c r="X3828" s="26"/>
      <c r="Y3828" s="26"/>
      <c r="Z3828" s="26"/>
      <c r="AA3828" s="131"/>
    </row>
    <row r="3829" spans="1:27" ht="15" customHeight="1" x14ac:dyDescent="0.2">
      <c r="A3829" s="37">
        <v>41830.385879629597</v>
      </c>
      <c r="B3829" s="26" t="s">
        <v>38</v>
      </c>
      <c r="C3829" s="26" t="s">
        <v>549</v>
      </c>
      <c r="D3829" s="91" t="s">
        <v>7147</v>
      </c>
      <c r="E3829" s="26" t="s">
        <v>8292</v>
      </c>
      <c r="F3829" s="26" t="s">
        <v>8293</v>
      </c>
      <c r="G3829" s="34" t="s">
        <v>156</v>
      </c>
      <c r="H3829" s="26" t="s">
        <v>8294</v>
      </c>
      <c r="I3829" s="26" t="s">
        <v>8295</v>
      </c>
      <c r="J3829" s="46">
        <v>1</v>
      </c>
      <c r="K3829" s="46">
        <v>53</v>
      </c>
      <c r="L3829" s="136">
        <v>1325</v>
      </c>
      <c r="M3829" s="137" t="s">
        <v>44</v>
      </c>
      <c r="O3829" s="138">
        <v>10</v>
      </c>
      <c r="P3829" s="138">
        <v>100</v>
      </c>
      <c r="V3829" s="26"/>
      <c r="W3829" s="26"/>
      <c r="X3829" s="26"/>
      <c r="Y3829" s="26"/>
      <c r="Z3829" s="26"/>
      <c r="AA3829" s="131"/>
    </row>
    <row r="3830" spans="1:27" ht="15" customHeight="1" x14ac:dyDescent="0.2">
      <c r="A3830" s="37">
        <v>41830.387523148202</v>
      </c>
      <c r="B3830" s="26" t="s">
        <v>38</v>
      </c>
      <c r="C3830" s="26" t="s">
        <v>549</v>
      </c>
      <c r="D3830" s="91" t="s">
        <v>7147</v>
      </c>
      <c r="E3830" s="26" t="s">
        <v>8296</v>
      </c>
      <c r="F3830" s="26" t="s">
        <v>8297</v>
      </c>
      <c r="G3830" s="34" t="s">
        <v>26</v>
      </c>
      <c r="H3830" s="26" t="s">
        <v>8298</v>
      </c>
      <c r="I3830" s="26" t="s">
        <v>8299</v>
      </c>
      <c r="J3830" s="46">
        <v>1</v>
      </c>
      <c r="K3830" s="46">
        <v>80</v>
      </c>
      <c r="L3830" s="136">
        <v>178</v>
      </c>
      <c r="M3830" s="137" t="s">
        <v>22</v>
      </c>
      <c r="V3830" s="26"/>
      <c r="W3830" s="26"/>
      <c r="X3830" s="26"/>
      <c r="Y3830" s="26"/>
      <c r="Z3830" s="26"/>
      <c r="AA3830" s="131"/>
    </row>
    <row r="3831" spans="1:27" ht="15" customHeight="1" x14ac:dyDescent="0.2">
      <c r="A3831" s="37">
        <v>41830.389178240701</v>
      </c>
      <c r="B3831" s="26" t="s">
        <v>38</v>
      </c>
      <c r="C3831" s="26" t="s">
        <v>549</v>
      </c>
      <c r="D3831" s="91" t="s">
        <v>7147</v>
      </c>
      <c r="E3831" s="26" t="s">
        <v>8300</v>
      </c>
      <c r="F3831" s="26" t="s">
        <v>555</v>
      </c>
      <c r="G3831" s="34" t="s">
        <v>26</v>
      </c>
      <c r="H3831" s="26"/>
      <c r="I3831" s="26" t="s">
        <v>3001</v>
      </c>
      <c r="J3831" s="46">
        <v>3</v>
      </c>
      <c r="K3831" s="46">
        <v>53</v>
      </c>
      <c r="L3831" s="136">
        <v>88</v>
      </c>
      <c r="M3831" s="137" t="s">
        <v>22</v>
      </c>
      <c r="V3831" s="26"/>
      <c r="W3831" s="26"/>
      <c r="X3831" s="26"/>
      <c r="Y3831" s="26"/>
      <c r="Z3831" s="26"/>
      <c r="AA3831" s="131"/>
    </row>
    <row r="3832" spans="1:27" ht="15" customHeight="1" x14ac:dyDescent="0.2">
      <c r="A3832" s="37">
        <v>41830.390023148102</v>
      </c>
      <c r="B3832" s="26" t="s">
        <v>38</v>
      </c>
      <c r="C3832" s="26" t="s">
        <v>549</v>
      </c>
      <c r="D3832" s="91" t="s">
        <v>7147</v>
      </c>
      <c r="E3832" s="26" t="s">
        <v>578</v>
      </c>
      <c r="F3832" s="26" t="s">
        <v>7569</v>
      </c>
      <c r="G3832" s="34" t="s">
        <v>26</v>
      </c>
      <c r="H3832" s="26" t="s">
        <v>579</v>
      </c>
      <c r="I3832" s="26" t="s">
        <v>2812</v>
      </c>
      <c r="J3832" s="46">
        <v>1</v>
      </c>
      <c r="K3832" s="46">
        <v>20</v>
      </c>
      <c r="L3832" s="136"/>
      <c r="M3832" s="137" t="s">
        <v>22</v>
      </c>
      <c r="V3832" s="26"/>
      <c r="W3832" s="26"/>
      <c r="X3832" s="26"/>
      <c r="Y3832" s="26"/>
      <c r="Z3832" s="26"/>
      <c r="AA3832" s="131"/>
    </row>
    <row r="3833" spans="1:27" ht="15" customHeight="1" x14ac:dyDescent="0.2">
      <c r="A3833" s="37">
        <v>41830.391157407401</v>
      </c>
      <c r="B3833" s="26" t="s">
        <v>38</v>
      </c>
      <c r="C3833" s="26" t="s">
        <v>549</v>
      </c>
      <c r="D3833" s="91" t="s">
        <v>7147</v>
      </c>
      <c r="E3833" s="26" t="s">
        <v>7066</v>
      </c>
      <c r="F3833" s="26" t="s">
        <v>7067</v>
      </c>
      <c r="G3833" s="34" t="s">
        <v>26</v>
      </c>
      <c r="H3833" s="26" t="s">
        <v>8301</v>
      </c>
      <c r="I3833" s="26" t="s">
        <v>3265</v>
      </c>
      <c r="J3833" s="46">
        <v>1</v>
      </c>
      <c r="K3833" s="46">
        <v>63</v>
      </c>
      <c r="L3833" s="136">
        <v>194</v>
      </c>
      <c r="M3833" s="137" t="s">
        <v>44</v>
      </c>
      <c r="O3833" s="138">
        <v>25</v>
      </c>
      <c r="V3833" s="26"/>
      <c r="W3833" s="26"/>
      <c r="X3833" s="26"/>
      <c r="Y3833" s="26"/>
      <c r="Z3833" s="26"/>
      <c r="AA3833" s="131"/>
    </row>
    <row r="3834" spans="1:27" ht="15" customHeight="1" x14ac:dyDescent="0.2">
      <c r="A3834" s="37">
        <v>41830.392592592601</v>
      </c>
      <c r="B3834" s="26" t="s">
        <v>38</v>
      </c>
      <c r="C3834" s="26" t="s">
        <v>549</v>
      </c>
      <c r="D3834" s="91" t="s">
        <v>7147</v>
      </c>
      <c r="E3834" s="26" t="s">
        <v>8302</v>
      </c>
      <c r="F3834" s="26" t="s">
        <v>8303</v>
      </c>
      <c r="G3834" s="34" t="s">
        <v>26</v>
      </c>
      <c r="H3834" s="26" t="s">
        <v>8304</v>
      </c>
      <c r="I3834" s="26" t="s">
        <v>2812</v>
      </c>
      <c r="J3834" s="46">
        <v>1</v>
      </c>
      <c r="K3834" s="46">
        <v>55</v>
      </c>
      <c r="L3834" s="136"/>
      <c r="M3834" s="137" t="s">
        <v>44</v>
      </c>
      <c r="O3834" s="138">
        <v>25</v>
      </c>
      <c r="P3834" s="138">
        <v>150</v>
      </c>
      <c r="V3834" s="26"/>
      <c r="W3834" s="26"/>
      <c r="X3834" s="26"/>
      <c r="Y3834" s="26"/>
      <c r="Z3834" s="26"/>
      <c r="AA3834" s="131"/>
    </row>
    <row r="3835" spans="1:27" ht="15" customHeight="1" x14ac:dyDescent="0.2">
      <c r="A3835" s="37">
        <v>41830.395104166702</v>
      </c>
      <c r="B3835" s="26" t="s">
        <v>38</v>
      </c>
      <c r="C3835" s="26" t="s">
        <v>549</v>
      </c>
      <c r="D3835" s="91" t="s">
        <v>7147</v>
      </c>
      <c r="E3835" s="26" t="s">
        <v>8305</v>
      </c>
      <c r="F3835" s="26" t="s">
        <v>8306</v>
      </c>
      <c r="G3835" s="34" t="s">
        <v>26</v>
      </c>
      <c r="H3835" s="26" t="s">
        <v>8307</v>
      </c>
      <c r="I3835" s="26" t="s">
        <v>2812</v>
      </c>
      <c r="J3835" s="46">
        <v>1</v>
      </c>
      <c r="K3835" s="46">
        <v>100</v>
      </c>
      <c r="L3835" s="136"/>
      <c r="M3835" s="137" t="s">
        <v>44</v>
      </c>
      <c r="O3835" s="138">
        <v>20</v>
      </c>
      <c r="V3835" s="26"/>
      <c r="W3835" s="26"/>
      <c r="X3835" s="26"/>
      <c r="Y3835" s="26"/>
      <c r="Z3835" s="26"/>
      <c r="AA3835" s="131"/>
    </row>
    <row r="3836" spans="1:27" ht="15" customHeight="1" x14ac:dyDescent="0.2">
      <c r="A3836" s="37">
        <v>41830.396585648101</v>
      </c>
      <c r="B3836" s="26" t="s">
        <v>38</v>
      </c>
      <c r="C3836" s="26" t="s">
        <v>549</v>
      </c>
      <c r="D3836" s="91" t="s">
        <v>7147</v>
      </c>
      <c r="E3836" s="26" t="s">
        <v>8308</v>
      </c>
      <c r="F3836" s="26" t="s">
        <v>8309</v>
      </c>
      <c r="G3836" s="34" t="s">
        <v>156</v>
      </c>
      <c r="H3836" s="26" t="s">
        <v>8310</v>
      </c>
      <c r="I3836" s="26" t="s">
        <v>3265</v>
      </c>
      <c r="J3836" s="46">
        <v>1</v>
      </c>
      <c r="K3836" s="46">
        <v>70</v>
      </c>
      <c r="L3836" s="136">
        <v>158</v>
      </c>
      <c r="M3836" s="137" t="s">
        <v>44</v>
      </c>
      <c r="Q3836" s="138">
        <v>56</v>
      </c>
      <c r="V3836" s="26"/>
      <c r="W3836" s="26"/>
      <c r="X3836" s="26"/>
      <c r="Y3836" s="26"/>
      <c r="Z3836" s="26"/>
      <c r="AA3836" s="131"/>
    </row>
    <row r="3837" spans="1:27" ht="15" customHeight="1" x14ac:dyDescent="0.2">
      <c r="A3837" s="37">
        <v>41830.3975347222</v>
      </c>
      <c r="B3837" s="26" t="s">
        <v>38</v>
      </c>
      <c r="C3837" s="26" t="s">
        <v>549</v>
      </c>
      <c r="D3837" s="91" t="s">
        <v>7147</v>
      </c>
      <c r="E3837" s="26" t="s">
        <v>8296</v>
      </c>
      <c r="F3837" s="26" t="s">
        <v>8311</v>
      </c>
      <c r="G3837" s="34" t="s">
        <v>26</v>
      </c>
      <c r="H3837" s="26" t="s">
        <v>8312</v>
      </c>
      <c r="I3837" s="26" t="s">
        <v>2812</v>
      </c>
      <c r="J3837" s="46">
        <v>1</v>
      </c>
      <c r="K3837" s="46">
        <v>109</v>
      </c>
      <c r="L3837" s="136"/>
      <c r="M3837" s="137" t="s">
        <v>22</v>
      </c>
      <c r="V3837" s="26"/>
      <c r="W3837" s="26"/>
      <c r="X3837" s="26"/>
      <c r="Y3837" s="26"/>
      <c r="Z3837" s="26"/>
      <c r="AA3837" s="131"/>
    </row>
    <row r="3838" spans="1:27" ht="15" customHeight="1" x14ac:dyDescent="0.2">
      <c r="A3838" s="37">
        <v>41830.399212962999</v>
      </c>
      <c r="B3838" s="26" t="s">
        <v>38</v>
      </c>
      <c r="C3838" s="26" t="s">
        <v>549</v>
      </c>
      <c r="D3838" s="91" t="s">
        <v>7147</v>
      </c>
      <c r="E3838" s="26" t="s">
        <v>8313</v>
      </c>
      <c r="F3838" s="26" t="s">
        <v>8314</v>
      </c>
      <c r="G3838" s="34" t="s">
        <v>26</v>
      </c>
      <c r="H3838" s="26" t="s">
        <v>8315</v>
      </c>
      <c r="I3838" s="26" t="s">
        <v>4942</v>
      </c>
      <c r="J3838" s="46">
        <v>4</v>
      </c>
      <c r="K3838" s="46">
        <v>70</v>
      </c>
      <c r="L3838" s="136">
        <v>55</v>
      </c>
      <c r="M3838" s="137" t="s">
        <v>22</v>
      </c>
      <c r="V3838" s="26"/>
      <c r="W3838" s="26"/>
      <c r="X3838" s="26"/>
      <c r="Y3838" s="26"/>
      <c r="Z3838" s="26"/>
      <c r="AA3838" s="131"/>
    </row>
    <row r="3839" spans="1:27" ht="15" customHeight="1" x14ac:dyDescent="0.2">
      <c r="A3839" s="37">
        <v>41830.401562500003</v>
      </c>
      <c r="B3839" s="26" t="s">
        <v>38</v>
      </c>
      <c r="C3839" s="26" t="s">
        <v>549</v>
      </c>
      <c r="D3839" s="91" t="s">
        <v>7147</v>
      </c>
      <c r="E3839" s="26" t="s">
        <v>8316</v>
      </c>
      <c r="F3839" s="26" t="s">
        <v>8317</v>
      </c>
      <c r="G3839" s="34" t="s">
        <v>42</v>
      </c>
      <c r="H3839" s="26" t="s">
        <v>8318</v>
      </c>
      <c r="I3839" s="26" t="s">
        <v>3265</v>
      </c>
      <c r="J3839" s="46">
        <v>10</v>
      </c>
      <c r="K3839" s="46">
        <v>23</v>
      </c>
      <c r="L3839" s="136"/>
      <c r="M3839" s="137" t="s">
        <v>44</v>
      </c>
      <c r="O3839" s="138">
        <v>15</v>
      </c>
      <c r="V3839" s="26"/>
      <c r="W3839" s="26"/>
      <c r="X3839" s="26"/>
      <c r="Y3839" s="26"/>
      <c r="Z3839" s="26"/>
      <c r="AA3839" s="131"/>
    </row>
    <row r="3840" spans="1:27" ht="15" customHeight="1" x14ac:dyDescent="0.2">
      <c r="A3840" s="37">
        <v>41830.402685185203</v>
      </c>
      <c r="B3840" s="26" t="s">
        <v>38</v>
      </c>
      <c r="C3840" s="26" t="s">
        <v>682</v>
      </c>
      <c r="D3840" s="91" t="s">
        <v>7147</v>
      </c>
      <c r="E3840" s="26" t="s">
        <v>8319</v>
      </c>
      <c r="F3840" s="26" t="s">
        <v>1553</v>
      </c>
      <c r="G3840" s="34" t="s">
        <v>60</v>
      </c>
      <c r="H3840" s="26" t="s">
        <v>8320</v>
      </c>
      <c r="I3840" s="26" t="s">
        <v>6174</v>
      </c>
      <c r="J3840" s="46">
        <v>189</v>
      </c>
      <c r="K3840" s="46">
        <v>500</v>
      </c>
      <c r="L3840" s="136">
        <v>1881</v>
      </c>
      <c r="M3840" s="137" t="s">
        <v>44</v>
      </c>
      <c r="N3840" s="138">
        <v>1881.37</v>
      </c>
      <c r="O3840" s="138">
        <v>0</v>
      </c>
      <c r="P3840" s="138">
        <v>500</v>
      </c>
      <c r="Q3840" s="138">
        <v>0</v>
      </c>
      <c r="R3840" s="138">
        <v>0</v>
      </c>
      <c r="S3840" s="138">
        <v>0</v>
      </c>
      <c r="T3840" s="138">
        <v>0</v>
      </c>
      <c r="U3840" s="138">
        <v>0</v>
      </c>
      <c r="V3840" s="26"/>
      <c r="W3840" s="26"/>
      <c r="X3840" s="26"/>
      <c r="Y3840" s="26"/>
      <c r="Z3840" s="26"/>
      <c r="AA3840" s="131"/>
    </row>
    <row r="3841" spans="1:27" ht="15" customHeight="1" x14ac:dyDescent="0.2">
      <c r="A3841" s="37">
        <v>41830.4027893518</v>
      </c>
      <c r="B3841" s="26" t="s">
        <v>38</v>
      </c>
      <c r="C3841" s="26" t="s">
        <v>549</v>
      </c>
      <c r="D3841" s="91" t="s">
        <v>7147</v>
      </c>
      <c r="E3841" s="26" t="s">
        <v>8321</v>
      </c>
      <c r="F3841" s="26" t="s">
        <v>8322</v>
      </c>
      <c r="G3841" s="34" t="s">
        <v>42</v>
      </c>
      <c r="H3841" s="26" t="s">
        <v>1027</v>
      </c>
      <c r="I3841" s="26" t="s">
        <v>4942</v>
      </c>
      <c r="J3841" s="46">
        <v>1</v>
      </c>
      <c r="K3841" s="46">
        <v>4</v>
      </c>
      <c r="L3841" s="136">
        <v>325</v>
      </c>
      <c r="M3841" s="137" t="s">
        <v>22</v>
      </c>
      <c r="V3841" s="26"/>
      <c r="W3841" s="26"/>
      <c r="X3841" s="26"/>
      <c r="Y3841" s="26"/>
      <c r="Z3841" s="26"/>
      <c r="AA3841" s="131"/>
    </row>
    <row r="3842" spans="1:27" ht="15" customHeight="1" x14ac:dyDescent="0.2">
      <c r="A3842" s="37">
        <v>41830.404328703698</v>
      </c>
      <c r="B3842" s="26" t="s">
        <v>38</v>
      </c>
      <c r="C3842" s="26" t="s">
        <v>549</v>
      </c>
      <c r="D3842" s="91" t="s">
        <v>7147</v>
      </c>
      <c r="E3842" s="26" t="s">
        <v>8323</v>
      </c>
      <c r="F3842" s="26" t="s">
        <v>8324</v>
      </c>
      <c r="G3842" s="34" t="s">
        <v>26</v>
      </c>
      <c r="H3842" s="26" t="s">
        <v>8325</v>
      </c>
      <c r="I3842" s="26" t="s">
        <v>2812</v>
      </c>
      <c r="J3842" s="46">
        <v>4</v>
      </c>
      <c r="K3842" s="46">
        <v>640</v>
      </c>
      <c r="L3842" s="136">
        <v>100</v>
      </c>
      <c r="M3842" s="137" t="s">
        <v>44</v>
      </c>
      <c r="V3842" s="26"/>
      <c r="W3842" s="26"/>
      <c r="X3842" s="26"/>
      <c r="Y3842" s="26"/>
      <c r="Z3842" s="26"/>
      <c r="AA3842" s="131"/>
    </row>
    <row r="3843" spans="1:27" ht="15" customHeight="1" x14ac:dyDescent="0.2">
      <c r="A3843" s="37">
        <v>41830.405231481498</v>
      </c>
      <c r="B3843" s="26" t="s">
        <v>38</v>
      </c>
      <c r="C3843" s="26" t="s">
        <v>682</v>
      </c>
      <c r="D3843" s="91" t="s">
        <v>7147</v>
      </c>
      <c r="E3843" s="26" t="s">
        <v>8326</v>
      </c>
      <c r="F3843" s="26" t="s">
        <v>785</v>
      </c>
      <c r="G3843" s="34" t="s">
        <v>26</v>
      </c>
      <c r="H3843" s="26" t="s">
        <v>8327</v>
      </c>
      <c r="I3843" s="26" t="s">
        <v>8328</v>
      </c>
      <c r="J3843" s="46">
        <v>1</v>
      </c>
      <c r="K3843" s="46">
        <v>11</v>
      </c>
      <c r="L3843" s="136">
        <v>770</v>
      </c>
      <c r="M3843" s="137" t="s">
        <v>22</v>
      </c>
      <c r="U3843" s="138">
        <v>0</v>
      </c>
      <c r="V3843" s="26"/>
      <c r="W3843" s="26"/>
      <c r="X3843" s="26"/>
      <c r="Y3843" s="26"/>
      <c r="Z3843" s="26"/>
      <c r="AA3843" s="131"/>
    </row>
    <row r="3844" spans="1:27" ht="15" customHeight="1" x14ac:dyDescent="0.2">
      <c r="A3844" s="37">
        <v>41830.405856481499</v>
      </c>
      <c r="B3844" s="26" t="s">
        <v>38</v>
      </c>
      <c r="C3844" s="26" t="s">
        <v>549</v>
      </c>
      <c r="D3844" s="91" t="s">
        <v>7147</v>
      </c>
      <c r="E3844" s="26" t="s">
        <v>2432</v>
      </c>
      <c r="F3844" s="26" t="s">
        <v>8329</v>
      </c>
      <c r="G3844" s="34" t="s">
        <v>42</v>
      </c>
      <c r="H3844" s="26" t="s">
        <v>8330</v>
      </c>
      <c r="I3844" s="26" t="s">
        <v>4942</v>
      </c>
      <c r="J3844" s="46">
        <v>1</v>
      </c>
      <c r="K3844" s="46">
        <v>40</v>
      </c>
      <c r="L3844" s="136">
        <v>200</v>
      </c>
      <c r="M3844" s="137" t="s">
        <v>22</v>
      </c>
      <c r="V3844" s="26"/>
      <c r="W3844" s="26"/>
      <c r="X3844" s="26"/>
      <c r="Y3844" s="26"/>
      <c r="Z3844" s="26"/>
      <c r="AA3844" s="131"/>
    </row>
    <row r="3845" spans="1:27" ht="15" customHeight="1" x14ac:dyDescent="0.2">
      <c r="A3845" s="37">
        <v>41830.406979166699</v>
      </c>
      <c r="B3845" s="26" t="s">
        <v>38</v>
      </c>
      <c r="C3845" s="26" t="s">
        <v>682</v>
      </c>
      <c r="D3845" s="91" t="s">
        <v>7147</v>
      </c>
      <c r="E3845" s="26" t="s">
        <v>8331</v>
      </c>
      <c r="F3845" s="26" t="s">
        <v>7292</v>
      </c>
      <c r="G3845" s="34" t="s">
        <v>20</v>
      </c>
      <c r="H3845" s="26" t="s">
        <v>8320</v>
      </c>
      <c r="I3845" s="26" t="s">
        <v>6174</v>
      </c>
      <c r="J3845" s="46">
        <v>1</v>
      </c>
      <c r="K3845" s="46">
        <v>26</v>
      </c>
      <c r="L3845" s="136">
        <v>78</v>
      </c>
      <c r="M3845" s="137" t="s">
        <v>44</v>
      </c>
      <c r="N3845" s="138">
        <v>78</v>
      </c>
      <c r="O3845" s="138">
        <v>0</v>
      </c>
      <c r="P3845" s="138">
        <v>25</v>
      </c>
      <c r="Q3845" s="138">
        <v>0</v>
      </c>
      <c r="R3845" s="138">
        <v>0</v>
      </c>
      <c r="S3845" s="138">
        <v>0</v>
      </c>
      <c r="T3845" s="138">
        <v>0</v>
      </c>
      <c r="U3845" s="138">
        <v>0</v>
      </c>
      <c r="V3845" s="26"/>
      <c r="W3845" s="26"/>
      <c r="X3845" s="26"/>
      <c r="Y3845" s="26"/>
      <c r="Z3845" s="26"/>
      <c r="AA3845" s="131"/>
    </row>
    <row r="3846" spans="1:27" ht="15" customHeight="1" x14ac:dyDescent="0.2">
      <c r="A3846" s="37">
        <v>41830.407048611101</v>
      </c>
      <c r="B3846" s="26" t="s">
        <v>38</v>
      </c>
      <c r="C3846" s="26" t="s">
        <v>549</v>
      </c>
      <c r="D3846" s="91" t="s">
        <v>7147</v>
      </c>
      <c r="E3846" s="26" t="s">
        <v>8332</v>
      </c>
      <c r="F3846" s="26" t="s">
        <v>8333</v>
      </c>
      <c r="G3846" s="34" t="s">
        <v>20</v>
      </c>
      <c r="H3846" s="26" t="s">
        <v>8334</v>
      </c>
      <c r="I3846" s="26" t="s">
        <v>4942</v>
      </c>
      <c r="J3846" s="46">
        <v>1</v>
      </c>
      <c r="K3846" s="46">
        <v>42</v>
      </c>
      <c r="L3846" s="136">
        <v>210</v>
      </c>
      <c r="M3846" s="137" t="s">
        <v>22</v>
      </c>
      <c r="V3846" s="26"/>
      <c r="W3846" s="26"/>
      <c r="X3846" s="26"/>
      <c r="Y3846" s="26"/>
      <c r="Z3846" s="26"/>
      <c r="AA3846" s="131"/>
    </row>
    <row r="3847" spans="1:27" ht="15" customHeight="1" x14ac:dyDescent="0.2">
      <c r="A3847" s="37">
        <v>41830.410891203697</v>
      </c>
      <c r="B3847" s="26" t="s">
        <v>38</v>
      </c>
      <c r="C3847" s="26" t="s">
        <v>549</v>
      </c>
      <c r="D3847" s="91" t="s">
        <v>7147</v>
      </c>
      <c r="E3847" s="26" t="s">
        <v>8335</v>
      </c>
      <c r="F3847" s="26" t="s">
        <v>8336</v>
      </c>
      <c r="G3847" s="34" t="s">
        <v>156</v>
      </c>
      <c r="H3847" s="26" t="s">
        <v>8337</v>
      </c>
      <c r="I3847" s="26" t="s">
        <v>2812</v>
      </c>
      <c r="J3847" s="46">
        <v>1</v>
      </c>
      <c r="K3847" s="46">
        <v>100</v>
      </c>
      <c r="L3847" s="136"/>
      <c r="M3847" s="137" t="s">
        <v>22</v>
      </c>
      <c r="U3847" s="138">
        <v>1313</v>
      </c>
      <c r="V3847" s="26" t="s">
        <v>8338</v>
      </c>
      <c r="W3847" s="26"/>
      <c r="X3847" s="26"/>
      <c r="Y3847" s="26"/>
      <c r="Z3847" s="26"/>
      <c r="AA3847" s="131"/>
    </row>
    <row r="3848" spans="1:27" ht="15" customHeight="1" x14ac:dyDescent="0.2">
      <c r="A3848" s="37">
        <v>41830.412673611099</v>
      </c>
      <c r="B3848" s="26" t="s">
        <v>38</v>
      </c>
      <c r="C3848" s="26" t="s">
        <v>682</v>
      </c>
      <c r="D3848" s="91" t="s">
        <v>7147</v>
      </c>
      <c r="E3848" s="26" t="s">
        <v>8339</v>
      </c>
      <c r="F3848" s="26" t="s">
        <v>1553</v>
      </c>
      <c r="G3848" s="34" t="s">
        <v>20</v>
      </c>
      <c r="H3848" s="26" t="s">
        <v>8320</v>
      </c>
      <c r="I3848" s="26" t="s">
        <v>6174</v>
      </c>
      <c r="J3848" s="46">
        <v>1</v>
      </c>
      <c r="K3848" s="46">
        <v>32</v>
      </c>
      <c r="L3848" s="136">
        <v>96</v>
      </c>
      <c r="M3848" s="137" t="s">
        <v>44</v>
      </c>
      <c r="N3848" s="138">
        <v>96</v>
      </c>
      <c r="O3848" s="138">
        <v>0</v>
      </c>
      <c r="P3848" s="138">
        <v>15</v>
      </c>
      <c r="Q3848" s="138">
        <v>0</v>
      </c>
      <c r="R3848" s="138">
        <v>0</v>
      </c>
      <c r="S3848" s="138">
        <v>0</v>
      </c>
      <c r="T3848" s="138">
        <v>0</v>
      </c>
      <c r="U3848" s="138">
        <v>0</v>
      </c>
      <c r="V3848" s="26"/>
      <c r="W3848" s="26"/>
      <c r="X3848" s="26"/>
      <c r="Y3848" s="26"/>
      <c r="Z3848" s="26"/>
      <c r="AA3848" s="131"/>
    </row>
    <row r="3849" spans="1:27" ht="15" customHeight="1" x14ac:dyDescent="0.2">
      <c r="A3849" s="37">
        <v>41830.4229976852</v>
      </c>
      <c r="B3849" s="34" t="s">
        <v>38</v>
      </c>
      <c r="C3849" s="26" t="s">
        <v>995</v>
      </c>
      <c r="D3849" s="91" t="s">
        <v>7147</v>
      </c>
      <c r="E3849" s="26" t="s">
        <v>8340</v>
      </c>
      <c r="F3849" s="26" t="s">
        <v>197</v>
      </c>
      <c r="G3849" s="34" t="s">
        <v>26</v>
      </c>
      <c r="H3849" s="26" t="s">
        <v>8341</v>
      </c>
      <c r="I3849" s="26" t="s">
        <v>2986</v>
      </c>
      <c r="J3849" s="46">
        <v>1</v>
      </c>
      <c r="K3849" s="46">
        <v>6</v>
      </c>
      <c r="L3849" s="136">
        <v>90</v>
      </c>
      <c r="M3849" s="137" t="s">
        <v>44</v>
      </c>
      <c r="O3849" s="138">
        <v>20</v>
      </c>
      <c r="V3849" s="26"/>
      <c r="W3849" s="26"/>
      <c r="X3849" s="26"/>
      <c r="Y3849" s="26"/>
      <c r="Z3849" s="26"/>
      <c r="AA3849" s="131"/>
    </row>
    <row r="3850" spans="1:27" ht="15" customHeight="1" x14ac:dyDescent="0.2">
      <c r="A3850" s="37">
        <v>41830.425162036998</v>
      </c>
      <c r="B3850" s="26" t="s">
        <v>16</v>
      </c>
      <c r="C3850" s="26" t="s">
        <v>3903</v>
      </c>
      <c r="D3850" s="91" t="s">
        <v>7147</v>
      </c>
      <c r="E3850" s="26" t="s">
        <v>8342</v>
      </c>
      <c r="F3850" s="26" t="s">
        <v>8343</v>
      </c>
      <c r="G3850" s="34" t="s">
        <v>42</v>
      </c>
      <c r="H3850" s="26" t="s">
        <v>8344</v>
      </c>
      <c r="I3850" s="26" t="s">
        <v>8345</v>
      </c>
      <c r="J3850" s="46">
        <v>1</v>
      </c>
      <c r="K3850" s="46">
        <v>25</v>
      </c>
      <c r="L3850" s="136">
        <v>375</v>
      </c>
      <c r="M3850" s="137" t="s">
        <v>22</v>
      </c>
      <c r="V3850" s="26"/>
      <c r="W3850" s="26"/>
      <c r="X3850" s="26"/>
      <c r="Y3850" s="26"/>
      <c r="Z3850" s="26"/>
      <c r="AA3850" s="131"/>
    </row>
    <row r="3851" spans="1:27" ht="15" customHeight="1" x14ac:dyDescent="0.2">
      <c r="A3851" s="37">
        <v>41830.431712963</v>
      </c>
      <c r="B3851" s="34" t="s">
        <v>38</v>
      </c>
      <c r="C3851" s="26" t="s">
        <v>995</v>
      </c>
      <c r="D3851" s="91" t="s">
        <v>7147</v>
      </c>
      <c r="E3851" s="26" t="s">
        <v>8346</v>
      </c>
      <c r="F3851" s="26" t="s">
        <v>1025</v>
      </c>
      <c r="G3851" s="34" t="s">
        <v>26</v>
      </c>
      <c r="H3851" s="26" t="s">
        <v>1168</v>
      </c>
      <c r="I3851" s="26" t="s">
        <v>2986</v>
      </c>
      <c r="J3851" s="46">
        <v>1</v>
      </c>
      <c r="K3851" s="46">
        <v>22</v>
      </c>
      <c r="L3851" s="136">
        <v>330</v>
      </c>
      <c r="M3851" s="137" t="s">
        <v>44</v>
      </c>
      <c r="O3851" s="138">
        <v>35</v>
      </c>
      <c r="P3851" s="138">
        <v>24</v>
      </c>
      <c r="V3851" s="26"/>
      <c r="W3851" s="26"/>
      <c r="X3851" s="26"/>
      <c r="Y3851" s="26"/>
      <c r="Z3851" s="26"/>
      <c r="AA3851" s="131"/>
    </row>
    <row r="3852" spans="1:27" ht="15" customHeight="1" x14ac:dyDescent="0.2">
      <c r="A3852" s="37">
        <v>41830.438634259299</v>
      </c>
      <c r="B3852" s="26" t="s">
        <v>152</v>
      </c>
      <c r="C3852" s="26" t="s">
        <v>1100</v>
      </c>
      <c r="D3852" s="91" t="s">
        <v>7147</v>
      </c>
      <c r="E3852" s="26" t="s">
        <v>8347</v>
      </c>
      <c r="F3852" s="26" t="s">
        <v>8348</v>
      </c>
      <c r="G3852" s="34" t="s">
        <v>42</v>
      </c>
      <c r="H3852" s="26" t="s">
        <v>8349</v>
      </c>
      <c r="I3852" s="26" t="s">
        <v>2986</v>
      </c>
      <c r="J3852" s="46">
        <v>1</v>
      </c>
      <c r="K3852" s="46">
        <v>18</v>
      </c>
      <c r="L3852" s="136">
        <v>90</v>
      </c>
      <c r="M3852" s="137" t="s">
        <v>22</v>
      </c>
      <c r="V3852" s="26"/>
      <c r="W3852" s="26"/>
      <c r="X3852" s="26"/>
      <c r="Y3852" s="26"/>
      <c r="Z3852" s="26"/>
      <c r="AA3852" s="131"/>
    </row>
    <row r="3853" spans="1:27" ht="15" customHeight="1" x14ac:dyDescent="0.2">
      <c r="A3853" s="37">
        <v>41830.440173611103</v>
      </c>
      <c r="B3853" s="26" t="s">
        <v>152</v>
      </c>
      <c r="C3853" s="26" t="s">
        <v>1100</v>
      </c>
      <c r="D3853" s="91" t="s">
        <v>7147</v>
      </c>
      <c r="E3853" s="26" t="s">
        <v>8350</v>
      </c>
      <c r="F3853" s="26" t="s">
        <v>8351</v>
      </c>
      <c r="G3853" s="34" t="s">
        <v>26</v>
      </c>
      <c r="H3853" s="26" t="s">
        <v>8352</v>
      </c>
      <c r="I3853" s="26" t="s">
        <v>2986</v>
      </c>
      <c r="J3853" s="46">
        <v>8</v>
      </c>
      <c r="K3853" s="46">
        <v>261</v>
      </c>
      <c r="L3853" s="136"/>
      <c r="M3853" s="137" t="s">
        <v>22</v>
      </c>
      <c r="V3853" s="26"/>
      <c r="W3853" s="26"/>
      <c r="X3853" s="26"/>
      <c r="Y3853" s="26"/>
      <c r="Z3853" s="26"/>
      <c r="AA3853" s="131"/>
    </row>
    <row r="3854" spans="1:27" ht="15" customHeight="1" x14ac:dyDescent="0.2">
      <c r="A3854" s="37">
        <v>41830.441388888903</v>
      </c>
      <c r="B3854" s="26" t="s">
        <v>152</v>
      </c>
      <c r="C3854" s="26" t="s">
        <v>1100</v>
      </c>
      <c r="D3854" s="91" t="s">
        <v>7147</v>
      </c>
      <c r="E3854" s="26" t="s">
        <v>8353</v>
      </c>
      <c r="F3854" s="26" t="s">
        <v>1113</v>
      </c>
      <c r="G3854" s="34" t="s">
        <v>26</v>
      </c>
      <c r="H3854" s="26" t="s">
        <v>7366</v>
      </c>
      <c r="I3854" s="26" t="s">
        <v>2986</v>
      </c>
      <c r="J3854" s="46">
        <v>12</v>
      </c>
      <c r="K3854" s="46">
        <v>307</v>
      </c>
      <c r="L3854" s="136"/>
      <c r="M3854" s="137" t="s">
        <v>22</v>
      </c>
      <c r="V3854" s="26"/>
      <c r="W3854" s="26"/>
      <c r="X3854" s="26"/>
      <c r="Y3854" s="26"/>
      <c r="Z3854" s="26"/>
      <c r="AA3854" s="131"/>
    </row>
    <row r="3855" spans="1:27" ht="15" customHeight="1" x14ac:dyDescent="0.2">
      <c r="A3855" s="37">
        <v>41830.4448611111</v>
      </c>
      <c r="B3855" s="26" t="s">
        <v>152</v>
      </c>
      <c r="C3855" s="26" t="s">
        <v>1100</v>
      </c>
      <c r="D3855" s="91" t="s">
        <v>7147</v>
      </c>
      <c r="E3855" s="26" t="s">
        <v>8354</v>
      </c>
      <c r="F3855" s="26" t="s">
        <v>8355</v>
      </c>
      <c r="G3855" s="34" t="s">
        <v>20</v>
      </c>
      <c r="H3855" s="26" t="s">
        <v>8356</v>
      </c>
      <c r="I3855" s="26" t="s">
        <v>2986</v>
      </c>
      <c r="J3855" s="46">
        <v>3</v>
      </c>
      <c r="K3855" s="46">
        <v>86</v>
      </c>
      <c r="L3855" s="136">
        <v>430</v>
      </c>
      <c r="M3855" s="137" t="s">
        <v>22</v>
      </c>
      <c r="V3855" s="26"/>
      <c r="W3855" s="26"/>
      <c r="X3855" s="26"/>
      <c r="Y3855" s="26"/>
      <c r="Z3855" s="26"/>
      <c r="AA3855" s="131"/>
    </row>
    <row r="3856" spans="1:27" ht="15" customHeight="1" x14ac:dyDescent="0.2">
      <c r="A3856" s="37">
        <v>41830.446134259299</v>
      </c>
      <c r="B3856" s="26" t="s">
        <v>152</v>
      </c>
      <c r="C3856" s="26" t="s">
        <v>1100</v>
      </c>
      <c r="D3856" s="91" t="s">
        <v>7147</v>
      </c>
      <c r="E3856" s="26" t="s">
        <v>8357</v>
      </c>
      <c r="F3856" s="26" t="s">
        <v>5678</v>
      </c>
      <c r="G3856" s="34" t="s">
        <v>26</v>
      </c>
      <c r="H3856" s="26" t="s">
        <v>2883</v>
      </c>
      <c r="I3856" s="26" t="s">
        <v>2986</v>
      </c>
      <c r="J3856" s="46">
        <v>2</v>
      </c>
      <c r="K3856" s="46">
        <v>153</v>
      </c>
      <c r="L3856" s="136">
        <v>765</v>
      </c>
      <c r="M3856" s="137" t="s">
        <v>22</v>
      </c>
      <c r="V3856" s="26"/>
      <c r="W3856" s="26"/>
      <c r="X3856" s="26"/>
      <c r="Y3856" s="26"/>
      <c r="Z3856" s="26"/>
      <c r="AA3856" s="131"/>
    </row>
    <row r="3857" spans="1:27" ht="15" customHeight="1" x14ac:dyDescent="0.2">
      <c r="A3857" s="37">
        <v>41830.4468865741</v>
      </c>
      <c r="B3857" s="26" t="s">
        <v>152</v>
      </c>
      <c r="C3857" s="26" t="s">
        <v>1100</v>
      </c>
      <c r="D3857" s="91" t="s">
        <v>7147</v>
      </c>
      <c r="E3857" s="26" t="s">
        <v>8358</v>
      </c>
      <c r="F3857" s="26" t="s">
        <v>1870</v>
      </c>
      <c r="G3857" s="34" t="s">
        <v>26</v>
      </c>
      <c r="H3857" s="26" t="s">
        <v>7366</v>
      </c>
      <c r="I3857" s="26" t="s">
        <v>2986</v>
      </c>
      <c r="J3857" s="46">
        <v>1</v>
      </c>
      <c r="K3857" s="46">
        <v>20</v>
      </c>
      <c r="L3857" s="136">
        <v>100</v>
      </c>
      <c r="M3857" s="137" t="s">
        <v>22</v>
      </c>
      <c r="V3857" s="26"/>
      <c r="W3857" s="26"/>
      <c r="X3857" s="26"/>
      <c r="Y3857" s="26"/>
      <c r="Z3857" s="26"/>
      <c r="AA3857" s="131"/>
    </row>
    <row r="3858" spans="1:27" ht="15" customHeight="1" x14ac:dyDescent="0.2">
      <c r="A3858" s="37">
        <v>41830.463668981502</v>
      </c>
      <c r="B3858" s="26" t="s">
        <v>152</v>
      </c>
      <c r="C3858" s="26" t="s">
        <v>465</v>
      </c>
      <c r="D3858" s="91" t="s">
        <v>7147</v>
      </c>
      <c r="E3858" s="26" t="s">
        <v>8359</v>
      </c>
      <c r="F3858" s="26" t="s">
        <v>8360</v>
      </c>
      <c r="G3858" s="34" t="s">
        <v>60</v>
      </c>
      <c r="H3858" s="26" t="s">
        <v>8361</v>
      </c>
      <c r="I3858" s="26" t="s">
        <v>2925</v>
      </c>
      <c r="J3858" s="46">
        <v>1</v>
      </c>
      <c r="K3858" s="46">
        <v>27</v>
      </c>
      <c r="L3858" s="136"/>
      <c r="M3858" s="137" t="s">
        <v>22</v>
      </c>
      <c r="V3858" s="26"/>
      <c r="W3858" s="26"/>
      <c r="X3858" s="26"/>
      <c r="Y3858" s="26"/>
      <c r="Z3858" s="26"/>
      <c r="AA3858" s="131"/>
    </row>
    <row r="3859" spans="1:27" ht="15" customHeight="1" x14ac:dyDescent="0.2">
      <c r="A3859" s="37">
        <v>41830.464930555601</v>
      </c>
      <c r="B3859" s="34" t="s">
        <v>38</v>
      </c>
      <c r="C3859" s="26" t="s">
        <v>995</v>
      </c>
      <c r="D3859" s="91" t="s">
        <v>7147</v>
      </c>
      <c r="E3859" s="26" t="s">
        <v>8362</v>
      </c>
      <c r="F3859" s="26" t="s">
        <v>8363</v>
      </c>
      <c r="G3859" s="34" t="s">
        <v>20</v>
      </c>
      <c r="H3859" s="26" t="s">
        <v>8364</v>
      </c>
      <c r="I3859" s="26" t="s">
        <v>2986</v>
      </c>
      <c r="J3859" s="46">
        <v>1</v>
      </c>
      <c r="K3859" s="46">
        <v>56</v>
      </c>
      <c r="L3859" s="136">
        <v>168</v>
      </c>
      <c r="M3859" s="137" t="s">
        <v>44</v>
      </c>
      <c r="P3859" s="138">
        <v>48</v>
      </c>
      <c r="V3859" s="26"/>
      <c r="W3859" s="26"/>
      <c r="X3859" s="26"/>
      <c r="Y3859" s="26"/>
      <c r="Z3859" s="26"/>
      <c r="AA3859" s="131"/>
    </row>
    <row r="3860" spans="1:27" ht="15" customHeight="1" x14ac:dyDescent="0.2">
      <c r="A3860" s="37">
        <v>41830.465462963002</v>
      </c>
      <c r="B3860" s="26" t="s">
        <v>152</v>
      </c>
      <c r="C3860" s="26" t="s">
        <v>465</v>
      </c>
      <c r="D3860" s="91" t="s">
        <v>7147</v>
      </c>
      <c r="E3860" s="26" t="s">
        <v>8365</v>
      </c>
      <c r="F3860" s="26" t="s">
        <v>8366</v>
      </c>
      <c r="G3860" s="34" t="s">
        <v>26</v>
      </c>
      <c r="H3860" s="26"/>
      <c r="I3860" s="26"/>
      <c r="J3860" s="46">
        <v>12</v>
      </c>
      <c r="K3860" s="46">
        <v>50</v>
      </c>
      <c r="L3860" s="136"/>
      <c r="M3860" s="137" t="s">
        <v>22</v>
      </c>
      <c r="V3860" s="26" t="s">
        <v>8367</v>
      </c>
      <c r="W3860" s="26"/>
      <c r="X3860" s="26"/>
      <c r="Y3860" s="26"/>
      <c r="Z3860" s="26"/>
      <c r="AA3860" s="131"/>
    </row>
    <row r="3861" spans="1:27" ht="15" customHeight="1" x14ac:dyDescent="0.2">
      <c r="A3861" s="37">
        <v>41830.587476851899</v>
      </c>
      <c r="B3861" s="34" t="s">
        <v>38</v>
      </c>
      <c r="C3861" s="26" t="s">
        <v>995</v>
      </c>
      <c r="D3861" s="91" t="s">
        <v>7147</v>
      </c>
      <c r="E3861" s="26" t="s">
        <v>8368</v>
      </c>
      <c r="F3861" s="26" t="s">
        <v>197</v>
      </c>
      <c r="G3861" s="34" t="s">
        <v>26</v>
      </c>
      <c r="H3861" s="26" t="s">
        <v>6791</v>
      </c>
      <c r="I3861" s="26" t="s">
        <v>2986</v>
      </c>
      <c r="J3861" s="46">
        <v>1</v>
      </c>
      <c r="K3861" s="46">
        <v>14</v>
      </c>
      <c r="L3861" s="136">
        <v>210</v>
      </c>
      <c r="M3861" s="137" t="s">
        <v>44</v>
      </c>
      <c r="O3861" s="138">
        <v>35</v>
      </c>
      <c r="V3861" s="26"/>
      <c r="W3861" s="26"/>
      <c r="X3861" s="26"/>
      <c r="Y3861" s="26"/>
      <c r="Z3861" s="26"/>
      <c r="AA3861" s="131"/>
    </row>
    <row r="3862" spans="1:27" ht="15" customHeight="1" x14ac:dyDescent="0.2">
      <c r="A3862" s="37">
        <v>41830.590046296304</v>
      </c>
      <c r="B3862" s="34" t="s">
        <v>38</v>
      </c>
      <c r="C3862" s="26" t="s">
        <v>995</v>
      </c>
      <c r="D3862" s="91" t="s">
        <v>7147</v>
      </c>
      <c r="E3862" s="26" t="s">
        <v>8369</v>
      </c>
      <c r="F3862" s="26" t="s">
        <v>197</v>
      </c>
      <c r="G3862" s="34" t="s">
        <v>26</v>
      </c>
      <c r="H3862" s="26" t="s">
        <v>6791</v>
      </c>
      <c r="I3862" s="26" t="s">
        <v>2986</v>
      </c>
      <c r="J3862" s="46">
        <v>1</v>
      </c>
      <c r="K3862" s="46">
        <v>17</v>
      </c>
      <c r="L3862" s="136">
        <v>255</v>
      </c>
      <c r="M3862" s="137" t="s">
        <v>44</v>
      </c>
      <c r="O3862" s="138">
        <v>40</v>
      </c>
      <c r="V3862" s="26"/>
      <c r="W3862" s="26"/>
      <c r="X3862" s="26"/>
      <c r="Y3862" s="26"/>
      <c r="Z3862" s="26"/>
      <c r="AA3862" s="131"/>
    </row>
    <row r="3863" spans="1:27" ht="15" customHeight="1" x14ac:dyDescent="0.2">
      <c r="A3863" s="37">
        <v>41830.592060185198</v>
      </c>
      <c r="B3863" s="34" t="s">
        <v>38</v>
      </c>
      <c r="C3863" s="26" t="s">
        <v>995</v>
      </c>
      <c r="D3863" s="91" t="s">
        <v>7147</v>
      </c>
      <c r="E3863" s="26" t="s">
        <v>1142</v>
      </c>
      <c r="F3863" s="26" t="s">
        <v>8370</v>
      </c>
      <c r="G3863" s="34" t="s">
        <v>26</v>
      </c>
      <c r="H3863" s="26" t="s">
        <v>8371</v>
      </c>
      <c r="I3863" s="26" t="s">
        <v>2986</v>
      </c>
      <c r="J3863" s="46" t="s">
        <v>8372</v>
      </c>
      <c r="K3863" s="46">
        <v>16</v>
      </c>
      <c r="L3863" s="136">
        <v>288</v>
      </c>
      <c r="M3863" s="137" t="s">
        <v>44</v>
      </c>
      <c r="O3863" s="138">
        <v>40</v>
      </c>
      <c r="P3863" s="138">
        <v>26</v>
      </c>
      <c r="V3863" s="26"/>
      <c r="W3863" s="26"/>
      <c r="X3863" s="26"/>
      <c r="Y3863" s="26"/>
      <c r="Z3863" s="26"/>
      <c r="AA3863" s="131"/>
    </row>
    <row r="3864" spans="1:27" ht="15" customHeight="1" x14ac:dyDescent="0.2">
      <c r="A3864" s="37">
        <v>41830.596122685201</v>
      </c>
      <c r="B3864" s="34" t="s">
        <v>38</v>
      </c>
      <c r="C3864" s="26" t="s">
        <v>995</v>
      </c>
      <c r="D3864" s="91" t="s">
        <v>7147</v>
      </c>
      <c r="E3864" s="26" t="s">
        <v>1725</v>
      </c>
      <c r="F3864" s="26" t="s">
        <v>197</v>
      </c>
      <c r="G3864" s="34" t="s">
        <v>26</v>
      </c>
      <c r="H3864" s="26" t="s">
        <v>8373</v>
      </c>
      <c r="I3864" s="26" t="s">
        <v>2986</v>
      </c>
      <c r="J3864" s="46">
        <v>1</v>
      </c>
      <c r="K3864" s="46">
        <v>25</v>
      </c>
      <c r="L3864" s="136">
        <v>375</v>
      </c>
      <c r="M3864" s="137" t="s">
        <v>44</v>
      </c>
      <c r="O3864" s="138">
        <v>55</v>
      </c>
      <c r="V3864" s="26"/>
      <c r="W3864" s="26"/>
      <c r="X3864" s="26"/>
      <c r="Y3864" s="26"/>
      <c r="Z3864" s="26"/>
      <c r="AA3864" s="131"/>
    </row>
    <row r="3865" spans="1:27" ht="15" customHeight="1" x14ac:dyDescent="0.2">
      <c r="A3865" s="37">
        <v>41830.603460648199</v>
      </c>
      <c r="B3865" s="26" t="s">
        <v>16</v>
      </c>
      <c r="C3865" s="26" t="s">
        <v>1153</v>
      </c>
      <c r="D3865" s="91" t="s">
        <v>8374</v>
      </c>
      <c r="E3865" s="26" t="s">
        <v>8375</v>
      </c>
      <c r="F3865" s="26" t="s">
        <v>575</v>
      </c>
      <c r="G3865" s="34" t="s">
        <v>26</v>
      </c>
      <c r="H3865" s="26"/>
      <c r="I3865" s="26" t="s">
        <v>2986</v>
      </c>
      <c r="J3865" s="115">
        <v>1</v>
      </c>
      <c r="K3865" s="115">
        <v>8</v>
      </c>
      <c r="L3865" s="136"/>
      <c r="M3865" s="137" t="s">
        <v>22</v>
      </c>
      <c r="V3865" s="26"/>
      <c r="W3865" s="26"/>
      <c r="X3865" s="26"/>
      <c r="Y3865" s="26"/>
      <c r="Z3865" s="26"/>
      <c r="AA3865" s="131"/>
    </row>
    <row r="3866" spans="1:27" ht="15" customHeight="1" x14ac:dyDescent="0.2">
      <c r="A3866" s="37">
        <v>41830.6050231482</v>
      </c>
      <c r="B3866" s="26" t="s">
        <v>16</v>
      </c>
      <c r="C3866" s="26" t="s">
        <v>1153</v>
      </c>
      <c r="D3866" s="91" t="s">
        <v>7147</v>
      </c>
      <c r="E3866" s="26" t="s">
        <v>8376</v>
      </c>
      <c r="F3866" s="26" t="s">
        <v>8377</v>
      </c>
      <c r="G3866" s="34" t="s">
        <v>26</v>
      </c>
      <c r="H3866" s="26"/>
      <c r="I3866" s="26" t="s">
        <v>2986</v>
      </c>
      <c r="J3866" s="46">
        <v>1</v>
      </c>
      <c r="K3866" s="46">
        <v>6</v>
      </c>
      <c r="L3866" s="136">
        <v>90</v>
      </c>
      <c r="M3866" s="137" t="s">
        <v>22</v>
      </c>
      <c r="V3866" s="26"/>
      <c r="W3866" s="26"/>
      <c r="X3866" s="26"/>
      <c r="Y3866" s="26"/>
      <c r="Z3866" s="26"/>
      <c r="AA3866" s="131"/>
    </row>
    <row r="3867" spans="1:27" ht="15" customHeight="1" x14ac:dyDescent="0.2">
      <c r="A3867" s="37">
        <v>41830.606828703698</v>
      </c>
      <c r="B3867" s="26" t="s">
        <v>16</v>
      </c>
      <c r="C3867" s="26" t="s">
        <v>1153</v>
      </c>
      <c r="D3867" s="91" t="s">
        <v>7147</v>
      </c>
      <c r="E3867" s="26" t="s">
        <v>8378</v>
      </c>
      <c r="F3867" s="26" t="s">
        <v>575</v>
      </c>
      <c r="G3867" s="34" t="s">
        <v>26</v>
      </c>
      <c r="H3867" s="26"/>
      <c r="I3867" s="26" t="s">
        <v>2986</v>
      </c>
      <c r="J3867" s="46">
        <v>1</v>
      </c>
      <c r="K3867" s="46">
        <v>7</v>
      </c>
      <c r="L3867" s="136"/>
      <c r="M3867" s="137" t="s">
        <v>22</v>
      </c>
      <c r="V3867" s="26"/>
      <c r="W3867" s="26"/>
      <c r="X3867" s="26"/>
      <c r="Y3867" s="26"/>
      <c r="Z3867" s="26"/>
      <c r="AA3867" s="131"/>
    </row>
    <row r="3868" spans="1:27" ht="15" customHeight="1" x14ac:dyDescent="0.2">
      <c r="A3868" s="37">
        <v>41830.614143518498</v>
      </c>
      <c r="B3868" s="26" t="s">
        <v>16</v>
      </c>
      <c r="C3868" s="26" t="s">
        <v>1153</v>
      </c>
      <c r="D3868" s="91" t="s">
        <v>7147</v>
      </c>
      <c r="E3868" s="26" t="s">
        <v>8379</v>
      </c>
      <c r="F3868" s="26" t="s">
        <v>1155</v>
      </c>
      <c r="G3868" s="34" t="s">
        <v>26</v>
      </c>
      <c r="H3868" s="26"/>
      <c r="I3868" s="26" t="s">
        <v>2986</v>
      </c>
      <c r="J3868" s="46">
        <v>60</v>
      </c>
      <c r="K3868" s="46">
        <v>277</v>
      </c>
      <c r="L3868" s="136">
        <v>4055</v>
      </c>
      <c r="M3868" s="137" t="s">
        <v>44</v>
      </c>
      <c r="P3868" s="138">
        <v>880</v>
      </c>
      <c r="Q3868" s="138">
        <v>665</v>
      </c>
      <c r="R3868" s="138">
        <v>2730</v>
      </c>
      <c r="U3868" s="138">
        <v>800</v>
      </c>
      <c r="V3868" s="26"/>
      <c r="W3868" s="26"/>
      <c r="X3868" s="26"/>
      <c r="Y3868" s="26"/>
      <c r="Z3868" s="26"/>
      <c r="AA3868" s="131"/>
    </row>
    <row r="3869" spans="1:27" ht="15" customHeight="1" x14ac:dyDescent="0.2">
      <c r="A3869" s="37">
        <v>41830.642673611103</v>
      </c>
      <c r="B3869" s="34" t="s">
        <v>38</v>
      </c>
      <c r="C3869" s="26" t="s">
        <v>995</v>
      </c>
      <c r="D3869" s="91" t="s">
        <v>7147</v>
      </c>
      <c r="E3869" s="26" t="s">
        <v>8380</v>
      </c>
      <c r="F3869" s="26" t="s">
        <v>8381</v>
      </c>
      <c r="G3869" s="34" t="s">
        <v>20</v>
      </c>
      <c r="H3869" s="26" t="s">
        <v>8382</v>
      </c>
      <c r="I3869" s="26" t="s">
        <v>2812</v>
      </c>
      <c r="J3869" s="46">
        <v>1</v>
      </c>
      <c r="K3869" s="46">
        <v>30</v>
      </c>
      <c r="L3869" s="136">
        <v>90</v>
      </c>
      <c r="M3869" s="137" t="s">
        <v>44</v>
      </c>
      <c r="P3869" s="138">
        <v>42</v>
      </c>
      <c r="V3869" s="26"/>
      <c r="W3869" s="26"/>
      <c r="X3869" s="26"/>
      <c r="Y3869" s="26"/>
      <c r="Z3869" s="26"/>
      <c r="AA3869" s="131"/>
    </row>
    <row r="3870" spans="1:27" ht="15" customHeight="1" x14ac:dyDescent="0.2">
      <c r="A3870" s="37">
        <v>41830.647650462997</v>
      </c>
      <c r="B3870" s="34" t="s">
        <v>38</v>
      </c>
      <c r="C3870" s="26" t="s">
        <v>995</v>
      </c>
      <c r="D3870" s="91" t="s">
        <v>7147</v>
      </c>
      <c r="E3870" s="26"/>
      <c r="F3870" s="26" t="s">
        <v>259</v>
      </c>
      <c r="G3870" s="34" t="s">
        <v>26</v>
      </c>
      <c r="H3870" s="26" t="s">
        <v>8383</v>
      </c>
      <c r="I3870" s="26" t="s">
        <v>2986</v>
      </c>
      <c r="J3870" s="46">
        <v>1</v>
      </c>
      <c r="K3870" s="46">
        <v>2</v>
      </c>
      <c r="L3870" s="136">
        <v>50</v>
      </c>
      <c r="M3870" s="137" t="s">
        <v>44</v>
      </c>
      <c r="P3870" s="138">
        <v>12</v>
      </c>
      <c r="V3870" s="26"/>
      <c r="W3870" s="26"/>
      <c r="X3870" s="26"/>
      <c r="Y3870" s="26"/>
      <c r="Z3870" s="26"/>
      <c r="AA3870" s="131"/>
    </row>
    <row r="3871" spans="1:27" ht="15" customHeight="1" x14ac:dyDescent="0.2">
      <c r="A3871" s="37">
        <v>41830.649710648198</v>
      </c>
      <c r="B3871" s="34" t="s">
        <v>38</v>
      </c>
      <c r="C3871" s="26" t="s">
        <v>995</v>
      </c>
      <c r="D3871" s="91" t="s">
        <v>7147</v>
      </c>
      <c r="E3871" s="26" t="s">
        <v>1720</v>
      </c>
      <c r="F3871" s="26" t="s">
        <v>4886</v>
      </c>
      <c r="G3871" s="34" t="s">
        <v>26</v>
      </c>
      <c r="H3871" s="26" t="s">
        <v>8384</v>
      </c>
      <c r="I3871" s="26" t="s">
        <v>2812</v>
      </c>
      <c r="J3871" s="46">
        <v>1</v>
      </c>
      <c r="K3871" s="46">
        <v>5</v>
      </c>
      <c r="L3871" s="136">
        <v>25</v>
      </c>
      <c r="M3871" s="137" t="s">
        <v>44</v>
      </c>
      <c r="P3871" s="138">
        <v>36</v>
      </c>
      <c r="V3871" s="26"/>
      <c r="W3871" s="26"/>
      <c r="X3871" s="26"/>
      <c r="Y3871" s="26"/>
      <c r="Z3871" s="26"/>
      <c r="AA3871" s="131"/>
    </row>
    <row r="3872" spans="1:27" ht="15" customHeight="1" x14ac:dyDescent="0.2">
      <c r="A3872" s="37">
        <v>41830.650972222204</v>
      </c>
      <c r="B3872" s="34" t="s">
        <v>38</v>
      </c>
      <c r="C3872" s="26" t="s">
        <v>995</v>
      </c>
      <c r="D3872" s="91" t="s">
        <v>7147</v>
      </c>
      <c r="E3872" s="26" t="s">
        <v>8385</v>
      </c>
      <c r="F3872" s="26" t="s">
        <v>1004</v>
      </c>
      <c r="G3872" s="34" t="s">
        <v>26</v>
      </c>
      <c r="H3872" s="26" t="s">
        <v>8386</v>
      </c>
      <c r="I3872" s="26"/>
      <c r="J3872" s="46">
        <v>1</v>
      </c>
      <c r="K3872" s="46">
        <v>12</v>
      </c>
      <c r="L3872" s="136">
        <v>60</v>
      </c>
      <c r="M3872" s="137" t="s">
        <v>44</v>
      </c>
      <c r="O3872" s="138">
        <v>45</v>
      </c>
      <c r="P3872" s="138">
        <v>8</v>
      </c>
      <c r="V3872" s="26"/>
      <c r="W3872" s="26"/>
      <c r="X3872" s="26"/>
      <c r="Y3872" s="26"/>
      <c r="Z3872" s="26"/>
      <c r="AA3872" s="131"/>
    </row>
    <row r="3873" spans="1:27" ht="15" customHeight="1" x14ac:dyDescent="0.2">
      <c r="A3873" s="37">
        <v>41830.651770833298</v>
      </c>
      <c r="B3873" s="26" t="s">
        <v>152</v>
      </c>
      <c r="C3873" s="26" t="s">
        <v>153</v>
      </c>
      <c r="D3873" s="91" t="s">
        <v>8374</v>
      </c>
      <c r="E3873" s="26" t="s">
        <v>8387</v>
      </c>
      <c r="F3873" s="26" t="s">
        <v>7619</v>
      </c>
      <c r="G3873" s="34" t="s">
        <v>26</v>
      </c>
      <c r="H3873" s="26" t="s">
        <v>8388</v>
      </c>
      <c r="I3873" s="26" t="s">
        <v>7621</v>
      </c>
      <c r="J3873" s="115">
        <v>8</v>
      </c>
      <c r="K3873" s="115">
        <v>95</v>
      </c>
      <c r="L3873" s="136">
        <v>273</v>
      </c>
      <c r="M3873" s="137" t="s">
        <v>22</v>
      </c>
      <c r="V3873" s="26" t="s">
        <v>8389</v>
      </c>
      <c r="W3873" s="26"/>
      <c r="X3873" s="26"/>
      <c r="Y3873" s="26"/>
      <c r="Z3873" s="26"/>
      <c r="AA3873" s="131"/>
    </row>
    <row r="3874" spans="1:27" ht="15" customHeight="1" x14ac:dyDescent="0.2">
      <c r="A3874" s="37">
        <v>41830.656504629602</v>
      </c>
      <c r="B3874" s="34" t="s">
        <v>38</v>
      </c>
      <c r="C3874" s="26" t="s">
        <v>995</v>
      </c>
      <c r="D3874" s="91" t="s">
        <v>7147</v>
      </c>
      <c r="E3874" s="26" t="s">
        <v>1142</v>
      </c>
      <c r="F3874" s="26" t="s">
        <v>1019</v>
      </c>
      <c r="G3874" s="34" t="s">
        <v>26</v>
      </c>
      <c r="H3874" s="26" t="s">
        <v>8390</v>
      </c>
      <c r="I3874" s="26" t="s">
        <v>2986</v>
      </c>
      <c r="J3874" s="46">
        <v>1</v>
      </c>
      <c r="K3874" s="46">
        <v>11</v>
      </c>
      <c r="L3874" s="136">
        <v>198</v>
      </c>
      <c r="M3874" s="137" t="s">
        <v>44</v>
      </c>
      <c r="O3874" s="138">
        <v>30</v>
      </c>
      <c r="P3874" s="138">
        <v>24</v>
      </c>
      <c r="V3874" s="26"/>
      <c r="W3874" s="26"/>
      <c r="X3874" s="26"/>
      <c r="Y3874" s="26"/>
      <c r="Z3874" s="26"/>
      <c r="AA3874" s="131"/>
    </row>
    <row r="3875" spans="1:27" ht="15" customHeight="1" x14ac:dyDescent="0.2">
      <c r="A3875" s="37">
        <v>41830.660729166702</v>
      </c>
      <c r="B3875" s="26" t="s">
        <v>152</v>
      </c>
      <c r="C3875" s="26" t="s">
        <v>153</v>
      </c>
      <c r="D3875" s="91" t="s">
        <v>8374</v>
      </c>
      <c r="E3875" s="26" t="s">
        <v>6508</v>
      </c>
      <c r="F3875" s="26" t="s">
        <v>8391</v>
      </c>
      <c r="G3875" s="34" t="s">
        <v>26</v>
      </c>
      <c r="H3875" s="26" t="s">
        <v>8392</v>
      </c>
      <c r="I3875" s="26" t="s">
        <v>7621</v>
      </c>
      <c r="J3875" s="115">
        <v>4</v>
      </c>
      <c r="K3875" s="115">
        <v>14</v>
      </c>
      <c r="L3875" s="136">
        <v>42</v>
      </c>
      <c r="M3875" s="137" t="s">
        <v>22</v>
      </c>
      <c r="V3875" s="26"/>
      <c r="W3875" s="26"/>
      <c r="X3875" s="26"/>
      <c r="Y3875" s="26"/>
      <c r="Z3875" s="26"/>
      <c r="AA3875" s="131"/>
    </row>
    <row r="3876" spans="1:27" ht="15" customHeight="1" x14ac:dyDescent="0.2">
      <c r="A3876" s="37">
        <v>41830.662523148101</v>
      </c>
      <c r="B3876" s="26" t="s">
        <v>152</v>
      </c>
      <c r="C3876" s="26" t="s">
        <v>153</v>
      </c>
      <c r="D3876" s="91" t="s">
        <v>8374</v>
      </c>
      <c r="E3876" s="26" t="s">
        <v>8393</v>
      </c>
      <c r="F3876" s="26" t="s">
        <v>8394</v>
      </c>
      <c r="G3876" s="34" t="s">
        <v>26</v>
      </c>
      <c r="H3876" s="26" t="s">
        <v>8395</v>
      </c>
      <c r="I3876" s="26" t="s">
        <v>7621</v>
      </c>
      <c r="J3876" s="115">
        <v>5</v>
      </c>
      <c r="K3876" s="115">
        <v>0</v>
      </c>
      <c r="L3876" s="136"/>
      <c r="M3876" s="137" t="s">
        <v>22</v>
      </c>
      <c r="V3876" s="26"/>
      <c r="W3876" s="26"/>
      <c r="X3876" s="26"/>
      <c r="Y3876" s="26"/>
      <c r="Z3876" s="26"/>
      <c r="AA3876" s="131"/>
    </row>
    <row r="3877" spans="1:27" ht="15" customHeight="1" x14ac:dyDescent="0.2">
      <c r="A3877" s="37">
        <v>41830.663912037002</v>
      </c>
      <c r="B3877" s="26" t="s">
        <v>152</v>
      </c>
      <c r="C3877" s="26" t="s">
        <v>153</v>
      </c>
      <c r="D3877" s="91" t="s">
        <v>8374</v>
      </c>
      <c r="E3877" s="26" t="s">
        <v>730</v>
      </c>
      <c r="F3877" s="26" t="s">
        <v>365</v>
      </c>
      <c r="G3877" s="34" t="s">
        <v>26</v>
      </c>
      <c r="H3877" s="26" t="s">
        <v>8396</v>
      </c>
      <c r="I3877" s="26" t="s">
        <v>3001</v>
      </c>
      <c r="J3877" s="115">
        <v>1</v>
      </c>
      <c r="K3877" s="115">
        <v>12</v>
      </c>
      <c r="L3877" s="136">
        <v>12</v>
      </c>
      <c r="M3877" s="137" t="s">
        <v>22</v>
      </c>
      <c r="V3877" s="26"/>
      <c r="W3877" s="26"/>
      <c r="X3877" s="26"/>
      <c r="Y3877" s="26"/>
      <c r="Z3877" s="26"/>
      <c r="AA3877" s="131"/>
    </row>
    <row r="3878" spans="1:27" ht="15" customHeight="1" x14ac:dyDescent="0.2">
      <c r="A3878" s="37">
        <v>41830.6648726852</v>
      </c>
      <c r="B3878" s="34" t="s">
        <v>38</v>
      </c>
      <c r="C3878" s="26" t="s">
        <v>995</v>
      </c>
      <c r="D3878" s="91" t="s">
        <v>7147</v>
      </c>
      <c r="E3878" s="26" t="s">
        <v>8397</v>
      </c>
      <c r="F3878" s="26" t="s">
        <v>8398</v>
      </c>
      <c r="G3878" s="34" t="s">
        <v>20</v>
      </c>
      <c r="H3878" s="26" t="s">
        <v>4072</v>
      </c>
      <c r="I3878" s="26" t="s">
        <v>2986</v>
      </c>
      <c r="J3878" s="46">
        <v>1</v>
      </c>
      <c r="K3878" s="46">
        <v>31</v>
      </c>
      <c r="L3878" s="136">
        <v>93</v>
      </c>
      <c r="M3878" s="137" t="s">
        <v>44</v>
      </c>
      <c r="P3878" s="138">
        <v>44</v>
      </c>
      <c r="V3878" s="26"/>
      <c r="W3878" s="26"/>
      <c r="X3878" s="26"/>
      <c r="Y3878" s="26"/>
      <c r="Z3878" s="26"/>
      <c r="AA3878" s="131"/>
    </row>
    <row r="3879" spans="1:27" ht="15" customHeight="1" x14ac:dyDescent="0.2">
      <c r="A3879" s="37">
        <v>41830.665150462999</v>
      </c>
      <c r="B3879" s="26" t="s">
        <v>152</v>
      </c>
      <c r="C3879" s="26" t="s">
        <v>153</v>
      </c>
      <c r="D3879" s="91" t="s">
        <v>8374</v>
      </c>
      <c r="E3879" s="26" t="s">
        <v>4898</v>
      </c>
      <c r="F3879" s="26" t="s">
        <v>344</v>
      </c>
      <c r="G3879" s="34" t="s">
        <v>26</v>
      </c>
      <c r="H3879" s="26" t="s">
        <v>5745</v>
      </c>
      <c r="I3879" s="26" t="s">
        <v>3001</v>
      </c>
      <c r="J3879" s="115">
        <v>4</v>
      </c>
      <c r="K3879" s="115">
        <v>86</v>
      </c>
      <c r="L3879" s="136">
        <v>86</v>
      </c>
      <c r="M3879" s="137" t="s">
        <v>22</v>
      </c>
      <c r="V3879" s="26"/>
      <c r="W3879" s="26"/>
      <c r="X3879" s="26"/>
      <c r="Y3879" s="26"/>
      <c r="Z3879" s="26"/>
      <c r="AA3879" s="131"/>
    </row>
    <row r="3880" spans="1:27" ht="15" customHeight="1" x14ac:dyDescent="0.2">
      <c r="A3880" s="37">
        <v>41830.666608796302</v>
      </c>
      <c r="B3880" s="34" t="s">
        <v>38</v>
      </c>
      <c r="C3880" s="26" t="s">
        <v>995</v>
      </c>
      <c r="D3880" s="91" t="s">
        <v>7147</v>
      </c>
      <c r="E3880" s="26" t="s">
        <v>8399</v>
      </c>
      <c r="F3880" s="26" t="s">
        <v>8400</v>
      </c>
      <c r="G3880" s="34" t="s">
        <v>20</v>
      </c>
      <c r="H3880" s="26" t="s">
        <v>2909</v>
      </c>
      <c r="I3880" s="26" t="s">
        <v>2986</v>
      </c>
      <c r="J3880" s="46">
        <v>1</v>
      </c>
      <c r="K3880" s="46">
        <v>15</v>
      </c>
      <c r="L3880" s="136">
        <v>45</v>
      </c>
      <c r="M3880" s="137" t="s">
        <v>44</v>
      </c>
      <c r="P3880" s="138">
        <v>25</v>
      </c>
      <c r="V3880" s="26"/>
      <c r="W3880" s="26"/>
      <c r="X3880" s="26"/>
      <c r="Y3880" s="26"/>
      <c r="Z3880" s="26"/>
      <c r="AA3880" s="131"/>
    </row>
    <row r="3881" spans="1:27" ht="15" customHeight="1" x14ac:dyDescent="0.2">
      <c r="A3881" s="37">
        <v>41830.670381944401</v>
      </c>
      <c r="B3881" s="26" t="s">
        <v>152</v>
      </c>
      <c r="C3881" s="26" t="s">
        <v>153</v>
      </c>
      <c r="D3881" s="91" t="s">
        <v>8374</v>
      </c>
      <c r="E3881" s="26" t="s">
        <v>6742</v>
      </c>
      <c r="F3881" s="26" t="s">
        <v>6743</v>
      </c>
      <c r="G3881" s="34" t="s">
        <v>26</v>
      </c>
      <c r="H3881" s="26" t="s">
        <v>8401</v>
      </c>
      <c r="I3881" s="26" t="s">
        <v>2986</v>
      </c>
      <c r="J3881" s="115">
        <v>4</v>
      </c>
      <c r="K3881" s="115">
        <v>17</v>
      </c>
      <c r="L3881" s="136">
        <v>51</v>
      </c>
      <c r="M3881" s="137" t="s">
        <v>22</v>
      </c>
      <c r="V3881" s="26"/>
      <c r="W3881" s="26"/>
      <c r="X3881" s="26"/>
      <c r="Y3881" s="26"/>
      <c r="Z3881" s="26"/>
      <c r="AA3881" s="131"/>
    </row>
    <row r="3882" spans="1:27" ht="15" customHeight="1" x14ac:dyDescent="0.2">
      <c r="A3882" s="37">
        <v>41830.672500000001</v>
      </c>
      <c r="B3882" s="26" t="s">
        <v>152</v>
      </c>
      <c r="C3882" s="26" t="s">
        <v>153</v>
      </c>
      <c r="D3882" s="91" t="s">
        <v>8374</v>
      </c>
      <c r="E3882" s="26" t="s">
        <v>526</v>
      </c>
      <c r="F3882" s="26" t="s">
        <v>1530</v>
      </c>
      <c r="G3882" s="34" t="s">
        <v>26</v>
      </c>
      <c r="H3882" s="26" t="s">
        <v>8402</v>
      </c>
      <c r="I3882" s="26" t="s">
        <v>2986</v>
      </c>
      <c r="J3882" s="115">
        <v>1</v>
      </c>
      <c r="K3882" s="115">
        <v>8</v>
      </c>
      <c r="L3882" s="136">
        <v>40</v>
      </c>
      <c r="M3882" s="137" t="s">
        <v>22</v>
      </c>
      <c r="V3882" s="26"/>
      <c r="W3882" s="26"/>
      <c r="X3882" s="26"/>
      <c r="Y3882" s="26"/>
      <c r="Z3882" s="26"/>
      <c r="AA3882" s="131"/>
    </row>
    <row r="3883" spans="1:27" ht="15" customHeight="1" x14ac:dyDescent="0.2">
      <c r="A3883" s="37">
        <v>41830.673819444397</v>
      </c>
      <c r="B3883" s="34" t="s">
        <v>38</v>
      </c>
      <c r="C3883" s="26" t="s">
        <v>995</v>
      </c>
      <c r="D3883" s="91" t="s">
        <v>7147</v>
      </c>
      <c r="E3883" s="26" t="s">
        <v>8403</v>
      </c>
      <c r="F3883" s="26" t="s">
        <v>259</v>
      </c>
      <c r="G3883" s="34" t="s">
        <v>26</v>
      </c>
      <c r="H3883" s="26" t="s">
        <v>8404</v>
      </c>
      <c r="I3883" s="26" t="s">
        <v>2986</v>
      </c>
      <c r="J3883" s="46">
        <v>1</v>
      </c>
      <c r="K3883" s="46">
        <v>16</v>
      </c>
      <c r="L3883" s="136">
        <v>400</v>
      </c>
      <c r="M3883" s="137" t="s">
        <v>44</v>
      </c>
      <c r="P3883" s="138">
        <v>54</v>
      </c>
      <c r="V3883" s="26"/>
      <c r="W3883" s="26"/>
      <c r="X3883" s="26"/>
      <c r="Y3883" s="26"/>
      <c r="Z3883" s="26"/>
      <c r="AA3883" s="131"/>
    </row>
    <row r="3884" spans="1:27" ht="15" customHeight="1" x14ac:dyDescent="0.2">
      <c r="A3884" s="37">
        <v>41830.6738078704</v>
      </c>
      <c r="B3884" s="26" t="s">
        <v>152</v>
      </c>
      <c r="C3884" s="26" t="s">
        <v>153</v>
      </c>
      <c r="D3884" s="91" t="s">
        <v>8374</v>
      </c>
      <c r="E3884" s="26" t="s">
        <v>7622</v>
      </c>
      <c r="F3884" s="26" t="s">
        <v>7623</v>
      </c>
      <c r="G3884" s="34" t="s">
        <v>26</v>
      </c>
      <c r="H3884" s="26" t="s">
        <v>8405</v>
      </c>
      <c r="I3884" s="26" t="s">
        <v>2812</v>
      </c>
      <c r="J3884" s="115">
        <v>5</v>
      </c>
      <c r="K3884" s="115">
        <v>48</v>
      </c>
      <c r="L3884" s="136"/>
      <c r="M3884" s="137" t="s">
        <v>22</v>
      </c>
      <c r="V3884" s="26"/>
      <c r="W3884" s="26"/>
      <c r="X3884" s="26"/>
      <c r="Y3884" s="26"/>
      <c r="Z3884" s="26"/>
      <c r="AA3884" s="131"/>
    </row>
    <row r="3885" spans="1:27" ht="15" customHeight="1" x14ac:dyDescent="0.2">
      <c r="A3885" s="37">
        <v>41830.674907407403</v>
      </c>
      <c r="B3885" s="26" t="s">
        <v>152</v>
      </c>
      <c r="C3885" s="26" t="s">
        <v>153</v>
      </c>
      <c r="D3885" s="91" t="s">
        <v>8374</v>
      </c>
      <c r="E3885" s="26" t="s">
        <v>8406</v>
      </c>
      <c r="F3885" s="26" t="s">
        <v>4513</v>
      </c>
      <c r="G3885" s="34" t="s">
        <v>26</v>
      </c>
      <c r="H3885" s="26" t="s">
        <v>8407</v>
      </c>
      <c r="I3885" s="26" t="s">
        <v>2986</v>
      </c>
      <c r="J3885" s="115">
        <v>2</v>
      </c>
      <c r="K3885" s="115">
        <v>6</v>
      </c>
      <c r="L3885" s="136">
        <v>30</v>
      </c>
      <c r="M3885" s="137" t="s">
        <v>22</v>
      </c>
      <c r="V3885" s="26"/>
      <c r="W3885" s="26"/>
      <c r="X3885" s="26"/>
      <c r="Y3885" s="26"/>
      <c r="Z3885" s="26"/>
      <c r="AA3885" s="131"/>
    </row>
    <row r="3886" spans="1:27" ht="15" customHeight="1" x14ac:dyDescent="0.2">
      <c r="A3886" s="37">
        <v>41830.679062499999</v>
      </c>
      <c r="B3886" s="26" t="s">
        <v>152</v>
      </c>
      <c r="C3886" s="26" t="s">
        <v>153</v>
      </c>
      <c r="D3886" s="91" t="s">
        <v>8374</v>
      </c>
      <c r="E3886" s="26" t="s">
        <v>741</v>
      </c>
      <c r="F3886" s="26" t="s">
        <v>7630</v>
      </c>
      <c r="G3886" s="34" t="s">
        <v>26</v>
      </c>
      <c r="H3886" s="26" t="s">
        <v>8408</v>
      </c>
      <c r="I3886" s="26" t="s">
        <v>2986</v>
      </c>
      <c r="J3886" s="115">
        <v>2</v>
      </c>
      <c r="K3886" s="115">
        <v>13</v>
      </c>
      <c r="L3886" s="136">
        <v>120</v>
      </c>
      <c r="M3886" s="137" t="s">
        <v>22</v>
      </c>
      <c r="V3886" s="26" t="s">
        <v>8409</v>
      </c>
      <c r="W3886" s="26"/>
      <c r="X3886" s="26"/>
      <c r="Y3886" s="26"/>
      <c r="Z3886" s="26"/>
      <c r="AA3886" s="131"/>
    </row>
    <row r="3887" spans="1:27" ht="15" customHeight="1" x14ac:dyDescent="0.2">
      <c r="A3887" s="37">
        <v>41830.686365740701</v>
      </c>
      <c r="B3887" s="26" t="s">
        <v>152</v>
      </c>
      <c r="C3887" s="26" t="s">
        <v>153</v>
      </c>
      <c r="D3887" s="91" t="s">
        <v>8374</v>
      </c>
      <c r="E3887" s="26" t="s">
        <v>8410</v>
      </c>
      <c r="F3887" s="26" t="s">
        <v>373</v>
      </c>
      <c r="G3887" s="34" t="s">
        <v>26</v>
      </c>
      <c r="H3887" s="26" t="s">
        <v>8411</v>
      </c>
      <c r="I3887" s="26" t="s">
        <v>3001</v>
      </c>
      <c r="J3887" s="115">
        <v>12</v>
      </c>
      <c r="K3887" s="115">
        <v>447</v>
      </c>
      <c r="L3887" s="136"/>
      <c r="M3887" s="137" t="s">
        <v>22</v>
      </c>
      <c r="V3887" s="26"/>
      <c r="W3887" s="26"/>
      <c r="X3887" s="26"/>
      <c r="Y3887" s="26"/>
      <c r="Z3887" s="26"/>
      <c r="AA3887" s="131"/>
    </row>
    <row r="3888" spans="1:27" ht="15" customHeight="1" x14ac:dyDescent="0.2">
      <c r="A3888" s="37">
        <v>41830.687604166698</v>
      </c>
      <c r="B3888" s="26" t="s">
        <v>152</v>
      </c>
      <c r="C3888" s="26" t="s">
        <v>153</v>
      </c>
      <c r="D3888" s="91" t="s">
        <v>8374</v>
      </c>
      <c r="E3888" s="26" t="s">
        <v>1904</v>
      </c>
      <c r="F3888" s="26" t="s">
        <v>1920</v>
      </c>
      <c r="G3888" s="34" t="s">
        <v>26</v>
      </c>
      <c r="H3888" s="26" t="s">
        <v>8412</v>
      </c>
      <c r="I3888" s="26" t="s">
        <v>3001</v>
      </c>
      <c r="J3888" s="115">
        <v>1</v>
      </c>
      <c r="K3888" s="115">
        <v>2</v>
      </c>
      <c r="L3888" s="136">
        <v>6</v>
      </c>
      <c r="M3888" s="137" t="s">
        <v>22</v>
      </c>
      <c r="V3888" s="26"/>
      <c r="W3888" s="26"/>
      <c r="X3888" s="26"/>
      <c r="Y3888" s="26"/>
      <c r="Z3888" s="26"/>
      <c r="AA3888" s="131"/>
    </row>
    <row r="3889" spans="1:27" ht="15" customHeight="1" x14ac:dyDescent="0.2">
      <c r="A3889" s="37">
        <v>41830.6880439815</v>
      </c>
      <c r="B3889" s="34" t="s">
        <v>38</v>
      </c>
      <c r="C3889" s="26" t="s">
        <v>995</v>
      </c>
      <c r="D3889" s="91" t="s">
        <v>7147</v>
      </c>
      <c r="E3889" s="26" t="s">
        <v>1720</v>
      </c>
      <c r="F3889" s="26" t="s">
        <v>8413</v>
      </c>
      <c r="G3889" s="34" t="s">
        <v>26</v>
      </c>
      <c r="H3889" s="26" t="s">
        <v>8414</v>
      </c>
      <c r="I3889" s="26" t="s">
        <v>2986</v>
      </c>
      <c r="J3889" s="46">
        <v>1</v>
      </c>
      <c r="K3889" s="46">
        <v>16</v>
      </c>
      <c r="L3889" s="136">
        <v>112</v>
      </c>
      <c r="M3889" s="137" t="s">
        <v>44</v>
      </c>
      <c r="O3889" s="138">
        <v>25</v>
      </c>
      <c r="P3889" s="138">
        <v>22</v>
      </c>
      <c r="V3889" s="26"/>
      <c r="W3889" s="26"/>
      <c r="X3889" s="26"/>
      <c r="Y3889" s="26"/>
      <c r="Z3889" s="26"/>
      <c r="AA3889" s="131"/>
    </row>
    <row r="3890" spans="1:27" ht="15" customHeight="1" x14ac:dyDescent="0.2">
      <c r="A3890" s="37">
        <v>41830.6882638889</v>
      </c>
      <c r="B3890" s="26" t="s">
        <v>152</v>
      </c>
      <c r="C3890" s="26" t="s">
        <v>153</v>
      </c>
      <c r="D3890" s="91" t="s">
        <v>8374</v>
      </c>
      <c r="E3890" s="26" t="s">
        <v>526</v>
      </c>
      <c r="F3890" s="26" t="s">
        <v>120</v>
      </c>
      <c r="G3890" s="34" t="s">
        <v>26</v>
      </c>
      <c r="H3890" s="26" t="s">
        <v>8415</v>
      </c>
      <c r="I3890" s="26" t="s">
        <v>2986</v>
      </c>
      <c r="J3890" s="115">
        <v>1</v>
      </c>
      <c r="K3890" s="115">
        <v>9</v>
      </c>
      <c r="L3890" s="136">
        <v>45</v>
      </c>
      <c r="M3890" s="137" t="s">
        <v>22</v>
      </c>
      <c r="V3890" s="26"/>
      <c r="W3890" s="26"/>
      <c r="X3890" s="26"/>
      <c r="Y3890" s="26"/>
      <c r="Z3890" s="26"/>
      <c r="AA3890" s="131"/>
    </row>
    <row r="3891" spans="1:27" ht="15" customHeight="1" x14ac:dyDescent="0.2">
      <c r="A3891" s="37">
        <v>41830.701412037</v>
      </c>
      <c r="B3891" s="34" t="s">
        <v>38</v>
      </c>
      <c r="C3891" s="26" t="s">
        <v>995</v>
      </c>
      <c r="D3891" s="91" t="s">
        <v>7147</v>
      </c>
      <c r="E3891" s="26" t="s">
        <v>1755</v>
      </c>
      <c r="F3891" s="26" t="s">
        <v>8416</v>
      </c>
      <c r="G3891" s="34" t="s">
        <v>26</v>
      </c>
      <c r="H3891" s="26" t="s">
        <v>8417</v>
      </c>
      <c r="I3891" s="26" t="s">
        <v>4874</v>
      </c>
      <c r="J3891" s="46">
        <v>1</v>
      </c>
      <c r="K3891" s="46">
        <v>15</v>
      </c>
      <c r="L3891" s="136">
        <v>165</v>
      </c>
      <c r="M3891" s="137" t="s">
        <v>44</v>
      </c>
      <c r="O3891" s="138">
        <v>45</v>
      </c>
      <c r="V3891" s="26"/>
      <c r="W3891" s="26"/>
      <c r="X3891" s="26"/>
      <c r="Y3891" s="26"/>
      <c r="Z3891" s="26"/>
      <c r="AA3891" s="131"/>
    </row>
    <row r="3892" spans="1:27" ht="15" customHeight="1" x14ac:dyDescent="0.2">
      <c r="A3892" s="37">
        <v>41830.704918981501</v>
      </c>
      <c r="B3892" s="34" t="s">
        <v>38</v>
      </c>
      <c r="C3892" s="26" t="s">
        <v>995</v>
      </c>
      <c r="D3892" s="91" t="s">
        <v>7147</v>
      </c>
      <c r="E3892" s="26" t="s">
        <v>8418</v>
      </c>
      <c r="F3892" s="26" t="s">
        <v>2603</v>
      </c>
      <c r="G3892" s="34" t="s">
        <v>26</v>
      </c>
      <c r="H3892" s="26" t="s">
        <v>1168</v>
      </c>
      <c r="I3892" s="26" t="s">
        <v>2986</v>
      </c>
      <c r="J3892" s="46">
        <v>1</v>
      </c>
      <c r="K3892" s="46">
        <v>9</v>
      </c>
      <c r="L3892" s="136">
        <v>135</v>
      </c>
      <c r="M3892" s="137" t="s">
        <v>44</v>
      </c>
      <c r="O3892" s="138">
        <v>40</v>
      </c>
      <c r="P3892" s="138">
        <v>23</v>
      </c>
      <c r="V3892" s="26"/>
      <c r="W3892" s="26"/>
      <c r="X3892" s="26"/>
      <c r="Y3892" s="26"/>
      <c r="Z3892" s="26"/>
      <c r="AA3892" s="131"/>
    </row>
    <row r="3893" spans="1:27" ht="15" customHeight="1" x14ac:dyDescent="0.2">
      <c r="A3893" s="37">
        <v>41830.718981481499</v>
      </c>
      <c r="B3893" s="26" t="s">
        <v>38</v>
      </c>
      <c r="C3893" s="26" t="s">
        <v>590</v>
      </c>
      <c r="D3893" s="91" t="s">
        <v>7147</v>
      </c>
      <c r="E3893" s="26" t="s">
        <v>8419</v>
      </c>
      <c r="F3893" s="26" t="s">
        <v>8420</v>
      </c>
      <c r="G3893" s="34" t="s">
        <v>42</v>
      </c>
      <c r="H3893" s="26" t="s">
        <v>8421</v>
      </c>
      <c r="I3893" s="26" t="s">
        <v>3038</v>
      </c>
      <c r="J3893" s="46">
        <v>1</v>
      </c>
      <c r="K3893" s="46">
        <v>11</v>
      </c>
      <c r="L3893" s="136">
        <v>40</v>
      </c>
      <c r="M3893" s="137" t="s">
        <v>22</v>
      </c>
      <c r="V3893" s="26"/>
      <c r="W3893" s="26"/>
      <c r="X3893" s="26"/>
      <c r="Y3893" s="26"/>
      <c r="Z3893" s="26"/>
      <c r="AA3893" s="131"/>
    </row>
    <row r="3894" spans="1:27" ht="15" customHeight="1" x14ac:dyDescent="0.2">
      <c r="A3894" s="37">
        <v>41830.720127314802</v>
      </c>
      <c r="B3894" s="26" t="s">
        <v>38</v>
      </c>
      <c r="C3894" s="26" t="s">
        <v>590</v>
      </c>
      <c r="D3894" s="91" t="s">
        <v>7147</v>
      </c>
      <c r="E3894" s="26" t="s">
        <v>8422</v>
      </c>
      <c r="F3894" s="26" t="s">
        <v>197</v>
      </c>
      <c r="G3894" s="34" t="s">
        <v>26</v>
      </c>
      <c r="H3894" s="26" t="s">
        <v>8423</v>
      </c>
      <c r="I3894" s="26" t="s">
        <v>3038</v>
      </c>
      <c r="J3894" s="46">
        <v>1</v>
      </c>
      <c r="K3894" s="46">
        <v>13</v>
      </c>
      <c r="L3894" s="136">
        <v>185</v>
      </c>
      <c r="M3894" s="137" t="s">
        <v>44</v>
      </c>
      <c r="O3894" s="138">
        <v>10</v>
      </c>
      <c r="V3894" s="26"/>
      <c r="W3894" s="26"/>
      <c r="X3894" s="26"/>
      <c r="Y3894" s="26"/>
      <c r="Z3894" s="26"/>
      <c r="AA3894" s="131"/>
    </row>
    <row r="3895" spans="1:27" ht="15" customHeight="1" x14ac:dyDescent="0.2">
      <c r="A3895" s="37">
        <v>41830.7209953704</v>
      </c>
      <c r="B3895" s="26" t="s">
        <v>38</v>
      </c>
      <c r="C3895" s="26" t="s">
        <v>590</v>
      </c>
      <c r="D3895" s="91" t="s">
        <v>7147</v>
      </c>
      <c r="E3895" s="26" t="s">
        <v>4726</v>
      </c>
      <c r="F3895" s="26" t="s">
        <v>8424</v>
      </c>
      <c r="G3895" s="34" t="s">
        <v>42</v>
      </c>
      <c r="H3895" s="26" t="s">
        <v>8425</v>
      </c>
      <c r="I3895" s="26" t="s">
        <v>3038</v>
      </c>
      <c r="J3895" s="46">
        <v>1</v>
      </c>
      <c r="K3895" s="46">
        <v>12</v>
      </c>
      <c r="L3895" s="136">
        <v>36</v>
      </c>
      <c r="M3895" s="137" t="s">
        <v>22</v>
      </c>
      <c r="V3895" s="26"/>
      <c r="W3895" s="26"/>
      <c r="X3895" s="26"/>
      <c r="Y3895" s="26"/>
      <c r="Z3895" s="26"/>
      <c r="AA3895" s="131"/>
    </row>
    <row r="3896" spans="1:27" ht="15" customHeight="1" x14ac:dyDescent="0.2">
      <c r="A3896" s="37">
        <v>41830.721655092602</v>
      </c>
      <c r="B3896" s="26" t="s">
        <v>38</v>
      </c>
      <c r="C3896" s="26" t="s">
        <v>590</v>
      </c>
      <c r="D3896" s="91" t="s">
        <v>7147</v>
      </c>
      <c r="E3896" s="26" t="s">
        <v>6818</v>
      </c>
      <c r="F3896" s="26" t="s">
        <v>197</v>
      </c>
      <c r="G3896" s="34" t="s">
        <v>26</v>
      </c>
      <c r="H3896" s="26" t="s">
        <v>8423</v>
      </c>
      <c r="I3896" s="26" t="s">
        <v>3038</v>
      </c>
      <c r="J3896" s="46">
        <v>1</v>
      </c>
      <c r="K3896" s="46">
        <v>29</v>
      </c>
      <c r="L3896" s="136">
        <v>435</v>
      </c>
      <c r="M3896" s="137" t="s">
        <v>44</v>
      </c>
      <c r="O3896" s="138">
        <v>25</v>
      </c>
      <c r="V3896" s="26"/>
      <c r="W3896" s="26"/>
      <c r="X3896" s="26"/>
      <c r="Y3896" s="26"/>
      <c r="Z3896" s="26"/>
      <c r="AA3896" s="131"/>
    </row>
    <row r="3897" spans="1:27" ht="15" customHeight="1" x14ac:dyDescent="0.2">
      <c r="A3897" s="37">
        <v>41830.722233796303</v>
      </c>
      <c r="B3897" s="26" t="s">
        <v>38</v>
      </c>
      <c r="C3897" s="26" t="s">
        <v>590</v>
      </c>
      <c r="D3897" s="91" t="s">
        <v>7147</v>
      </c>
      <c r="E3897" s="26" t="s">
        <v>5372</v>
      </c>
      <c r="F3897" s="26" t="s">
        <v>6824</v>
      </c>
      <c r="G3897" s="34" t="s">
        <v>42</v>
      </c>
      <c r="H3897" s="26" t="s">
        <v>8423</v>
      </c>
      <c r="I3897" s="26" t="s">
        <v>3038</v>
      </c>
      <c r="J3897" s="46">
        <v>1</v>
      </c>
      <c r="K3897" s="46">
        <v>8</v>
      </c>
      <c r="L3897" s="136">
        <v>96</v>
      </c>
      <c r="M3897" s="137" t="s">
        <v>44</v>
      </c>
      <c r="O3897" s="138">
        <v>15</v>
      </c>
      <c r="V3897" s="26"/>
      <c r="W3897" s="26"/>
      <c r="X3897" s="26"/>
      <c r="Y3897" s="26"/>
      <c r="Z3897" s="26"/>
      <c r="AA3897" s="131"/>
    </row>
    <row r="3898" spans="1:27" ht="15" customHeight="1" x14ac:dyDescent="0.2">
      <c r="A3898" s="37">
        <v>41830.722951388903</v>
      </c>
      <c r="B3898" s="26" t="s">
        <v>38</v>
      </c>
      <c r="C3898" s="26" t="s">
        <v>590</v>
      </c>
      <c r="D3898" s="91" t="s">
        <v>7147</v>
      </c>
      <c r="E3898" s="26" t="s">
        <v>602</v>
      </c>
      <c r="F3898" s="26" t="s">
        <v>8426</v>
      </c>
      <c r="G3898" s="34" t="s">
        <v>26</v>
      </c>
      <c r="H3898" s="26"/>
      <c r="I3898" s="26" t="s">
        <v>3265</v>
      </c>
      <c r="J3898" s="46">
        <v>1</v>
      </c>
      <c r="K3898" s="46">
        <v>200</v>
      </c>
      <c r="L3898" s="136"/>
      <c r="M3898" s="137" t="s">
        <v>44</v>
      </c>
      <c r="O3898" s="138">
        <v>40</v>
      </c>
      <c r="U3898" s="138">
        <v>350</v>
      </c>
      <c r="V3898" s="26"/>
      <c r="W3898" s="26"/>
      <c r="X3898" s="26"/>
      <c r="Y3898" s="26"/>
      <c r="Z3898" s="26"/>
      <c r="AA3898" s="131"/>
    </row>
    <row r="3899" spans="1:27" ht="15" customHeight="1" x14ac:dyDescent="0.2">
      <c r="A3899" s="37">
        <v>41830.723587963003</v>
      </c>
      <c r="B3899" s="26" t="s">
        <v>38</v>
      </c>
      <c r="C3899" s="26" t="s">
        <v>590</v>
      </c>
      <c r="D3899" s="91" t="s">
        <v>7147</v>
      </c>
      <c r="E3899" s="26" t="s">
        <v>8427</v>
      </c>
      <c r="F3899" s="26" t="s">
        <v>8428</v>
      </c>
      <c r="G3899" s="34" t="s">
        <v>42</v>
      </c>
      <c r="H3899" s="26" t="s">
        <v>8429</v>
      </c>
      <c r="I3899" s="26" t="s">
        <v>3038</v>
      </c>
      <c r="J3899" s="46">
        <v>1</v>
      </c>
      <c r="K3899" s="46">
        <v>20</v>
      </c>
      <c r="L3899" s="136"/>
      <c r="M3899" s="137" t="s">
        <v>22</v>
      </c>
      <c r="V3899" s="26"/>
      <c r="W3899" s="26"/>
      <c r="X3899" s="26"/>
      <c r="Y3899" s="26"/>
      <c r="Z3899" s="26"/>
      <c r="AA3899" s="131"/>
    </row>
    <row r="3900" spans="1:27" ht="15" customHeight="1" x14ac:dyDescent="0.2">
      <c r="A3900" s="37">
        <v>41830.724120370403</v>
      </c>
      <c r="B3900" s="26" t="s">
        <v>38</v>
      </c>
      <c r="C3900" s="26" t="s">
        <v>590</v>
      </c>
      <c r="D3900" s="91" t="s">
        <v>7147</v>
      </c>
      <c r="E3900" s="26" t="s">
        <v>8419</v>
      </c>
      <c r="F3900" s="26" t="s">
        <v>8420</v>
      </c>
      <c r="G3900" s="34" t="s">
        <v>42</v>
      </c>
      <c r="H3900" s="26" t="s">
        <v>8421</v>
      </c>
      <c r="I3900" s="26" t="s">
        <v>3038</v>
      </c>
      <c r="J3900" s="46">
        <v>1</v>
      </c>
      <c r="K3900" s="46">
        <v>18</v>
      </c>
      <c r="L3900" s="136">
        <v>40</v>
      </c>
      <c r="M3900" s="137" t="s">
        <v>22</v>
      </c>
      <c r="V3900" s="26"/>
      <c r="W3900" s="26"/>
      <c r="X3900" s="26"/>
      <c r="Y3900" s="26"/>
      <c r="Z3900" s="26"/>
      <c r="AA3900" s="131"/>
    </row>
    <row r="3901" spans="1:27" ht="15" customHeight="1" x14ac:dyDescent="0.2">
      <c r="A3901" s="37">
        <v>41830.724687499998</v>
      </c>
      <c r="B3901" s="26" t="s">
        <v>38</v>
      </c>
      <c r="C3901" s="26" t="s">
        <v>590</v>
      </c>
      <c r="D3901" s="91" t="s">
        <v>7147</v>
      </c>
      <c r="E3901" s="26" t="s">
        <v>8430</v>
      </c>
      <c r="F3901" s="26" t="s">
        <v>8431</v>
      </c>
      <c r="G3901" s="34" t="s">
        <v>20</v>
      </c>
      <c r="H3901" s="26" t="s">
        <v>8425</v>
      </c>
      <c r="I3901" s="26" t="s">
        <v>3038</v>
      </c>
      <c r="J3901" s="46">
        <v>1</v>
      </c>
      <c r="K3901" s="46">
        <v>14</v>
      </c>
      <c r="L3901" s="136">
        <v>70</v>
      </c>
      <c r="M3901" s="137" t="s">
        <v>22</v>
      </c>
      <c r="V3901" s="26"/>
      <c r="W3901" s="26"/>
      <c r="X3901" s="26"/>
      <c r="Y3901" s="26"/>
      <c r="Z3901" s="26"/>
      <c r="AA3901" s="131"/>
    </row>
    <row r="3902" spans="1:27" ht="15" customHeight="1" x14ac:dyDescent="0.2">
      <c r="A3902" s="37">
        <v>41830.7257060185</v>
      </c>
      <c r="B3902" s="26" t="s">
        <v>38</v>
      </c>
      <c r="C3902" s="26" t="s">
        <v>590</v>
      </c>
      <c r="D3902" s="91" t="s">
        <v>7147</v>
      </c>
      <c r="E3902" s="26" t="s">
        <v>8422</v>
      </c>
      <c r="F3902" s="26" t="s">
        <v>197</v>
      </c>
      <c r="G3902" s="34" t="s">
        <v>26</v>
      </c>
      <c r="H3902" s="26" t="s">
        <v>8423</v>
      </c>
      <c r="I3902" s="26" t="s">
        <v>3038</v>
      </c>
      <c r="J3902" s="46">
        <v>1</v>
      </c>
      <c r="K3902" s="46">
        <v>16</v>
      </c>
      <c r="L3902" s="136">
        <v>270</v>
      </c>
      <c r="M3902" s="137" t="s">
        <v>44</v>
      </c>
      <c r="V3902" s="26"/>
      <c r="W3902" s="26"/>
      <c r="X3902" s="26"/>
      <c r="Y3902" s="26"/>
      <c r="Z3902" s="26"/>
      <c r="AA3902" s="131"/>
    </row>
    <row r="3903" spans="1:27" ht="15" customHeight="1" x14ac:dyDescent="0.2">
      <c r="A3903" s="37">
        <v>41830.730428240699</v>
      </c>
      <c r="B3903" s="26" t="s">
        <v>152</v>
      </c>
      <c r="C3903" s="26" t="s">
        <v>707</v>
      </c>
      <c r="D3903" s="91" t="s">
        <v>7147</v>
      </c>
      <c r="E3903" s="26" t="s">
        <v>6508</v>
      </c>
      <c r="F3903" s="26" t="s">
        <v>8432</v>
      </c>
      <c r="G3903" s="34" t="s">
        <v>26</v>
      </c>
      <c r="H3903" s="26" t="s">
        <v>8433</v>
      </c>
      <c r="I3903" s="26" t="s">
        <v>2986</v>
      </c>
      <c r="J3903" s="46">
        <v>3</v>
      </c>
      <c r="K3903" s="46">
        <v>55</v>
      </c>
      <c r="L3903" s="136"/>
      <c r="M3903" s="137" t="s">
        <v>22</v>
      </c>
      <c r="V3903" s="26" t="s">
        <v>8434</v>
      </c>
      <c r="W3903" s="26"/>
      <c r="X3903" s="26"/>
      <c r="Y3903" s="26"/>
      <c r="Z3903" s="26"/>
      <c r="AA3903" s="131"/>
    </row>
    <row r="3904" spans="1:27" ht="15" customHeight="1" x14ac:dyDescent="0.2">
      <c r="A3904" s="37">
        <v>41830.810821759304</v>
      </c>
      <c r="B3904" s="26" t="s">
        <v>152</v>
      </c>
      <c r="C3904" s="26" t="s">
        <v>847</v>
      </c>
      <c r="D3904" s="91" t="s">
        <v>7147</v>
      </c>
      <c r="E3904" s="26" t="s">
        <v>865</v>
      </c>
      <c r="F3904" s="26" t="s">
        <v>866</v>
      </c>
      <c r="G3904" s="34" t="s">
        <v>26</v>
      </c>
      <c r="H3904" s="26" t="s">
        <v>8435</v>
      </c>
      <c r="I3904" s="26" t="s">
        <v>2986</v>
      </c>
      <c r="J3904" s="46">
        <v>2</v>
      </c>
      <c r="K3904" s="46">
        <v>28</v>
      </c>
      <c r="L3904" s="136"/>
      <c r="M3904" s="137" t="s">
        <v>22</v>
      </c>
      <c r="V3904" s="26"/>
      <c r="W3904" s="26"/>
      <c r="X3904" s="26"/>
      <c r="Y3904" s="26"/>
      <c r="Z3904" s="26"/>
      <c r="AA3904" s="131"/>
    </row>
    <row r="3905" spans="1:27" ht="15" customHeight="1" x14ac:dyDescent="0.2">
      <c r="A3905" s="37">
        <v>41830.812418981499</v>
      </c>
      <c r="B3905" s="26" t="s">
        <v>152</v>
      </c>
      <c r="C3905" s="26" t="s">
        <v>847</v>
      </c>
      <c r="D3905" s="91" t="s">
        <v>7147</v>
      </c>
      <c r="E3905" s="26" t="s">
        <v>8436</v>
      </c>
      <c r="F3905" s="26" t="s">
        <v>8437</v>
      </c>
      <c r="G3905" s="34" t="s">
        <v>26</v>
      </c>
      <c r="H3905" s="26" t="s">
        <v>8438</v>
      </c>
      <c r="I3905" s="26" t="s">
        <v>2986</v>
      </c>
      <c r="J3905" s="46">
        <v>7</v>
      </c>
      <c r="K3905" s="46">
        <v>63</v>
      </c>
      <c r="L3905" s="136"/>
      <c r="M3905" s="137" t="s">
        <v>22</v>
      </c>
      <c r="V3905" s="26" t="s">
        <v>8439</v>
      </c>
      <c r="W3905" s="26"/>
      <c r="X3905" s="26"/>
      <c r="Y3905" s="26"/>
      <c r="Z3905" s="26"/>
      <c r="AA3905" s="131"/>
    </row>
    <row r="3906" spans="1:27" ht="15" customHeight="1" x14ac:dyDescent="0.2">
      <c r="A3906" s="37">
        <v>41830.8140277778</v>
      </c>
      <c r="B3906" s="26" t="s">
        <v>152</v>
      </c>
      <c r="C3906" s="26" t="s">
        <v>847</v>
      </c>
      <c r="D3906" s="91" t="s">
        <v>7147</v>
      </c>
      <c r="E3906" s="26" t="s">
        <v>8440</v>
      </c>
      <c r="F3906" s="26" t="s">
        <v>611</v>
      </c>
      <c r="G3906" s="34" t="s">
        <v>26</v>
      </c>
      <c r="H3906" s="26" t="s">
        <v>8441</v>
      </c>
      <c r="I3906" s="26" t="s">
        <v>2986</v>
      </c>
      <c r="J3906" s="46">
        <v>8</v>
      </c>
      <c r="K3906" s="46">
        <v>274</v>
      </c>
      <c r="L3906" s="136"/>
      <c r="M3906" s="137" t="s">
        <v>22</v>
      </c>
      <c r="V3906" s="26" t="s">
        <v>8442</v>
      </c>
      <c r="W3906" s="26"/>
      <c r="X3906" s="26"/>
      <c r="Y3906" s="26"/>
      <c r="Z3906" s="26"/>
      <c r="AA3906" s="131"/>
    </row>
    <row r="3907" spans="1:27" ht="15" customHeight="1" x14ac:dyDescent="0.2">
      <c r="A3907" s="37">
        <v>41830.814988425896</v>
      </c>
      <c r="B3907" s="26" t="s">
        <v>152</v>
      </c>
      <c r="C3907" s="26" t="s">
        <v>847</v>
      </c>
      <c r="D3907" s="91" t="s">
        <v>7147</v>
      </c>
      <c r="E3907" s="26" t="s">
        <v>8443</v>
      </c>
      <c r="F3907" s="26" t="s">
        <v>870</v>
      </c>
      <c r="G3907" s="34" t="s">
        <v>26</v>
      </c>
      <c r="H3907" s="26" t="s">
        <v>8444</v>
      </c>
      <c r="I3907" s="26" t="s">
        <v>2986</v>
      </c>
      <c r="J3907" s="46">
        <v>3</v>
      </c>
      <c r="K3907" s="46">
        <v>93</v>
      </c>
      <c r="L3907" s="136"/>
      <c r="M3907" s="137" t="s">
        <v>22</v>
      </c>
      <c r="V3907" s="26" t="s">
        <v>8445</v>
      </c>
      <c r="W3907" s="26"/>
      <c r="X3907" s="26"/>
      <c r="Y3907" s="26"/>
      <c r="Z3907" s="26"/>
      <c r="AA3907" s="131"/>
    </row>
    <row r="3908" spans="1:27" ht="15" customHeight="1" x14ac:dyDescent="0.2">
      <c r="A3908" s="37">
        <v>41830.8168518518</v>
      </c>
      <c r="B3908" s="26" t="s">
        <v>152</v>
      </c>
      <c r="C3908" s="26" t="s">
        <v>847</v>
      </c>
      <c r="D3908" s="91" t="s">
        <v>7147</v>
      </c>
      <c r="E3908" s="26" t="s">
        <v>8446</v>
      </c>
      <c r="F3908" s="26" t="s">
        <v>8447</v>
      </c>
      <c r="G3908" s="34" t="s">
        <v>60</v>
      </c>
      <c r="H3908" s="26"/>
      <c r="I3908" s="26" t="s">
        <v>8448</v>
      </c>
      <c r="J3908" s="46">
        <v>17</v>
      </c>
      <c r="K3908" s="46">
        <v>336</v>
      </c>
      <c r="L3908" s="136"/>
      <c r="M3908" s="137" t="s">
        <v>22</v>
      </c>
      <c r="V3908" s="26" t="s">
        <v>8449</v>
      </c>
      <c r="W3908" s="26"/>
      <c r="X3908" s="26"/>
      <c r="Y3908" s="26"/>
      <c r="Z3908" s="26"/>
      <c r="AA3908" s="131"/>
    </row>
    <row r="3909" spans="1:27" ht="15" customHeight="1" x14ac:dyDescent="0.2">
      <c r="A3909" s="37">
        <v>41830.817847222199</v>
      </c>
      <c r="B3909" s="26" t="s">
        <v>152</v>
      </c>
      <c r="C3909" s="26" t="s">
        <v>847</v>
      </c>
      <c r="D3909" s="91" t="s">
        <v>7147</v>
      </c>
      <c r="E3909" s="26" t="s">
        <v>8450</v>
      </c>
      <c r="F3909" s="26" t="s">
        <v>931</v>
      </c>
      <c r="G3909" s="34" t="s">
        <v>26</v>
      </c>
      <c r="H3909" s="26"/>
      <c r="I3909" s="26" t="s">
        <v>2986</v>
      </c>
      <c r="J3909" s="46">
        <v>1</v>
      </c>
      <c r="K3909" s="46">
        <v>16</v>
      </c>
      <c r="L3909" s="136"/>
      <c r="M3909" s="137" t="s">
        <v>44</v>
      </c>
      <c r="T3909" s="138" t="s">
        <v>8451</v>
      </c>
      <c r="V3909" s="26"/>
      <c r="W3909" s="26"/>
      <c r="X3909" s="26"/>
      <c r="Y3909" s="26"/>
      <c r="Z3909" s="26"/>
      <c r="AA3909" s="131"/>
    </row>
    <row r="3910" spans="1:27" ht="15" customHeight="1" x14ac:dyDescent="0.2">
      <c r="A3910" s="37">
        <v>41830.819733796299</v>
      </c>
      <c r="B3910" s="26" t="s">
        <v>152</v>
      </c>
      <c r="C3910" s="26" t="s">
        <v>847</v>
      </c>
      <c r="D3910" s="91" t="s">
        <v>7147</v>
      </c>
      <c r="E3910" s="26" t="s">
        <v>8452</v>
      </c>
      <c r="F3910" s="26" t="s">
        <v>851</v>
      </c>
      <c r="G3910" s="34" t="s">
        <v>26</v>
      </c>
      <c r="H3910" s="26"/>
      <c r="I3910" s="26" t="s">
        <v>2986</v>
      </c>
      <c r="J3910" s="46">
        <v>4</v>
      </c>
      <c r="K3910" s="46">
        <v>547</v>
      </c>
      <c r="L3910" s="136"/>
      <c r="M3910" s="137" t="s">
        <v>44</v>
      </c>
      <c r="O3910" s="138">
        <v>150</v>
      </c>
      <c r="V3910" s="26" t="s">
        <v>8453</v>
      </c>
      <c r="W3910" s="26"/>
      <c r="X3910" s="26"/>
      <c r="Y3910" s="26"/>
      <c r="Z3910" s="26"/>
      <c r="AA3910" s="131"/>
    </row>
    <row r="3911" spans="1:27" ht="15" customHeight="1" x14ac:dyDescent="0.2">
      <c r="A3911" s="37">
        <v>41830.8211689815</v>
      </c>
      <c r="B3911" s="26" t="s">
        <v>152</v>
      </c>
      <c r="C3911" s="26" t="s">
        <v>847</v>
      </c>
      <c r="D3911" s="91" t="s">
        <v>7147</v>
      </c>
      <c r="E3911" s="26" t="s">
        <v>873</v>
      </c>
      <c r="F3911" s="26" t="s">
        <v>874</v>
      </c>
      <c r="G3911" s="34" t="s">
        <v>26</v>
      </c>
      <c r="H3911" s="26" t="s">
        <v>8454</v>
      </c>
      <c r="I3911" s="26" t="s">
        <v>2986</v>
      </c>
      <c r="J3911" s="46">
        <v>4</v>
      </c>
      <c r="K3911" s="46">
        <v>16</v>
      </c>
      <c r="L3911" s="136"/>
      <c r="M3911" s="137" t="s">
        <v>44</v>
      </c>
      <c r="P3911" s="138">
        <v>25</v>
      </c>
      <c r="V3911" s="26" t="s">
        <v>8455</v>
      </c>
      <c r="W3911" s="26"/>
      <c r="X3911" s="26"/>
      <c r="Y3911" s="26"/>
      <c r="Z3911" s="26"/>
      <c r="AA3911" s="131"/>
    </row>
    <row r="3912" spans="1:27" ht="15" customHeight="1" x14ac:dyDescent="0.2">
      <c r="A3912" s="37">
        <v>41830.821956018503</v>
      </c>
      <c r="B3912" s="26" t="s">
        <v>152</v>
      </c>
      <c r="C3912" s="26" t="s">
        <v>847</v>
      </c>
      <c r="D3912" s="91" t="s">
        <v>7147</v>
      </c>
      <c r="E3912" s="26" t="s">
        <v>8456</v>
      </c>
      <c r="F3912" s="26" t="s">
        <v>8457</v>
      </c>
      <c r="G3912" s="34" t="s">
        <v>26</v>
      </c>
      <c r="H3912" s="26" t="s">
        <v>8458</v>
      </c>
      <c r="I3912" s="26" t="s">
        <v>2986</v>
      </c>
      <c r="J3912" s="46">
        <v>1</v>
      </c>
      <c r="K3912" s="46">
        <v>16</v>
      </c>
      <c r="L3912" s="136"/>
      <c r="M3912" s="137" t="s">
        <v>22</v>
      </c>
      <c r="V3912" s="26"/>
      <c r="W3912" s="26"/>
      <c r="X3912" s="26"/>
      <c r="Y3912" s="26"/>
      <c r="Z3912" s="26"/>
      <c r="AA3912" s="131"/>
    </row>
    <row r="3913" spans="1:27" ht="15" customHeight="1" x14ac:dyDescent="0.2">
      <c r="A3913" s="37">
        <v>41830.823310185202</v>
      </c>
      <c r="B3913" s="26" t="s">
        <v>152</v>
      </c>
      <c r="C3913" s="26" t="s">
        <v>847</v>
      </c>
      <c r="D3913" s="91" t="s">
        <v>7147</v>
      </c>
      <c r="E3913" s="26" t="s">
        <v>8459</v>
      </c>
      <c r="F3913" s="26" t="s">
        <v>882</v>
      </c>
      <c r="G3913" s="34" t="s">
        <v>26</v>
      </c>
      <c r="H3913" s="26" t="s">
        <v>8460</v>
      </c>
      <c r="I3913" s="26" t="s">
        <v>2986</v>
      </c>
      <c r="J3913" s="46">
        <v>1</v>
      </c>
      <c r="K3913" s="46">
        <v>2</v>
      </c>
      <c r="L3913" s="136"/>
      <c r="M3913" s="137" t="s">
        <v>22</v>
      </c>
      <c r="V3913" s="26" t="s">
        <v>8461</v>
      </c>
      <c r="W3913" s="26"/>
      <c r="X3913" s="26"/>
      <c r="Y3913" s="26"/>
      <c r="Z3913" s="26"/>
      <c r="AA3913" s="131"/>
    </row>
    <row r="3914" spans="1:27" ht="15" customHeight="1" x14ac:dyDescent="0.2">
      <c r="A3914" s="37">
        <v>41830.824155092603</v>
      </c>
      <c r="B3914" s="26" t="s">
        <v>152</v>
      </c>
      <c r="C3914" s="26" t="s">
        <v>847</v>
      </c>
      <c r="D3914" s="91" t="s">
        <v>7147</v>
      </c>
      <c r="E3914" s="26" t="s">
        <v>8462</v>
      </c>
      <c r="F3914" s="26" t="s">
        <v>886</v>
      </c>
      <c r="G3914" s="34" t="s">
        <v>26</v>
      </c>
      <c r="H3914" s="26" t="s">
        <v>8463</v>
      </c>
      <c r="I3914" s="26" t="s">
        <v>2986</v>
      </c>
      <c r="J3914" s="46">
        <v>4</v>
      </c>
      <c r="K3914" s="46">
        <v>14</v>
      </c>
      <c r="L3914" s="136"/>
      <c r="M3914" s="137" t="s">
        <v>22</v>
      </c>
      <c r="V3914" s="26" t="s">
        <v>8464</v>
      </c>
      <c r="W3914" s="26"/>
      <c r="X3914" s="26"/>
      <c r="Y3914" s="26"/>
      <c r="Z3914" s="26"/>
      <c r="AA3914" s="131"/>
    </row>
    <row r="3915" spans="1:27" ht="15" customHeight="1" x14ac:dyDescent="0.2">
      <c r="A3915" s="37">
        <v>41830.825277777803</v>
      </c>
      <c r="B3915" s="26" t="s">
        <v>152</v>
      </c>
      <c r="C3915" s="26" t="s">
        <v>847</v>
      </c>
      <c r="D3915" s="91" t="s">
        <v>7147</v>
      </c>
      <c r="E3915" s="26" t="s">
        <v>8465</v>
      </c>
      <c r="F3915" s="26" t="s">
        <v>890</v>
      </c>
      <c r="G3915" s="34" t="s">
        <v>26</v>
      </c>
      <c r="H3915" s="26" t="s">
        <v>8466</v>
      </c>
      <c r="I3915" s="26" t="s">
        <v>2986</v>
      </c>
      <c r="J3915" s="46">
        <v>2</v>
      </c>
      <c r="K3915" s="46">
        <v>57</v>
      </c>
      <c r="L3915" s="136"/>
      <c r="M3915" s="137" t="s">
        <v>22</v>
      </c>
      <c r="V3915" s="26" t="s">
        <v>8467</v>
      </c>
      <c r="W3915" s="26"/>
      <c r="X3915" s="26"/>
      <c r="Y3915" s="26"/>
      <c r="Z3915" s="26"/>
      <c r="AA3915" s="131"/>
    </row>
    <row r="3916" spans="1:27" ht="15" customHeight="1" x14ac:dyDescent="0.2">
      <c r="A3916" s="37">
        <v>41830.826331018499</v>
      </c>
      <c r="B3916" s="26" t="s">
        <v>152</v>
      </c>
      <c r="C3916" s="26" t="s">
        <v>847</v>
      </c>
      <c r="D3916" s="91" t="s">
        <v>7147</v>
      </c>
      <c r="E3916" s="26" t="s">
        <v>8468</v>
      </c>
      <c r="F3916" s="26" t="s">
        <v>860</v>
      </c>
      <c r="G3916" s="34" t="s">
        <v>26</v>
      </c>
      <c r="H3916" s="26" t="s">
        <v>8469</v>
      </c>
      <c r="I3916" s="26" t="s">
        <v>2986</v>
      </c>
      <c r="J3916" s="46">
        <v>1</v>
      </c>
      <c r="K3916" s="46">
        <v>3</v>
      </c>
      <c r="L3916" s="136">
        <v>45</v>
      </c>
      <c r="M3916" s="137" t="s">
        <v>22</v>
      </c>
      <c r="V3916" s="26"/>
      <c r="W3916" s="26"/>
      <c r="X3916" s="26"/>
      <c r="Y3916" s="26"/>
      <c r="Z3916" s="26"/>
      <c r="AA3916" s="131"/>
    </row>
    <row r="3917" spans="1:27" ht="15" customHeight="1" x14ac:dyDescent="0.2">
      <c r="A3917" s="37">
        <v>41830.8272222222</v>
      </c>
      <c r="B3917" s="26" t="s">
        <v>152</v>
      </c>
      <c r="C3917" s="26" t="s">
        <v>847</v>
      </c>
      <c r="D3917" s="91" t="s">
        <v>7147</v>
      </c>
      <c r="E3917" s="26" t="s">
        <v>8470</v>
      </c>
      <c r="F3917" s="26" t="s">
        <v>8471</v>
      </c>
      <c r="G3917" s="34" t="s">
        <v>26</v>
      </c>
      <c r="H3917" s="26" t="s">
        <v>8472</v>
      </c>
      <c r="I3917" s="26" t="s">
        <v>2986</v>
      </c>
      <c r="J3917" s="46">
        <v>3</v>
      </c>
      <c r="K3917" s="46">
        <v>38</v>
      </c>
      <c r="L3917" s="136"/>
      <c r="M3917" s="137" t="s">
        <v>22</v>
      </c>
      <c r="V3917" s="26"/>
      <c r="W3917" s="26"/>
      <c r="X3917" s="26"/>
      <c r="Y3917" s="26"/>
      <c r="Z3917" s="26"/>
      <c r="AA3917" s="131"/>
    </row>
    <row r="3918" spans="1:27" ht="15" customHeight="1" x14ac:dyDescent="0.2">
      <c r="A3918" s="37">
        <v>41830.829143518502</v>
      </c>
      <c r="B3918" s="26" t="s">
        <v>152</v>
      </c>
      <c r="C3918" s="26" t="s">
        <v>847</v>
      </c>
      <c r="D3918" s="91" t="s">
        <v>7147</v>
      </c>
      <c r="E3918" s="26" t="s">
        <v>8473</v>
      </c>
      <c r="F3918" s="26" t="s">
        <v>8474</v>
      </c>
      <c r="G3918" s="34" t="s">
        <v>156</v>
      </c>
      <c r="H3918" s="26"/>
      <c r="I3918" s="26" t="s">
        <v>6527</v>
      </c>
      <c r="J3918" s="46">
        <v>1</v>
      </c>
      <c r="K3918" s="46">
        <v>156</v>
      </c>
      <c r="L3918" s="136"/>
      <c r="M3918" s="137" t="s">
        <v>22</v>
      </c>
      <c r="V3918" s="26" t="s">
        <v>8475</v>
      </c>
      <c r="W3918" s="26"/>
      <c r="X3918" s="26"/>
      <c r="Y3918" s="26"/>
      <c r="Z3918" s="26"/>
      <c r="AA3918" s="131"/>
    </row>
    <row r="3919" spans="1:27" ht="15" customHeight="1" x14ac:dyDescent="0.2">
      <c r="A3919" s="37">
        <v>41830.831006944398</v>
      </c>
      <c r="B3919" s="26" t="s">
        <v>152</v>
      </c>
      <c r="C3919" s="26" t="s">
        <v>847</v>
      </c>
      <c r="D3919" s="91" t="s">
        <v>7147</v>
      </c>
      <c r="E3919" s="26" t="s">
        <v>8476</v>
      </c>
      <c r="F3919" s="26" t="s">
        <v>8477</v>
      </c>
      <c r="G3919" s="34" t="s">
        <v>156</v>
      </c>
      <c r="H3919" s="26" t="s">
        <v>8477</v>
      </c>
      <c r="I3919" s="26" t="s">
        <v>8478</v>
      </c>
      <c r="J3919" s="46">
        <v>1</v>
      </c>
      <c r="K3919" s="46">
        <v>1304</v>
      </c>
      <c r="L3919" s="136"/>
      <c r="M3919" s="137" t="s">
        <v>44</v>
      </c>
      <c r="T3919" s="138" t="s">
        <v>8479</v>
      </c>
      <c r="V3919" s="26"/>
      <c r="W3919" s="26"/>
      <c r="X3919" s="26"/>
      <c r="Y3919" s="26"/>
      <c r="Z3919" s="26"/>
      <c r="AA3919" s="131"/>
    </row>
    <row r="3920" spans="1:27" ht="15" customHeight="1" x14ac:dyDescent="0.2">
      <c r="A3920" s="37">
        <v>41830.832326388903</v>
      </c>
      <c r="B3920" s="26" t="s">
        <v>152</v>
      </c>
      <c r="C3920" s="26" t="s">
        <v>847</v>
      </c>
      <c r="D3920" s="91" t="s">
        <v>7147</v>
      </c>
      <c r="E3920" s="26" t="s">
        <v>8480</v>
      </c>
      <c r="F3920" s="26" t="s">
        <v>8481</v>
      </c>
      <c r="G3920" s="34" t="s">
        <v>26</v>
      </c>
      <c r="H3920" s="26"/>
      <c r="I3920" s="26" t="s">
        <v>2986</v>
      </c>
      <c r="J3920" s="46">
        <v>3</v>
      </c>
      <c r="K3920" s="46">
        <v>32</v>
      </c>
      <c r="L3920" s="136"/>
      <c r="M3920" s="137" t="s">
        <v>22</v>
      </c>
      <c r="V3920" s="26" t="s">
        <v>8482</v>
      </c>
      <c r="W3920" s="26"/>
      <c r="X3920" s="26"/>
      <c r="Y3920" s="26"/>
      <c r="Z3920" s="26"/>
      <c r="AA3920" s="131"/>
    </row>
    <row r="3921" spans="1:27" ht="15" customHeight="1" x14ac:dyDescent="0.2">
      <c r="A3921" s="37">
        <v>41830.834594907399</v>
      </c>
      <c r="B3921" s="26" t="s">
        <v>152</v>
      </c>
      <c r="C3921" s="26" t="s">
        <v>847</v>
      </c>
      <c r="D3921" s="91" t="s">
        <v>7147</v>
      </c>
      <c r="E3921" s="26" t="s">
        <v>8483</v>
      </c>
      <c r="F3921" s="26" t="s">
        <v>8484</v>
      </c>
      <c r="G3921" s="34" t="s">
        <v>42</v>
      </c>
      <c r="H3921" s="26" t="s">
        <v>8485</v>
      </c>
      <c r="I3921" s="26" t="s">
        <v>8486</v>
      </c>
      <c r="J3921" s="46">
        <v>1</v>
      </c>
      <c r="K3921" s="46">
        <v>32</v>
      </c>
      <c r="L3921" s="136"/>
      <c r="M3921" s="137" t="s">
        <v>22</v>
      </c>
      <c r="V3921" s="26" t="s">
        <v>8487</v>
      </c>
      <c r="W3921" s="26"/>
      <c r="X3921" s="26"/>
      <c r="Y3921" s="26"/>
      <c r="Z3921" s="26"/>
      <c r="AA3921" s="131"/>
    </row>
    <row r="3922" spans="1:27" ht="15" customHeight="1" x14ac:dyDescent="0.2">
      <c r="A3922" s="37">
        <v>41830.835462962998</v>
      </c>
      <c r="B3922" s="26" t="s">
        <v>152</v>
      </c>
      <c r="C3922" s="26" t="s">
        <v>847</v>
      </c>
      <c r="D3922" s="91" t="s">
        <v>7147</v>
      </c>
      <c r="E3922" s="26" t="s">
        <v>8483</v>
      </c>
      <c r="F3922" s="26" t="s">
        <v>8488</v>
      </c>
      <c r="G3922" s="34" t="s">
        <v>42</v>
      </c>
      <c r="H3922" s="26" t="s">
        <v>8489</v>
      </c>
      <c r="I3922" s="26" t="s">
        <v>8490</v>
      </c>
      <c r="J3922" s="46">
        <v>1</v>
      </c>
      <c r="K3922" s="46">
        <v>12</v>
      </c>
      <c r="L3922" s="136"/>
      <c r="M3922" s="137" t="s">
        <v>22</v>
      </c>
      <c r="V3922" s="26"/>
      <c r="W3922" s="26"/>
      <c r="X3922" s="26"/>
      <c r="Y3922" s="26"/>
      <c r="Z3922" s="26"/>
      <c r="AA3922" s="131"/>
    </row>
    <row r="3923" spans="1:27" ht="15" customHeight="1" x14ac:dyDescent="0.2">
      <c r="A3923" s="37">
        <v>41830.837893518503</v>
      </c>
      <c r="B3923" s="26" t="s">
        <v>152</v>
      </c>
      <c r="C3923" s="26" t="s">
        <v>847</v>
      </c>
      <c r="D3923" s="91" t="s">
        <v>7147</v>
      </c>
      <c r="E3923" s="26" t="s">
        <v>8491</v>
      </c>
      <c r="F3923" s="26" t="s">
        <v>8492</v>
      </c>
      <c r="G3923" s="34" t="s">
        <v>42</v>
      </c>
      <c r="H3923" s="26" t="s">
        <v>8493</v>
      </c>
      <c r="I3923" s="26" t="s">
        <v>2986</v>
      </c>
      <c r="J3923" s="46">
        <v>1</v>
      </c>
      <c r="K3923" s="46">
        <v>53</v>
      </c>
      <c r="L3923" s="136"/>
      <c r="M3923" s="137" t="s">
        <v>22</v>
      </c>
      <c r="V3923" s="26" t="s">
        <v>8494</v>
      </c>
      <c r="W3923" s="26"/>
      <c r="X3923" s="26"/>
      <c r="Y3923" s="26"/>
      <c r="Z3923" s="26"/>
      <c r="AA3923" s="131"/>
    </row>
    <row r="3924" spans="1:27" ht="15" customHeight="1" x14ac:dyDescent="0.2">
      <c r="A3924" s="37">
        <v>41834.520752314798</v>
      </c>
      <c r="B3924" s="26" t="s">
        <v>16</v>
      </c>
      <c r="C3924" s="26" t="s">
        <v>545</v>
      </c>
      <c r="D3924" s="91" t="s">
        <v>7147</v>
      </c>
      <c r="E3924" s="26"/>
      <c r="F3924" s="26" t="s">
        <v>8147</v>
      </c>
      <c r="G3924" s="34" t="s">
        <v>42</v>
      </c>
      <c r="H3924" s="26" t="s">
        <v>8495</v>
      </c>
      <c r="I3924" s="26" t="s">
        <v>2925</v>
      </c>
      <c r="J3924" s="46">
        <v>7</v>
      </c>
      <c r="K3924" s="46">
        <v>39</v>
      </c>
      <c r="L3924" s="136"/>
      <c r="M3924" s="137" t="s">
        <v>22</v>
      </c>
      <c r="V3924" s="26"/>
      <c r="W3924" s="26"/>
      <c r="X3924" s="26"/>
      <c r="Y3924" s="26"/>
      <c r="Z3924" s="26"/>
      <c r="AA3924" s="131"/>
    </row>
    <row r="3925" spans="1:27" ht="15" customHeight="1" x14ac:dyDescent="0.2">
      <c r="A3925" s="37">
        <v>41834.521898148101</v>
      </c>
      <c r="B3925" s="26" t="s">
        <v>16</v>
      </c>
      <c r="C3925" s="26" t="s">
        <v>545</v>
      </c>
      <c r="D3925" s="91" t="s">
        <v>7147</v>
      </c>
      <c r="E3925" s="26"/>
      <c r="F3925" s="26" t="s">
        <v>8496</v>
      </c>
      <c r="G3925" s="34" t="s">
        <v>42</v>
      </c>
      <c r="H3925" s="26" t="s">
        <v>8497</v>
      </c>
      <c r="I3925" s="26" t="s">
        <v>2925</v>
      </c>
      <c r="J3925" s="46">
        <v>20</v>
      </c>
      <c r="K3925" s="46">
        <v>141</v>
      </c>
      <c r="L3925" s="136"/>
      <c r="M3925" s="137" t="s">
        <v>22</v>
      </c>
      <c r="V3925" s="26"/>
      <c r="W3925" s="26"/>
      <c r="X3925" s="26"/>
      <c r="Y3925" s="26"/>
      <c r="Z3925" s="26"/>
      <c r="AA3925" s="131"/>
    </row>
    <row r="3926" spans="1:27" s="127" customFormat="1" ht="15" customHeight="1" x14ac:dyDescent="0.2">
      <c r="A3926" s="99"/>
      <c r="B3926" s="100"/>
      <c r="C3926" s="125"/>
      <c r="D3926" s="101"/>
      <c r="E3926" s="100"/>
      <c r="F3926" s="100"/>
      <c r="G3926" s="100"/>
      <c r="H3926" s="100"/>
      <c r="I3926" s="100"/>
      <c r="J3926" s="126">
        <f>SUBTOTAL(109,Table1['# Programs])</f>
        <v>14597</v>
      </c>
      <c r="K3926" s="126">
        <f>SUBTOTAL(109,Table1[Attendance])</f>
        <v>287066</v>
      </c>
      <c r="L3926" s="168">
        <f>SUBTOTAL(109,Table1[Program Fee Revenue])</f>
        <v>379413.89</v>
      </c>
      <c r="M3926" s="169">
        <f>SUBTOTAL(109,Table1[Did this program generate indirect revenue?])</f>
        <v>0</v>
      </c>
      <c r="N3926" s="170">
        <f>SUBTOTAL(109,Table1[Historic Site Admission])</f>
        <v>179308.80999999994</v>
      </c>
      <c r="O3926" s="168">
        <f>SUBTOTAL(109,Table1[Park Pass])</f>
        <v>50645.229999999996</v>
      </c>
      <c r="P3926" s="168">
        <f>SUBTOTAL(109,Table1[Gift Shop Sales])</f>
        <v>111948.51999999997</v>
      </c>
      <c r="Q3926" s="168">
        <f>SUBTOTAL(109,Table1[Camping])</f>
        <v>42594.47</v>
      </c>
      <c r="R3926" s="168">
        <f>SUBTOTAL(109,Table1[Cabins])</f>
        <v>64862.149999999994</v>
      </c>
      <c r="S3926" s="168">
        <f>SUBTOTAL(109,Table1[Revenue to Friends])</f>
        <v>14747.480000000001</v>
      </c>
      <c r="T3926" s="168">
        <f>SUBTOTAL(109,Table1[Other Indirect Revenue])</f>
        <v>3401.9300000000003</v>
      </c>
      <c r="U3926" s="168">
        <f>SUBTOTAL(109,Table1[[ Cost]])</f>
        <v>43539.35</v>
      </c>
      <c r="V3926" s="100">
        <f>SUBTOTAL(109,Table1[Comments])</f>
        <v>15</v>
      </c>
      <c r="W3926" s="102"/>
      <c r="X3926" s="102"/>
      <c r="Y3926" s="102"/>
      <c r="Z3926" s="102"/>
      <c r="AA3926" s="102"/>
    </row>
  </sheetData>
  <pageMargins left="0.7" right="0.7" top="0.75" bottom="0.75" header="0.3" footer="0.3"/>
  <pageSetup orientation="portrait"/>
  <tableParts count="1">
    <tablePart r:id="rId1"/>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election activeCell="F31" sqref="F31:F39"/>
    </sheetView>
  </sheetViews>
  <sheetFormatPr defaultColWidth="8.85546875" defaultRowHeight="12.75" x14ac:dyDescent="0.2"/>
  <cols>
    <col min="1" max="1" width="44.28515625" customWidth="1"/>
    <col min="2" max="2" width="11.7109375" customWidth="1"/>
    <col min="3" max="3" width="11.140625" customWidth="1"/>
  </cols>
  <sheetData>
    <row r="1" spans="1:9" s="16" customFormat="1" ht="15" customHeight="1" x14ac:dyDescent="0.25">
      <c r="A1" s="17" t="s">
        <v>2007</v>
      </c>
      <c r="B1" s="18"/>
      <c r="C1" s="18"/>
      <c r="D1" s="27"/>
      <c r="E1" s="27"/>
      <c r="F1" s="27"/>
      <c r="G1" s="27"/>
      <c r="H1" s="27"/>
      <c r="I1" s="25"/>
    </row>
    <row r="2" spans="1:9" ht="15" customHeight="1" x14ac:dyDescent="0.2">
      <c r="A2" s="4"/>
    </row>
    <row r="3" spans="1:9" s="7" customFormat="1" ht="15" customHeight="1" x14ac:dyDescent="0.25">
      <c r="A3" s="5" t="s">
        <v>1253</v>
      </c>
      <c r="B3" s="5"/>
      <c r="C3" s="20"/>
    </row>
    <row r="4" spans="1:9" ht="24.95" customHeight="1" x14ac:dyDescent="0.2">
      <c r="A4" s="21" t="s">
        <v>1254</v>
      </c>
      <c r="B4" s="21" t="s">
        <v>1255</v>
      </c>
      <c r="C4" s="22" t="s">
        <v>1256</v>
      </c>
    </row>
    <row r="5" spans="1:9" ht="12.75" customHeight="1" x14ac:dyDescent="0.2">
      <c r="A5" t="s">
        <v>26</v>
      </c>
      <c r="B5" s="3">
        <v>6498</v>
      </c>
      <c r="C5" s="8">
        <v>81075</v>
      </c>
    </row>
    <row r="6" spans="1:9" ht="12.75" customHeight="1" x14ac:dyDescent="0.2">
      <c r="A6" t="s">
        <v>1257</v>
      </c>
      <c r="B6" s="3">
        <v>249</v>
      </c>
      <c r="C6" s="8">
        <v>44489</v>
      </c>
    </row>
    <row r="7" spans="1:9" ht="12.75" customHeight="1" x14ac:dyDescent="0.2">
      <c r="A7" t="s">
        <v>20</v>
      </c>
      <c r="B7" s="3">
        <v>1203</v>
      </c>
      <c r="C7" s="8">
        <v>50782</v>
      </c>
    </row>
    <row r="8" spans="1:9" ht="12.75" customHeight="1" x14ac:dyDescent="0.2">
      <c r="A8" t="s">
        <v>42</v>
      </c>
      <c r="B8" s="3">
        <v>622</v>
      </c>
      <c r="C8" s="8">
        <v>13410</v>
      </c>
    </row>
    <row r="9" spans="1:9" ht="12.75" customHeight="1" x14ac:dyDescent="0.2">
      <c r="A9" t="s">
        <v>1258</v>
      </c>
      <c r="B9" s="3">
        <v>5683</v>
      </c>
      <c r="C9" s="8">
        <v>52669</v>
      </c>
    </row>
    <row r="10" spans="1:9" ht="12.75" customHeight="1" x14ac:dyDescent="0.2">
      <c r="A10" t="s">
        <v>351</v>
      </c>
      <c r="B10" s="129">
        <v>342</v>
      </c>
      <c r="C10" s="13">
        <v>44641</v>
      </c>
    </row>
    <row r="11" spans="1:9" ht="12.75" customHeight="1" x14ac:dyDescent="0.2">
      <c r="A11" t="s">
        <v>1259</v>
      </c>
      <c r="B11" s="3">
        <f>SUM(B5:B10)</f>
        <v>14597</v>
      </c>
      <c r="C11" s="8">
        <f>SUM(C5:C10)</f>
        <v>287066</v>
      </c>
    </row>
    <row r="12" spans="1:9" ht="12.75" customHeight="1" x14ac:dyDescent="0.2">
      <c r="B12" s="173"/>
      <c r="C12" s="174"/>
    </row>
    <row r="13" spans="1:9" ht="12.75" customHeight="1" x14ac:dyDescent="0.2">
      <c r="A13" t="s">
        <v>1260</v>
      </c>
      <c r="B13" s="175">
        <v>379414</v>
      </c>
      <c r="C13" s="176"/>
    </row>
    <row r="14" spans="1:9" ht="12.75" customHeight="1" thickBot="1" x14ac:dyDescent="0.25">
      <c r="A14" s="10" t="s">
        <v>1261</v>
      </c>
      <c r="B14" s="24">
        <v>646817</v>
      </c>
      <c r="C14" s="11"/>
    </row>
    <row r="15" spans="1:9" ht="12.75" customHeight="1" thickTop="1" x14ac:dyDescent="0.2">
      <c r="H15" s="19"/>
    </row>
    <row r="16" spans="1:9" s="6" customFormat="1" ht="15" customHeight="1" x14ac:dyDescent="0.25">
      <c r="A16" s="5" t="s">
        <v>152</v>
      </c>
      <c r="B16" s="5"/>
      <c r="C16" s="20"/>
    </row>
    <row r="17" spans="1:3" ht="24.95" customHeight="1" x14ac:dyDescent="0.2">
      <c r="A17" s="21" t="s">
        <v>1254</v>
      </c>
      <c r="B17" s="21" t="s">
        <v>1255</v>
      </c>
      <c r="C17" s="22" t="s">
        <v>1256</v>
      </c>
    </row>
    <row r="18" spans="1:3" ht="12.75" customHeight="1" x14ac:dyDescent="0.2">
      <c r="A18" t="s">
        <v>26</v>
      </c>
      <c r="B18" s="3">
        <v>1420</v>
      </c>
      <c r="C18" s="8">
        <v>27059</v>
      </c>
    </row>
    <row r="19" spans="1:3" ht="12.75" customHeight="1" x14ac:dyDescent="0.2">
      <c r="A19" t="s">
        <v>156</v>
      </c>
      <c r="B19" s="3">
        <v>75</v>
      </c>
      <c r="C19" s="8">
        <v>19252</v>
      </c>
    </row>
    <row r="20" spans="1:3" ht="12.75" customHeight="1" x14ac:dyDescent="0.2">
      <c r="A20" t="s">
        <v>20</v>
      </c>
      <c r="B20" s="3">
        <v>483</v>
      </c>
      <c r="C20" s="8">
        <v>16922</v>
      </c>
    </row>
    <row r="21" spans="1:3" ht="12.75" customHeight="1" x14ac:dyDescent="0.2">
      <c r="A21" t="s">
        <v>1262</v>
      </c>
      <c r="B21" s="3">
        <v>149</v>
      </c>
      <c r="C21" s="8">
        <v>3661</v>
      </c>
    </row>
    <row r="22" spans="1:3" ht="12.75" customHeight="1" x14ac:dyDescent="0.2">
      <c r="A22" t="s">
        <v>1258</v>
      </c>
      <c r="B22" s="3">
        <v>212</v>
      </c>
      <c r="C22" s="8">
        <v>1513</v>
      </c>
    </row>
    <row r="23" spans="1:3" ht="12.75" customHeight="1" x14ac:dyDescent="0.2">
      <c r="A23" t="s">
        <v>351</v>
      </c>
      <c r="B23" s="71">
        <v>247</v>
      </c>
      <c r="C23" s="14">
        <v>16283</v>
      </c>
    </row>
    <row r="24" spans="1:3" ht="12.75" customHeight="1" x14ac:dyDescent="0.2">
      <c r="A24" t="s">
        <v>1259</v>
      </c>
      <c r="B24" s="3">
        <f>SUM(B18:B23)</f>
        <v>2586</v>
      </c>
      <c r="C24" s="3">
        <f>SUM(C18:C23)</f>
        <v>84690</v>
      </c>
    </row>
    <row r="25" spans="1:3" ht="12.75" customHeight="1" x14ac:dyDescent="0.2">
      <c r="B25" s="3"/>
      <c r="C25" s="8"/>
    </row>
    <row r="26" spans="1:3" ht="12.75" customHeight="1" x14ac:dyDescent="0.2">
      <c r="A26" t="s">
        <v>1263</v>
      </c>
      <c r="B26" s="23">
        <v>62575</v>
      </c>
      <c r="C26" s="8"/>
    </row>
    <row r="27" spans="1:3" ht="12.75" customHeight="1" thickBot="1" x14ac:dyDescent="0.25">
      <c r="A27" s="10" t="s">
        <v>1264</v>
      </c>
      <c r="B27" s="24">
        <v>168964</v>
      </c>
      <c r="C27" s="72"/>
    </row>
    <row r="28" spans="1:3" ht="12.75" customHeight="1" thickTop="1" x14ac:dyDescent="0.2"/>
    <row r="29" spans="1:3" ht="15" customHeight="1" x14ac:dyDescent="0.25">
      <c r="A29" s="5" t="s">
        <v>16</v>
      </c>
      <c r="B29" s="5"/>
      <c r="C29" s="20"/>
    </row>
    <row r="30" spans="1:3" ht="24.95" customHeight="1" x14ac:dyDescent="0.2">
      <c r="A30" s="21" t="s">
        <v>1254</v>
      </c>
      <c r="B30" s="21" t="s">
        <v>1255</v>
      </c>
      <c r="C30" s="22" t="s">
        <v>1256</v>
      </c>
    </row>
    <row r="31" spans="1:3" ht="12.75" customHeight="1" x14ac:dyDescent="0.2">
      <c r="A31" t="s">
        <v>26</v>
      </c>
      <c r="B31" s="3">
        <v>3504</v>
      </c>
      <c r="C31" s="8">
        <v>35155</v>
      </c>
    </row>
    <row r="32" spans="1:3" ht="12.75" customHeight="1" x14ac:dyDescent="0.2">
      <c r="A32" t="s">
        <v>156</v>
      </c>
      <c r="B32" s="3">
        <v>130</v>
      </c>
      <c r="C32" s="8">
        <v>15260</v>
      </c>
    </row>
    <row r="33" spans="1:3" ht="12.75" customHeight="1" x14ac:dyDescent="0.2">
      <c r="A33" t="s">
        <v>20</v>
      </c>
      <c r="B33" s="3">
        <v>417</v>
      </c>
      <c r="C33" s="8">
        <v>15477</v>
      </c>
    </row>
    <row r="34" spans="1:3" ht="12.75" customHeight="1" x14ac:dyDescent="0.2">
      <c r="A34" t="s">
        <v>1262</v>
      </c>
      <c r="B34" s="3">
        <v>284</v>
      </c>
      <c r="C34" s="8">
        <v>4922</v>
      </c>
    </row>
    <row r="35" spans="1:3" ht="12.75" customHeight="1" x14ac:dyDescent="0.2">
      <c r="A35" t="s">
        <v>1258</v>
      </c>
      <c r="B35" s="3">
        <v>11</v>
      </c>
      <c r="C35" s="2">
        <v>1028</v>
      </c>
    </row>
    <row r="36" spans="1:3" ht="12.75" customHeight="1" x14ac:dyDescent="0.2">
      <c r="A36" t="s">
        <v>351</v>
      </c>
      <c r="B36" s="1">
        <v>73</v>
      </c>
      <c r="C36" s="14">
        <v>24071</v>
      </c>
    </row>
    <row r="37" spans="1:3" ht="12.75" customHeight="1" x14ac:dyDescent="0.2">
      <c r="A37" t="s">
        <v>1259</v>
      </c>
      <c r="B37" s="3">
        <f>SUM(B31:B36)</f>
        <v>4419</v>
      </c>
      <c r="C37" s="8">
        <f>SUM(C31:C36)</f>
        <v>95913</v>
      </c>
    </row>
    <row r="38" spans="1:3" ht="12.75" customHeight="1" x14ac:dyDescent="0.2">
      <c r="C38" s="2"/>
    </row>
    <row r="39" spans="1:3" ht="12.75" customHeight="1" x14ac:dyDescent="0.2">
      <c r="A39" t="s">
        <v>1265</v>
      </c>
      <c r="B39" s="23">
        <v>174296</v>
      </c>
      <c r="C39" s="9"/>
    </row>
    <row r="40" spans="1:3" ht="12.75" customHeight="1" thickBot="1" x14ac:dyDescent="0.25">
      <c r="A40" s="10" t="s">
        <v>1266</v>
      </c>
      <c r="B40" s="24">
        <v>192882</v>
      </c>
      <c r="C40" s="11"/>
    </row>
    <row r="41" spans="1:3" ht="12.75" customHeight="1" thickTop="1" x14ac:dyDescent="0.2">
      <c r="C41" s="2"/>
    </row>
    <row r="42" spans="1:3" ht="15" customHeight="1" x14ac:dyDescent="0.25">
      <c r="A42" s="5" t="s">
        <v>38</v>
      </c>
      <c r="B42" s="5"/>
      <c r="C42" s="20"/>
    </row>
    <row r="43" spans="1:3" ht="24.95" customHeight="1" x14ac:dyDescent="0.2">
      <c r="A43" s="21" t="s">
        <v>1254</v>
      </c>
      <c r="B43" s="21" t="s">
        <v>1255</v>
      </c>
      <c r="C43" s="22" t="s">
        <v>1256</v>
      </c>
    </row>
    <row r="44" spans="1:3" ht="12.75" customHeight="1" x14ac:dyDescent="0.2">
      <c r="A44" t="s">
        <v>26</v>
      </c>
      <c r="B44" s="3">
        <v>1574</v>
      </c>
      <c r="C44" s="8">
        <v>18861</v>
      </c>
    </row>
    <row r="45" spans="1:3" ht="12.75" customHeight="1" x14ac:dyDescent="0.2">
      <c r="A45" t="s">
        <v>156</v>
      </c>
      <c r="B45">
        <v>44</v>
      </c>
      <c r="C45" s="8">
        <v>9977</v>
      </c>
    </row>
    <row r="46" spans="1:3" ht="12.75" customHeight="1" x14ac:dyDescent="0.2">
      <c r="A46" t="s">
        <v>20</v>
      </c>
      <c r="B46">
        <v>303</v>
      </c>
      <c r="C46" s="8">
        <v>18383</v>
      </c>
    </row>
    <row r="47" spans="1:3" ht="12.75" customHeight="1" x14ac:dyDescent="0.2">
      <c r="A47" t="s">
        <v>42</v>
      </c>
      <c r="B47">
        <v>189</v>
      </c>
      <c r="C47" s="8">
        <v>4827</v>
      </c>
    </row>
    <row r="48" spans="1:3" ht="12.75" customHeight="1" x14ac:dyDescent="0.2">
      <c r="A48" t="s">
        <v>1267</v>
      </c>
      <c r="B48" s="3">
        <v>5460</v>
      </c>
      <c r="C48" s="8">
        <v>50128</v>
      </c>
    </row>
    <row r="49" spans="1:4" ht="12.75" customHeight="1" x14ac:dyDescent="0.2">
      <c r="A49" t="s">
        <v>351</v>
      </c>
      <c r="B49" s="1">
        <v>22</v>
      </c>
      <c r="C49" s="14">
        <v>4287</v>
      </c>
    </row>
    <row r="50" spans="1:4" ht="12.75" customHeight="1" x14ac:dyDescent="0.2">
      <c r="A50" t="s">
        <v>1268</v>
      </c>
      <c r="B50" s="3">
        <f>SUM(B44:B49)</f>
        <v>7592</v>
      </c>
      <c r="C50" s="8">
        <f>SUM(C44:C49)</f>
        <v>106463</v>
      </c>
    </row>
    <row r="51" spans="1:4" ht="12.75" customHeight="1" x14ac:dyDescent="0.2">
      <c r="C51" s="8"/>
    </row>
    <row r="52" spans="1:4" ht="12.75" customHeight="1" x14ac:dyDescent="0.2">
      <c r="A52" t="s">
        <v>1269</v>
      </c>
      <c r="B52" s="23">
        <v>142543</v>
      </c>
      <c r="C52" s="9"/>
      <c r="D52" s="4"/>
    </row>
    <row r="53" spans="1:4" ht="12.75" customHeight="1" thickBot="1" x14ac:dyDescent="0.25">
      <c r="A53" s="10" t="s">
        <v>1270</v>
      </c>
      <c r="B53" s="24">
        <v>183643</v>
      </c>
      <c r="C53" s="11"/>
    </row>
    <row r="54" spans="1:4" ht="15" customHeight="1" thickTop="1" x14ac:dyDescent="0.2"/>
  </sheetData>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topLeftCell="A31" workbookViewId="0">
      <selection activeCell="H35" sqref="H35:H48"/>
    </sheetView>
  </sheetViews>
  <sheetFormatPr defaultColWidth="8.85546875" defaultRowHeight="12.75" x14ac:dyDescent="0.2"/>
  <cols>
    <col min="1" max="1" width="41.85546875" style="73" customWidth="1"/>
    <col min="2" max="2" width="11.7109375" style="73" customWidth="1"/>
    <col min="3" max="3" width="11.85546875" style="73" customWidth="1"/>
    <col min="4" max="4" width="8.85546875" style="73"/>
    <col min="5" max="5" width="16.42578125" style="73" customWidth="1"/>
    <col min="6" max="16384" width="8.85546875" style="73"/>
  </cols>
  <sheetData>
    <row r="1" spans="1:9" ht="18.75" customHeight="1" x14ac:dyDescent="0.25">
      <c r="A1" s="17" t="s">
        <v>8500</v>
      </c>
      <c r="B1" s="18"/>
      <c r="C1" s="18"/>
      <c r="D1" s="58"/>
      <c r="E1" s="58"/>
      <c r="F1" s="58"/>
      <c r="G1" s="58"/>
      <c r="H1" s="58"/>
      <c r="I1" s="58"/>
    </row>
    <row r="2" spans="1:9" ht="12.75" customHeight="1" x14ac:dyDescent="0.2">
      <c r="A2" s="4"/>
    </row>
    <row r="3" spans="1:9" ht="12.75" customHeight="1" x14ac:dyDescent="0.25">
      <c r="A3" s="5" t="s">
        <v>1253</v>
      </c>
      <c r="B3" s="5"/>
      <c r="C3" s="20"/>
    </row>
    <row r="4" spans="1:9" ht="25.5" customHeight="1" x14ac:dyDescent="0.2">
      <c r="A4" s="21" t="s">
        <v>1254</v>
      </c>
      <c r="B4" s="21" t="s">
        <v>1255</v>
      </c>
      <c r="C4" s="22" t="s">
        <v>1256</v>
      </c>
    </row>
    <row r="5" spans="1:9" ht="12.75" customHeight="1" x14ac:dyDescent="0.2">
      <c r="A5" s="73" t="s">
        <v>26</v>
      </c>
      <c r="B5" s="73">
        <v>767</v>
      </c>
      <c r="C5" s="171">
        <v>9376</v>
      </c>
    </row>
    <row r="6" spans="1:9" ht="12.75" customHeight="1" x14ac:dyDescent="0.2">
      <c r="A6" s="73" t="s">
        <v>1257</v>
      </c>
      <c r="B6" s="73">
        <v>85</v>
      </c>
      <c r="C6" s="171">
        <v>6639</v>
      </c>
    </row>
    <row r="7" spans="1:9" ht="12.75" customHeight="1" x14ac:dyDescent="0.2">
      <c r="A7" s="73" t="s">
        <v>20</v>
      </c>
      <c r="B7" s="73">
        <v>47</v>
      </c>
      <c r="C7" s="171">
        <v>1504</v>
      </c>
    </row>
    <row r="8" spans="1:9" ht="12.75" customHeight="1" x14ac:dyDescent="0.2">
      <c r="A8" s="73" t="s">
        <v>42</v>
      </c>
      <c r="B8" s="73">
        <v>119</v>
      </c>
      <c r="C8" s="171">
        <v>1687</v>
      </c>
    </row>
    <row r="9" spans="1:9" ht="12.75" customHeight="1" x14ac:dyDescent="0.2">
      <c r="A9" s="73" t="s">
        <v>1258</v>
      </c>
      <c r="B9" s="3">
        <v>685</v>
      </c>
      <c r="C9" s="171">
        <v>6689</v>
      </c>
    </row>
    <row r="10" spans="1:9" ht="12.75" customHeight="1" x14ac:dyDescent="0.2">
      <c r="A10" s="73" t="s">
        <v>351</v>
      </c>
      <c r="B10" s="12">
        <v>17</v>
      </c>
      <c r="C10" s="172">
        <v>1722</v>
      </c>
    </row>
    <row r="11" spans="1:9" ht="12.75" customHeight="1" x14ac:dyDescent="0.2">
      <c r="A11" s="73" t="s">
        <v>1259</v>
      </c>
      <c r="B11" s="3">
        <f>SUM(B5:B10)</f>
        <v>1720</v>
      </c>
      <c r="C11" s="171">
        <f>SUM(C5:C10)</f>
        <v>27617</v>
      </c>
    </row>
    <row r="12" spans="1:9" ht="12.75" customHeight="1" x14ac:dyDescent="0.2">
      <c r="C12" s="2"/>
    </row>
    <row r="13" spans="1:9" ht="12.75" customHeight="1" x14ac:dyDescent="0.2">
      <c r="A13" s="4" t="s">
        <v>1260</v>
      </c>
      <c r="B13" s="23">
        <v>48464</v>
      </c>
      <c r="C13" s="9"/>
    </row>
    <row r="14" spans="1:9" ht="12.75" customHeight="1" thickBot="1" x14ac:dyDescent="0.25">
      <c r="A14" s="75" t="s">
        <v>1261</v>
      </c>
      <c r="B14" s="24">
        <v>28285</v>
      </c>
      <c r="C14" s="11"/>
    </row>
    <row r="15" spans="1:9" ht="12.75" customHeight="1" thickTop="1" x14ac:dyDescent="0.2"/>
    <row r="16" spans="1:9" ht="12.75" customHeight="1" x14ac:dyDescent="0.25">
      <c r="A16" s="5" t="s">
        <v>152</v>
      </c>
      <c r="B16" s="5"/>
      <c r="C16" s="20"/>
    </row>
    <row r="17" spans="1:3" ht="25.5" customHeight="1" x14ac:dyDescent="0.2">
      <c r="A17" s="21" t="s">
        <v>1254</v>
      </c>
      <c r="B17" s="21" t="s">
        <v>1255</v>
      </c>
      <c r="C17" s="22" t="s">
        <v>1256</v>
      </c>
    </row>
    <row r="18" spans="1:3" ht="12.75" customHeight="1" x14ac:dyDescent="0.2">
      <c r="A18" s="73" t="s">
        <v>26</v>
      </c>
      <c r="B18" s="73">
        <v>206</v>
      </c>
      <c r="C18" s="8">
        <v>3653</v>
      </c>
    </row>
    <row r="19" spans="1:3" ht="12.75" customHeight="1" x14ac:dyDescent="0.2">
      <c r="A19" s="73" t="s">
        <v>156</v>
      </c>
      <c r="B19" s="73">
        <v>26</v>
      </c>
      <c r="C19" s="8">
        <v>6148</v>
      </c>
    </row>
    <row r="20" spans="1:3" ht="12.75" customHeight="1" x14ac:dyDescent="0.2">
      <c r="A20" s="73" t="s">
        <v>20</v>
      </c>
      <c r="B20" s="73">
        <v>17</v>
      </c>
      <c r="C20" s="8">
        <v>474</v>
      </c>
    </row>
    <row r="21" spans="1:3" ht="12.75" customHeight="1" x14ac:dyDescent="0.2">
      <c r="A21" s="73" t="s">
        <v>1262</v>
      </c>
      <c r="B21" s="73">
        <v>26</v>
      </c>
      <c r="C21" s="2">
        <v>550</v>
      </c>
    </row>
    <row r="22" spans="1:3" ht="12.75" customHeight="1" x14ac:dyDescent="0.2">
      <c r="A22" s="73" t="s">
        <v>1258</v>
      </c>
      <c r="B22" s="73">
        <v>43</v>
      </c>
      <c r="C22" s="8">
        <v>589</v>
      </c>
    </row>
    <row r="23" spans="1:3" ht="12.75" customHeight="1" x14ac:dyDescent="0.2">
      <c r="A23" s="73" t="s">
        <v>351</v>
      </c>
      <c r="B23" s="1">
        <v>14</v>
      </c>
      <c r="C23" s="14">
        <v>1310</v>
      </c>
    </row>
    <row r="24" spans="1:3" ht="12.75" customHeight="1" x14ac:dyDescent="0.2">
      <c r="A24" s="73" t="s">
        <v>1259</v>
      </c>
      <c r="B24" s="73">
        <f>SUM(B18:B23)</f>
        <v>332</v>
      </c>
      <c r="C24" s="8">
        <f>SUM(C18:C23)</f>
        <v>12724</v>
      </c>
    </row>
    <row r="25" spans="1:3" ht="12.75" customHeight="1" x14ac:dyDescent="0.2">
      <c r="C25" s="2"/>
    </row>
    <row r="26" spans="1:3" ht="12.75" customHeight="1" x14ac:dyDescent="0.2">
      <c r="A26" s="4" t="s">
        <v>1263</v>
      </c>
      <c r="B26" s="23">
        <v>11863</v>
      </c>
      <c r="C26" s="9"/>
    </row>
    <row r="27" spans="1:3" ht="12.75" customHeight="1" thickBot="1" x14ac:dyDescent="0.25">
      <c r="A27" s="75" t="s">
        <v>1264</v>
      </c>
      <c r="B27" s="24">
        <v>10029.83</v>
      </c>
      <c r="C27" s="11"/>
    </row>
    <row r="28" spans="1:3" ht="12.75" customHeight="1" thickTop="1" x14ac:dyDescent="0.2"/>
    <row r="29" spans="1:3" ht="12.75" customHeight="1" x14ac:dyDescent="0.25">
      <c r="A29" s="5" t="s">
        <v>16</v>
      </c>
      <c r="B29" s="5"/>
      <c r="C29" s="20"/>
    </row>
    <row r="30" spans="1:3" ht="25.5" customHeight="1" x14ac:dyDescent="0.2">
      <c r="A30" s="21" t="s">
        <v>1254</v>
      </c>
      <c r="B30" s="21" t="s">
        <v>1255</v>
      </c>
      <c r="C30" s="22" t="s">
        <v>1256</v>
      </c>
    </row>
    <row r="31" spans="1:3" ht="12.75" customHeight="1" x14ac:dyDescent="0.2">
      <c r="A31" s="73" t="s">
        <v>26</v>
      </c>
      <c r="B31" s="73">
        <v>295</v>
      </c>
      <c r="C31" s="8">
        <v>3121</v>
      </c>
    </row>
    <row r="32" spans="1:3" ht="12.75" customHeight="1" x14ac:dyDescent="0.2">
      <c r="A32" s="73" t="s">
        <v>156</v>
      </c>
      <c r="B32" s="73">
        <v>55</v>
      </c>
      <c r="C32" s="8">
        <v>259</v>
      </c>
    </row>
    <row r="33" spans="1:8" ht="12.75" customHeight="1" x14ac:dyDescent="0.2">
      <c r="A33" s="73" t="s">
        <v>20</v>
      </c>
      <c r="B33" s="73">
        <v>17</v>
      </c>
      <c r="C33" s="8">
        <v>543</v>
      </c>
    </row>
    <row r="34" spans="1:8" ht="12.75" customHeight="1" x14ac:dyDescent="0.2">
      <c r="A34" s="73" t="s">
        <v>1262</v>
      </c>
      <c r="B34" s="73">
        <v>66</v>
      </c>
      <c r="C34" s="2">
        <v>753</v>
      </c>
    </row>
    <row r="35" spans="1:8" ht="12.75" customHeight="1" x14ac:dyDescent="0.2">
      <c r="A35" s="73" t="s">
        <v>1258</v>
      </c>
      <c r="B35" s="73">
        <v>0</v>
      </c>
      <c r="C35" s="2">
        <v>0</v>
      </c>
    </row>
    <row r="36" spans="1:8" ht="12.75" customHeight="1" x14ac:dyDescent="0.2">
      <c r="A36" s="73" t="s">
        <v>351</v>
      </c>
      <c r="B36" s="1">
        <v>1</v>
      </c>
      <c r="C36" s="14">
        <v>322</v>
      </c>
    </row>
    <row r="37" spans="1:8" ht="12.75" customHeight="1" x14ac:dyDescent="0.2">
      <c r="A37" s="73" t="s">
        <v>1259</v>
      </c>
      <c r="B37" s="73">
        <f>SUM(B31:B36)</f>
        <v>434</v>
      </c>
      <c r="C37" s="8">
        <f>SUM(C31:C36)</f>
        <v>4998</v>
      </c>
    </row>
    <row r="38" spans="1:8" ht="12.75" customHeight="1" x14ac:dyDescent="0.2">
      <c r="C38" s="2"/>
      <c r="E38" s="23"/>
    </row>
    <row r="39" spans="1:8" ht="12.75" customHeight="1" x14ac:dyDescent="0.2">
      <c r="A39" s="4" t="s">
        <v>1265</v>
      </c>
      <c r="B39" s="23">
        <v>15883</v>
      </c>
      <c r="C39" s="9"/>
      <c r="H39" s="4"/>
    </row>
    <row r="40" spans="1:8" ht="12.75" customHeight="1" thickBot="1" x14ac:dyDescent="0.25">
      <c r="A40" s="75" t="s">
        <v>1266</v>
      </c>
      <c r="B40" s="24">
        <v>13056.92</v>
      </c>
      <c r="C40" s="11"/>
    </row>
    <row r="41" spans="1:8" ht="12.75" customHeight="1" thickTop="1" x14ac:dyDescent="0.2">
      <c r="C41" s="2"/>
    </row>
    <row r="42" spans="1:8" ht="12.75" customHeight="1" x14ac:dyDescent="0.25">
      <c r="A42" s="5" t="s">
        <v>38</v>
      </c>
      <c r="B42" s="5"/>
      <c r="C42" s="20"/>
    </row>
    <row r="43" spans="1:8" ht="25.5" customHeight="1" x14ac:dyDescent="0.2">
      <c r="A43" s="21" t="s">
        <v>1254</v>
      </c>
      <c r="B43" s="21" t="s">
        <v>1255</v>
      </c>
      <c r="C43" s="22" t="s">
        <v>1256</v>
      </c>
    </row>
    <row r="44" spans="1:8" ht="12.75" customHeight="1" x14ac:dyDescent="0.2">
      <c r="A44" s="73" t="s">
        <v>26</v>
      </c>
      <c r="B44" s="73">
        <v>266</v>
      </c>
      <c r="C44" s="8">
        <v>2602</v>
      </c>
    </row>
    <row r="45" spans="1:8" ht="12.75" customHeight="1" x14ac:dyDescent="0.2">
      <c r="A45" s="73" t="s">
        <v>156</v>
      </c>
      <c r="B45" s="73">
        <v>4</v>
      </c>
      <c r="C45" s="59">
        <v>232</v>
      </c>
    </row>
    <row r="46" spans="1:8" ht="12.75" customHeight="1" x14ac:dyDescent="0.2">
      <c r="A46" s="73" t="s">
        <v>20</v>
      </c>
      <c r="B46" s="73">
        <v>13</v>
      </c>
      <c r="C46" s="8">
        <v>487</v>
      </c>
    </row>
    <row r="47" spans="1:8" ht="12.75" customHeight="1" x14ac:dyDescent="0.2">
      <c r="A47" s="73" t="s">
        <v>42</v>
      </c>
      <c r="B47" s="73">
        <v>27</v>
      </c>
      <c r="C47" s="2">
        <v>384</v>
      </c>
    </row>
    <row r="48" spans="1:8" ht="12.75" customHeight="1" x14ac:dyDescent="0.2">
      <c r="A48" s="73" t="s">
        <v>1267</v>
      </c>
      <c r="B48" s="73">
        <v>642</v>
      </c>
      <c r="C48" s="8">
        <v>6100</v>
      </c>
    </row>
    <row r="49" spans="1:3" ht="12.75" customHeight="1" x14ac:dyDescent="0.2">
      <c r="A49" s="73" t="s">
        <v>351</v>
      </c>
      <c r="B49" s="1">
        <v>2</v>
      </c>
      <c r="C49" s="14">
        <v>90</v>
      </c>
    </row>
    <row r="50" spans="1:3" ht="12.75" customHeight="1" x14ac:dyDescent="0.2">
      <c r="A50" s="73" t="s">
        <v>1268</v>
      </c>
      <c r="B50" s="73">
        <f>SUM(B44:B49)</f>
        <v>954</v>
      </c>
      <c r="C50" s="8">
        <f>SUM(C44:C49)</f>
        <v>9895</v>
      </c>
    </row>
    <row r="51" spans="1:3" ht="12.75" customHeight="1" x14ac:dyDescent="0.2">
      <c r="C51" s="2"/>
    </row>
    <row r="52" spans="1:3" ht="12.75" customHeight="1" x14ac:dyDescent="0.2">
      <c r="A52" s="4" t="s">
        <v>1269</v>
      </c>
      <c r="B52" s="23">
        <v>20718</v>
      </c>
      <c r="C52" s="9"/>
    </row>
    <row r="53" spans="1:3" ht="12.75" customHeight="1" thickBot="1" x14ac:dyDescent="0.25">
      <c r="A53" s="75" t="s">
        <v>1270</v>
      </c>
      <c r="B53" s="24">
        <v>14923</v>
      </c>
      <c r="C53" s="11"/>
    </row>
    <row r="54" spans="1:3" ht="12.75" customHeight="1" thickTop="1"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Views>
    <sheetView workbookViewId="0">
      <selection sqref="A1:XFD1048576"/>
    </sheetView>
  </sheetViews>
  <sheetFormatPr defaultColWidth="8.85546875" defaultRowHeight="12.75" customHeight="1" x14ac:dyDescent="0.2"/>
  <cols>
    <col min="1" max="1" width="41.85546875" customWidth="1"/>
    <col min="2" max="2" width="11.7109375" customWidth="1"/>
    <col min="3" max="3" width="11.85546875" customWidth="1"/>
    <col min="5" max="5" width="16.42578125" customWidth="1"/>
  </cols>
  <sheetData>
    <row r="1" spans="1:9" ht="12.75" customHeight="1" x14ac:dyDescent="0.25">
      <c r="A1" s="17" t="s">
        <v>7666</v>
      </c>
      <c r="B1" s="18"/>
      <c r="C1" s="18"/>
      <c r="D1" s="58"/>
      <c r="E1" s="58"/>
      <c r="F1" s="58"/>
      <c r="G1" s="58"/>
      <c r="H1" s="58"/>
      <c r="I1" s="58"/>
    </row>
    <row r="2" spans="1:9" ht="12.75" customHeight="1" x14ac:dyDescent="0.2">
      <c r="A2" s="4"/>
      <c r="B2" s="73"/>
      <c r="C2" s="73"/>
      <c r="D2" s="73"/>
      <c r="E2" s="73"/>
      <c r="F2" s="73"/>
      <c r="G2" s="73"/>
      <c r="H2" s="73"/>
      <c r="I2" s="73"/>
    </row>
    <row r="3" spans="1:9" ht="12.75" customHeight="1" x14ac:dyDescent="0.25">
      <c r="A3" s="5" t="s">
        <v>1253</v>
      </c>
      <c r="B3" s="5"/>
      <c r="C3" s="20"/>
      <c r="D3" s="73"/>
      <c r="E3" s="73"/>
      <c r="F3" s="73"/>
      <c r="G3" s="73"/>
      <c r="H3" s="73"/>
      <c r="I3" s="73"/>
    </row>
    <row r="4" spans="1:9" ht="25.5" customHeight="1" x14ac:dyDescent="0.2">
      <c r="A4" s="21" t="s">
        <v>1254</v>
      </c>
      <c r="B4" s="21" t="s">
        <v>1255</v>
      </c>
      <c r="C4" s="22" t="s">
        <v>1256</v>
      </c>
      <c r="D4" s="73"/>
      <c r="E4" s="73"/>
      <c r="F4" s="73"/>
      <c r="G4" s="73"/>
      <c r="H4" s="73"/>
      <c r="I4" s="73"/>
    </row>
    <row r="5" spans="1:9" ht="12.75" customHeight="1" x14ac:dyDescent="0.2">
      <c r="A5" s="73" t="s">
        <v>26</v>
      </c>
      <c r="B5" s="73">
        <v>628</v>
      </c>
      <c r="C5" s="8">
        <v>8858</v>
      </c>
      <c r="D5" s="73"/>
      <c r="E5" s="73"/>
      <c r="F5" s="73"/>
      <c r="G5" s="73"/>
      <c r="H5" s="73"/>
      <c r="I5" s="73"/>
    </row>
    <row r="6" spans="1:9" ht="12.75" customHeight="1" x14ac:dyDescent="0.2">
      <c r="A6" s="73" t="s">
        <v>1257</v>
      </c>
      <c r="B6" s="73">
        <v>14</v>
      </c>
      <c r="C6" s="8">
        <v>2862</v>
      </c>
      <c r="D6" s="73"/>
      <c r="E6" s="73"/>
      <c r="F6" s="73"/>
      <c r="G6" s="73"/>
      <c r="H6" s="73"/>
      <c r="I6" s="73"/>
    </row>
    <row r="7" spans="1:9" ht="12.75" customHeight="1" x14ac:dyDescent="0.2">
      <c r="A7" s="73" t="s">
        <v>20</v>
      </c>
      <c r="B7" s="73">
        <v>204</v>
      </c>
      <c r="C7" s="8">
        <v>11320</v>
      </c>
      <c r="D7" s="73"/>
      <c r="E7" s="73"/>
      <c r="F7" s="73"/>
      <c r="G7" s="73"/>
      <c r="H7" s="73"/>
      <c r="I7" s="73"/>
    </row>
    <row r="8" spans="1:9" ht="12.75" customHeight="1" x14ac:dyDescent="0.2">
      <c r="A8" s="73" t="s">
        <v>42</v>
      </c>
      <c r="B8" s="73">
        <v>46</v>
      </c>
      <c r="C8" s="8">
        <v>1025</v>
      </c>
      <c r="D8" s="73"/>
      <c r="E8" s="73"/>
      <c r="F8" s="73"/>
      <c r="G8" s="73"/>
      <c r="H8" s="73"/>
      <c r="I8" s="73"/>
    </row>
    <row r="9" spans="1:9" ht="12.75" customHeight="1" x14ac:dyDescent="0.2">
      <c r="A9" s="73" t="s">
        <v>1258</v>
      </c>
      <c r="B9" s="3">
        <v>642</v>
      </c>
      <c r="C9" s="8">
        <v>8607</v>
      </c>
      <c r="D9" s="73"/>
      <c r="E9" s="73"/>
      <c r="F9" s="73"/>
      <c r="G9" s="73"/>
      <c r="H9" s="73"/>
      <c r="I9" s="73"/>
    </row>
    <row r="10" spans="1:9" ht="12.75" customHeight="1" x14ac:dyDescent="0.2">
      <c r="A10" s="73" t="s">
        <v>351</v>
      </c>
      <c r="B10" s="12">
        <v>30</v>
      </c>
      <c r="C10" s="13">
        <v>3067</v>
      </c>
      <c r="D10" s="73"/>
      <c r="E10" s="73"/>
      <c r="F10" s="73"/>
      <c r="G10" s="73"/>
      <c r="H10" s="73"/>
      <c r="I10" s="73"/>
    </row>
    <row r="11" spans="1:9" ht="12.75" customHeight="1" x14ac:dyDescent="0.2">
      <c r="A11" s="73" t="s">
        <v>1259</v>
      </c>
      <c r="B11" s="3">
        <v>1564</v>
      </c>
      <c r="C11" s="8">
        <v>35739</v>
      </c>
      <c r="D11" s="73"/>
      <c r="E11" s="73"/>
      <c r="F11" s="73"/>
      <c r="G11" s="73"/>
      <c r="H11" s="73"/>
      <c r="I11" s="73"/>
    </row>
    <row r="12" spans="1:9" ht="12.75" customHeight="1" x14ac:dyDescent="0.2">
      <c r="A12" s="73"/>
      <c r="B12" s="73"/>
      <c r="C12" s="2"/>
      <c r="D12" s="73"/>
      <c r="E12" s="73"/>
      <c r="F12" s="73"/>
      <c r="G12" s="73"/>
      <c r="H12" s="73"/>
      <c r="I12" s="73"/>
    </row>
    <row r="13" spans="1:9" ht="12.75" customHeight="1" x14ac:dyDescent="0.2">
      <c r="A13" s="4" t="s">
        <v>1260</v>
      </c>
      <c r="B13" s="23">
        <v>57670</v>
      </c>
      <c r="C13" s="9"/>
      <c r="D13" s="73"/>
      <c r="E13" s="73"/>
      <c r="F13" s="73"/>
      <c r="G13" s="73"/>
      <c r="H13" s="73"/>
      <c r="I13" s="73"/>
    </row>
    <row r="14" spans="1:9" ht="12.75" customHeight="1" thickBot="1" x14ac:dyDescent="0.25">
      <c r="A14" s="75" t="s">
        <v>1261</v>
      </c>
      <c r="B14" s="24">
        <v>62053</v>
      </c>
      <c r="C14" s="11"/>
      <c r="D14" s="73"/>
      <c r="E14" s="73"/>
      <c r="F14" s="73"/>
      <c r="G14" s="73"/>
      <c r="H14" s="73"/>
      <c r="I14" s="73"/>
    </row>
    <row r="15" spans="1:9" ht="12.75" customHeight="1" thickTop="1" x14ac:dyDescent="0.2">
      <c r="A15" s="73"/>
      <c r="B15" s="73"/>
      <c r="C15" s="73"/>
      <c r="D15" s="73"/>
      <c r="E15" s="73"/>
      <c r="F15" s="73"/>
      <c r="G15" s="73"/>
      <c r="H15" s="73"/>
      <c r="I15" s="73"/>
    </row>
    <row r="16" spans="1:9" ht="12.75" customHeight="1" x14ac:dyDescent="0.25">
      <c r="A16" s="5" t="s">
        <v>152</v>
      </c>
      <c r="B16" s="5"/>
      <c r="C16" s="20"/>
      <c r="D16" s="73"/>
      <c r="E16" s="73"/>
      <c r="F16" s="73"/>
      <c r="G16" s="73"/>
      <c r="H16" s="73"/>
      <c r="I16" s="73"/>
    </row>
    <row r="17" spans="1:9" ht="25.5" customHeight="1" x14ac:dyDescent="0.2">
      <c r="A17" s="21" t="s">
        <v>1254</v>
      </c>
      <c r="B17" s="21" t="s">
        <v>1255</v>
      </c>
      <c r="C17" s="22" t="s">
        <v>1256</v>
      </c>
      <c r="D17" s="73"/>
      <c r="E17" s="73"/>
      <c r="F17" s="73"/>
      <c r="G17" s="73"/>
      <c r="H17" s="73"/>
      <c r="I17" s="73"/>
    </row>
    <row r="18" spans="1:9" ht="12.75" customHeight="1" x14ac:dyDescent="0.2">
      <c r="A18" s="73" t="s">
        <v>26</v>
      </c>
      <c r="B18" s="73">
        <v>144</v>
      </c>
      <c r="C18" s="8">
        <v>3434</v>
      </c>
      <c r="D18" s="73"/>
      <c r="E18" s="73"/>
      <c r="F18" s="73"/>
      <c r="G18" s="73"/>
      <c r="H18" s="73"/>
      <c r="I18" s="73"/>
    </row>
    <row r="19" spans="1:9" ht="12.75" customHeight="1" x14ac:dyDescent="0.2">
      <c r="A19" s="73" t="s">
        <v>156</v>
      </c>
      <c r="B19" s="73">
        <v>4</v>
      </c>
      <c r="C19" s="8">
        <v>1800</v>
      </c>
      <c r="D19" s="73"/>
      <c r="E19" s="73"/>
      <c r="F19" s="73"/>
      <c r="G19" s="73"/>
      <c r="H19" s="73"/>
      <c r="I19" s="73"/>
    </row>
    <row r="20" spans="1:9" ht="12.75" customHeight="1" x14ac:dyDescent="0.2">
      <c r="A20" s="73" t="s">
        <v>20</v>
      </c>
      <c r="B20" s="73">
        <v>58</v>
      </c>
      <c r="C20" s="8">
        <v>2605</v>
      </c>
      <c r="D20" s="73"/>
      <c r="E20" s="73"/>
      <c r="F20" s="73"/>
      <c r="G20" s="73"/>
      <c r="H20" s="73"/>
      <c r="I20" s="73"/>
    </row>
    <row r="21" spans="1:9" ht="12.75" customHeight="1" x14ac:dyDescent="0.2">
      <c r="A21" s="73" t="s">
        <v>1262</v>
      </c>
      <c r="B21" s="73">
        <v>8</v>
      </c>
      <c r="C21" s="2">
        <v>189</v>
      </c>
      <c r="D21" s="73"/>
      <c r="E21" s="73"/>
      <c r="F21" s="73"/>
      <c r="G21" s="73"/>
      <c r="H21" s="73"/>
      <c r="I21" s="73"/>
    </row>
    <row r="22" spans="1:9" ht="12.75" customHeight="1" x14ac:dyDescent="0.2">
      <c r="A22" s="73" t="s">
        <v>1258</v>
      </c>
      <c r="B22" s="73">
        <v>26</v>
      </c>
      <c r="C22" s="8">
        <v>89</v>
      </c>
      <c r="D22" s="73"/>
      <c r="E22" s="73"/>
      <c r="F22" s="73"/>
      <c r="G22" s="73"/>
      <c r="H22" s="73"/>
      <c r="I22" s="73"/>
    </row>
    <row r="23" spans="1:9" ht="12.75" customHeight="1" x14ac:dyDescent="0.2">
      <c r="A23" s="73" t="s">
        <v>351</v>
      </c>
      <c r="B23" s="1">
        <v>20</v>
      </c>
      <c r="C23" s="14">
        <v>1136</v>
      </c>
      <c r="D23" s="73"/>
      <c r="E23" s="73"/>
      <c r="F23" s="73"/>
      <c r="G23" s="73"/>
      <c r="H23" s="73"/>
      <c r="I23" s="73"/>
    </row>
    <row r="24" spans="1:9" ht="12.75" customHeight="1" x14ac:dyDescent="0.2">
      <c r="A24" s="73" t="s">
        <v>1259</v>
      </c>
      <c r="B24" s="73">
        <v>260</v>
      </c>
      <c r="C24" s="8">
        <v>9253</v>
      </c>
      <c r="D24" s="73"/>
      <c r="E24" s="73"/>
      <c r="F24" s="73"/>
      <c r="G24" s="73"/>
      <c r="H24" s="73"/>
      <c r="I24" s="73"/>
    </row>
    <row r="25" spans="1:9" ht="12.75" customHeight="1" x14ac:dyDescent="0.2">
      <c r="A25" s="73"/>
      <c r="B25" s="73"/>
      <c r="C25" s="2"/>
      <c r="D25" s="73"/>
      <c r="E25" s="73"/>
      <c r="F25" s="73"/>
      <c r="G25" s="73"/>
      <c r="H25" s="73"/>
      <c r="I25" s="73"/>
    </row>
    <row r="26" spans="1:9" ht="12.75" customHeight="1" x14ac:dyDescent="0.2">
      <c r="A26" s="4" t="s">
        <v>1263</v>
      </c>
      <c r="B26" s="23">
        <v>4133</v>
      </c>
      <c r="C26" s="9"/>
      <c r="D26" s="73"/>
      <c r="E26" s="73"/>
      <c r="F26" s="73"/>
      <c r="G26" s="73"/>
      <c r="H26" s="73"/>
      <c r="I26" s="73"/>
    </row>
    <row r="27" spans="1:9" ht="12.75" customHeight="1" thickBot="1" x14ac:dyDescent="0.25">
      <c r="A27" s="75" t="s">
        <v>1264</v>
      </c>
      <c r="B27" s="24">
        <v>15973</v>
      </c>
      <c r="C27" s="11"/>
      <c r="D27" s="73"/>
      <c r="E27" s="73"/>
      <c r="F27" s="73"/>
      <c r="G27" s="73"/>
      <c r="H27" s="73"/>
      <c r="I27" s="73"/>
    </row>
    <row r="28" spans="1:9" ht="12.75" customHeight="1" thickTop="1" x14ac:dyDescent="0.2">
      <c r="A28" s="73"/>
      <c r="B28" s="73"/>
      <c r="C28" s="73"/>
      <c r="D28" s="73"/>
      <c r="E28" s="73"/>
      <c r="F28" s="73"/>
      <c r="G28" s="73"/>
      <c r="H28" s="73"/>
      <c r="I28" s="73"/>
    </row>
    <row r="29" spans="1:9" ht="12.75" customHeight="1" x14ac:dyDescent="0.25">
      <c r="A29" s="5" t="s">
        <v>16</v>
      </c>
      <c r="B29" s="5"/>
      <c r="C29" s="20"/>
      <c r="D29" s="73"/>
      <c r="E29" s="73"/>
      <c r="F29" s="73"/>
      <c r="G29" s="73"/>
      <c r="H29" s="73"/>
      <c r="I29" s="73"/>
    </row>
    <row r="30" spans="1:9" ht="25.5" customHeight="1" x14ac:dyDescent="0.2">
      <c r="A30" s="21" t="s">
        <v>1254</v>
      </c>
      <c r="B30" s="21" t="s">
        <v>1255</v>
      </c>
      <c r="C30" s="22" t="s">
        <v>1256</v>
      </c>
      <c r="D30" s="73"/>
      <c r="E30" s="73"/>
      <c r="F30" s="73"/>
      <c r="G30" s="73"/>
      <c r="H30" s="73"/>
      <c r="I30" s="73"/>
    </row>
    <row r="31" spans="1:9" ht="12.75" customHeight="1" x14ac:dyDescent="0.2">
      <c r="A31" s="73" t="s">
        <v>26</v>
      </c>
      <c r="B31" s="73">
        <v>328</v>
      </c>
      <c r="C31" s="8">
        <v>3502</v>
      </c>
      <c r="D31" s="73"/>
      <c r="E31" s="73"/>
      <c r="F31" s="73"/>
      <c r="G31" s="73"/>
      <c r="H31" s="73"/>
      <c r="I31" s="73"/>
    </row>
    <row r="32" spans="1:9" ht="12.75" customHeight="1" x14ac:dyDescent="0.2">
      <c r="A32" s="73" t="s">
        <v>156</v>
      </c>
      <c r="B32" s="73">
        <v>9</v>
      </c>
      <c r="C32" s="8">
        <v>762</v>
      </c>
      <c r="D32" s="73"/>
      <c r="E32" s="73"/>
      <c r="F32" s="73"/>
      <c r="G32" s="73"/>
      <c r="H32" s="73"/>
      <c r="I32" s="73"/>
    </row>
    <row r="33" spans="1:9" ht="12.75" customHeight="1" x14ac:dyDescent="0.2">
      <c r="A33" s="73" t="s">
        <v>20</v>
      </c>
      <c r="B33" s="73">
        <v>79</v>
      </c>
      <c r="C33" s="8">
        <v>2800</v>
      </c>
      <c r="D33" s="73"/>
      <c r="E33" s="73"/>
      <c r="F33" s="73"/>
      <c r="G33" s="73"/>
      <c r="H33" s="73"/>
      <c r="I33" s="73"/>
    </row>
    <row r="34" spans="1:9" ht="12.75" customHeight="1" x14ac:dyDescent="0.2">
      <c r="A34" s="73" t="s">
        <v>1262</v>
      </c>
      <c r="B34" s="73">
        <v>24</v>
      </c>
      <c r="C34" s="2">
        <v>547</v>
      </c>
      <c r="D34" s="73"/>
      <c r="E34" s="73"/>
      <c r="F34" s="73"/>
      <c r="G34" s="73"/>
      <c r="H34" s="73"/>
      <c r="I34" s="73"/>
    </row>
    <row r="35" spans="1:9" ht="12.75" customHeight="1" x14ac:dyDescent="0.2">
      <c r="A35" s="73" t="s">
        <v>1258</v>
      </c>
      <c r="B35" s="73">
        <v>1</v>
      </c>
      <c r="C35" s="2">
        <v>101</v>
      </c>
      <c r="D35" s="73"/>
      <c r="E35" s="73"/>
      <c r="F35" s="73"/>
      <c r="G35" s="73"/>
      <c r="H35" s="73"/>
      <c r="I35" s="73"/>
    </row>
    <row r="36" spans="1:9" ht="12.75" customHeight="1" x14ac:dyDescent="0.2">
      <c r="A36" s="73" t="s">
        <v>351</v>
      </c>
      <c r="B36" s="1">
        <v>5</v>
      </c>
      <c r="C36" s="14">
        <v>1086</v>
      </c>
      <c r="D36" s="73"/>
      <c r="E36" s="73"/>
      <c r="F36" s="73"/>
      <c r="G36" s="73"/>
      <c r="H36" s="73"/>
      <c r="I36" s="73"/>
    </row>
    <row r="37" spans="1:9" ht="12.75" customHeight="1" x14ac:dyDescent="0.2">
      <c r="A37" s="73" t="s">
        <v>1259</v>
      </c>
      <c r="B37" s="73">
        <v>446</v>
      </c>
      <c r="C37" s="8">
        <v>8798</v>
      </c>
      <c r="D37" s="73"/>
      <c r="E37" s="73"/>
      <c r="F37" s="73"/>
      <c r="G37" s="73"/>
      <c r="H37" s="73"/>
      <c r="I37" s="73"/>
    </row>
    <row r="38" spans="1:9" ht="12.75" customHeight="1" x14ac:dyDescent="0.2">
      <c r="A38" s="73"/>
      <c r="B38" s="73"/>
      <c r="C38" s="2"/>
      <c r="D38" s="73"/>
      <c r="E38" s="73"/>
      <c r="F38" s="73"/>
      <c r="G38" s="73"/>
      <c r="H38" s="73"/>
      <c r="I38" s="73"/>
    </row>
    <row r="39" spans="1:9" ht="12.75" customHeight="1" x14ac:dyDescent="0.2">
      <c r="A39" s="4" t="s">
        <v>1265</v>
      </c>
      <c r="B39" s="23">
        <v>29727</v>
      </c>
      <c r="C39" s="9"/>
      <c r="D39" s="73"/>
      <c r="E39" s="73"/>
      <c r="F39" s="73"/>
      <c r="G39" s="73"/>
      <c r="H39" s="73"/>
      <c r="I39" s="73"/>
    </row>
    <row r="40" spans="1:9" ht="12.75" customHeight="1" thickBot="1" x14ac:dyDescent="0.25">
      <c r="A40" s="75" t="s">
        <v>1266</v>
      </c>
      <c r="B40" s="24">
        <v>16070</v>
      </c>
      <c r="C40" s="11"/>
      <c r="D40" s="73"/>
      <c r="E40" s="73"/>
      <c r="F40" s="73"/>
      <c r="G40" s="73"/>
      <c r="H40" s="73"/>
      <c r="I40" s="73"/>
    </row>
    <row r="41" spans="1:9" ht="12.75" customHeight="1" thickTop="1" x14ac:dyDescent="0.2">
      <c r="A41" s="73"/>
      <c r="B41" s="73"/>
      <c r="C41" s="2"/>
      <c r="D41" s="73"/>
      <c r="E41" s="73"/>
      <c r="F41" s="73"/>
      <c r="G41" s="73"/>
      <c r="H41" s="73"/>
      <c r="I41" s="73"/>
    </row>
    <row r="42" spans="1:9" ht="12.75" customHeight="1" x14ac:dyDescent="0.25">
      <c r="A42" s="5" t="s">
        <v>38</v>
      </c>
      <c r="B42" s="5"/>
      <c r="C42" s="20"/>
      <c r="D42" s="73"/>
      <c r="E42" s="73"/>
      <c r="F42" s="73"/>
      <c r="G42" s="73"/>
      <c r="H42" s="73"/>
      <c r="I42" s="73"/>
    </row>
    <row r="43" spans="1:9" ht="25.5" customHeight="1" x14ac:dyDescent="0.2">
      <c r="A43" s="21" t="s">
        <v>1254</v>
      </c>
      <c r="B43" s="21" t="s">
        <v>1255</v>
      </c>
      <c r="C43" s="22" t="s">
        <v>1256</v>
      </c>
      <c r="D43" s="73"/>
      <c r="E43" s="73"/>
      <c r="F43" s="73"/>
      <c r="G43" s="73"/>
      <c r="H43" s="73"/>
      <c r="I43" s="73"/>
    </row>
    <row r="44" spans="1:9" ht="12.75" customHeight="1" x14ac:dyDescent="0.2">
      <c r="A44" s="73" t="s">
        <v>26</v>
      </c>
      <c r="B44" s="73">
        <v>156</v>
      </c>
      <c r="C44" s="8">
        <v>1922</v>
      </c>
      <c r="D44" s="73"/>
      <c r="E44" s="73"/>
      <c r="F44" s="73"/>
      <c r="G44" s="73"/>
      <c r="H44" s="73"/>
      <c r="I44" s="73"/>
    </row>
    <row r="45" spans="1:9" ht="12.75" customHeight="1" x14ac:dyDescent="0.2">
      <c r="A45" s="73" t="s">
        <v>156</v>
      </c>
      <c r="B45" s="73">
        <v>1</v>
      </c>
      <c r="C45" s="59">
        <v>300</v>
      </c>
      <c r="D45" s="73"/>
      <c r="E45" s="73"/>
      <c r="F45" s="73"/>
      <c r="G45" s="73"/>
      <c r="H45" s="73"/>
      <c r="I45" s="73"/>
    </row>
    <row r="46" spans="1:9" ht="12.75" customHeight="1" x14ac:dyDescent="0.2">
      <c r="A46" s="73" t="s">
        <v>20</v>
      </c>
      <c r="B46" s="73">
        <v>67</v>
      </c>
      <c r="C46" s="8">
        <v>5915</v>
      </c>
      <c r="D46" s="73"/>
      <c r="E46" s="73"/>
      <c r="F46" s="73"/>
      <c r="G46" s="73"/>
      <c r="H46" s="73"/>
      <c r="I46" s="73"/>
    </row>
    <row r="47" spans="1:9" ht="12.75" customHeight="1" x14ac:dyDescent="0.2">
      <c r="A47" s="73" t="s">
        <v>42</v>
      </c>
      <c r="B47" s="73">
        <v>14</v>
      </c>
      <c r="C47" s="2">
        <v>289</v>
      </c>
      <c r="D47" s="73"/>
      <c r="E47" s="73"/>
      <c r="F47" s="73"/>
      <c r="G47" s="73"/>
      <c r="H47" s="73"/>
      <c r="I47" s="73"/>
    </row>
    <row r="48" spans="1:9" ht="12.75" customHeight="1" x14ac:dyDescent="0.2">
      <c r="A48" s="73" t="s">
        <v>1267</v>
      </c>
      <c r="B48" s="73">
        <v>615</v>
      </c>
      <c r="C48" s="8">
        <v>8417</v>
      </c>
      <c r="D48" s="73"/>
      <c r="E48" s="73"/>
      <c r="F48" s="73"/>
      <c r="G48" s="73"/>
      <c r="H48" s="73"/>
      <c r="I48" s="73"/>
    </row>
    <row r="49" spans="1:9" ht="12.75" customHeight="1" x14ac:dyDescent="0.2">
      <c r="A49" s="73" t="s">
        <v>351</v>
      </c>
      <c r="B49" s="1">
        <v>5</v>
      </c>
      <c r="C49" s="14">
        <v>845</v>
      </c>
      <c r="D49" s="73"/>
      <c r="E49" s="73"/>
      <c r="F49" s="73"/>
      <c r="G49" s="73"/>
      <c r="H49" s="73"/>
      <c r="I49" s="73"/>
    </row>
    <row r="50" spans="1:9" ht="12.75" customHeight="1" x14ac:dyDescent="0.2">
      <c r="A50" s="73" t="s">
        <v>1268</v>
      </c>
      <c r="B50" s="73">
        <v>858</v>
      </c>
      <c r="C50" s="8">
        <v>17688</v>
      </c>
      <c r="D50" s="73"/>
      <c r="E50" s="73"/>
      <c r="F50" s="73"/>
      <c r="G50" s="73"/>
      <c r="H50" s="73"/>
      <c r="I50" s="73"/>
    </row>
    <row r="51" spans="1:9" ht="12.75" customHeight="1" x14ac:dyDescent="0.2">
      <c r="A51" s="73"/>
      <c r="B51" s="73"/>
      <c r="C51" s="2"/>
      <c r="D51" s="73"/>
      <c r="E51" s="73"/>
      <c r="F51" s="73"/>
      <c r="G51" s="73"/>
      <c r="H51" s="73"/>
      <c r="I51" s="73"/>
    </row>
    <row r="52" spans="1:9" ht="12.75" customHeight="1" x14ac:dyDescent="0.2">
      <c r="A52" s="4" t="s">
        <v>1269</v>
      </c>
      <c r="B52" s="23">
        <v>23810</v>
      </c>
      <c r="C52" s="9"/>
      <c r="D52" s="73"/>
      <c r="E52" s="73"/>
      <c r="F52" s="73"/>
      <c r="G52" s="73"/>
      <c r="H52" s="73"/>
      <c r="I52" s="73"/>
    </row>
    <row r="53" spans="1:9" ht="12.75" customHeight="1" thickBot="1" x14ac:dyDescent="0.25">
      <c r="A53" s="75" t="s">
        <v>1270</v>
      </c>
      <c r="B53" s="24">
        <v>30011</v>
      </c>
      <c r="C53" s="11"/>
      <c r="D53" s="73"/>
      <c r="E53" s="73"/>
      <c r="F53" s="73"/>
      <c r="G53" s="73"/>
      <c r="H53" s="73"/>
      <c r="I53" s="73"/>
    </row>
    <row r="54" spans="1:9" ht="12.75" customHeight="1" thickTop="1" x14ac:dyDescent="0.2">
      <c r="A54" s="73"/>
      <c r="B54" s="73"/>
      <c r="C54" s="73"/>
      <c r="D54" s="73"/>
      <c r="E54" s="73"/>
      <c r="F54" s="73"/>
      <c r="G54" s="73"/>
      <c r="H54" s="73"/>
      <c r="I54" s="73"/>
    </row>
  </sheetData>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workbookViewId="0">
      <selection activeCell="F54" sqref="F54"/>
    </sheetView>
  </sheetViews>
  <sheetFormatPr defaultColWidth="8.85546875" defaultRowHeight="12.75" x14ac:dyDescent="0.2"/>
  <cols>
    <col min="1" max="1" width="41.7109375" customWidth="1"/>
    <col min="2" max="2" width="12.28515625" customWidth="1"/>
    <col min="3" max="3" width="12.7109375" customWidth="1"/>
  </cols>
  <sheetData>
    <row r="1" spans="1:9" ht="15.75" x14ac:dyDescent="0.25">
      <c r="A1" s="17" t="s">
        <v>7665</v>
      </c>
      <c r="B1" s="18"/>
      <c r="C1" s="18"/>
      <c r="D1" s="58"/>
      <c r="E1" s="58"/>
      <c r="F1" s="58"/>
      <c r="G1" s="58"/>
      <c r="H1" s="58"/>
      <c r="I1" s="58"/>
    </row>
    <row r="2" spans="1:9" x14ac:dyDescent="0.2">
      <c r="A2" s="4"/>
      <c r="B2" s="73"/>
      <c r="C2" s="73"/>
      <c r="D2" s="73"/>
      <c r="E2" s="73"/>
      <c r="F2" s="73"/>
      <c r="G2" s="73"/>
      <c r="H2" s="73"/>
      <c r="I2" s="73"/>
    </row>
    <row r="3" spans="1:9" ht="12.75" customHeight="1" x14ac:dyDescent="0.25">
      <c r="A3" s="5" t="s">
        <v>1253</v>
      </c>
      <c r="B3" s="5"/>
      <c r="C3" s="20"/>
      <c r="D3" s="73"/>
      <c r="E3" s="73"/>
      <c r="F3" s="73"/>
      <c r="G3" s="73"/>
      <c r="H3" s="73"/>
      <c r="I3" s="73"/>
    </row>
    <row r="4" spans="1:9" ht="25.5" customHeight="1" x14ac:dyDescent="0.2">
      <c r="A4" s="21" t="s">
        <v>1254</v>
      </c>
      <c r="B4" s="85" t="s">
        <v>1255</v>
      </c>
      <c r="C4" s="86" t="s">
        <v>1256</v>
      </c>
      <c r="D4" s="73"/>
      <c r="E4" s="73"/>
      <c r="F4" s="73"/>
      <c r="G4" s="73"/>
      <c r="H4" s="73"/>
      <c r="I4" s="73"/>
    </row>
    <row r="5" spans="1:9" ht="12.75" customHeight="1" x14ac:dyDescent="0.2">
      <c r="A5" s="73" t="s">
        <v>26</v>
      </c>
      <c r="B5" s="73">
        <v>631</v>
      </c>
      <c r="C5" s="8">
        <v>9359</v>
      </c>
      <c r="D5" s="73"/>
      <c r="E5" s="73"/>
      <c r="F5" s="73"/>
      <c r="G5" s="73"/>
      <c r="H5" s="73"/>
      <c r="I5" s="73"/>
    </row>
    <row r="6" spans="1:9" ht="12.75" customHeight="1" x14ac:dyDescent="0.2">
      <c r="A6" s="73" t="s">
        <v>1257</v>
      </c>
      <c r="B6" s="73">
        <v>22</v>
      </c>
      <c r="C6" s="8">
        <v>2580</v>
      </c>
      <c r="D6" s="73"/>
      <c r="E6" s="73"/>
      <c r="F6" s="73"/>
      <c r="G6" s="73"/>
      <c r="H6" s="73"/>
      <c r="I6" s="73"/>
    </row>
    <row r="7" spans="1:9" ht="12.75" customHeight="1" x14ac:dyDescent="0.2">
      <c r="A7" s="73" t="s">
        <v>20</v>
      </c>
      <c r="B7" s="73">
        <v>249</v>
      </c>
      <c r="C7" s="8">
        <v>9131</v>
      </c>
      <c r="D7" s="73"/>
      <c r="E7" s="73"/>
      <c r="F7" s="73"/>
      <c r="G7" s="73"/>
      <c r="H7" s="73"/>
      <c r="I7" s="73"/>
    </row>
    <row r="8" spans="1:9" ht="12.75" customHeight="1" x14ac:dyDescent="0.2">
      <c r="A8" s="73" t="s">
        <v>42</v>
      </c>
      <c r="B8" s="73">
        <v>77</v>
      </c>
      <c r="C8" s="8">
        <v>2045</v>
      </c>
      <c r="D8" s="73"/>
      <c r="E8" s="73"/>
      <c r="F8" s="73"/>
      <c r="G8" s="73"/>
      <c r="H8" s="73"/>
      <c r="I8" s="73"/>
    </row>
    <row r="9" spans="1:9" ht="12.75" customHeight="1" x14ac:dyDescent="0.2">
      <c r="A9" s="73" t="s">
        <v>1258</v>
      </c>
      <c r="B9" s="3">
        <v>469</v>
      </c>
      <c r="C9" s="8">
        <v>8323</v>
      </c>
      <c r="D9" s="73"/>
      <c r="E9" s="73"/>
      <c r="F9" s="73"/>
      <c r="G9" s="73"/>
      <c r="H9" s="73"/>
      <c r="I9" s="73"/>
    </row>
    <row r="10" spans="1:9" ht="12.75" customHeight="1" x14ac:dyDescent="0.2">
      <c r="A10" s="73" t="s">
        <v>351</v>
      </c>
      <c r="B10" s="12">
        <v>42</v>
      </c>
      <c r="C10" s="13">
        <v>3432</v>
      </c>
      <c r="D10" s="73"/>
      <c r="E10" s="73"/>
      <c r="F10" s="73"/>
      <c r="G10" s="73"/>
      <c r="H10" s="73"/>
      <c r="I10" s="73"/>
    </row>
    <row r="11" spans="1:9" ht="12.75" customHeight="1" x14ac:dyDescent="0.2">
      <c r="A11" s="73" t="s">
        <v>1259</v>
      </c>
      <c r="B11" s="3">
        <v>1490</v>
      </c>
      <c r="C11" s="8">
        <v>34870</v>
      </c>
      <c r="D11" s="73"/>
      <c r="E11" s="73"/>
      <c r="F11" s="73"/>
      <c r="G11" s="73"/>
      <c r="H11" s="73"/>
      <c r="I11" s="73"/>
    </row>
    <row r="12" spans="1:9" ht="12.75" customHeight="1" x14ac:dyDescent="0.2">
      <c r="A12" s="73"/>
      <c r="B12" s="73"/>
      <c r="C12" s="2"/>
      <c r="D12" s="73"/>
      <c r="E12" s="73"/>
      <c r="F12" s="73"/>
      <c r="G12" s="73"/>
      <c r="H12" s="73"/>
      <c r="I12" s="73"/>
    </row>
    <row r="13" spans="1:9" ht="12.75" customHeight="1" x14ac:dyDescent="0.2">
      <c r="A13" s="4" t="s">
        <v>1260</v>
      </c>
      <c r="B13" s="23">
        <v>42325</v>
      </c>
      <c r="C13" s="9"/>
      <c r="D13" s="73"/>
      <c r="E13" s="73"/>
      <c r="F13" s="73"/>
      <c r="G13" s="73"/>
      <c r="H13" s="73"/>
      <c r="I13" s="73"/>
    </row>
    <row r="14" spans="1:9" ht="12.75" customHeight="1" thickBot="1" x14ac:dyDescent="0.25">
      <c r="A14" s="75" t="s">
        <v>1261</v>
      </c>
      <c r="B14" s="24">
        <v>60257</v>
      </c>
      <c r="C14" s="11"/>
      <c r="D14" s="73"/>
      <c r="E14" s="73"/>
      <c r="F14" s="73"/>
      <c r="G14" s="73"/>
      <c r="H14" s="73"/>
      <c r="I14" s="73"/>
    </row>
    <row r="15" spans="1:9" ht="12.75" customHeight="1" thickTop="1" x14ac:dyDescent="0.2">
      <c r="A15" s="73"/>
      <c r="B15" s="73"/>
      <c r="C15" s="73"/>
      <c r="D15" s="73"/>
      <c r="E15" s="73"/>
      <c r="F15" s="73"/>
      <c r="G15" s="73"/>
      <c r="H15" s="73"/>
      <c r="I15" s="73"/>
    </row>
    <row r="16" spans="1:9" ht="12.75" customHeight="1" x14ac:dyDescent="0.25">
      <c r="A16" s="5" t="s">
        <v>152</v>
      </c>
      <c r="B16" s="5"/>
      <c r="C16" s="20"/>
      <c r="D16" s="73"/>
      <c r="E16" s="73"/>
      <c r="F16" s="73"/>
      <c r="G16" s="73"/>
      <c r="H16" s="73"/>
      <c r="I16" s="73"/>
    </row>
    <row r="17" spans="1:9" ht="25.5" customHeight="1" x14ac:dyDescent="0.2">
      <c r="A17" s="21" t="s">
        <v>1254</v>
      </c>
      <c r="B17" s="21" t="s">
        <v>1255</v>
      </c>
      <c r="C17" s="22" t="s">
        <v>1256</v>
      </c>
      <c r="D17" s="73"/>
      <c r="E17" s="73"/>
      <c r="F17" s="73"/>
      <c r="G17" s="73"/>
      <c r="H17" s="73"/>
      <c r="I17" s="73"/>
    </row>
    <row r="18" spans="1:9" ht="12.75" customHeight="1" x14ac:dyDescent="0.2">
      <c r="A18" s="73" t="s">
        <v>26</v>
      </c>
      <c r="B18" s="73">
        <v>77</v>
      </c>
      <c r="C18" s="8">
        <v>2106</v>
      </c>
      <c r="D18" s="73"/>
      <c r="E18" s="73"/>
      <c r="F18" s="73"/>
      <c r="G18" s="73"/>
      <c r="H18" s="73"/>
      <c r="I18" s="73"/>
    </row>
    <row r="19" spans="1:9" ht="12.75" customHeight="1" x14ac:dyDescent="0.2">
      <c r="A19" s="73" t="s">
        <v>156</v>
      </c>
      <c r="B19" s="73">
        <v>7</v>
      </c>
      <c r="C19" s="8">
        <v>1434</v>
      </c>
      <c r="D19" s="73"/>
      <c r="E19" s="73"/>
      <c r="F19" s="73"/>
      <c r="G19" s="73"/>
      <c r="H19" s="73"/>
      <c r="I19" s="73"/>
    </row>
    <row r="20" spans="1:9" ht="12.75" customHeight="1" x14ac:dyDescent="0.2">
      <c r="A20" s="73" t="s">
        <v>20</v>
      </c>
      <c r="B20" s="73">
        <v>46</v>
      </c>
      <c r="C20" s="8">
        <v>1608</v>
      </c>
      <c r="D20" s="73"/>
      <c r="E20" s="73"/>
      <c r="F20" s="73"/>
      <c r="G20" s="73"/>
      <c r="H20" s="73"/>
      <c r="I20" s="73"/>
    </row>
    <row r="21" spans="1:9" ht="12.75" customHeight="1" x14ac:dyDescent="0.2">
      <c r="A21" s="73" t="s">
        <v>1262</v>
      </c>
      <c r="B21" s="73">
        <v>16</v>
      </c>
      <c r="C21" s="2">
        <v>414</v>
      </c>
      <c r="D21" s="73"/>
      <c r="E21" s="73"/>
      <c r="F21" s="73"/>
      <c r="G21" s="73"/>
      <c r="H21" s="73"/>
      <c r="I21" s="73"/>
    </row>
    <row r="22" spans="1:9" ht="12.75" customHeight="1" x14ac:dyDescent="0.2">
      <c r="A22" s="73" t="s">
        <v>1258</v>
      </c>
      <c r="B22" s="73">
        <v>18</v>
      </c>
      <c r="C22" s="8">
        <v>137</v>
      </c>
      <c r="D22" s="73"/>
      <c r="E22" s="73"/>
      <c r="F22" s="73"/>
      <c r="G22" s="73"/>
      <c r="H22" s="73"/>
      <c r="I22" s="73"/>
    </row>
    <row r="23" spans="1:9" ht="12.75" customHeight="1" x14ac:dyDescent="0.2">
      <c r="A23" s="73" t="s">
        <v>351</v>
      </c>
      <c r="B23" s="1">
        <v>32</v>
      </c>
      <c r="C23" s="14">
        <v>1993</v>
      </c>
      <c r="D23" s="73"/>
      <c r="E23" s="73"/>
      <c r="F23" s="73"/>
      <c r="G23" s="73"/>
      <c r="H23" s="73"/>
      <c r="I23" s="73"/>
    </row>
    <row r="24" spans="1:9" ht="12.75" customHeight="1" x14ac:dyDescent="0.2">
      <c r="A24" s="73" t="s">
        <v>1259</v>
      </c>
      <c r="B24" s="73">
        <v>196</v>
      </c>
      <c r="C24" s="8">
        <v>7692</v>
      </c>
      <c r="D24" s="73"/>
      <c r="E24" s="73"/>
      <c r="F24" s="73"/>
      <c r="G24" s="73"/>
      <c r="H24" s="73"/>
      <c r="I24" s="73"/>
    </row>
    <row r="25" spans="1:9" ht="12.75" customHeight="1" x14ac:dyDescent="0.2">
      <c r="A25" s="73"/>
      <c r="B25" s="73"/>
      <c r="C25" s="2"/>
      <c r="D25" s="73"/>
      <c r="E25" s="73"/>
      <c r="F25" s="73"/>
      <c r="G25" s="73"/>
      <c r="H25" s="73"/>
      <c r="I25" s="73"/>
    </row>
    <row r="26" spans="1:9" ht="12.75" customHeight="1" x14ac:dyDescent="0.2">
      <c r="A26" s="4" t="s">
        <v>1263</v>
      </c>
      <c r="B26" s="23">
        <v>4069</v>
      </c>
      <c r="C26" s="9"/>
      <c r="D26" s="73"/>
      <c r="E26" s="73"/>
      <c r="F26" s="73"/>
      <c r="G26" s="73"/>
      <c r="H26" s="73"/>
      <c r="I26" s="73"/>
    </row>
    <row r="27" spans="1:9" ht="12.75" customHeight="1" thickBot="1" x14ac:dyDescent="0.25">
      <c r="A27" s="75" t="s">
        <v>1264</v>
      </c>
      <c r="B27" s="24">
        <v>9761</v>
      </c>
      <c r="C27" s="11"/>
      <c r="D27" s="73"/>
      <c r="E27" s="73"/>
      <c r="F27" s="73"/>
      <c r="G27" s="73"/>
      <c r="H27" s="73"/>
      <c r="I27" s="73"/>
    </row>
    <row r="28" spans="1:9" ht="12.75" customHeight="1" thickTop="1" x14ac:dyDescent="0.2">
      <c r="A28" s="73"/>
      <c r="B28" s="73"/>
      <c r="C28" s="73"/>
      <c r="D28" s="73"/>
      <c r="E28" s="73"/>
      <c r="F28" s="73"/>
      <c r="G28" s="73"/>
      <c r="H28" s="73"/>
      <c r="I28" s="73"/>
    </row>
    <row r="29" spans="1:9" ht="12.75" customHeight="1" x14ac:dyDescent="0.25">
      <c r="A29" s="5" t="s">
        <v>16</v>
      </c>
      <c r="B29" s="5"/>
      <c r="C29" s="20"/>
      <c r="D29" s="73"/>
      <c r="E29" s="73"/>
      <c r="F29" s="73"/>
      <c r="G29" s="73"/>
      <c r="H29" s="73"/>
      <c r="I29" s="73"/>
    </row>
    <row r="30" spans="1:9" ht="25.5" customHeight="1" x14ac:dyDescent="0.2">
      <c r="A30" s="21" t="s">
        <v>1254</v>
      </c>
      <c r="B30" s="21" t="s">
        <v>1255</v>
      </c>
      <c r="C30" s="22" t="s">
        <v>1256</v>
      </c>
      <c r="D30" s="73"/>
      <c r="E30" s="73"/>
      <c r="F30" s="73"/>
      <c r="G30" s="73"/>
      <c r="H30" s="73"/>
      <c r="I30" s="73"/>
    </row>
    <row r="31" spans="1:9" ht="12.75" customHeight="1" x14ac:dyDescent="0.2">
      <c r="A31" s="73" t="s">
        <v>26</v>
      </c>
      <c r="B31" s="73">
        <v>285</v>
      </c>
      <c r="C31" s="8">
        <v>2603</v>
      </c>
      <c r="D31" s="73"/>
      <c r="E31" s="73"/>
      <c r="F31" s="73"/>
      <c r="G31" s="73"/>
      <c r="H31" s="73"/>
      <c r="I31" s="73"/>
    </row>
    <row r="32" spans="1:9" ht="12.75" customHeight="1" x14ac:dyDescent="0.2">
      <c r="A32" s="73" t="s">
        <v>156</v>
      </c>
      <c r="B32" s="73">
        <v>7</v>
      </c>
      <c r="C32" s="8">
        <v>414</v>
      </c>
      <c r="D32" s="73"/>
      <c r="E32" s="73"/>
      <c r="F32" s="73"/>
      <c r="G32" s="73"/>
      <c r="H32" s="73"/>
      <c r="I32" s="73"/>
    </row>
    <row r="33" spans="1:9" ht="12.75" customHeight="1" x14ac:dyDescent="0.2">
      <c r="A33" s="73" t="s">
        <v>20</v>
      </c>
      <c r="B33" s="73">
        <v>137</v>
      </c>
      <c r="C33" s="8">
        <v>3222</v>
      </c>
      <c r="D33" s="73"/>
      <c r="E33" s="73"/>
      <c r="F33" s="73"/>
      <c r="G33" s="73"/>
      <c r="H33" s="73"/>
      <c r="I33" s="73"/>
    </row>
    <row r="34" spans="1:9" ht="12.75" customHeight="1" x14ac:dyDescent="0.2">
      <c r="A34" s="73" t="s">
        <v>1262</v>
      </c>
      <c r="B34" s="73">
        <v>26</v>
      </c>
      <c r="C34" s="2">
        <v>700</v>
      </c>
      <c r="D34" s="73"/>
      <c r="E34" s="73"/>
      <c r="F34" s="73"/>
      <c r="G34" s="73"/>
      <c r="H34" s="73"/>
      <c r="I34" s="73"/>
    </row>
    <row r="35" spans="1:9" ht="12.75" customHeight="1" x14ac:dyDescent="0.2">
      <c r="A35" s="73" t="s">
        <v>1258</v>
      </c>
      <c r="B35" s="73">
        <v>1</v>
      </c>
      <c r="C35" s="2">
        <v>108</v>
      </c>
      <c r="D35" s="73"/>
      <c r="E35" s="73"/>
      <c r="F35" s="73"/>
      <c r="G35" s="73"/>
      <c r="H35" s="73"/>
      <c r="I35" s="73"/>
    </row>
    <row r="36" spans="1:9" ht="12.75" customHeight="1" x14ac:dyDescent="0.2">
      <c r="A36" s="73" t="s">
        <v>351</v>
      </c>
      <c r="B36" s="1">
        <v>8</v>
      </c>
      <c r="C36" s="14">
        <v>939</v>
      </c>
      <c r="D36" s="73"/>
      <c r="E36" s="73"/>
      <c r="F36" s="73"/>
      <c r="G36" s="73"/>
      <c r="H36" s="73"/>
      <c r="I36" s="73"/>
    </row>
    <row r="37" spans="1:9" ht="12.75" customHeight="1" x14ac:dyDescent="0.2">
      <c r="A37" s="73" t="s">
        <v>1259</v>
      </c>
      <c r="B37" s="73">
        <v>464</v>
      </c>
      <c r="C37" s="8">
        <v>7986</v>
      </c>
      <c r="D37" s="73"/>
      <c r="E37" s="73"/>
      <c r="F37" s="73"/>
      <c r="G37" s="73"/>
      <c r="H37" s="73"/>
      <c r="I37" s="73"/>
    </row>
    <row r="38" spans="1:9" ht="12.75" customHeight="1" x14ac:dyDescent="0.2">
      <c r="A38" s="73"/>
      <c r="B38" s="73"/>
      <c r="C38" s="2"/>
      <c r="D38" s="73"/>
      <c r="E38" s="73"/>
      <c r="F38" s="73"/>
      <c r="G38" s="73"/>
      <c r="H38" s="73"/>
      <c r="I38" s="73"/>
    </row>
    <row r="39" spans="1:9" ht="12.75" customHeight="1" x14ac:dyDescent="0.2">
      <c r="A39" s="4" t="s">
        <v>1265</v>
      </c>
      <c r="B39" s="23">
        <v>19755</v>
      </c>
      <c r="C39" s="9"/>
      <c r="D39" s="73"/>
      <c r="E39" s="73"/>
      <c r="F39" s="73"/>
      <c r="G39" s="73"/>
      <c r="H39" s="73"/>
      <c r="I39" s="73"/>
    </row>
    <row r="40" spans="1:9" ht="12.75" customHeight="1" thickBot="1" x14ac:dyDescent="0.25">
      <c r="A40" s="75" t="s">
        <v>1266</v>
      </c>
      <c r="B40" s="24">
        <v>20050</v>
      </c>
      <c r="C40" s="11"/>
      <c r="D40" s="73"/>
      <c r="E40" s="73"/>
      <c r="F40" s="73"/>
      <c r="G40" s="73"/>
      <c r="H40" s="73"/>
      <c r="I40" s="73"/>
    </row>
    <row r="41" spans="1:9" ht="12.75" customHeight="1" thickTop="1" x14ac:dyDescent="0.2">
      <c r="A41" s="73"/>
      <c r="B41" s="73"/>
      <c r="C41" s="2"/>
      <c r="D41" s="73"/>
      <c r="E41" s="73"/>
      <c r="F41" s="73"/>
      <c r="G41" s="73"/>
      <c r="H41" s="73"/>
      <c r="I41" s="73"/>
    </row>
    <row r="42" spans="1:9" ht="12.75" customHeight="1" x14ac:dyDescent="0.25">
      <c r="A42" s="5" t="s">
        <v>38</v>
      </c>
      <c r="B42" s="5"/>
      <c r="C42" s="20"/>
      <c r="D42" s="73"/>
      <c r="E42" s="73"/>
      <c r="F42" s="73"/>
      <c r="G42" s="73"/>
      <c r="H42" s="73"/>
      <c r="I42" s="73"/>
    </row>
    <row r="43" spans="1:9" ht="25.5" customHeight="1" x14ac:dyDescent="0.2">
      <c r="A43" s="21" t="s">
        <v>1254</v>
      </c>
      <c r="B43" s="21" t="s">
        <v>1255</v>
      </c>
      <c r="C43" s="22" t="s">
        <v>1256</v>
      </c>
      <c r="D43" s="73"/>
      <c r="E43" s="73"/>
      <c r="F43" s="73"/>
      <c r="G43" s="73"/>
      <c r="H43" s="73"/>
      <c r="I43" s="73"/>
    </row>
    <row r="44" spans="1:9" ht="12.75" customHeight="1" x14ac:dyDescent="0.2">
      <c r="A44" s="73" t="s">
        <v>26</v>
      </c>
      <c r="B44" s="73">
        <v>269</v>
      </c>
      <c r="C44" s="8">
        <v>4650</v>
      </c>
      <c r="D44" s="73"/>
      <c r="E44" s="73"/>
      <c r="F44" s="73"/>
      <c r="G44" s="73"/>
      <c r="H44" s="73"/>
      <c r="I44" s="73"/>
    </row>
    <row r="45" spans="1:9" ht="12.75" customHeight="1" x14ac:dyDescent="0.2">
      <c r="A45" s="73" t="s">
        <v>156</v>
      </c>
      <c r="B45" s="73">
        <v>8</v>
      </c>
      <c r="C45" s="59">
        <v>732</v>
      </c>
      <c r="D45" s="73"/>
      <c r="E45" s="73"/>
      <c r="F45" s="73"/>
      <c r="G45" s="73"/>
      <c r="H45" s="73"/>
      <c r="I45" s="73"/>
    </row>
    <row r="46" spans="1:9" ht="12.75" customHeight="1" x14ac:dyDescent="0.2">
      <c r="A46" s="73" t="s">
        <v>20</v>
      </c>
      <c r="B46" s="73">
        <v>66</v>
      </c>
      <c r="C46" s="8">
        <v>4301</v>
      </c>
      <c r="D46" s="73"/>
      <c r="E46" s="73"/>
      <c r="F46" s="73"/>
      <c r="G46" s="73"/>
      <c r="H46" s="73"/>
      <c r="I46" s="73"/>
    </row>
    <row r="47" spans="1:9" ht="12.75" customHeight="1" x14ac:dyDescent="0.2">
      <c r="A47" s="73" t="s">
        <v>42</v>
      </c>
      <c r="B47" s="73">
        <v>35</v>
      </c>
      <c r="C47" s="2">
        <v>931</v>
      </c>
      <c r="D47" s="73"/>
      <c r="E47" s="73"/>
      <c r="F47" s="73"/>
      <c r="G47" s="73"/>
      <c r="H47" s="73"/>
      <c r="I47" s="73"/>
    </row>
    <row r="48" spans="1:9" ht="12.75" customHeight="1" x14ac:dyDescent="0.2">
      <c r="A48" s="73" t="s">
        <v>1267</v>
      </c>
      <c r="B48" s="73">
        <v>450</v>
      </c>
      <c r="C48" s="8">
        <v>8078</v>
      </c>
      <c r="D48" s="4" t="s">
        <v>4538</v>
      </c>
      <c r="E48" s="73"/>
      <c r="F48" s="73"/>
      <c r="G48" s="73"/>
      <c r="H48" s="73"/>
      <c r="I48" s="73"/>
    </row>
    <row r="49" spans="1:9" ht="12.75" customHeight="1" x14ac:dyDescent="0.2">
      <c r="A49" s="73" t="s">
        <v>351</v>
      </c>
      <c r="B49" s="1">
        <v>2</v>
      </c>
      <c r="C49" s="14">
        <v>500</v>
      </c>
      <c r="D49" s="73"/>
      <c r="E49" s="73"/>
      <c r="F49" s="73"/>
      <c r="G49" s="73"/>
      <c r="H49" s="73"/>
      <c r="I49" s="73"/>
    </row>
    <row r="50" spans="1:9" ht="12.75" customHeight="1" x14ac:dyDescent="0.2">
      <c r="A50" s="73" t="s">
        <v>1268</v>
      </c>
      <c r="B50" s="73">
        <v>830</v>
      </c>
      <c r="C50" s="8">
        <v>19192</v>
      </c>
      <c r="D50" s="73"/>
      <c r="E50" s="73"/>
      <c r="F50" s="73"/>
      <c r="G50" s="73"/>
      <c r="H50" s="73"/>
      <c r="I50" s="73"/>
    </row>
    <row r="51" spans="1:9" ht="12.75" customHeight="1" x14ac:dyDescent="0.2">
      <c r="A51" s="73"/>
      <c r="B51" s="73"/>
      <c r="C51" s="2"/>
      <c r="D51" s="73"/>
      <c r="E51" s="73"/>
      <c r="F51" s="73"/>
      <c r="G51" s="73"/>
      <c r="H51" s="73"/>
      <c r="I51" s="73"/>
    </row>
    <row r="52" spans="1:9" ht="12.75" customHeight="1" x14ac:dyDescent="0.2">
      <c r="A52" s="4" t="s">
        <v>1269</v>
      </c>
      <c r="B52" s="23">
        <v>18501</v>
      </c>
      <c r="C52" s="9"/>
      <c r="D52" s="73"/>
      <c r="E52" s="73"/>
      <c r="F52" s="73"/>
      <c r="G52" s="73"/>
      <c r="H52" s="73"/>
      <c r="I52" s="73"/>
    </row>
    <row r="53" spans="1:9" ht="12.75" customHeight="1" thickBot="1" x14ac:dyDescent="0.25">
      <c r="A53" s="75" t="s">
        <v>1270</v>
      </c>
      <c r="B53" s="24">
        <v>30446</v>
      </c>
      <c r="C53" s="11"/>
      <c r="D53" s="73"/>
      <c r="E53" s="73"/>
      <c r="F53" s="73"/>
      <c r="G53" s="73"/>
      <c r="H53" s="73"/>
      <c r="I53" s="73"/>
    </row>
    <row r="54" spans="1:9" ht="12.75" customHeight="1" thickTop="1" x14ac:dyDescent="0.2">
      <c r="A54" s="73"/>
      <c r="B54" s="73"/>
      <c r="C54" s="73"/>
      <c r="D54" s="73"/>
      <c r="E54" s="73"/>
      <c r="F54" s="73"/>
      <c r="G54" s="73"/>
      <c r="H54" s="73"/>
      <c r="I54" s="73"/>
    </row>
    <row r="55" spans="1:9" x14ac:dyDescent="0.2">
      <c r="A55" s="73"/>
      <c r="B55" s="73"/>
      <c r="C55" s="73"/>
      <c r="D55" s="73"/>
      <c r="E55" s="73"/>
      <c r="F55" s="73"/>
      <c r="G55" s="73"/>
      <c r="H55" s="73"/>
      <c r="I55" s="73"/>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workbookViewId="0">
      <selection activeCell="E70" sqref="E70"/>
    </sheetView>
  </sheetViews>
  <sheetFormatPr defaultColWidth="8.85546875" defaultRowHeight="12.75" x14ac:dyDescent="0.2"/>
  <cols>
    <col min="1" max="1" width="39.7109375" customWidth="1"/>
    <col min="2" max="3" width="11.42578125" customWidth="1"/>
  </cols>
  <sheetData>
    <row r="1" spans="1:9" x14ac:dyDescent="0.2">
      <c r="A1" s="73"/>
      <c r="B1" s="73"/>
      <c r="C1" s="73"/>
    </row>
    <row r="2" spans="1:9" ht="15.75" x14ac:dyDescent="0.25">
      <c r="A2" s="17" t="s">
        <v>6075</v>
      </c>
      <c r="B2" s="18"/>
      <c r="C2" s="18"/>
      <c r="D2" s="58"/>
      <c r="E2" s="58"/>
      <c r="F2" s="58"/>
      <c r="G2" s="58"/>
      <c r="H2" s="58"/>
      <c r="I2" s="58"/>
    </row>
    <row r="3" spans="1:9" x14ac:dyDescent="0.2">
      <c r="A3" s="4"/>
      <c r="B3" s="73"/>
      <c r="C3" s="73"/>
    </row>
    <row r="4" spans="1:9" ht="15" x14ac:dyDescent="0.25">
      <c r="A4" s="5" t="s">
        <v>1253</v>
      </c>
      <c r="B4" s="5"/>
      <c r="C4" s="20"/>
    </row>
    <row r="5" spans="1:9" ht="25.5" x14ac:dyDescent="0.2">
      <c r="A5" s="21" t="s">
        <v>1254</v>
      </c>
      <c r="B5" s="21" t="s">
        <v>1255</v>
      </c>
      <c r="C5" s="22" t="s">
        <v>1256</v>
      </c>
    </row>
    <row r="6" spans="1:9" x14ac:dyDescent="0.2">
      <c r="A6" s="73" t="s">
        <v>26</v>
      </c>
      <c r="B6" s="73">
        <v>514</v>
      </c>
      <c r="C6" s="8">
        <v>5408</v>
      </c>
    </row>
    <row r="7" spans="1:9" x14ac:dyDescent="0.2">
      <c r="A7" s="73" t="s">
        <v>1257</v>
      </c>
      <c r="B7" s="73">
        <v>12</v>
      </c>
      <c r="C7" s="8">
        <v>1617</v>
      </c>
    </row>
    <row r="8" spans="1:9" x14ac:dyDescent="0.2">
      <c r="A8" s="73" t="s">
        <v>20</v>
      </c>
      <c r="B8" s="73">
        <v>178</v>
      </c>
      <c r="C8" s="8">
        <v>8712</v>
      </c>
    </row>
    <row r="9" spans="1:9" x14ac:dyDescent="0.2">
      <c r="A9" s="73" t="s">
        <v>42</v>
      </c>
      <c r="B9" s="73">
        <v>51</v>
      </c>
      <c r="C9" s="8">
        <v>1359</v>
      </c>
    </row>
    <row r="10" spans="1:9" x14ac:dyDescent="0.2">
      <c r="A10" s="73" t="s">
        <v>1258</v>
      </c>
      <c r="B10" s="3">
        <v>786</v>
      </c>
      <c r="C10" s="8">
        <v>7226</v>
      </c>
    </row>
    <row r="11" spans="1:9" x14ac:dyDescent="0.2">
      <c r="A11" s="73" t="s">
        <v>351</v>
      </c>
      <c r="B11" s="12">
        <v>6</v>
      </c>
      <c r="C11" s="13">
        <v>12604</v>
      </c>
    </row>
    <row r="12" spans="1:9" x14ac:dyDescent="0.2">
      <c r="A12" s="73" t="s">
        <v>1259</v>
      </c>
      <c r="B12" s="3">
        <v>1547</v>
      </c>
      <c r="C12" s="8">
        <v>36926</v>
      </c>
    </row>
    <row r="13" spans="1:9" x14ac:dyDescent="0.2">
      <c r="A13" s="73"/>
      <c r="B13" s="73"/>
      <c r="C13" s="2"/>
    </row>
    <row r="14" spans="1:9" x14ac:dyDescent="0.2">
      <c r="A14" s="4" t="s">
        <v>1260</v>
      </c>
      <c r="B14" s="23">
        <v>37499</v>
      </c>
      <c r="C14" s="9"/>
    </row>
    <row r="15" spans="1:9" ht="13.5" thickBot="1" x14ac:dyDescent="0.25">
      <c r="A15" s="75" t="s">
        <v>1261</v>
      </c>
      <c r="B15" s="24">
        <v>107827</v>
      </c>
      <c r="C15" s="11"/>
    </row>
    <row r="16" spans="1:9" ht="13.5" thickTop="1" x14ac:dyDescent="0.2">
      <c r="A16" s="73"/>
      <c r="B16" s="73"/>
      <c r="C16" s="73"/>
    </row>
    <row r="17" spans="1:3" ht="15" x14ac:dyDescent="0.25">
      <c r="A17" s="5" t="s">
        <v>152</v>
      </c>
      <c r="B17" s="5"/>
      <c r="C17" s="20"/>
    </row>
    <row r="18" spans="1:3" ht="25.5" x14ac:dyDescent="0.2">
      <c r="A18" s="21" t="s">
        <v>1254</v>
      </c>
      <c r="B18" s="21" t="s">
        <v>1255</v>
      </c>
      <c r="C18" s="22" t="s">
        <v>1256</v>
      </c>
    </row>
    <row r="19" spans="1:3" x14ac:dyDescent="0.2">
      <c r="A19" s="73" t="s">
        <v>26</v>
      </c>
      <c r="B19" s="73">
        <v>68</v>
      </c>
      <c r="C19" s="8">
        <v>734</v>
      </c>
    </row>
    <row r="20" spans="1:3" x14ac:dyDescent="0.2">
      <c r="A20" s="73" t="s">
        <v>156</v>
      </c>
      <c r="B20" s="73">
        <v>3</v>
      </c>
      <c r="C20" s="8">
        <v>547</v>
      </c>
    </row>
    <row r="21" spans="1:3" x14ac:dyDescent="0.2">
      <c r="A21" s="73" t="s">
        <v>20</v>
      </c>
      <c r="B21" s="73">
        <v>88</v>
      </c>
      <c r="C21" s="8">
        <v>3969</v>
      </c>
    </row>
    <row r="22" spans="1:3" x14ac:dyDescent="0.2">
      <c r="A22" s="73" t="s">
        <v>1262</v>
      </c>
      <c r="B22" s="73">
        <v>3</v>
      </c>
      <c r="C22" s="2">
        <v>189</v>
      </c>
    </row>
    <row r="23" spans="1:3" x14ac:dyDescent="0.2">
      <c r="A23" s="73" t="s">
        <v>1258</v>
      </c>
      <c r="B23" s="73">
        <v>19</v>
      </c>
      <c r="C23" s="8">
        <v>51</v>
      </c>
    </row>
    <row r="24" spans="1:3" x14ac:dyDescent="0.2">
      <c r="A24" s="73" t="s">
        <v>351</v>
      </c>
      <c r="B24" s="1">
        <v>2</v>
      </c>
      <c r="C24" s="14">
        <v>104</v>
      </c>
    </row>
    <row r="25" spans="1:3" x14ac:dyDescent="0.2">
      <c r="A25" s="73" t="s">
        <v>1259</v>
      </c>
      <c r="B25" s="73">
        <v>183</v>
      </c>
      <c r="C25" s="8">
        <v>5594</v>
      </c>
    </row>
    <row r="26" spans="1:3" x14ac:dyDescent="0.2">
      <c r="A26" s="73"/>
      <c r="B26" s="73"/>
      <c r="C26" s="2"/>
    </row>
    <row r="27" spans="1:3" x14ac:dyDescent="0.2">
      <c r="A27" s="4" t="s">
        <v>1263</v>
      </c>
      <c r="B27" s="23">
        <v>4198</v>
      </c>
      <c r="C27" s="9"/>
    </row>
    <row r="28" spans="1:3" ht="13.5" thickBot="1" x14ac:dyDescent="0.25">
      <c r="A28" s="75" t="s">
        <v>1264</v>
      </c>
      <c r="B28" s="24">
        <v>8545</v>
      </c>
      <c r="C28" s="11"/>
    </row>
    <row r="29" spans="1:3" ht="13.5" thickTop="1" x14ac:dyDescent="0.2">
      <c r="A29" s="73"/>
      <c r="B29" s="73"/>
      <c r="C29" s="73"/>
    </row>
    <row r="30" spans="1:3" ht="15" x14ac:dyDescent="0.25">
      <c r="A30" s="5" t="s">
        <v>16</v>
      </c>
      <c r="B30" s="5"/>
      <c r="C30" s="20"/>
    </row>
    <row r="31" spans="1:3" ht="25.5" x14ac:dyDescent="0.2">
      <c r="A31" s="21" t="s">
        <v>1254</v>
      </c>
      <c r="B31" s="21" t="s">
        <v>1255</v>
      </c>
      <c r="C31" s="22" t="s">
        <v>1256</v>
      </c>
    </row>
    <row r="32" spans="1:3" x14ac:dyDescent="0.2">
      <c r="A32" s="73" t="s">
        <v>26</v>
      </c>
      <c r="B32" s="73">
        <v>301</v>
      </c>
      <c r="C32" s="8">
        <v>3141</v>
      </c>
    </row>
    <row r="33" spans="1:3" x14ac:dyDescent="0.2">
      <c r="A33" s="73" t="s">
        <v>156</v>
      </c>
      <c r="B33" s="73">
        <v>7</v>
      </c>
      <c r="C33" s="8">
        <v>595</v>
      </c>
    </row>
    <row r="34" spans="1:3" x14ac:dyDescent="0.2">
      <c r="A34" s="73" t="s">
        <v>20</v>
      </c>
      <c r="B34" s="73">
        <v>49</v>
      </c>
      <c r="C34" s="8">
        <v>1963</v>
      </c>
    </row>
    <row r="35" spans="1:3" x14ac:dyDescent="0.2">
      <c r="A35" s="73" t="s">
        <v>1262</v>
      </c>
      <c r="B35" s="73">
        <v>31</v>
      </c>
      <c r="C35" s="2">
        <v>687</v>
      </c>
    </row>
    <row r="36" spans="1:3" x14ac:dyDescent="0.2">
      <c r="A36" s="73" t="s">
        <v>1258</v>
      </c>
      <c r="B36" s="73">
        <v>2</v>
      </c>
      <c r="C36" s="2">
        <v>125</v>
      </c>
    </row>
    <row r="37" spans="1:3" x14ac:dyDescent="0.2">
      <c r="A37" s="73" t="s">
        <v>351</v>
      </c>
      <c r="B37" s="1">
        <v>2</v>
      </c>
      <c r="C37" s="14">
        <v>10350</v>
      </c>
    </row>
    <row r="38" spans="1:3" x14ac:dyDescent="0.2">
      <c r="A38" s="73" t="s">
        <v>1259</v>
      </c>
      <c r="B38" s="73">
        <v>392</v>
      </c>
      <c r="C38" s="8">
        <v>16861</v>
      </c>
    </row>
    <row r="39" spans="1:3" x14ac:dyDescent="0.2">
      <c r="A39" s="73"/>
      <c r="B39" s="73"/>
      <c r="C39" s="2"/>
    </row>
    <row r="40" spans="1:3" x14ac:dyDescent="0.2">
      <c r="A40" s="4" t="s">
        <v>1265</v>
      </c>
      <c r="B40" s="23">
        <v>20058</v>
      </c>
      <c r="C40" s="9"/>
    </row>
    <row r="41" spans="1:3" ht="13.5" thickBot="1" x14ac:dyDescent="0.25">
      <c r="A41" s="75" t="s">
        <v>1266</v>
      </c>
      <c r="B41" s="24">
        <v>25855</v>
      </c>
      <c r="C41" s="11"/>
    </row>
    <row r="42" spans="1:3" ht="13.5" thickTop="1" x14ac:dyDescent="0.2">
      <c r="A42" s="73"/>
      <c r="B42" s="73"/>
      <c r="C42" s="2"/>
    </row>
    <row r="43" spans="1:3" ht="15" x14ac:dyDescent="0.25">
      <c r="A43" s="5" t="s">
        <v>38</v>
      </c>
      <c r="B43" s="5"/>
      <c r="C43" s="20"/>
    </row>
    <row r="44" spans="1:3" ht="25.5" x14ac:dyDescent="0.2">
      <c r="A44" s="21" t="s">
        <v>1254</v>
      </c>
      <c r="B44" s="21" t="s">
        <v>1255</v>
      </c>
      <c r="C44" s="22" t="s">
        <v>1256</v>
      </c>
    </row>
    <row r="45" spans="1:3" x14ac:dyDescent="0.2">
      <c r="A45" s="73" t="s">
        <v>26</v>
      </c>
      <c r="B45" s="73">
        <v>145</v>
      </c>
      <c r="C45" s="8">
        <v>1533</v>
      </c>
    </row>
    <row r="46" spans="1:3" x14ac:dyDescent="0.2">
      <c r="A46" s="73" t="s">
        <v>156</v>
      </c>
      <c r="B46" s="73">
        <v>2</v>
      </c>
      <c r="C46" s="59">
        <v>475</v>
      </c>
    </row>
    <row r="47" spans="1:3" x14ac:dyDescent="0.2">
      <c r="A47" s="73" t="s">
        <v>20</v>
      </c>
      <c r="B47" s="73">
        <v>41</v>
      </c>
      <c r="C47" s="8">
        <v>2780</v>
      </c>
    </row>
    <row r="48" spans="1:3" x14ac:dyDescent="0.2">
      <c r="A48" s="73" t="s">
        <v>42</v>
      </c>
      <c r="B48" s="73">
        <v>17</v>
      </c>
      <c r="C48" s="2">
        <v>483</v>
      </c>
    </row>
    <row r="49" spans="1:3" x14ac:dyDescent="0.2">
      <c r="A49" s="73" t="s">
        <v>1267</v>
      </c>
      <c r="B49" s="73">
        <v>765</v>
      </c>
      <c r="C49" s="8">
        <v>7050</v>
      </c>
    </row>
    <row r="50" spans="1:3" x14ac:dyDescent="0.2">
      <c r="A50" s="73" t="s">
        <v>351</v>
      </c>
      <c r="B50" s="1">
        <v>2</v>
      </c>
      <c r="C50" s="14">
        <v>2150</v>
      </c>
    </row>
    <row r="51" spans="1:3" x14ac:dyDescent="0.2">
      <c r="A51" s="73" t="s">
        <v>1268</v>
      </c>
      <c r="B51" s="73">
        <v>972</v>
      </c>
      <c r="C51" s="8">
        <v>14471</v>
      </c>
    </row>
    <row r="52" spans="1:3" x14ac:dyDescent="0.2">
      <c r="A52" s="73"/>
      <c r="B52" s="73"/>
      <c r="C52" s="2"/>
    </row>
    <row r="53" spans="1:3" x14ac:dyDescent="0.2">
      <c r="A53" s="4" t="s">
        <v>1269</v>
      </c>
      <c r="B53" s="23">
        <v>13243</v>
      </c>
      <c r="C53" s="9"/>
    </row>
    <row r="54" spans="1:3" ht="13.5" thickBot="1" x14ac:dyDescent="0.25">
      <c r="A54" s="75" t="s">
        <v>1270</v>
      </c>
      <c r="B54" s="24">
        <v>73427</v>
      </c>
      <c r="C54" s="11"/>
    </row>
    <row r="55" spans="1:3" ht="13.5" thickTop="1" x14ac:dyDescent="0.2"/>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5"/>
  <sheetViews>
    <sheetView workbookViewId="0">
      <selection activeCell="F36" sqref="F36"/>
    </sheetView>
  </sheetViews>
  <sheetFormatPr defaultColWidth="8.85546875" defaultRowHeight="12.75" x14ac:dyDescent="0.2"/>
  <cols>
    <col min="1" max="1" width="45.42578125" style="47" customWidth="1"/>
    <col min="2" max="2" width="11.28515625" style="47" customWidth="1"/>
    <col min="3" max="3" width="11.42578125" style="47" customWidth="1"/>
  </cols>
  <sheetData>
    <row r="1" spans="1:16384" x14ac:dyDescent="0.2">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7"/>
      <c r="EE1" s="47"/>
      <c r="EF1" s="47"/>
      <c r="EG1" s="47"/>
      <c r="EH1" s="47"/>
      <c r="EI1" s="47"/>
      <c r="EJ1" s="47"/>
      <c r="EK1" s="47"/>
      <c r="EL1" s="47"/>
      <c r="EM1" s="47"/>
      <c r="EN1" s="47"/>
      <c r="EO1" s="47"/>
      <c r="EP1" s="47"/>
      <c r="EQ1" s="47"/>
      <c r="ER1" s="47"/>
      <c r="ES1" s="47"/>
      <c r="ET1" s="47"/>
      <c r="EU1" s="47"/>
      <c r="EV1" s="47"/>
      <c r="EW1" s="47"/>
      <c r="EX1" s="47"/>
      <c r="EY1" s="47"/>
      <c r="EZ1" s="47"/>
      <c r="FA1" s="47"/>
      <c r="FB1" s="47"/>
      <c r="FC1" s="47"/>
      <c r="FD1" s="47"/>
      <c r="FE1" s="47"/>
      <c r="FF1" s="47"/>
      <c r="FG1" s="47"/>
      <c r="FH1" s="47"/>
      <c r="FI1" s="47"/>
      <c r="FJ1" s="47"/>
      <c r="FK1" s="47"/>
      <c r="FL1" s="47"/>
      <c r="FM1" s="47"/>
      <c r="FN1" s="47"/>
      <c r="FO1" s="47"/>
      <c r="FP1" s="47"/>
      <c r="FQ1" s="47"/>
      <c r="FR1" s="47"/>
      <c r="FS1" s="47"/>
      <c r="FT1" s="47"/>
      <c r="FU1" s="47"/>
      <c r="FV1" s="47"/>
      <c r="FW1" s="47"/>
      <c r="FX1" s="47"/>
      <c r="FY1" s="47"/>
      <c r="FZ1" s="47"/>
      <c r="GA1" s="47"/>
      <c r="GB1" s="47"/>
      <c r="GC1" s="47"/>
      <c r="GD1" s="47"/>
      <c r="GE1" s="47"/>
      <c r="GF1" s="47"/>
      <c r="GG1" s="47"/>
      <c r="GH1" s="47"/>
      <c r="GI1" s="47"/>
      <c r="GJ1" s="47"/>
      <c r="GK1" s="47"/>
      <c r="GL1" s="47"/>
      <c r="GM1" s="47"/>
      <c r="GN1" s="47"/>
      <c r="GO1" s="47"/>
      <c r="GP1" s="47"/>
      <c r="GQ1" s="47"/>
      <c r="GR1" s="47"/>
      <c r="GS1" s="47"/>
      <c r="GT1" s="47"/>
      <c r="GU1" s="47"/>
      <c r="GV1" s="47"/>
      <c r="GW1" s="47"/>
      <c r="GX1" s="47"/>
      <c r="GY1" s="47"/>
      <c r="GZ1" s="47"/>
      <c r="HA1" s="47"/>
      <c r="HB1" s="47"/>
      <c r="HC1" s="47"/>
      <c r="HD1" s="47"/>
      <c r="HE1" s="47"/>
      <c r="HF1" s="47"/>
      <c r="HG1" s="47"/>
      <c r="HH1" s="47"/>
      <c r="HI1" s="47"/>
      <c r="HJ1" s="47"/>
      <c r="HK1" s="47"/>
      <c r="HL1" s="47"/>
      <c r="HM1" s="47"/>
      <c r="HN1" s="47"/>
      <c r="HO1" s="47"/>
      <c r="HP1" s="47"/>
      <c r="HQ1" s="47"/>
      <c r="HR1" s="47"/>
      <c r="HS1" s="47"/>
      <c r="HT1" s="47"/>
      <c r="HU1" s="47"/>
      <c r="HV1" s="47"/>
      <c r="HW1" s="47"/>
      <c r="HX1" s="47"/>
      <c r="HY1" s="47"/>
      <c r="HZ1" s="47"/>
      <c r="IA1" s="47"/>
      <c r="IB1" s="47"/>
      <c r="IC1" s="47"/>
      <c r="ID1" s="47"/>
      <c r="IE1" s="47"/>
      <c r="IF1" s="47"/>
      <c r="IG1" s="47"/>
      <c r="IH1" s="47"/>
      <c r="II1" s="47"/>
      <c r="IJ1" s="47"/>
      <c r="IK1" s="47"/>
      <c r="IL1" s="47"/>
      <c r="IM1" s="47"/>
      <c r="IN1" s="47"/>
      <c r="IO1" s="47"/>
      <c r="IP1" s="47"/>
      <c r="IQ1" s="47"/>
      <c r="IR1" s="47"/>
      <c r="IS1" s="47"/>
      <c r="IT1" s="47"/>
      <c r="IU1" s="47"/>
      <c r="IV1" s="47"/>
      <c r="IW1" s="47"/>
      <c r="IX1" s="47"/>
      <c r="IY1" s="47"/>
      <c r="IZ1" s="47"/>
      <c r="JA1" s="47"/>
      <c r="JB1" s="47"/>
      <c r="JC1" s="47"/>
      <c r="JD1" s="47"/>
      <c r="JE1" s="47"/>
      <c r="JF1" s="47"/>
      <c r="JG1" s="47"/>
      <c r="JH1" s="47"/>
      <c r="JI1" s="47"/>
      <c r="JJ1" s="47"/>
      <c r="JK1" s="47"/>
      <c r="JL1" s="47"/>
      <c r="JM1" s="47"/>
      <c r="JN1" s="47"/>
      <c r="JO1" s="47"/>
      <c r="JP1" s="47"/>
      <c r="JQ1" s="47"/>
      <c r="JR1" s="47"/>
      <c r="JS1" s="47"/>
      <c r="JT1" s="47"/>
      <c r="JU1" s="47"/>
      <c r="JV1" s="47"/>
      <c r="JW1" s="47"/>
      <c r="JX1" s="47"/>
      <c r="JY1" s="47"/>
      <c r="JZ1" s="47"/>
      <c r="KA1" s="47"/>
      <c r="KB1" s="47"/>
      <c r="KC1" s="47"/>
      <c r="KD1" s="47"/>
      <c r="KE1" s="47"/>
      <c r="KF1" s="47"/>
      <c r="KG1" s="47"/>
      <c r="KH1" s="47"/>
      <c r="KI1" s="47"/>
      <c r="KJ1" s="47"/>
      <c r="KK1" s="47"/>
      <c r="KL1" s="47"/>
      <c r="KM1" s="47"/>
      <c r="KN1" s="47"/>
      <c r="KO1" s="47"/>
      <c r="KP1" s="47"/>
      <c r="KQ1" s="47"/>
      <c r="KR1" s="47"/>
      <c r="KS1" s="47"/>
      <c r="KT1" s="47"/>
      <c r="KU1" s="47"/>
      <c r="KV1" s="47"/>
      <c r="KW1" s="47"/>
      <c r="KX1" s="47"/>
      <c r="KY1" s="47"/>
      <c r="KZ1" s="47"/>
      <c r="LA1" s="47"/>
      <c r="LB1" s="47"/>
      <c r="LC1" s="47"/>
      <c r="LD1" s="47"/>
      <c r="LE1" s="47"/>
      <c r="LF1" s="47"/>
      <c r="LG1" s="47"/>
      <c r="LH1" s="47"/>
      <c r="LI1" s="47"/>
      <c r="LJ1" s="47"/>
      <c r="LK1" s="47"/>
      <c r="LL1" s="47"/>
      <c r="LM1" s="47"/>
      <c r="LN1" s="47"/>
      <c r="LO1" s="47"/>
      <c r="LP1" s="47"/>
      <c r="LQ1" s="47"/>
      <c r="LR1" s="47"/>
      <c r="LS1" s="47"/>
      <c r="LT1" s="47"/>
      <c r="LU1" s="47"/>
      <c r="LV1" s="47"/>
      <c r="LW1" s="47"/>
      <c r="LX1" s="47"/>
      <c r="LY1" s="47"/>
      <c r="LZ1" s="47"/>
      <c r="MA1" s="47"/>
      <c r="MB1" s="47"/>
      <c r="MC1" s="47"/>
      <c r="MD1" s="47"/>
      <c r="ME1" s="47"/>
      <c r="MF1" s="47"/>
      <c r="MG1" s="47"/>
      <c r="MH1" s="47"/>
      <c r="MI1" s="47"/>
      <c r="MJ1" s="47"/>
      <c r="MK1" s="47"/>
      <c r="ML1" s="47"/>
      <c r="MM1" s="47"/>
      <c r="MN1" s="47"/>
      <c r="MO1" s="47"/>
      <c r="MP1" s="47"/>
      <c r="MQ1" s="47"/>
      <c r="MR1" s="47"/>
      <c r="MS1" s="47"/>
      <c r="MT1" s="47"/>
      <c r="MU1" s="47"/>
      <c r="MV1" s="47"/>
      <c r="MW1" s="47"/>
      <c r="MX1" s="47"/>
      <c r="MY1" s="47"/>
      <c r="MZ1" s="47"/>
      <c r="NA1" s="47"/>
      <c r="NB1" s="47"/>
      <c r="NC1" s="47"/>
      <c r="ND1" s="47"/>
      <c r="NE1" s="47"/>
      <c r="NF1" s="47"/>
      <c r="NG1" s="47"/>
      <c r="NH1" s="47"/>
      <c r="NI1" s="47"/>
      <c r="NJ1" s="47"/>
      <c r="NK1" s="47"/>
      <c r="NL1" s="47"/>
      <c r="NM1" s="47"/>
      <c r="NN1" s="47"/>
      <c r="NO1" s="47"/>
      <c r="NP1" s="47"/>
      <c r="NQ1" s="47"/>
      <c r="NR1" s="47"/>
      <c r="NS1" s="47"/>
      <c r="NT1" s="47"/>
      <c r="NU1" s="47"/>
      <c r="NV1" s="47"/>
      <c r="NW1" s="47"/>
      <c r="NX1" s="47"/>
      <c r="NY1" s="47"/>
      <c r="NZ1" s="47"/>
      <c r="OA1" s="47"/>
      <c r="OB1" s="47"/>
      <c r="OC1" s="47"/>
      <c r="OD1" s="47"/>
      <c r="OE1" s="47"/>
      <c r="OF1" s="47"/>
      <c r="OG1" s="47"/>
      <c r="OH1" s="47"/>
      <c r="OI1" s="47"/>
      <c r="OJ1" s="47"/>
      <c r="OK1" s="47"/>
      <c r="OL1" s="47"/>
      <c r="OM1" s="47"/>
      <c r="ON1" s="47"/>
      <c r="OO1" s="47"/>
      <c r="OP1" s="47"/>
      <c r="OQ1" s="47"/>
      <c r="OR1" s="47"/>
      <c r="OS1" s="47"/>
      <c r="OT1" s="47"/>
      <c r="OU1" s="47"/>
      <c r="OV1" s="47"/>
      <c r="OW1" s="47"/>
      <c r="OX1" s="47"/>
      <c r="OY1" s="47"/>
      <c r="OZ1" s="47"/>
      <c r="PA1" s="47"/>
      <c r="PB1" s="47"/>
      <c r="PC1" s="47"/>
      <c r="PD1" s="47"/>
      <c r="PE1" s="47"/>
      <c r="PF1" s="47"/>
      <c r="PG1" s="47"/>
      <c r="PH1" s="47"/>
      <c r="PI1" s="47"/>
      <c r="PJ1" s="47"/>
      <c r="PK1" s="47"/>
      <c r="PL1" s="47"/>
      <c r="PM1" s="47"/>
      <c r="PN1" s="47"/>
      <c r="PO1" s="47"/>
      <c r="PP1" s="47"/>
      <c r="PQ1" s="47"/>
      <c r="PR1" s="47"/>
      <c r="PS1" s="47"/>
      <c r="PT1" s="47"/>
      <c r="PU1" s="47"/>
      <c r="PV1" s="47"/>
      <c r="PW1" s="47"/>
      <c r="PX1" s="47"/>
      <c r="PY1" s="47"/>
      <c r="PZ1" s="47"/>
      <c r="QA1" s="47"/>
      <c r="QB1" s="47"/>
      <c r="QC1" s="47"/>
      <c r="QD1" s="47"/>
      <c r="QE1" s="47"/>
      <c r="QF1" s="47"/>
      <c r="QG1" s="47"/>
      <c r="QH1" s="47"/>
      <c r="QI1" s="47"/>
      <c r="QJ1" s="47"/>
      <c r="QK1" s="47"/>
      <c r="QL1" s="47"/>
      <c r="QM1" s="47"/>
      <c r="QN1" s="47"/>
      <c r="QO1" s="47"/>
      <c r="QP1" s="47"/>
      <c r="QQ1" s="47"/>
      <c r="QR1" s="47"/>
      <c r="QS1" s="47"/>
      <c r="QT1" s="47"/>
      <c r="QU1" s="47"/>
      <c r="QV1" s="47"/>
      <c r="QW1" s="47"/>
      <c r="QX1" s="47"/>
      <c r="QY1" s="47"/>
      <c r="QZ1" s="47"/>
      <c r="RA1" s="47"/>
      <c r="RB1" s="47"/>
      <c r="RC1" s="47"/>
      <c r="RD1" s="47"/>
      <c r="RE1" s="47"/>
      <c r="RF1" s="47"/>
      <c r="RG1" s="47"/>
      <c r="RH1" s="47"/>
      <c r="RI1" s="47"/>
      <c r="RJ1" s="47"/>
      <c r="RK1" s="47"/>
      <c r="RL1" s="47"/>
      <c r="RM1" s="47"/>
      <c r="RN1" s="47"/>
      <c r="RO1" s="47"/>
      <c r="RP1" s="47"/>
      <c r="RQ1" s="47"/>
      <c r="RR1" s="47"/>
      <c r="RS1" s="47"/>
      <c r="RT1" s="47"/>
      <c r="RU1" s="47"/>
      <c r="RV1" s="47"/>
      <c r="RW1" s="47"/>
      <c r="RX1" s="47"/>
      <c r="RY1" s="47"/>
      <c r="RZ1" s="47"/>
      <c r="SA1" s="47"/>
      <c r="SB1" s="47"/>
      <c r="SC1" s="47"/>
      <c r="SD1" s="47"/>
      <c r="SE1" s="47"/>
      <c r="SF1" s="47"/>
      <c r="SG1" s="47"/>
      <c r="SH1" s="47"/>
      <c r="SI1" s="47"/>
      <c r="SJ1" s="47"/>
      <c r="SK1" s="47"/>
      <c r="SL1" s="47"/>
      <c r="SM1" s="47"/>
      <c r="SN1" s="47"/>
      <c r="SO1" s="47"/>
      <c r="SP1" s="47"/>
      <c r="SQ1" s="47"/>
      <c r="SR1" s="47"/>
      <c r="SS1" s="47"/>
      <c r="ST1" s="47"/>
      <c r="SU1" s="47"/>
      <c r="SV1" s="47"/>
      <c r="SW1" s="47"/>
      <c r="SX1" s="47"/>
      <c r="SY1" s="47"/>
      <c r="SZ1" s="47"/>
      <c r="TA1" s="47"/>
      <c r="TB1" s="47"/>
      <c r="TC1" s="47"/>
      <c r="TD1" s="47"/>
      <c r="TE1" s="47"/>
      <c r="TF1" s="47"/>
      <c r="TG1" s="47"/>
      <c r="TH1" s="47"/>
      <c r="TI1" s="47"/>
      <c r="TJ1" s="47"/>
      <c r="TK1" s="47"/>
      <c r="TL1" s="47"/>
      <c r="TM1" s="47"/>
      <c r="TN1" s="47"/>
      <c r="TO1" s="47"/>
      <c r="TP1" s="47"/>
      <c r="TQ1" s="47"/>
      <c r="TR1" s="47"/>
      <c r="TS1" s="47"/>
      <c r="TT1" s="47"/>
      <c r="TU1" s="47"/>
      <c r="TV1" s="47"/>
      <c r="TW1" s="47"/>
      <c r="TX1" s="47"/>
      <c r="TY1" s="47"/>
      <c r="TZ1" s="47"/>
      <c r="UA1" s="47"/>
      <c r="UB1" s="47"/>
      <c r="UC1" s="47"/>
      <c r="UD1" s="47"/>
      <c r="UE1" s="47"/>
      <c r="UF1" s="47"/>
      <c r="UG1" s="47"/>
      <c r="UH1" s="47"/>
      <c r="UI1" s="47"/>
      <c r="UJ1" s="47"/>
      <c r="UK1" s="47"/>
      <c r="UL1" s="47"/>
      <c r="UM1" s="47"/>
      <c r="UN1" s="47"/>
      <c r="UO1" s="47"/>
      <c r="UP1" s="47"/>
      <c r="UQ1" s="47"/>
      <c r="UR1" s="47"/>
      <c r="US1" s="47"/>
      <c r="UT1" s="47"/>
      <c r="UU1" s="47"/>
      <c r="UV1" s="47"/>
      <c r="UW1" s="47"/>
      <c r="UX1" s="47"/>
      <c r="UY1" s="47"/>
      <c r="UZ1" s="47"/>
      <c r="VA1" s="47"/>
      <c r="VB1" s="47"/>
      <c r="VC1" s="47"/>
      <c r="VD1" s="47"/>
      <c r="VE1" s="47"/>
      <c r="VF1" s="47"/>
      <c r="VG1" s="47"/>
      <c r="VH1" s="47"/>
      <c r="VI1" s="47"/>
      <c r="VJ1" s="47"/>
      <c r="VK1" s="47"/>
      <c r="VL1" s="47"/>
      <c r="VM1" s="47"/>
      <c r="VN1" s="47"/>
      <c r="VO1" s="47"/>
      <c r="VP1" s="47"/>
      <c r="VQ1" s="47"/>
      <c r="VR1" s="47"/>
      <c r="VS1" s="47"/>
      <c r="VT1" s="47"/>
      <c r="VU1" s="47"/>
      <c r="VV1" s="47"/>
      <c r="VW1" s="47"/>
      <c r="VX1" s="47"/>
      <c r="VY1" s="47"/>
      <c r="VZ1" s="47"/>
      <c r="WA1" s="47"/>
      <c r="WB1" s="47"/>
      <c r="WC1" s="47"/>
      <c r="WD1" s="47"/>
      <c r="WE1" s="47"/>
      <c r="WF1" s="47"/>
      <c r="WG1" s="47"/>
      <c r="WH1" s="47"/>
      <c r="WI1" s="47"/>
      <c r="WJ1" s="47"/>
      <c r="WK1" s="47"/>
      <c r="WL1" s="47"/>
      <c r="WM1" s="47"/>
      <c r="WN1" s="47"/>
      <c r="WO1" s="47"/>
      <c r="WP1" s="47"/>
      <c r="WQ1" s="47"/>
      <c r="WR1" s="47"/>
      <c r="WS1" s="47"/>
      <c r="WT1" s="47"/>
      <c r="WU1" s="47"/>
      <c r="WV1" s="47"/>
      <c r="WW1" s="47"/>
      <c r="WX1" s="47"/>
      <c r="WY1" s="47"/>
      <c r="WZ1" s="47"/>
      <c r="XA1" s="47"/>
      <c r="XB1" s="47"/>
      <c r="XC1" s="47"/>
      <c r="XD1" s="47"/>
      <c r="XE1" s="47"/>
      <c r="XF1" s="47"/>
      <c r="XG1" s="47"/>
      <c r="XH1" s="47"/>
      <c r="XI1" s="47"/>
      <c r="XJ1" s="47"/>
      <c r="XK1" s="47"/>
      <c r="XL1" s="47"/>
      <c r="XM1" s="47"/>
      <c r="XN1" s="47"/>
      <c r="XO1" s="47"/>
      <c r="XP1" s="47"/>
      <c r="XQ1" s="47"/>
      <c r="XR1" s="47"/>
      <c r="XS1" s="47"/>
      <c r="XT1" s="47"/>
      <c r="XU1" s="47"/>
      <c r="XV1" s="47"/>
      <c r="XW1" s="47"/>
      <c r="XX1" s="47"/>
      <c r="XY1" s="47"/>
      <c r="XZ1" s="47"/>
      <c r="YA1" s="47"/>
      <c r="YB1" s="47"/>
      <c r="YC1" s="47"/>
      <c r="YD1" s="47"/>
      <c r="YE1" s="47"/>
      <c r="YF1" s="47"/>
      <c r="YG1" s="47"/>
      <c r="YH1" s="47"/>
      <c r="YI1" s="47"/>
      <c r="YJ1" s="47"/>
      <c r="YK1" s="47"/>
      <c r="YL1" s="47"/>
      <c r="YM1" s="47"/>
      <c r="YN1" s="47"/>
      <c r="YO1" s="47"/>
      <c r="YP1" s="47"/>
      <c r="YQ1" s="47"/>
      <c r="YR1" s="47"/>
      <c r="YS1" s="47"/>
      <c r="YT1" s="47"/>
      <c r="YU1" s="47"/>
      <c r="YV1" s="47"/>
      <c r="YW1" s="47"/>
      <c r="YX1" s="47"/>
      <c r="YY1" s="47"/>
      <c r="YZ1" s="47"/>
      <c r="ZA1" s="47"/>
      <c r="ZB1" s="47"/>
      <c r="ZC1" s="47"/>
      <c r="ZD1" s="47"/>
      <c r="ZE1" s="47"/>
      <c r="ZF1" s="47"/>
      <c r="ZG1" s="47"/>
      <c r="ZH1" s="47"/>
      <c r="ZI1" s="47"/>
      <c r="ZJ1" s="47"/>
      <c r="ZK1" s="47"/>
      <c r="ZL1" s="47"/>
      <c r="ZM1" s="47"/>
      <c r="ZN1" s="47"/>
      <c r="ZO1" s="47"/>
      <c r="ZP1" s="47"/>
      <c r="ZQ1" s="47"/>
      <c r="ZR1" s="47"/>
      <c r="ZS1" s="47"/>
      <c r="ZT1" s="47"/>
      <c r="ZU1" s="47"/>
      <c r="ZV1" s="47"/>
      <c r="ZW1" s="47"/>
      <c r="ZX1" s="47"/>
      <c r="ZY1" s="47"/>
      <c r="ZZ1" s="47"/>
      <c r="AAA1" s="47"/>
      <c r="AAB1" s="47"/>
      <c r="AAC1" s="47"/>
      <c r="AAD1" s="47"/>
      <c r="AAE1" s="47"/>
      <c r="AAF1" s="47"/>
      <c r="AAG1" s="47"/>
      <c r="AAH1" s="47"/>
      <c r="AAI1" s="47"/>
      <c r="AAJ1" s="47"/>
      <c r="AAK1" s="47"/>
      <c r="AAL1" s="47"/>
      <c r="AAM1" s="47"/>
      <c r="AAN1" s="47"/>
      <c r="AAO1" s="47"/>
      <c r="AAP1" s="47"/>
      <c r="AAQ1" s="47"/>
      <c r="AAR1" s="47"/>
      <c r="AAS1" s="47"/>
      <c r="AAT1" s="47"/>
      <c r="AAU1" s="47"/>
      <c r="AAV1" s="47"/>
      <c r="AAW1" s="47"/>
      <c r="AAX1" s="47"/>
      <c r="AAY1" s="47"/>
      <c r="AAZ1" s="47"/>
      <c r="ABA1" s="47"/>
      <c r="ABB1" s="47"/>
      <c r="ABC1" s="47"/>
      <c r="ABD1" s="47"/>
      <c r="ABE1" s="47"/>
      <c r="ABF1" s="47"/>
      <c r="ABG1" s="47"/>
      <c r="ABH1" s="47"/>
      <c r="ABI1" s="47"/>
      <c r="ABJ1" s="47"/>
      <c r="ABK1" s="47"/>
      <c r="ABL1" s="47"/>
      <c r="ABM1" s="47"/>
      <c r="ABN1" s="47"/>
      <c r="ABO1" s="47"/>
      <c r="ABP1" s="47"/>
      <c r="ABQ1" s="47"/>
      <c r="ABR1" s="47"/>
      <c r="ABS1" s="47"/>
      <c r="ABT1" s="47"/>
      <c r="ABU1" s="47"/>
      <c r="ABV1" s="47"/>
      <c r="ABW1" s="47"/>
      <c r="ABX1" s="47"/>
      <c r="ABY1" s="47"/>
      <c r="ABZ1" s="47"/>
      <c r="ACA1" s="47"/>
      <c r="ACB1" s="47"/>
      <c r="ACC1" s="47"/>
      <c r="ACD1" s="47"/>
      <c r="ACE1" s="47"/>
      <c r="ACF1" s="47"/>
      <c r="ACG1" s="47"/>
      <c r="ACH1" s="47"/>
      <c r="ACI1" s="47"/>
      <c r="ACJ1" s="47"/>
      <c r="ACK1" s="47"/>
      <c r="ACL1" s="47"/>
      <c r="ACM1" s="47"/>
      <c r="ACN1" s="47"/>
      <c r="ACO1" s="47"/>
      <c r="ACP1" s="47"/>
      <c r="ACQ1" s="47"/>
      <c r="ACR1" s="47"/>
      <c r="ACS1" s="47"/>
      <c r="ACT1" s="47"/>
      <c r="ACU1" s="47"/>
      <c r="ACV1" s="47"/>
      <c r="ACW1" s="47"/>
      <c r="ACX1" s="47"/>
      <c r="ACY1" s="47"/>
      <c r="ACZ1" s="47"/>
      <c r="ADA1" s="47"/>
      <c r="ADB1" s="47"/>
      <c r="ADC1" s="47"/>
      <c r="ADD1" s="47"/>
      <c r="ADE1" s="47"/>
      <c r="ADF1" s="47"/>
      <c r="ADG1" s="47"/>
      <c r="ADH1" s="47"/>
      <c r="ADI1" s="47"/>
      <c r="ADJ1" s="47"/>
      <c r="ADK1" s="47"/>
      <c r="ADL1" s="47"/>
      <c r="ADM1" s="47"/>
      <c r="ADN1" s="47"/>
      <c r="ADO1" s="47"/>
      <c r="ADP1" s="47"/>
      <c r="ADQ1" s="47"/>
      <c r="ADR1" s="47"/>
      <c r="ADS1" s="47"/>
      <c r="ADT1" s="47"/>
      <c r="ADU1" s="47"/>
      <c r="ADV1" s="47"/>
      <c r="ADW1" s="47"/>
      <c r="ADX1" s="47"/>
      <c r="ADY1" s="47"/>
      <c r="ADZ1" s="47"/>
      <c r="AEA1" s="47"/>
      <c r="AEB1" s="47"/>
      <c r="AEC1" s="47"/>
      <c r="AED1" s="47"/>
      <c r="AEE1" s="47"/>
      <c r="AEF1" s="47"/>
      <c r="AEG1" s="47"/>
      <c r="AEH1" s="47"/>
      <c r="AEI1" s="47"/>
      <c r="AEJ1" s="47"/>
      <c r="AEK1" s="47"/>
      <c r="AEL1" s="47"/>
      <c r="AEM1" s="47"/>
      <c r="AEN1" s="47"/>
      <c r="AEO1" s="47"/>
      <c r="AEP1" s="47"/>
      <c r="AEQ1" s="47"/>
      <c r="AER1" s="47"/>
      <c r="AES1" s="47"/>
      <c r="AET1" s="47"/>
      <c r="AEU1" s="47"/>
      <c r="AEV1" s="47"/>
      <c r="AEW1" s="47"/>
      <c r="AEX1" s="47"/>
      <c r="AEY1" s="47"/>
      <c r="AEZ1" s="47"/>
      <c r="AFA1" s="47"/>
      <c r="AFB1" s="47"/>
      <c r="AFC1" s="47"/>
      <c r="AFD1" s="47"/>
      <c r="AFE1" s="47"/>
      <c r="AFF1" s="47"/>
      <c r="AFG1" s="47"/>
      <c r="AFH1" s="47"/>
      <c r="AFI1" s="47"/>
      <c r="AFJ1" s="47"/>
      <c r="AFK1" s="47"/>
      <c r="AFL1" s="47"/>
      <c r="AFM1" s="47"/>
      <c r="AFN1" s="47"/>
      <c r="AFO1" s="47"/>
      <c r="AFP1" s="47"/>
      <c r="AFQ1" s="47"/>
      <c r="AFR1" s="47"/>
      <c r="AFS1" s="47"/>
      <c r="AFT1" s="47"/>
      <c r="AFU1" s="47"/>
      <c r="AFV1" s="47"/>
      <c r="AFW1" s="47"/>
      <c r="AFX1" s="47"/>
      <c r="AFY1" s="47"/>
      <c r="AFZ1" s="47"/>
      <c r="AGA1" s="47"/>
      <c r="AGB1" s="47"/>
      <c r="AGC1" s="47"/>
      <c r="AGD1" s="47"/>
      <c r="AGE1" s="47"/>
      <c r="AGF1" s="47"/>
      <c r="AGG1" s="47"/>
      <c r="AGH1" s="47"/>
      <c r="AGI1" s="47"/>
      <c r="AGJ1" s="47"/>
      <c r="AGK1" s="47"/>
      <c r="AGL1" s="47"/>
      <c r="AGM1" s="47"/>
      <c r="AGN1" s="47"/>
      <c r="AGO1" s="47"/>
      <c r="AGP1" s="47"/>
      <c r="AGQ1" s="47"/>
      <c r="AGR1" s="47"/>
      <c r="AGS1" s="47"/>
      <c r="AGT1" s="47"/>
      <c r="AGU1" s="47"/>
      <c r="AGV1" s="47"/>
      <c r="AGW1" s="47"/>
      <c r="AGX1" s="47"/>
      <c r="AGY1" s="47"/>
      <c r="AGZ1" s="47"/>
      <c r="AHA1" s="47"/>
      <c r="AHB1" s="47"/>
      <c r="AHC1" s="47"/>
      <c r="AHD1" s="47"/>
      <c r="AHE1" s="47"/>
      <c r="AHF1" s="47"/>
      <c r="AHG1" s="47"/>
      <c r="AHH1" s="47"/>
      <c r="AHI1" s="47"/>
      <c r="AHJ1" s="47"/>
      <c r="AHK1" s="47"/>
      <c r="AHL1" s="47"/>
      <c r="AHM1" s="47"/>
      <c r="AHN1" s="47"/>
      <c r="AHO1" s="47"/>
      <c r="AHP1" s="47"/>
      <c r="AHQ1" s="47"/>
      <c r="AHR1" s="47"/>
      <c r="AHS1" s="47"/>
      <c r="AHT1" s="47"/>
      <c r="AHU1" s="47"/>
      <c r="AHV1" s="47"/>
      <c r="AHW1" s="47"/>
      <c r="AHX1" s="47"/>
      <c r="AHY1" s="47"/>
      <c r="AHZ1" s="47"/>
      <c r="AIA1" s="47"/>
      <c r="AIB1" s="47"/>
      <c r="AIC1" s="47"/>
      <c r="AID1" s="47"/>
      <c r="AIE1" s="47"/>
      <c r="AIF1" s="47"/>
      <c r="AIG1" s="47"/>
      <c r="AIH1" s="47"/>
      <c r="AII1" s="47"/>
      <c r="AIJ1" s="47"/>
      <c r="AIK1" s="47"/>
      <c r="AIL1" s="47"/>
      <c r="AIM1" s="47"/>
      <c r="AIN1" s="47"/>
      <c r="AIO1" s="47"/>
      <c r="AIP1" s="47"/>
      <c r="AIQ1" s="47"/>
      <c r="AIR1" s="47"/>
      <c r="AIS1" s="47"/>
      <c r="AIT1" s="47"/>
      <c r="AIU1" s="47"/>
      <c r="AIV1" s="47"/>
      <c r="AIW1" s="47"/>
      <c r="AIX1" s="47"/>
      <c r="AIY1" s="47"/>
      <c r="AIZ1" s="47"/>
      <c r="AJA1" s="47"/>
      <c r="AJB1" s="47"/>
      <c r="AJC1" s="47"/>
      <c r="AJD1" s="47"/>
      <c r="AJE1" s="47"/>
      <c r="AJF1" s="47"/>
      <c r="AJG1" s="47"/>
      <c r="AJH1" s="47"/>
      <c r="AJI1" s="47"/>
      <c r="AJJ1" s="47"/>
      <c r="AJK1" s="47"/>
      <c r="AJL1" s="47"/>
      <c r="AJM1" s="47"/>
      <c r="AJN1" s="47"/>
      <c r="AJO1" s="47"/>
      <c r="AJP1" s="47"/>
      <c r="AJQ1" s="47"/>
      <c r="AJR1" s="47"/>
      <c r="AJS1" s="47"/>
      <c r="AJT1" s="47"/>
      <c r="AJU1" s="47"/>
      <c r="AJV1" s="47"/>
      <c r="AJW1" s="47"/>
      <c r="AJX1" s="47"/>
      <c r="AJY1" s="47"/>
      <c r="AJZ1" s="47"/>
      <c r="AKA1" s="47"/>
      <c r="AKB1" s="47"/>
      <c r="AKC1" s="47"/>
      <c r="AKD1" s="47"/>
      <c r="AKE1" s="47"/>
      <c r="AKF1" s="47"/>
      <c r="AKG1" s="47"/>
      <c r="AKH1" s="47"/>
      <c r="AKI1" s="47"/>
      <c r="AKJ1" s="47"/>
      <c r="AKK1" s="47"/>
      <c r="AKL1" s="47"/>
      <c r="AKM1" s="47"/>
      <c r="AKN1" s="47"/>
      <c r="AKO1" s="47"/>
      <c r="AKP1" s="47"/>
      <c r="AKQ1" s="47"/>
      <c r="AKR1" s="47"/>
      <c r="AKS1" s="47"/>
      <c r="AKT1" s="47"/>
      <c r="AKU1" s="47"/>
      <c r="AKV1" s="47"/>
      <c r="AKW1" s="47"/>
      <c r="AKX1" s="47"/>
      <c r="AKY1" s="47"/>
      <c r="AKZ1" s="47"/>
      <c r="ALA1" s="47"/>
      <c r="ALB1" s="47"/>
      <c r="ALC1" s="47"/>
      <c r="ALD1" s="47"/>
      <c r="ALE1" s="47"/>
      <c r="ALF1" s="47"/>
      <c r="ALG1" s="47"/>
      <c r="ALH1" s="47"/>
      <c r="ALI1" s="47"/>
      <c r="ALJ1" s="47"/>
      <c r="ALK1" s="47"/>
      <c r="ALL1" s="47"/>
      <c r="ALM1" s="47"/>
      <c r="ALN1" s="47"/>
      <c r="ALO1" s="47"/>
      <c r="ALP1" s="47"/>
      <c r="ALQ1" s="47"/>
      <c r="ALR1" s="47"/>
      <c r="ALS1" s="47"/>
      <c r="ALT1" s="47"/>
      <c r="ALU1" s="47"/>
      <c r="ALV1" s="47"/>
      <c r="ALW1" s="47"/>
      <c r="ALX1" s="47"/>
      <c r="ALY1" s="47"/>
      <c r="ALZ1" s="47"/>
      <c r="AMA1" s="47"/>
      <c r="AMB1" s="47"/>
      <c r="AMC1" s="47"/>
      <c r="AMD1" s="47"/>
      <c r="AME1" s="47"/>
      <c r="AMF1" s="47"/>
      <c r="AMG1" s="47"/>
      <c r="AMH1" s="47"/>
      <c r="AMI1" s="47"/>
      <c r="AMJ1" s="47"/>
      <c r="AMK1" s="47"/>
      <c r="AML1" s="47"/>
      <c r="AMM1" s="47"/>
      <c r="AMN1" s="47"/>
      <c r="AMO1" s="47"/>
      <c r="AMP1" s="47"/>
      <c r="AMQ1" s="47"/>
      <c r="AMR1" s="47"/>
      <c r="AMS1" s="47"/>
      <c r="AMT1" s="47"/>
      <c r="AMU1" s="47"/>
      <c r="AMV1" s="47"/>
      <c r="AMW1" s="47"/>
      <c r="AMX1" s="47"/>
      <c r="AMY1" s="47"/>
      <c r="AMZ1" s="47"/>
      <c r="ANA1" s="47"/>
      <c r="ANB1" s="47"/>
      <c r="ANC1" s="47"/>
      <c r="AND1" s="47"/>
      <c r="ANE1" s="47"/>
      <c r="ANF1" s="47"/>
      <c r="ANG1" s="47"/>
      <c r="ANH1" s="47"/>
      <c r="ANI1" s="47"/>
      <c r="ANJ1" s="47"/>
      <c r="ANK1" s="47"/>
      <c r="ANL1" s="47"/>
      <c r="ANM1" s="47"/>
      <c r="ANN1" s="47"/>
      <c r="ANO1" s="47"/>
      <c r="ANP1" s="47"/>
      <c r="ANQ1" s="47"/>
      <c r="ANR1" s="47"/>
      <c r="ANS1" s="47"/>
      <c r="ANT1" s="47"/>
      <c r="ANU1" s="47"/>
      <c r="ANV1" s="47"/>
      <c r="ANW1" s="47"/>
      <c r="ANX1" s="47"/>
      <c r="ANY1" s="47"/>
      <c r="ANZ1" s="47"/>
      <c r="AOA1" s="47"/>
      <c r="AOB1" s="47"/>
      <c r="AOC1" s="47"/>
      <c r="AOD1" s="47"/>
      <c r="AOE1" s="47"/>
      <c r="AOF1" s="47"/>
      <c r="AOG1" s="47"/>
      <c r="AOH1" s="47"/>
      <c r="AOI1" s="47"/>
      <c r="AOJ1" s="47"/>
      <c r="AOK1" s="47"/>
      <c r="AOL1" s="47"/>
      <c r="AOM1" s="47"/>
      <c r="AON1" s="47"/>
      <c r="AOO1" s="47"/>
      <c r="AOP1" s="47"/>
      <c r="AOQ1" s="47"/>
      <c r="AOR1" s="47"/>
      <c r="AOS1" s="47"/>
      <c r="AOT1" s="47"/>
      <c r="AOU1" s="47"/>
      <c r="AOV1" s="47"/>
      <c r="AOW1" s="47"/>
      <c r="AOX1" s="47"/>
      <c r="AOY1" s="47"/>
      <c r="AOZ1" s="47"/>
      <c r="APA1" s="47"/>
      <c r="APB1" s="47"/>
      <c r="APC1" s="47"/>
      <c r="APD1" s="47"/>
      <c r="APE1" s="47"/>
      <c r="APF1" s="47"/>
      <c r="APG1" s="47"/>
      <c r="APH1" s="47"/>
      <c r="API1" s="47"/>
      <c r="APJ1" s="47"/>
      <c r="APK1" s="47"/>
      <c r="APL1" s="47"/>
      <c r="APM1" s="47"/>
      <c r="APN1" s="47"/>
      <c r="APO1" s="47"/>
      <c r="APP1" s="47"/>
      <c r="APQ1" s="47"/>
      <c r="APR1" s="47"/>
      <c r="APS1" s="47"/>
      <c r="APT1" s="47"/>
      <c r="APU1" s="47"/>
      <c r="APV1" s="47"/>
      <c r="APW1" s="47"/>
      <c r="APX1" s="47"/>
      <c r="APY1" s="47"/>
      <c r="APZ1" s="47"/>
      <c r="AQA1" s="47"/>
      <c r="AQB1" s="47"/>
      <c r="AQC1" s="47"/>
      <c r="AQD1" s="47"/>
      <c r="AQE1" s="47"/>
      <c r="AQF1" s="47"/>
      <c r="AQG1" s="47"/>
      <c r="AQH1" s="47"/>
      <c r="AQI1" s="47"/>
      <c r="AQJ1" s="47"/>
      <c r="AQK1" s="47"/>
      <c r="AQL1" s="47"/>
      <c r="AQM1" s="47"/>
      <c r="AQN1" s="47"/>
      <c r="AQO1" s="47"/>
      <c r="AQP1" s="47"/>
      <c r="AQQ1" s="47"/>
      <c r="AQR1" s="47"/>
      <c r="AQS1" s="47"/>
      <c r="AQT1" s="47"/>
      <c r="AQU1" s="47"/>
      <c r="AQV1" s="47"/>
      <c r="AQW1" s="47"/>
      <c r="AQX1" s="47"/>
      <c r="AQY1" s="47"/>
      <c r="AQZ1" s="47"/>
      <c r="ARA1" s="47"/>
      <c r="ARB1" s="47"/>
      <c r="ARC1" s="47"/>
      <c r="ARD1" s="47"/>
      <c r="ARE1" s="47"/>
      <c r="ARF1" s="47"/>
      <c r="ARG1" s="47"/>
      <c r="ARH1" s="47"/>
      <c r="ARI1" s="47"/>
      <c r="ARJ1" s="47"/>
      <c r="ARK1" s="47"/>
      <c r="ARL1" s="47"/>
      <c r="ARM1" s="47"/>
      <c r="ARN1" s="47"/>
      <c r="ARO1" s="47"/>
      <c r="ARP1" s="47"/>
      <c r="ARQ1" s="47"/>
      <c r="ARR1" s="47"/>
      <c r="ARS1" s="47"/>
      <c r="ART1" s="47"/>
      <c r="ARU1" s="47"/>
      <c r="ARV1" s="47"/>
      <c r="ARW1" s="47"/>
      <c r="ARX1" s="47"/>
      <c r="ARY1" s="47"/>
      <c r="ARZ1" s="47"/>
      <c r="ASA1" s="47"/>
      <c r="ASB1" s="47"/>
      <c r="ASC1" s="47"/>
      <c r="ASD1" s="47"/>
      <c r="ASE1" s="47"/>
      <c r="ASF1" s="47"/>
      <c r="ASG1" s="47"/>
      <c r="ASH1" s="47"/>
      <c r="ASI1" s="47"/>
      <c r="ASJ1" s="47"/>
      <c r="ASK1" s="47"/>
      <c r="ASL1" s="47"/>
      <c r="ASM1" s="47"/>
      <c r="ASN1" s="47"/>
      <c r="ASO1" s="47"/>
      <c r="ASP1" s="47"/>
      <c r="ASQ1" s="47"/>
      <c r="ASR1" s="47"/>
      <c r="ASS1" s="47"/>
      <c r="AST1" s="47"/>
      <c r="ASU1" s="47"/>
      <c r="ASV1" s="47"/>
      <c r="ASW1" s="47"/>
      <c r="ASX1" s="47"/>
      <c r="ASY1" s="47"/>
      <c r="ASZ1" s="47"/>
      <c r="ATA1" s="47"/>
      <c r="ATB1" s="47"/>
      <c r="ATC1" s="47"/>
      <c r="ATD1" s="47"/>
      <c r="ATE1" s="47"/>
      <c r="ATF1" s="47"/>
      <c r="ATG1" s="47"/>
      <c r="ATH1" s="47"/>
      <c r="ATI1" s="47"/>
      <c r="ATJ1" s="47"/>
      <c r="ATK1" s="47"/>
      <c r="ATL1" s="47"/>
      <c r="ATM1" s="47"/>
      <c r="ATN1" s="47"/>
      <c r="ATO1" s="47"/>
      <c r="ATP1" s="47"/>
      <c r="ATQ1" s="47"/>
      <c r="ATR1" s="47"/>
      <c r="ATS1" s="47"/>
      <c r="ATT1" s="47"/>
      <c r="ATU1" s="47"/>
      <c r="ATV1" s="47"/>
      <c r="ATW1" s="47"/>
      <c r="ATX1" s="47"/>
      <c r="ATY1" s="47"/>
      <c r="ATZ1" s="47"/>
      <c r="AUA1" s="47"/>
      <c r="AUB1" s="47"/>
      <c r="AUC1" s="47"/>
      <c r="AUD1" s="47"/>
      <c r="AUE1" s="47"/>
      <c r="AUF1" s="47"/>
      <c r="AUG1" s="47"/>
      <c r="AUH1" s="47"/>
      <c r="AUI1" s="47"/>
      <c r="AUJ1" s="47"/>
      <c r="AUK1" s="47"/>
      <c r="AUL1" s="47"/>
      <c r="AUM1" s="47"/>
      <c r="AUN1" s="47"/>
      <c r="AUO1" s="47"/>
      <c r="AUP1" s="47"/>
      <c r="AUQ1" s="47"/>
      <c r="AUR1" s="47"/>
      <c r="AUS1" s="47"/>
      <c r="AUT1" s="47"/>
      <c r="AUU1" s="47"/>
      <c r="AUV1" s="47"/>
      <c r="AUW1" s="47"/>
      <c r="AUX1" s="47"/>
      <c r="AUY1" s="47"/>
      <c r="AUZ1" s="47"/>
      <c r="AVA1" s="47"/>
      <c r="AVB1" s="47"/>
      <c r="AVC1" s="47"/>
      <c r="AVD1" s="47"/>
      <c r="AVE1" s="47"/>
      <c r="AVF1" s="47"/>
      <c r="AVG1" s="47"/>
      <c r="AVH1" s="47"/>
      <c r="AVI1" s="47"/>
      <c r="AVJ1" s="47"/>
      <c r="AVK1" s="47"/>
      <c r="AVL1" s="47"/>
      <c r="AVM1" s="47"/>
      <c r="AVN1" s="47"/>
      <c r="AVO1" s="47"/>
      <c r="AVP1" s="47"/>
      <c r="AVQ1" s="47"/>
      <c r="AVR1" s="47"/>
      <c r="AVS1" s="47"/>
      <c r="AVT1" s="47"/>
      <c r="AVU1" s="47"/>
      <c r="AVV1" s="47"/>
      <c r="AVW1" s="47"/>
      <c r="AVX1" s="47"/>
      <c r="AVY1" s="47"/>
      <c r="AVZ1" s="47"/>
      <c r="AWA1" s="47"/>
      <c r="AWB1" s="47"/>
      <c r="AWC1" s="47"/>
      <c r="AWD1" s="47"/>
      <c r="AWE1" s="47"/>
      <c r="AWF1" s="47"/>
      <c r="AWG1" s="47"/>
      <c r="AWH1" s="47"/>
      <c r="AWI1" s="47"/>
      <c r="AWJ1" s="47"/>
      <c r="AWK1" s="47"/>
      <c r="AWL1" s="47"/>
      <c r="AWM1" s="47"/>
      <c r="AWN1" s="47"/>
      <c r="AWO1" s="47"/>
      <c r="AWP1" s="47"/>
      <c r="AWQ1" s="47"/>
      <c r="AWR1" s="47"/>
      <c r="AWS1" s="47"/>
      <c r="AWT1" s="47"/>
      <c r="AWU1" s="47"/>
      <c r="AWV1" s="47"/>
      <c r="AWW1" s="47"/>
      <c r="AWX1" s="47"/>
      <c r="AWY1" s="47"/>
      <c r="AWZ1" s="47"/>
      <c r="AXA1" s="47"/>
      <c r="AXB1" s="47"/>
      <c r="AXC1" s="47"/>
      <c r="AXD1" s="47"/>
      <c r="AXE1" s="47"/>
      <c r="AXF1" s="47"/>
      <c r="AXG1" s="47"/>
      <c r="AXH1" s="47"/>
      <c r="AXI1" s="47"/>
      <c r="AXJ1" s="47"/>
      <c r="AXK1" s="47"/>
      <c r="AXL1" s="47"/>
      <c r="AXM1" s="47"/>
      <c r="AXN1" s="47"/>
      <c r="AXO1" s="47"/>
      <c r="AXP1" s="47"/>
      <c r="AXQ1" s="47"/>
      <c r="AXR1" s="47"/>
      <c r="AXS1" s="47"/>
      <c r="AXT1" s="47"/>
      <c r="AXU1" s="47"/>
      <c r="AXV1" s="47"/>
      <c r="AXW1" s="47"/>
      <c r="AXX1" s="47"/>
      <c r="AXY1" s="47"/>
      <c r="AXZ1" s="47"/>
      <c r="AYA1" s="47"/>
      <c r="AYB1" s="47"/>
      <c r="AYC1" s="47"/>
      <c r="AYD1" s="47"/>
      <c r="AYE1" s="47"/>
      <c r="AYF1" s="47"/>
      <c r="AYG1" s="47"/>
      <c r="AYH1" s="47"/>
      <c r="AYI1" s="47"/>
      <c r="AYJ1" s="47"/>
      <c r="AYK1" s="47"/>
      <c r="AYL1" s="47"/>
      <c r="AYM1" s="47"/>
      <c r="AYN1" s="47"/>
      <c r="AYO1" s="47"/>
      <c r="AYP1" s="47"/>
      <c r="AYQ1" s="47"/>
      <c r="AYR1" s="47"/>
      <c r="AYS1" s="47"/>
      <c r="AYT1" s="47"/>
      <c r="AYU1" s="47"/>
      <c r="AYV1" s="47"/>
      <c r="AYW1" s="47"/>
      <c r="AYX1" s="47"/>
      <c r="AYY1" s="47"/>
      <c r="AYZ1" s="47"/>
      <c r="AZA1" s="47"/>
      <c r="AZB1" s="47"/>
      <c r="AZC1" s="47"/>
      <c r="AZD1" s="47"/>
      <c r="AZE1" s="47"/>
      <c r="AZF1" s="47"/>
      <c r="AZG1" s="47"/>
      <c r="AZH1" s="47"/>
      <c r="AZI1" s="47"/>
      <c r="AZJ1" s="47"/>
      <c r="AZK1" s="47"/>
      <c r="AZL1" s="47"/>
      <c r="AZM1" s="47"/>
      <c r="AZN1" s="47"/>
      <c r="AZO1" s="47"/>
      <c r="AZP1" s="47"/>
      <c r="AZQ1" s="47"/>
      <c r="AZR1" s="47"/>
      <c r="AZS1" s="47"/>
      <c r="AZT1" s="47"/>
      <c r="AZU1" s="47"/>
      <c r="AZV1" s="47"/>
      <c r="AZW1" s="47"/>
      <c r="AZX1" s="47"/>
      <c r="AZY1" s="47"/>
      <c r="AZZ1" s="47"/>
      <c r="BAA1" s="47"/>
      <c r="BAB1" s="47"/>
      <c r="BAC1" s="47"/>
      <c r="BAD1" s="47"/>
      <c r="BAE1" s="47"/>
      <c r="BAF1" s="47"/>
      <c r="BAG1" s="47"/>
      <c r="BAH1" s="47"/>
      <c r="BAI1" s="47"/>
      <c r="BAJ1" s="47"/>
      <c r="BAK1" s="47"/>
      <c r="BAL1" s="47"/>
      <c r="BAM1" s="47"/>
      <c r="BAN1" s="47"/>
      <c r="BAO1" s="47"/>
      <c r="BAP1" s="47"/>
      <c r="BAQ1" s="47"/>
      <c r="BAR1" s="47"/>
      <c r="BAS1" s="47"/>
      <c r="BAT1" s="47"/>
      <c r="BAU1" s="47"/>
      <c r="BAV1" s="47"/>
      <c r="BAW1" s="47"/>
      <c r="BAX1" s="47"/>
      <c r="BAY1" s="47"/>
      <c r="BAZ1" s="47"/>
      <c r="BBA1" s="47"/>
      <c r="BBB1" s="47"/>
      <c r="BBC1" s="47"/>
      <c r="BBD1" s="47"/>
      <c r="BBE1" s="47"/>
      <c r="BBF1" s="47"/>
      <c r="BBG1" s="47"/>
      <c r="BBH1" s="47"/>
      <c r="BBI1" s="47"/>
      <c r="BBJ1" s="47"/>
      <c r="BBK1" s="47"/>
      <c r="BBL1" s="47"/>
      <c r="BBM1" s="47"/>
      <c r="BBN1" s="47"/>
      <c r="BBO1" s="47"/>
      <c r="BBP1" s="47"/>
      <c r="BBQ1" s="47"/>
      <c r="BBR1" s="47"/>
      <c r="BBS1" s="47"/>
      <c r="BBT1" s="47"/>
      <c r="BBU1" s="47"/>
      <c r="BBV1" s="47"/>
      <c r="BBW1" s="47"/>
      <c r="BBX1" s="47"/>
      <c r="BBY1" s="47"/>
      <c r="BBZ1" s="47"/>
      <c r="BCA1" s="47"/>
      <c r="BCB1" s="47"/>
      <c r="BCC1" s="47"/>
      <c r="BCD1" s="47"/>
      <c r="BCE1" s="47"/>
      <c r="BCF1" s="47"/>
      <c r="BCG1" s="47"/>
      <c r="BCH1" s="47"/>
      <c r="BCI1" s="47"/>
      <c r="BCJ1" s="47"/>
      <c r="BCK1" s="47"/>
      <c r="BCL1" s="47"/>
      <c r="BCM1" s="47"/>
      <c r="BCN1" s="47"/>
      <c r="BCO1" s="47"/>
      <c r="BCP1" s="47"/>
      <c r="BCQ1" s="47"/>
      <c r="BCR1" s="47"/>
      <c r="BCS1" s="47"/>
      <c r="BCT1" s="47"/>
      <c r="BCU1" s="47"/>
      <c r="BCV1" s="47"/>
      <c r="BCW1" s="47"/>
      <c r="BCX1" s="47"/>
      <c r="BCY1" s="47"/>
      <c r="BCZ1" s="47"/>
      <c r="BDA1" s="47"/>
      <c r="BDB1" s="47"/>
      <c r="BDC1" s="47"/>
      <c r="BDD1" s="47"/>
      <c r="BDE1" s="47"/>
      <c r="BDF1" s="47"/>
      <c r="BDG1" s="47"/>
      <c r="BDH1" s="47"/>
      <c r="BDI1" s="47"/>
      <c r="BDJ1" s="47"/>
      <c r="BDK1" s="47"/>
      <c r="BDL1" s="47"/>
      <c r="BDM1" s="47"/>
      <c r="BDN1" s="47"/>
      <c r="BDO1" s="47"/>
      <c r="BDP1" s="47"/>
      <c r="BDQ1" s="47"/>
      <c r="BDR1" s="47"/>
      <c r="BDS1" s="47"/>
      <c r="BDT1" s="47"/>
      <c r="BDU1" s="47"/>
      <c r="BDV1" s="47"/>
      <c r="BDW1" s="47"/>
      <c r="BDX1" s="47"/>
      <c r="BDY1" s="47"/>
      <c r="BDZ1" s="47"/>
      <c r="BEA1" s="47"/>
      <c r="BEB1" s="47"/>
      <c r="BEC1" s="47"/>
      <c r="BED1" s="47"/>
      <c r="BEE1" s="47"/>
      <c r="BEF1" s="47"/>
      <c r="BEG1" s="47"/>
      <c r="BEH1" s="47"/>
      <c r="BEI1" s="47"/>
      <c r="BEJ1" s="47"/>
      <c r="BEK1" s="47"/>
      <c r="BEL1" s="47"/>
      <c r="BEM1" s="47"/>
      <c r="BEN1" s="47"/>
      <c r="BEO1" s="47"/>
      <c r="BEP1" s="47"/>
      <c r="BEQ1" s="47"/>
      <c r="BER1" s="47"/>
      <c r="BES1" s="47"/>
      <c r="BET1" s="47"/>
      <c r="BEU1" s="47"/>
      <c r="BEV1" s="47"/>
      <c r="BEW1" s="47"/>
      <c r="BEX1" s="47"/>
      <c r="BEY1" s="47"/>
      <c r="BEZ1" s="47"/>
      <c r="BFA1" s="47"/>
      <c r="BFB1" s="47"/>
      <c r="BFC1" s="47"/>
      <c r="BFD1" s="47"/>
      <c r="BFE1" s="47"/>
      <c r="BFF1" s="47"/>
      <c r="BFG1" s="47"/>
      <c r="BFH1" s="47"/>
      <c r="BFI1" s="47"/>
      <c r="BFJ1" s="47"/>
      <c r="BFK1" s="47"/>
      <c r="BFL1" s="47"/>
      <c r="BFM1" s="47"/>
      <c r="BFN1" s="47"/>
      <c r="BFO1" s="47"/>
      <c r="BFP1" s="47"/>
      <c r="BFQ1" s="47"/>
      <c r="BFR1" s="47"/>
      <c r="BFS1" s="47"/>
      <c r="BFT1" s="47"/>
      <c r="BFU1" s="47"/>
      <c r="BFV1" s="47"/>
      <c r="BFW1" s="47"/>
      <c r="BFX1" s="47"/>
      <c r="BFY1" s="47"/>
      <c r="BFZ1" s="47"/>
      <c r="BGA1" s="47"/>
      <c r="BGB1" s="47"/>
      <c r="BGC1" s="47"/>
      <c r="BGD1" s="47"/>
      <c r="BGE1" s="47"/>
      <c r="BGF1" s="47"/>
      <c r="BGG1" s="47"/>
      <c r="BGH1" s="47"/>
      <c r="BGI1" s="47"/>
      <c r="BGJ1" s="47"/>
      <c r="BGK1" s="47"/>
      <c r="BGL1" s="47"/>
      <c r="BGM1" s="47"/>
      <c r="BGN1" s="47"/>
      <c r="BGO1" s="47"/>
      <c r="BGP1" s="47"/>
      <c r="BGQ1" s="47"/>
      <c r="BGR1" s="47"/>
      <c r="BGS1" s="47"/>
      <c r="BGT1" s="47"/>
      <c r="BGU1" s="47"/>
      <c r="BGV1" s="47"/>
      <c r="BGW1" s="47"/>
      <c r="BGX1" s="47"/>
      <c r="BGY1" s="47"/>
      <c r="BGZ1" s="47"/>
      <c r="BHA1" s="47"/>
      <c r="BHB1" s="47"/>
      <c r="BHC1" s="47"/>
      <c r="BHD1" s="47"/>
      <c r="BHE1" s="47"/>
      <c r="BHF1" s="47"/>
      <c r="BHG1" s="47"/>
      <c r="BHH1" s="47"/>
      <c r="BHI1" s="47"/>
      <c r="BHJ1" s="47"/>
      <c r="BHK1" s="47"/>
      <c r="BHL1" s="47"/>
      <c r="BHM1" s="47"/>
      <c r="BHN1" s="47"/>
      <c r="BHO1" s="47"/>
      <c r="BHP1" s="47"/>
      <c r="BHQ1" s="47"/>
      <c r="BHR1" s="47"/>
      <c r="BHS1" s="47"/>
      <c r="BHT1" s="47"/>
      <c r="BHU1" s="47"/>
      <c r="BHV1" s="47"/>
      <c r="BHW1" s="47"/>
      <c r="BHX1" s="47"/>
      <c r="BHY1" s="47"/>
      <c r="BHZ1" s="47"/>
      <c r="BIA1" s="47"/>
      <c r="BIB1" s="47"/>
      <c r="BIC1" s="47"/>
      <c r="BID1" s="47"/>
      <c r="BIE1" s="47"/>
      <c r="BIF1" s="47"/>
      <c r="BIG1" s="47"/>
      <c r="BIH1" s="47"/>
      <c r="BII1" s="47"/>
      <c r="BIJ1" s="47"/>
      <c r="BIK1" s="47"/>
      <c r="BIL1" s="47"/>
      <c r="BIM1" s="47"/>
      <c r="BIN1" s="47"/>
      <c r="BIO1" s="47"/>
      <c r="BIP1" s="47"/>
      <c r="BIQ1" s="47"/>
      <c r="BIR1" s="47"/>
      <c r="BIS1" s="47"/>
      <c r="BIT1" s="47"/>
      <c r="BIU1" s="47"/>
      <c r="BIV1" s="47"/>
      <c r="BIW1" s="47"/>
      <c r="BIX1" s="47"/>
      <c r="BIY1" s="47"/>
      <c r="BIZ1" s="47"/>
      <c r="BJA1" s="47"/>
      <c r="BJB1" s="47"/>
      <c r="BJC1" s="47"/>
      <c r="BJD1" s="47"/>
      <c r="BJE1" s="47"/>
      <c r="BJF1" s="47"/>
      <c r="BJG1" s="47"/>
      <c r="BJH1" s="47"/>
      <c r="BJI1" s="47"/>
      <c r="BJJ1" s="47"/>
      <c r="BJK1" s="47"/>
      <c r="BJL1" s="47"/>
      <c r="BJM1" s="47"/>
      <c r="BJN1" s="47"/>
      <c r="BJO1" s="47"/>
      <c r="BJP1" s="47"/>
      <c r="BJQ1" s="47"/>
      <c r="BJR1" s="47"/>
      <c r="BJS1" s="47"/>
      <c r="BJT1" s="47"/>
      <c r="BJU1" s="47"/>
      <c r="BJV1" s="47"/>
      <c r="BJW1" s="47"/>
      <c r="BJX1" s="47"/>
      <c r="BJY1" s="47"/>
      <c r="BJZ1" s="47"/>
      <c r="BKA1" s="47"/>
      <c r="BKB1" s="47"/>
      <c r="BKC1" s="47"/>
      <c r="BKD1" s="47"/>
      <c r="BKE1" s="47"/>
      <c r="BKF1" s="47"/>
      <c r="BKG1" s="47"/>
      <c r="BKH1" s="47"/>
      <c r="BKI1" s="47"/>
      <c r="BKJ1" s="47"/>
      <c r="BKK1" s="47"/>
      <c r="BKL1" s="47"/>
      <c r="BKM1" s="47"/>
      <c r="BKN1" s="47"/>
      <c r="BKO1" s="47"/>
      <c r="BKP1" s="47"/>
      <c r="BKQ1" s="47"/>
      <c r="BKR1" s="47"/>
      <c r="BKS1" s="47"/>
      <c r="BKT1" s="47"/>
      <c r="BKU1" s="47"/>
      <c r="BKV1" s="47"/>
      <c r="BKW1" s="47"/>
      <c r="BKX1" s="47"/>
      <c r="BKY1" s="47"/>
      <c r="BKZ1" s="47"/>
      <c r="BLA1" s="47"/>
      <c r="BLB1" s="47"/>
      <c r="BLC1" s="47"/>
      <c r="BLD1" s="47"/>
      <c r="BLE1" s="47"/>
      <c r="BLF1" s="47"/>
      <c r="BLG1" s="47"/>
      <c r="BLH1" s="47"/>
      <c r="BLI1" s="47"/>
      <c r="BLJ1" s="47"/>
      <c r="BLK1" s="47"/>
      <c r="BLL1" s="47"/>
      <c r="BLM1" s="47"/>
      <c r="BLN1" s="47"/>
      <c r="BLO1" s="47"/>
      <c r="BLP1" s="47"/>
      <c r="BLQ1" s="47"/>
      <c r="BLR1" s="47"/>
      <c r="BLS1" s="47"/>
      <c r="BLT1" s="47"/>
      <c r="BLU1" s="47"/>
      <c r="BLV1" s="47"/>
      <c r="BLW1" s="47"/>
      <c r="BLX1" s="47"/>
      <c r="BLY1" s="47"/>
      <c r="BLZ1" s="47"/>
      <c r="BMA1" s="47"/>
      <c r="BMB1" s="47"/>
      <c r="BMC1" s="47"/>
      <c r="BMD1" s="47"/>
      <c r="BME1" s="47"/>
      <c r="BMF1" s="47"/>
      <c r="BMG1" s="47"/>
      <c r="BMH1" s="47"/>
      <c r="BMI1" s="47"/>
      <c r="BMJ1" s="47"/>
      <c r="BMK1" s="47"/>
      <c r="BML1" s="47"/>
      <c r="BMM1" s="47"/>
      <c r="BMN1" s="47"/>
      <c r="BMO1" s="47"/>
      <c r="BMP1" s="47"/>
      <c r="BMQ1" s="47"/>
      <c r="BMR1" s="47"/>
      <c r="BMS1" s="47"/>
      <c r="BMT1" s="47"/>
      <c r="BMU1" s="47"/>
      <c r="BMV1" s="47"/>
      <c r="BMW1" s="47"/>
      <c r="BMX1" s="47"/>
      <c r="BMY1" s="47"/>
      <c r="BMZ1" s="47"/>
      <c r="BNA1" s="47"/>
      <c r="BNB1" s="47"/>
      <c r="BNC1" s="47"/>
      <c r="BND1" s="47"/>
      <c r="BNE1" s="47"/>
      <c r="BNF1" s="47"/>
      <c r="BNG1" s="47"/>
      <c r="BNH1" s="47"/>
      <c r="BNI1" s="47"/>
      <c r="BNJ1" s="47"/>
      <c r="BNK1" s="47"/>
      <c r="BNL1" s="47"/>
      <c r="BNM1" s="47"/>
      <c r="BNN1" s="47"/>
      <c r="BNO1" s="47"/>
      <c r="BNP1" s="47"/>
      <c r="BNQ1" s="47"/>
      <c r="BNR1" s="47"/>
      <c r="BNS1" s="47"/>
      <c r="BNT1" s="47"/>
      <c r="BNU1" s="47"/>
      <c r="BNV1" s="47"/>
      <c r="BNW1" s="47"/>
      <c r="BNX1" s="47"/>
      <c r="BNY1" s="47"/>
      <c r="BNZ1" s="47"/>
      <c r="BOA1" s="47"/>
      <c r="BOB1" s="47"/>
      <c r="BOC1" s="47"/>
      <c r="BOD1" s="47"/>
      <c r="BOE1" s="47"/>
      <c r="BOF1" s="47"/>
      <c r="BOG1" s="47"/>
      <c r="BOH1" s="47"/>
      <c r="BOI1" s="47"/>
      <c r="BOJ1" s="47"/>
      <c r="BOK1" s="47"/>
      <c r="BOL1" s="47"/>
      <c r="BOM1" s="47"/>
      <c r="BON1" s="47"/>
      <c r="BOO1" s="47"/>
      <c r="BOP1" s="47"/>
      <c r="BOQ1" s="47"/>
      <c r="BOR1" s="47"/>
      <c r="BOS1" s="47"/>
      <c r="BOT1" s="47"/>
      <c r="BOU1" s="47"/>
      <c r="BOV1" s="47"/>
      <c r="BOW1" s="47"/>
      <c r="BOX1" s="47"/>
      <c r="BOY1" s="47"/>
      <c r="BOZ1" s="47"/>
      <c r="BPA1" s="47"/>
      <c r="BPB1" s="47"/>
      <c r="BPC1" s="47"/>
      <c r="BPD1" s="47"/>
      <c r="BPE1" s="47"/>
      <c r="BPF1" s="47"/>
      <c r="BPG1" s="47"/>
      <c r="BPH1" s="47"/>
      <c r="BPI1" s="47"/>
      <c r="BPJ1" s="47"/>
      <c r="BPK1" s="47"/>
      <c r="BPL1" s="47"/>
      <c r="BPM1" s="47"/>
      <c r="BPN1" s="47"/>
      <c r="BPO1" s="47"/>
      <c r="BPP1" s="47"/>
      <c r="BPQ1" s="47"/>
      <c r="BPR1" s="47"/>
      <c r="BPS1" s="47"/>
      <c r="BPT1" s="47"/>
      <c r="BPU1" s="47"/>
      <c r="BPV1" s="47"/>
      <c r="BPW1" s="47"/>
      <c r="BPX1" s="47"/>
      <c r="BPY1" s="47"/>
      <c r="BPZ1" s="47"/>
      <c r="BQA1" s="47"/>
      <c r="BQB1" s="47"/>
      <c r="BQC1" s="47"/>
      <c r="BQD1" s="47"/>
      <c r="BQE1" s="47"/>
      <c r="BQF1" s="47"/>
      <c r="BQG1" s="47"/>
      <c r="BQH1" s="47"/>
      <c r="BQI1" s="47"/>
      <c r="BQJ1" s="47"/>
      <c r="BQK1" s="47"/>
      <c r="BQL1" s="47"/>
      <c r="BQM1" s="47"/>
      <c r="BQN1" s="47"/>
      <c r="BQO1" s="47"/>
      <c r="BQP1" s="47"/>
      <c r="BQQ1" s="47"/>
      <c r="BQR1" s="47"/>
      <c r="BQS1" s="47"/>
      <c r="BQT1" s="47"/>
      <c r="BQU1" s="47"/>
      <c r="BQV1" s="47"/>
      <c r="BQW1" s="47"/>
      <c r="BQX1" s="47"/>
      <c r="BQY1" s="47"/>
      <c r="BQZ1" s="47"/>
      <c r="BRA1" s="47"/>
      <c r="BRB1" s="47"/>
      <c r="BRC1" s="47"/>
      <c r="BRD1" s="47"/>
      <c r="BRE1" s="47"/>
      <c r="BRF1" s="47"/>
      <c r="BRG1" s="47"/>
      <c r="BRH1" s="47"/>
      <c r="BRI1" s="47"/>
      <c r="BRJ1" s="47"/>
      <c r="BRK1" s="47"/>
      <c r="BRL1" s="47"/>
      <c r="BRM1" s="47"/>
      <c r="BRN1" s="47"/>
      <c r="BRO1" s="47"/>
      <c r="BRP1" s="47"/>
      <c r="BRQ1" s="47"/>
      <c r="BRR1" s="47"/>
      <c r="BRS1" s="47"/>
      <c r="BRT1" s="47"/>
      <c r="BRU1" s="47"/>
      <c r="BRV1" s="47"/>
      <c r="BRW1" s="47"/>
      <c r="BRX1" s="47"/>
      <c r="BRY1" s="47"/>
      <c r="BRZ1" s="47"/>
      <c r="BSA1" s="47"/>
      <c r="BSB1" s="47"/>
      <c r="BSC1" s="47"/>
      <c r="BSD1" s="47"/>
      <c r="BSE1" s="47"/>
      <c r="BSF1" s="47"/>
      <c r="BSG1" s="47"/>
      <c r="BSH1" s="47"/>
      <c r="BSI1" s="47"/>
      <c r="BSJ1" s="47"/>
      <c r="BSK1" s="47"/>
      <c r="BSL1" s="47"/>
      <c r="BSM1" s="47"/>
      <c r="BSN1" s="47"/>
      <c r="BSO1" s="47"/>
      <c r="BSP1" s="47"/>
      <c r="BSQ1" s="47"/>
      <c r="BSR1" s="47"/>
      <c r="BSS1" s="47"/>
      <c r="BST1" s="47"/>
      <c r="BSU1" s="47"/>
      <c r="BSV1" s="47"/>
      <c r="BSW1" s="47"/>
      <c r="BSX1" s="47"/>
      <c r="BSY1" s="47"/>
      <c r="BSZ1" s="47"/>
      <c r="BTA1" s="47"/>
      <c r="BTB1" s="47"/>
      <c r="BTC1" s="47"/>
      <c r="BTD1" s="47"/>
      <c r="BTE1" s="47"/>
      <c r="BTF1" s="47"/>
      <c r="BTG1" s="47"/>
      <c r="BTH1" s="47"/>
      <c r="BTI1" s="47"/>
      <c r="BTJ1" s="47"/>
      <c r="BTK1" s="47"/>
      <c r="BTL1" s="47"/>
      <c r="BTM1" s="47"/>
      <c r="BTN1" s="47"/>
      <c r="BTO1" s="47"/>
      <c r="BTP1" s="47"/>
      <c r="BTQ1" s="47"/>
      <c r="BTR1" s="47"/>
      <c r="BTS1" s="47"/>
      <c r="BTT1" s="47"/>
      <c r="BTU1" s="47"/>
      <c r="BTV1" s="47"/>
      <c r="BTW1" s="47"/>
      <c r="BTX1" s="47"/>
      <c r="BTY1" s="47"/>
      <c r="BTZ1" s="47"/>
      <c r="BUA1" s="47"/>
      <c r="BUB1" s="47"/>
      <c r="BUC1" s="47"/>
      <c r="BUD1" s="47"/>
      <c r="BUE1" s="47"/>
      <c r="BUF1" s="47"/>
      <c r="BUG1" s="47"/>
      <c r="BUH1" s="47"/>
      <c r="BUI1" s="47"/>
      <c r="BUJ1" s="47"/>
      <c r="BUK1" s="47"/>
      <c r="BUL1" s="47"/>
      <c r="BUM1" s="47"/>
      <c r="BUN1" s="47"/>
      <c r="BUO1" s="47"/>
      <c r="BUP1" s="47"/>
      <c r="BUQ1" s="47"/>
      <c r="BUR1" s="47"/>
      <c r="BUS1" s="47"/>
      <c r="BUT1" s="47"/>
      <c r="BUU1" s="47"/>
      <c r="BUV1" s="47"/>
      <c r="BUW1" s="47"/>
      <c r="BUX1" s="47"/>
      <c r="BUY1" s="47"/>
      <c r="BUZ1" s="47"/>
      <c r="BVA1" s="47"/>
      <c r="BVB1" s="47"/>
      <c r="BVC1" s="47"/>
      <c r="BVD1" s="47"/>
      <c r="BVE1" s="47"/>
      <c r="BVF1" s="47"/>
      <c r="BVG1" s="47"/>
      <c r="BVH1" s="47"/>
      <c r="BVI1" s="47"/>
      <c r="BVJ1" s="47"/>
      <c r="BVK1" s="47"/>
      <c r="BVL1" s="47"/>
      <c r="BVM1" s="47"/>
      <c r="BVN1" s="47"/>
      <c r="BVO1" s="47"/>
      <c r="BVP1" s="47"/>
      <c r="BVQ1" s="47"/>
      <c r="BVR1" s="47"/>
      <c r="BVS1" s="47"/>
      <c r="BVT1" s="47"/>
      <c r="BVU1" s="47"/>
      <c r="BVV1" s="47"/>
      <c r="BVW1" s="47"/>
      <c r="BVX1" s="47"/>
      <c r="BVY1" s="47"/>
      <c r="BVZ1" s="47"/>
      <c r="BWA1" s="47"/>
      <c r="BWB1" s="47"/>
      <c r="BWC1" s="47"/>
      <c r="BWD1" s="47"/>
      <c r="BWE1" s="47"/>
      <c r="BWF1" s="47"/>
      <c r="BWG1" s="47"/>
      <c r="BWH1" s="47"/>
      <c r="BWI1" s="47"/>
      <c r="BWJ1" s="47"/>
      <c r="BWK1" s="47"/>
      <c r="BWL1" s="47"/>
      <c r="BWM1" s="47"/>
      <c r="BWN1" s="47"/>
      <c r="BWO1" s="47"/>
      <c r="BWP1" s="47"/>
      <c r="BWQ1" s="47"/>
      <c r="BWR1" s="47"/>
      <c r="BWS1" s="47"/>
      <c r="BWT1" s="47"/>
      <c r="BWU1" s="47"/>
      <c r="BWV1" s="47"/>
      <c r="BWW1" s="47"/>
      <c r="BWX1" s="47"/>
      <c r="BWY1" s="47"/>
      <c r="BWZ1" s="47"/>
      <c r="BXA1" s="47"/>
      <c r="BXB1" s="47"/>
      <c r="BXC1" s="47"/>
      <c r="BXD1" s="47"/>
      <c r="BXE1" s="47"/>
      <c r="BXF1" s="47"/>
      <c r="BXG1" s="47"/>
      <c r="BXH1" s="47"/>
      <c r="BXI1" s="47"/>
      <c r="BXJ1" s="47"/>
      <c r="BXK1" s="47"/>
      <c r="BXL1" s="47"/>
      <c r="BXM1" s="47"/>
      <c r="BXN1" s="47"/>
      <c r="BXO1" s="47"/>
      <c r="BXP1" s="47"/>
      <c r="BXQ1" s="47"/>
      <c r="BXR1" s="47"/>
      <c r="BXS1" s="47"/>
      <c r="BXT1" s="47"/>
      <c r="BXU1" s="47"/>
      <c r="BXV1" s="47"/>
      <c r="BXW1" s="47"/>
      <c r="BXX1" s="47"/>
      <c r="BXY1" s="47"/>
      <c r="BXZ1" s="47"/>
      <c r="BYA1" s="47"/>
      <c r="BYB1" s="47"/>
      <c r="BYC1" s="47"/>
      <c r="BYD1" s="47"/>
      <c r="BYE1" s="47"/>
      <c r="BYF1" s="47"/>
      <c r="BYG1" s="47"/>
      <c r="BYH1" s="47"/>
      <c r="BYI1" s="47"/>
      <c r="BYJ1" s="47"/>
      <c r="BYK1" s="47"/>
      <c r="BYL1" s="47"/>
      <c r="BYM1" s="47"/>
      <c r="BYN1" s="47"/>
      <c r="BYO1" s="47"/>
      <c r="BYP1" s="47"/>
      <c r="BYQ1" s="47"/>
      <c r="BYR1" s="47"/>
      <c r="BYS1" s="47"/>
      <c r="BYT1" s="47"/>
      <c r="BYU1" s="47"/>
      <c r="BYV1" s="47"/>
      <c r="BYW1" s="47"/>
      <c r="BYX1" s="47"/>
      <c r="BYY1" s="47"/>
      <c r="BYZ1" s="47"/>
      <c r="BZA1" s="47"/>
      <c r="BZB1" s="47"/>
      <c r="BZC1" s="47"/>
      <c r="BZD1" s="47"/>
      <c r="BZE1" s="47"/>
      <c r="BZF1" s="47"/>
      <c r="BZG1" s="47"/>
      <c r="BZH1" s="47"/>
      <c r="BZI1" s="47"/>
      <c r="BZJ1" s="47"/>
      <c r="BZK1" s="47"/>
      <c r="BZL1" s="47"/>
      <c r="BZM1" s="47"/>
      <c r="BZN1" s="47"/>
      <c r="BZO1" s="47"/>
      <c r="BZP1" s="47"/>
      <c r="BZQ1" s="47"/>
      <c r="BZR1" s="47"/>
      <c r="BZS1" s="47"/>
      <c r="BZT1" s="47"/>
      <c r="BZU1" s="47"/>
      <c r="BZV1" s="47"/>
      <c r="BZW1" s="47"/>
      <c r="BZX1" s="47"/>
      <c r="BZY1" s="47"/>
      <c r="BZZ1" s="47"/>
      <c r="CAA1" s="47"/>
      <c r="CAB1" s="47"/>
      <c r="CAC1" s="47"/>
      <c r="CAD1" s="47"/>
      <c r="CAE1" s="47"/>
      <c r="CAF1" s="47"/>
      <c r="CAG1" s="47"/>
      <c r="CAH1" s="47"/>
      <c r="CAI1" s="47"/>
      <c r="CAJ1" s="47"/>
      <c r="CAK1" s="47"/>
      <c r="CAL1" s="47"/>
      <c r="CAM1" s="47"/>
      <c r="CAN1" s="47"/>
      <c r="CAO1" s="47"/>
      <c r="CAP1" s="47"/>
      <c r="CAQ1" s="47"/>
      <c r="CAR1" s="47"/>
      <c r="CAS1" s="47"/>
      <c r="CAT1" s="47"/>
      <c r="CAU1" s="47"/>
      <c r="CAV1" s="47"/>
      <c r="CAW1" s="47"/>
      <c r="CAX1" s="47"/>
      <c r="CAY1" s="47"/>
      <c r="CAZ1" s="47"/>
      <c r="CBA1" s="47"/>
      <c r="CBB1" s="47"/>
      <c r="CBC1" s="47"/>
      <c r="CBD1" s="47"/>
      <c r="CBE1" s="47"/>
      <c r="CBF1" s="47"/>
      <c r="CBG1" s="47"/>
      <c r="CBH1" s="47"/>
      <c r="CBI1" s="47"/>
      <c r="CBJ1" s="47"/>
      <c r="CBK1" s="47"/>
      <c r="CBL1" s="47"/>
      <c r="CBM1" s="47"/>
      <c r="CBN1" s="47"/>
      <c r="CBO1" s="47"/>
      <c r="CBP1" s="47"/>
      <c r="CBQ1" s="47"/>
      <c r="CBR1" s="47"/>
      <c r="CBS1" s="47"/>
      <c r="CBT1" s="47"/>
      <c r="CBU1" s="47"/>
      <c r="CBV1" s="47"/>
      <c r="CBW1" s="47"/>
      <c r="CBX1" s="47"/>
      <c r="CBY1" s="47"/>
      <c r="CBZ1" s="47"/>
      <c r="CCA1" s="47"/>
      <c r="CCB1" s="47"/>
      <c r="CCC1" s="47"/>
      <c r="CCD1" s="47"/>
      <c r="CCE1" s="47"/>
      <c r="CCF1" s="47"/>
      <c r="CCG1" s="47"/>
      <c r="CCH1" s="47"/>
      <c r="CCI1" s="47"/>
      <c r="CCJ1" s="47"/>
      <c r="CCK1" s="47"/>
      <c r="CCL1" s="47"/>
      <c r="CCM1" s="47"/>
      <c r="CCN1" s="47"/>
      <c r="CCO1" s="47"/>
      <c r="CCP1" s="47"/>
      <c r="CCQ1" s="47"/>
      <c r="CCR1" s="47"/>
      <c r="CCS1" s="47"/>
      <c r="CCT1" s="47"/>
      <c r="CCU1" s="47"/>
      <c r="CCV1" s="47"/>
      <c r="CCW1" s="47"/>
      <c r="CCX1" s="47"/>
      <c r="CCY1" s="47"/>
      <c r="CCZ1" s="47"/>
      <c r="CDA1" s="47"/>
      <c r="CDB1" s="47"/>
      <c r="CDC1" s="47"/>
      <c r="CDD1" s="47"/>
      <c r="CDE1" s="47"/>
      <c r="CDF1" s="47"/>
      <c r="CDG1" s="47"/>
      <c r="CDH1" s="47"/>
      <c r="CDI1" s="47"/>
      <c r="CDJ1" s="47"/>
      <c r="CDK1" s="47"/>
      <c r="CDL1" s="47"/>
      <c r="CDM1" s="47"/>
      <c r="CDN1" s="47"/>
      <c r="CDO1" s="47"/>
      <c r="CDP1" s="47"/>
      <c r="CDQ1" s="47"/>
      <c r="CDR1" s="47"/>
      <c r="CDS1" s="47"/>
      <c r="CDT1" s="47"/>
      <c r="CDU1" s="47"/>
      <c r="CDV1" s="47"/>
      <c r="CDW1" s="47"/>
      <c r="CDX1" s="47"/>
      <c r="CDY1" s="47"/>
      <c r="CDZ1" s="47"/>
      <c r="CEA1" s="47"/>
      <c r="CEB1" s="47"/>
      <c r="CEC1" s="47"/>
      <c r="CED1" s="47"/>
      <c r="CEE1" s="47"/>
      <c r="CEF1" s="47"/>
      <c r="CEG1" s="47"/>
      <c r="CEH1" s="47"/>
      <c r="CEI1" s="47"/>
      <c r="CEJ1" s="47"/>
      <c r="CEK1" s="47"/>
      <c r="CEL1" s="47"/>
      <c r="CEM1" s="47"/>
      <c r="CEN1" s="47"/>
      <c r="CEO1" s="47"/>
      <c r="CEP1" s="47"/>
      <c r="CEQ1" s="47"/>
      <c r="CER1" s="47"/>
      <c r="CES1" s="47"/>
      <c r="CET1" s="47"/>
      <c r="CEU1" s="47"/>
      <c r="CEV1" s="47"/>
      <c r="CEW1" s="47"/>
      <c r="CEX1" s="47"/>
      <c r="CEY1" s="47"/>
      <c r="CEZ1" s="47"/>
      <c r="CFA1" s="47"/>
      <c r="CFB1" s="47"/>
      <c r="CFC1" s="47"/>
      <c r="CFD1" s="47"/>
      <c r="CFE1" s="47"/>
      <c r="CFF1" s="47"/>
      <c r="CFG1" s="47"/>
      <c r="CFH1" s="47"/>
      <c r="CFI1" s="47"/>
      <c r="CFJ1" s="47"/>
      <c r="CFK1" s="47"/>
      <c r="CFL1" s="47"/>
      <c r="CFM1" s="47"/>
      <c r="CFN1" s="47"/>
      <c r="CFO1" s="47"/>
      <c r="CFP1" s="47"/>
      <c r="CFQ1" s="47"/>
      <c r="CFR1" s="47"/>
      <c r="CFS1" s="47"/>
      <c r="CFT1" s="47"/>
      <c r="CFU1" s="47"/>
      <c r="CFV1" s="47"/>
      <c r="CFW1" s="47"/>
      <c r="CFX1" s="47"/>
      <c r="CFY1" s="47"/>
      <c r="CFZ1" s="47"/>
      <c r="CGA1" s="47"/>
      <c r="CGB1" s="47"/>
      <c r="CGC1" s="47"/>
      <c r="CGD1" s="47"/>
      <c r="CGE1" s="47"/>
      <c r="CGF1" s="47"/>
      <c r="CGG1" s="47"/>
      <c r="CGH1" s="47"/>
      <c r="CGI1" s="47"/>
      <c r="CGJ1" s="47"/>
      <c r="CGK1" s="47"/>
      <c r="CGL1" s="47"/>
      <c r="CGM1" s="47"/>
      <c r="CGN1" s="47"/>
      <c r="CGO1" s="47"/>
      <c r="CGP1" s="47"/>
      <c r="CGQ1" s="47"/>
      <c r="CGR1" s="47"/>
      <c r="CGS1" s="47"/>
      <c r="CGT1" s="47"/>
      <c r="CGU1" s="47"/>
      <c r="CGV1" s="47"/>
      <c r="CGW1" s="47"/>
      <c r="CGX1" s="47"/>
      <c r="CGY1" s="47"/>
      <c r="CGZ1" s="47"/>
      <c r="CHA1" s="47"/>
      <c r="CHB1" s="47"/>
      <c r="CHC1" s="47"/>
      <c r="CHD1" s="47"/>
      <c r="CHE1" s="47"/>
      <c r="CHF1" s="47"/>
      <c r="CHG1" s="47"/>
      <c r="CHH1" s="47"/>
      <c r="CHI1" s="47"/>
      <c r="CHJ1" s="47"/>
      <c r="CHK1" s="47"/>
      <c r="CHL1" s="47"/>
      <c r="CHM1" s="47"/>
      <c r="CHN1" s="47"/>
      <c r="CHO1" s="47"/>
      <c r="CHP1" s="47"/>
      <c r="CHQ1" s="47"/>
      <c r="CHR1" s="47"/>
      <c r="CHS1" s="47"/>
      <c r="CHT1" s="47"/>
      <c r="CHU1" s="47"/>
      <c r="CHV1" s="47"/>
      <c r="CHW1" s="47"/>
      <c r="CHX1" s="47"/>
      <c r="CHY1" s="47"/>
      <c r="CHZ1" s="47"/>
      <c r="CIA1" s="47"/>
      <c r="CIB1" s="47"/>
      <c r="CIC1" s="47"/>
      <c r="CID1" s="47"/>
      <c r="CIE1" s="47"/>
      <c r="CIF1" s="47"/>
      <c r="CIG1" s="47"/>
      <c r="CIH1" s="47"/>
      <c r="CII1" s="47"/>
      <c r="CIJ1" s="47"/>
      <c r="CIK1" s="47"/>
      <c r="CIL1" s="47"/>
      <c r="CIM1" s="47"/>
      <c r="CIN1" s="47"/>
      <c r="CIO1" s="47"/>
      <c r="CIP1" s="47"/>
      <c r="CIQ1" s="47"/>
      <c r="CIR1" s="47"/>
      <c r="CIS1" s="47"/>
      <c r="CIT1" s="47"/>
      <c r="CIU1" s="47"/>
      <c r="CIV1" s="47"/>
      <c r="CIW1" s="47"/>
      <c r="CIX1" s="47"/>
      <c r="CIY1" s="47"/>
      <c r="CIZ1" s="47"/>
      <c r="CJA1" s="47"/>
      <c r="CJB1" s="47"/>
      <c r="CJC1" s="47"/>
      <c r="CJD1" s="47"/>
      <c r="CJE1" s="47"/>
      <c r="CJF1" s="47"/>
      <c r="CJG1" s="47"/>
      <c r="CJH1" s="47"/>
      <c r="CJI1" s="47"/>
      <c r="CJJ1" s="47"/>
      <c r="CJK1" s="47"/>
      <c r="CJL1" s="47"/>
      <c r="CJM1" s="47"/>
      <c r="CJN1" s="47"/>
      <c r="CJO1" s="47"/>
      <c r="CJP1" s="47"/>
      <c r="CJQ1" s="47"/>
      <c r="CJR1" s="47"/>
      <c r="CJS1" s="47"/>
      <c r="CJT1" s="47"/>
      <c r="CJU1" s="47"/>
      <c r="CJV1" s="47"/>
      <c r="CJW1" s="47"/>
      <c r="CJX1" s="47"/>
      <c r="CJY1" s="47"/>
      <c r="CJZ1" s="47"/>
      <c r="CKA1" s="47"/>
      <c r="CKB1" s="47"/>
      <c r="CKC1" s="47"/>
      <c r="CKD1" s="47"/>
      <c r="CKE1" s="47"/>
      <c r="CKF1" s="47"/>
      <c r="CKG1" s="47"/>
      <c r="CKH1" s="47"/>
      <c r="CKI1" s="47"/>
      <c r="CKJ1" s="47"/>
      <c r="CKK1" s="47"/>
      <c r="CKL1" s="47"/>
      <c r="CKM1" s="47"/>
      <c r="CKN1" s="47"/>
      <c r="CKO1" s="47"/>
      <c r="CKP1" s="47"/>
      <c r="CKQ1" s="47"/>
      <c r="CKR1" s="47"/>
      <c r="CKS1" s="47"/>
      <c r="CKT1" s="47"/>
      <c r="CKU1" s="47"/>
      <c r="CKV1" s="47"/>
      <c r="CKW1" s="47"/>
      <c r="CKX1" s="47"/>
      <c r="CKY1" s="47"/>
      <c r="CKZ1" s="47"/>
      <c r="CLA1" s="47"/>
      <c r="CLB1" s="47"/>
      <c r="CLC1" s="47"/>
      <c r="CLD1" s="47"/>
      <c r="CLE1" s="47"/>
      <c r="CLF1" s="47"/>
      <c r="CLG1" s="47"/>
      <c r="CLH1" s="47"/>
      <c r="CLI1" s="47"/>
      <c r="CLJ1" s="47"/>
      <c r="CLK1" s="47"/>
      <c r="CLL1" s="47"/>
      <c r="CLM1" s="47"/>
      <c r="CLN1" s="47"/>
      <c r="CLO1" s="47"/>
      <c r="CLP1" s="47"/>
      <c r="CLQ1" s="47"/>
      <c r="CLR1" s="47"/>
      <c r="CLS1" s="47"/>
      <c r="CLT1" s="47"/>
      <c r="CLU1" s="47"/>
      <c r="CLV1" s="47"/>
      <c r="CLW1" s="47"/>
      <c r="CLX1" s="47"/>
      <c r="CLY1" s="47"/>
      <c r="CLZ1" s="47"/>
      <c r="CMA1" s="47"/>
      <c r="CMB1" s="47"/>
      <c r="CMC1" s="47"/>
      <c r="CMD1" s="47"/>
      <c r="CME1" s="47"/>
      <c r="CMF1" s="47"/>
      <c r="CMG1" s="47"/>
      <c r="CMH1" s="47"/>
      <c r="CMI1" s="47"/>
      <c r="CMJ1" s="47"/>
      <c r="CMK1" s="47"/>
      <c r="CML1" s="47"/>
      <c r="CMM1" s="47"/>
      <c r="CMN1" s="47"/>
      <c r="CMO1" s="47"/>
      <c r="CMP1" s="47"/>
      <c r="CMQ1" s="47"/>
      <c r="CMR1" s="47"/>
      <c r="CMS1" s="47"/>
      <c r="CMT1" s="47"/>
      <c r="CMU1" s="47"/>
      <c r="CMV1" s="47"/>
      <c r="CMW1" s="47"/>
      <c r="CMX1" s="47"/>
      <c r="CMY1" s="47"/>
      <c r="CMZ1" s="47"/>
      <c r="CNA1" s="47"/>
      <c r="CNB1" s="47"/>
      <c r="CNC1" s="47"/>
      <c r="CND1" s="47"/>
      <c r="CNE1" s="47"/>
      <c r="CNF1" s="47"/>
      <c r="CNG1" s="47"/>
      <c r="CNH1" s="47"/>
      <c r="CNI1" s="47"/>
      <c r="CNJ1" s="47"/>
      <c r="CNK1" s="47"/>
      <c r="CNL1" s="47"/>
      <c r="CNM1" s="47"/>
      <c r="CNN1" s="47"/>
      <c r="CNO1" s="47"/>
      <c r="CNP1" s="47"/>
      <c r="CNQ1" s="47"/>
      <c r="CNR1" s="47"/>
      <c r="CNS1" s="47"/>
      <c r="CNT1" s="47"/>
      <c r="CNU1" s="47"/>
      <c r="CNV1" s="47"/>
      <c r="CNW1" s="47"/>
      <c r="CNX1" s="47"/>
      <c r="CNY1" s="47"/>
      <c r="CNZ1" s="47"/>
      <c r="COA1" s="47"/>
      <c r="COB1" s="47"/>
      <c r="COC1" s="47"/>
      <c r="COD1" s="47"/>
      <c r="COE1" s="47"/>
      <c r="COF1" s="47"/>
      <c r="COG1" s="47"/>
      <c r="COH1" s="47"/>
      <c r="COI1" s="47"/>
      <c r="COJ1" s="47"/>
      <c r="COK1" s="47"/>
      <c r="COL1" s="47"/>
      <c r="COM1" s="47"/>
      <c r="CON1" s="47"/>
      <c r="COO1" s="47"/>
      <c r="COP1" s="47"/>
      <c r="COQ1" s="47"/>
      <c r="COR1" s="47"/>
      <c r="COS1" s="47"/>
      <c r="COT1" s="47"/>
      <c r="COU1" s="47"/>
      <c r="COV1" s="47"/>
      <c r="COW1" s="47"/>
      <c r="COX1" s="47"/>
      <c r="COY1" s="47"/>
      <c r="COZ1" s="47"/>
      <c r="CPA1" s="47"/>
      <c r="CPB1" s="47"/>
      <c r="CPC1" s="47"/>
      <c r="CPD1" s="47"/>
      <c r="CPE1" s="47"/>
      <c r="CPF1" s="47"/>
      <c r="CPG1" s="47"/>
      <c r="CPH1" s="47"/>
      <c r="CPI1" s="47"/>
      <c r="CPJ1" s="47"/>
      <c r="CPK1" s="47"/>
      <c r="CPL1" s="47"/>
      <c r="CPM1" s="47"/>
      <c r="CPN1" s="47"/>
      <c r="CPO1" s="47"/>
      <c r="CPP1" s="47"/>
      <c r="CPQ1" s="47"/>
      <c r="CPR1" s="47"/>
      <c r="CPS1" s="47"/>
      <c r="CPT1" s="47"/>
      <c r="CPU1" s="47"/>
      <c r="CPV1" s="47"/>
      <c r="CPW1" s="47"/>
      <c r="CPX1" s="47"/>
      <c r="CPY1" s="47"/>
      <c r="CPZ1" s="47"/>
      <c r="CQA1" s="47"/>
      <c r="CQB1" s="47"/>
      <c r="CQC1" s="47"/>
      <c r="CQD1" s="47"/>
      <c r="CQE1" s="47"/>
      <c r="CQF1" s="47"/>
      <c r="CQG1" s="47"/>
      <c r="CQH1" s="47"/>
      <c r="CQI1" s="47"/>
      <c r="CQJ1" s="47"/>
      <c r="CQK1" s="47"/>
      <c r="CQL1" s="47"/>
      <c r="CQM1" s="47"/>
      <c r="CQN1" s="47"/>
      <c r="CQO1" s="47"/>
      <c r="CQP1" s="47"/>
      <c r="CQQ1" s="47"/>
      <c r="CQR1" s="47"/>
      <c r="CQS1" s="47"/>
      <c r="CQT1" s="47"/>
      <c r="CQU1" s="47"/>
      <c r="CQV1" s="47"/>
      <c r="CQW1" s="47"/>
      <c r="CQX1" s="47"/>
      <c r="CQY1" s="47"/>
      <c r="CQZ1" s="47"/>
      <c r="CRA1" s="47"/>
      <c r="CRB1" s="47"/>
      <c r="CRC1" s="47"/>
      <c r="CRD1" s="47"/>
      <c r="CRE1" s="47"/>
      <c r="CRF1" s="47"/>
      <c r="CRG1" s="47"/>
      <c r="CRH1" s="47"/>
      <c r="CRI1" s="47"/>
      <c r="CRJ1" s="47"/>
      <c r="CRK1" s="47"/>
      <c r="CRL1" s="47"/>
      <c r="CRM1" s="47"/>
      <c r="CRN1" s="47"/>
      <c r="CRO1" s="47"/>
      <c r="CRP1" s="47"/>
      <c r="CRQ1" s="47"/>
      <c r="CRR1" s="47"/>
      <c r="CRS1" s="47"/>
      <c r="CRT1" s="47"/>
      <c r="CRU1" s="47"/>
      <c r="CRV1" s="47"/>
      <c r="CRW1" s="47"/>
      <c r="CRX1" s="47"/>
      <c r="CRY1" s="47"/>
      <c r="CRZ1" s="47"/>
      <c r="CSA1" s="47"/>
      <c r="CSB1" s="47"/>
      <c r="CSC1" s="47"/>
      <c r="CSD1" s="47"/>
      <c r="CSE1" s="47"/>
      <c r="CSF1" s="47"/>
      <c r="CSG1" s="47"/>
      <c r="CSH1" s="47"/>
      <c r="CSI1" s="47"/>
      <c r="CSJ1" s="47"/>
      <c r="CSK1" s="47"/>
      <c r="CSL1" s="47"/>
      <c r="CSM1" s="47"/>
      <c r="CSN1" s="47"/>
      <c r="CSO1" s="47"/>
      <c r="CSP1" s="47"/>
      <c r="CSQ1" s="47"/>
      <c r="CSR1" s="47"/>
      <c r="CSS1" s="47"/>
      <c r="CST1" s="47"/>
      <c r="CSU1" s="47"/>
      <c r="CSV1" s="47"/>
      <c r="CSW1" s="47"/>
      <c r="CSX1" s="47"/>
      <c r="CSY1" s="47"/>
      <c r="CSZ1" s="47"/>
      <c r="CTA1" s="47"/>
      <c r="CTB1" s="47"/>
      <c r="CTC1" s="47"/>
      <c r="CTD1" s="47"/>
      <c r="CTE1" s="47"/>
      <c r="CTF1" s="47"/>
      <c r="CTG1" s="47"/>
      <c r="CTH1" s="47"/>
      <c r="CTI1" s="47"/>
      <c r="CTJ1" s="47"/>
      <c r="CTK1" s="47"/>
      <c r="CTL1" s="47"/>
      <c r="CTM1" s="47"/>
      <c r="CTN1" s="47"/>
      <c r="CTO1" s="47"/>
      <c r="CTP1" s="47"/>
      <c r="CTQ1" s="47"/>
      <c r="CTR1" s="47"/>
      <c r="CTS1" s="47"/>
      <c r="CTT1" s="47"/>
      <c r="CTU1" s="47"/>
      <c r="CTV1" s="47"/>
      <c r="CTW1" s="47"/>
      <c r="CTX1" s="47"/>
      <c r="CTY1" s="47"/>
      <c r="CTZ1" s="47"/>
      <c r="CUA1" s="47"/>
      <c r="CUB1" s="47"/>
      <c r="CUC1" s="47"/>
      <c r="CUD1" s="47"/>
      <c r="CUE1" s="47"/>
      <c r="CUF1" s="47"/>
      <c r="CUG1" s="47"/>
      <c r="CUH1" s="47"/>
      <c r="CUI1" s="47"/>
      <c r="CUJ1" s="47"/>
      <c r="CUK1" s="47"/>
      <c r="CUL1" s="47"/>
      <c r="CUM1" s="47"/>
      <c r="CUN1" s="47"/>
      <c r="CUO1" s="47"/>
      <c r="CUP1" s="47"/>
      <c r="CUQ1" s="47"/>
      <c r="CUR1" s="47"/>
      <c r="CUS1" s="47"/>
      <c r="CUT1" s="47"/>
      <c r="CUU1" s="47"/>
      <c r="CUV1" s="47"/>
      <c r="CUW1" s="47"/>
      <c r="CUX1" s="47"/>
      <c r="CUY1" s="47"/>
      <c r="CUZ1" s="47"/>
      <c r="CVA1" s="47"/>
      <c r="CVB1" s="47"/>
      <c r="CVC1" s="47"/>
      <c r="CVD1" s="47"/>
      <c r="CVE1" s="47"/>
      <c r="CVF1" s="47"/>
      <c r="CVG1" s="47"/>
      <c r="CVH1" s="47"/>
      <c r="CVI1" s="47"/>
      <c r="CVJ1" s="47"/>
      <c r="CVK1" s="47"/>
      <c r="CVL1" s="47"/>
      <c r="CVM1" s="47"/>
      <c r="CVN1" s="47"/>
      <c r="CVO1" s="47"/>
      <c r="CVP1" s="47"/>
      <c r="CVQ1" s="47"/>
      <c r="CVR1" s="47"/>
      <c r="CVS1" s="47"/>
      <c r="CVT1" s="47"/>
      <c r="CVU1" s="47"/>
      <c r="CVV1" s="47"/>
      <c r="CVW1" s="47"/>
      <c r="CVX1" s="47"/>
      <c r="CVY1" s="47"/>
      <c r="CVZ1" s="47"/>
      <c r="CWA1" s="47"/>
      <c r="CWB1" s="47"/>
      <c r="CWC1" s="47"/>
      <c r="CWD1" s="47"/>
      <c r="CWE1" s="47"/>
      <c r="CWF1" s="47"/>
      <c r="CWG1" s="47"/>
      <c r="CWH1" s="47"/>
      <c r="CWI1" s="47"/>
      <c r="CWJ1" s="47"/>
      <c r="CWK1" s="47"/>
      <c r="CWL1" s="47"/>
      <c r="CWM1" s="47"/>
      <c r="CWN1" s="47"/>
      <c r="CWO1" s="47"/>
      <c r="CWP1" s="47"/>
      <c r="CWQ1" s="47"/>
      <c r="CWR1" s="47"/>
      <c r="CWS1" s="47"/>
      <c r="CWT1" s="47"/>
      <c r="CWU1" s="47"/>
      <c r="CWV1" s="47"/>
      <c r="CWW1" s="47"/>
      <c r="CWX1" s="47"/>
      <c r="CWY1" s="47"/>
      <c r="CWZ1" s="47"/>
      <c r="CXA1" s="47"/>
      <c r="CXB1" s="47"/>
      <c r="CXC1" s="47"/>
      <c r="CXD1" s="47"/>
      <c r="CXE1" s="47"/>
      <c r="CXF1" s="47"/>
      <c r="CXG1" s="47"/>
      <c r="CXH1" s="47"/>
      <c r="CXI1" s="47"/>
      <c r="CXJ1" s="47"/>
      <c r="CXK1" s="47"/>
      <c r="CXL1" s="47"/>
      <c r="CXM1" s="47"/>
      <c r="CXN1" s="47"/>
      <c r="CXO1" s="47"/>
      <c r="CXP1" s="47"/>
      <c r="CXQ1" s="47"/>
      <c r="CXR1" s="47"/>
      <c r="CXS1" s="47"/>
      <c r="CXT1" s="47"/>
      <c r="CXU1" s="47"/>
      <c r="CXV1" s="47"/>
      <c r="CXW1" s="47"/>
      <c r="CXX1" s="47"/>
      <c r="CXY1" s="47"/>
      <c r="CXZ1" s="47"/>
      <c r="CYA1" s="47"/>
      <c r="CYB1" s="47"/>
      <c r="CYC1" s="47"/>
      <c r="CYD1" s="47"/>
      <c r="CYE1" s="47"/>
      <c r="CYF1" s="47"/>
      <c r="CYG1" s="47"/>
      <c r="CYH1" s="47"/>
      <c r="CYI1" s="47"/>
      <c r="CYJ1" s="47"/>
      <c r="CYK1" s="47"/>
      <c r="CYL1" s="47"/>
      <c r="CYM1" s="47"/>
      <c r="CYN1" s="47"/>
      <c r="CYO1" s="47"/>
      <c r="CYP1" s="47"/>
      <c r="CYQ1" s="47"/>
      <c r="CYR1" s="47"/>
      <c r="CYS1" s="47"/>
      <c r="CYT1" s="47"/>
      <c r="CYU1" s="47"/>
      <c r="CYV1" s="47"/>
      <c r="CYW1" s="47"/>
      <c r="CYX1" s="47"/>
      <c r="CYY1" s="47"/>
      <c r="CYZ1" s="47"/>
      <c r="CZA1" s="47"/>
      <c r="CZB1" s="47"/>
      <c r="CZC1" s="47"/>
      <c r="CZD1" s="47"/>
      <c r="CZE1" s="47"/>
      <c r="CZF1" s="47"/>
      <c r="CZG1" s="47"/>
      <c r="CZH1" s="47"/>
      <c r="CZI1" s="47"/>
      <c r="CZJ1" s="47"/>
      <c r="CZK1" s="47"/>
      <c r="CZL1" s="47"/>
      <c r="CZM1" s="47"/>
      <c r="CZN1" s="47"/>
      <c r="CZO1" s="47"/>
      <c r="CZP1" s="47"/>
      <c r="CZQ1" s="47"/>
      <c r="CZR1" s="47"/>
      <c r="CZS1" s="47"/>
      <c r="CZT1" s="47"/>
      <c r="CZU1" s="47"/>
      <c r="CZV1" s="47"/>
      <c r="CZW1" s="47"/>
      <c r="CZX1" s="47"/>
      <c r="CZY1" s="47"/>
      <c r="CZZ1" s="47"/>
      <c r="DAA1" s="47"/>
      <c r="DAB1" s="47"/>
      <c r="DAC1" s="47"/>
      <c r="DAD1" s="47"/>
      <c r="DAE1" s="47"/>
      <c r="DAF1" s="47"/>
      <c r="DAG1" s="47"/>
      <c r="DAH1" s="47"/>
      <c r="DAI1" s="47"/>
      <c r="DAJ1" s="47"/>
      <c r="DAK1" s="47"/>
      <c r="DAL1" s="47"/>
      <c r="DAM1" s="47"/>
      <c r="DAN1" s="47"/>
      <c r="DAO1" s="47"/>
      <c r="DAP1" s="47"/>
      <c r="DAQ1" s="47"/>
      <c r="DAR1" s="47"/>
      <c r="DAS1" s="47"/>
      <c r="DAT1" s="47"/>
      <c r="DAU1" s="47"/>
      <c r="DAV1" s="47"/>
      <c r="DAW1" s="47"/>
      <c r="DAX1" s="47"/>
      <c r="DAY1" s="47"/>
      <c r="DAZ1" s="47"/>
      <c r="DBA1" s="47"/>
      <c r="DBB1" s="47"/>
      <c r="DBC1" s="47"/>
      <c r="DBD1" s="47"/>
      <c r="DBE1" s="47"/>
      <c r="DBF1" s="47"/>
      <c r="DBG1" s="47"/>
      <c r="DBH1" s="47"/>
      <c r="DBI1" s="47"/>
      <c r="DBJ1" s="47"/>
      <c r="DBK1" s="47"/>
      <c r="DBL1" s="47"/>
      <c r="DBM1" s="47"/>
      <c r="DBN1" s="47"/>
      <c r="DBO1" s="47"/>
      <c r="DBP1" s="47"/>
      <c r="DBQ1" s="47"/>
      <c r="DBR1" s="47"/>
      <c r="DBS1" s="47"/>
      <c r="DBT1" s="47"/>
      <c r="DBU1" s="47"/>
      <c r="DBV1" s="47"/>
      <c r="DBW1" s="47"/>
      <c r="DBX1" s="47"/>
      <c r="DBY1" s="47"/>
      <c r="DBZ1" s="47"/>
      <c r="DCA1" s="47"/>
      <c r="DCB1" s="47"/>
      <c r="DCC1" s="47"/>
      <c r="DCD1" s="47"/>
      <c r="DCE1" s="47"/>
      <c r="DCF1" s="47"/>
      <c r="DCG1" s="47"/>
      <c r="DCH1" s="47"/>
      <c r="DCI1" s="47"/>
      <c r="DCJ1" s="47"/>
      <c r="DCK1" s="47"/>
      <c r="DCL1" s="47"/>
      <c r="DCM1" s="47"/>
      <c r="DCN1" s="47"/>
      <c r="DCO1" s="47"/>
      <c r="DCP1" s="47"/>
      <c r="DCQ1" s="47"/>
      <c r="DCR1" s="47"/>
      <c r="DCS1" s="47"/>
      <c r="DCT1" s="47"/>
      <c r="DCU1" s="47"/>
      <c r="DCV1" s="47"/>
      <c r="DCW1" s="47"/>
      <c r="DCX1" s="47"/>
      <c r="DCY1" s="47"/>
      <c r="DCZ1" s="47"/>
      <c r="DDA1" s="47"/>
      <c r="DDB1" s="47"/>
      <c r="DDC1" s="47"/>
      <c r="DDD1" s="47"/>
      <c r="DDE1" s="47"/>
      <c r="DDF1" s="47"/>
      <c r="DDG1" s="47"/>
      <c r="DDH1" s="47"/>
      <c r="DDI1" s="47"/>
      <c r="DDJ1" s="47"/>
      <c r="DDK1" s="47"/>
      <c r="DDL1" s="47"/>
      <c r="DDM1" s="47"/>
      <c r="DDN1" s="47"/>
      <c r="DDO1" s="47"/>
      <c r="DDP1" s="47"/>
      <c r="DDQ1" s="47"/>
      <c r="DDR1" s="47"/>
      <c r="DDS1" s="47"/>
      <c r="DDT1" s="47"/>
      <c r="DDU1" s="47"/>
      <c r="DDV1" s="47"/>
      <c r="DDW1" s="47"/>
      <c r="DDX1" s="47"/>
      <c r="DDY1" s="47"/>
      <c r="DDZ1" s="47"/>
      <c r="DEA1" s="47"/>
      <c r="DEB1" s="47"/>
      <c r="DEC1" s="47"/>
      <c r="DED1" s="47"/>
      <c r="DEE1" s="47"/>
      <c r="DEF1" s="47"/>
      <c r="DEG1" s="47"/>
      <c r="DEH1" s="47"/>
      <c r="DEI1" s="47"/>
      <c r="DEJ1" s="47"/>
      <c r="DEK1" s="47"/>
      <c r="DEL1" s="47"/>
      <c r="DEM1" s="47"/>
      <c r="DEN1" s="47"/>
      <c r="DEO1" s="47"/>
      <c r="DEP1" s="47"/>
      <c r="DEQ1" s="47"/>
      <c r="DER1" s="47"/>
      <c r="DES1" s="47"/>
      <c r="DET1" s="47"/>
      <c r="DEU1" s="47"/>
      <c r="DEV1" s="47"/>
      <c r="DEW1" s="47"/>
      <c r="DEX1" s="47"/>
      <c r="DEY1" s="47"/>
      <c r="DEZ1" s="47"/>
      <c r="DFA1" s="47"/>
      <c r="DFB1" s="47"/>
      <c r="DFC1" s="47"/>
      <c r="DFD1" s="47"/>
      <c r="DFE1" s="47"/>
      <c r="DFF1" s="47"/>
      <c r="DFG1" s="47"/>
      <c r="DFH1" s="47"/>
      <c r="DFI1" s="47"/>
      <c r="DFJ1" s="47"/>
      <c r="DFK1" s="47"/>
      <c r="DFL1" s="47"/>
      <c r="DFM1" s="47"/>
      <c r="DFN1" s="47"/>
      <c r="DFO1" s="47"/>
      <c r="DFP1" s="47"/>
      <c r="DFQ1" s="47"/>
      <c r="DFR1" s="47"/>
      <c r="DFS1" s="47"/>
      <c r="DFT1" s="47"/>
      <c r="DFU1" s="47"/>
      <c r="DFV1" s="47"/>
      <c r="DFW1" s="47"/>
      <c r="DFX1" s="47"/>
      <c r="DFY1" s="47"/>
      <c r="DFZ1" s="47"/>
      <c r="DGA1" s="47"/>
      <c r="DGB1" s="47"/>
      <c r="DGC1" s="47"/>
      <c r="DGD1" s="47"/>
      <c r="DGE1" s="47"/>
      <c r="DGF1" s="47"/>
      <c r="DGG1" s="47"/>
      <c r="DGH1" s="47"/>
      <c r="DGI1" s="47"/>
      <c r="DGJ1" s="47"/>
      <c r="DGK1" s="47"/>
      <c r="DGL1" s="47"/>
      <c r="DGM1" s="47"/>
      <c r="DGN1" s="47"/>
      <c r="DGO1" s="47"/>
      <c r="DGP1" s="47"/>
      <c r="DGQ1" s="47"/>
      <c r="DGR1" s="47"/>
      <c r="DGS1" s="47"/>
      <c r="DGT1" s="47"/>
      <c r="DGU1" s="47"/>
      <c r="DGV1" s="47"/>
      <c r="DGW1" s="47"/>
      <c r="DGX1" s="47"/>
      <c r="DGY1" s="47"/>
      <c r="DGZ1" s="47"/>
      <c r="DHA1" s="47"/>
      <c r="DHB1" s="47"/>
      <c r="DHC1" s="47"/>
      <c r="DHD1" s="47"/>
      <c r="DHE1" s="47"/>
      <c r="DHF1" s="47"/>
      <c r="DHG1" s="47"/>
      <c r="DHH1" s="47"/>
      <c r="DHI1" s="47"/>
      <c r="DHJ1" s="47"/>
      <c r="DHK1" s="47"/>
      <c r="DHL1" s="47"/>
      <c r="DHM1" s="47"/>
      <c r="DHN1" s="47"/>
      <c r="DHO1" s="47"/>
      <c r="DHP1" s="47"/>
      <c r="DHQ1" s="47"/>
      <c r="DHR1" s="47"/>
      <c r="DHS1" s="47"/>
      <c r="DHT1" s="47"/>
      <c r="DHU1" s="47"/>
      <c r="DHV1" s="47"/>
      <c r="DHW1" s="47"/>
      <c r="DHX1" s="47"/>
      <c r="DHY1" s="47"/>
      <c r="DHZ1" s="47"/>
      <c r="DIA1" s="47"/>
      <c r="DIB1" s="47"/>
      <c r="DIC1" s="47"/>
      <c r="DID1" s="47"/>
      <c r="DIE1" s="47"/>
      <c r="DIF1" s="47"/>
      <c r="DIG1" s="47"/>
      <c r="DIH1" s="47"/>
      <c r="DII1" s="47"/>
      <c r="DIJ1" s="47"/>
      <c r="DIK1" s="47"/>
      <c r="DIL1" s="47"/>
      <c r="DIM1" s="47"/>
      <c r="DIN1" s="47"/>
      <c r="DIO1" s="47"/>
      <c r="DIP1" s="47"/>
      <c r="DIQ1" s="47"/>
      <c r="DIR1" s="47"/>
      <c r="DIS1" s="47"/>
      <c r="DIT1" s="47"/>
      <c r="DIU1" s="47"/>
      <c r="DIV1" s="47"/>
      <c r="DIW1" s="47"/>
      <c r="DIX1" s="47"/>
      <c r="DIY1" s="47"/>
      <c r="DIZ1" s="47"/>
      <c r="DJA1" s="47"/>
      <c r="DJB1" s="47"/>
      <c r="DJC1" s="47"/>
      <c r="DJD1" s="47"/>
      <c r="DJE1" s="47"/>
      <c r="DJF1" s="47"/>
      <c r="DJG1" s="47"/>
      <c r="DJH1" s="47"/>
      <c r="DJI1" s="47"/>
      <c r="DJJ1" s="47"/>
      <c r="DJK1" s="47"/>
      <c r="DJL1" s="47"/>
      <c r="DJM1" s="47"/>
      <c r="DJN1" s="47"/>
      <c r="DJO1" s="47"/>
      <c r="DJP1" s="47"/>
      <c r="DJQ1" s="47"/>
      <c r="DJR1" s="47"/>
      <c r="DJS1" s="47"/>
      <c r="DJT1" s="47"/>
      <c r="DJU1" s="47"/>
      <c r="DJV1" s="47"/>
      <c r="DJW1" s="47"/>
      <c r="DJX1" s="47"/>
      <c r="DJY1" s="47"/>
      <c r="DJZ1" s="47"/>
      <c r="DKA1" s="47"/>
      <c r="DKB1" s="47"/>
      <c r="DKC1" s="47"/>
      <c r="DKD1" s="47"/>
      <c r="DKE1" s="47"/>
      <c r="DKF1" s="47"/>
      <c r="DKG1" s="47"/>
      <c r="DKH1" s="47"/>
      <c r="DKI1" s="47"/>
      <c r="DKJ1" s="47"/>
      <c r="DKK1" s="47"/>
      <c r="DKL1" s="47"/>
      <c r="DKM1" s="47"/>
      <c r="DKN1" s="47"/>
      <c r="DKO1" s="47"/>
      <c r="DKP1" s="47"/>
      <c r="DKQ1" s="47"/>
      <c r="DKR1" s="47"/>
      <c r="DKS1" s="47"/>
      <c r="DKT1" s="47"/>
      <c r="DKU1" s="47"/>
      <c r="DKV1" s="47"/>
      <c r="DKW1" s="47"/>
      <c r="DKX1" s="47"/>
      <c r="DKY1" s="47"/>
      <c r="DKZ1" s="47"/>
      <c r="DLA1" s="47"/>
      <c r="DLB1" s="47"/>
      <c r="DLC1" s="47"/>
      <c r="DLD1" s="47"/>
      <c r="DLE1" s="47"/>
      <c r="DLF1" s="47"/>
      <c r="DLG1" s="47"/>
      <c r="DLH1" s="47"/>
      <c r="DLI1" s="47"/>
      <c r="DLJ1" s="47"/>
      <c r="DLK1" s="47"/>
      <c r="DLL1" s="47"/>
      <c r="DLM1" s="47"/>
      <c r="DLN1" s="47"/>
      <c r="DLO1" s="47"/>
      <c r="DLP1" s="47"/>
      <c r="DLQ1" s="47"/>
      <c r="DLR1" s="47"/>
      <c r="DLS1" s="47"/>
      <c r="DLT1" s="47"/>
      <c r="DLU1" s="47"/>
      <c r="DLV1" s="47"/>
      <c r="DLW1" s="47"/>
      <c r="DLX1" s="47"/>
      <c r="DLY1" s="47"/>
      <c r="DLZ1" s="47"/>
      <c r="DMA1" s="47"/>
      <c r="DMB1" s="47"/>
      <c r="DMC1" s="47"/>
      <c r="DMD1" s="47"/>
      <c r="DME1" s="47"/>
      <c r="DMF1" s="47"/>
      <c r="DMG1" s="47"/>
      <c r="DMH1" s="47"/>
      <c r="DMI1" s="47"/>
      <c r="DMJ1" s="47"/>
      <c r="DMK1" s="47"/>
      <c r="DML1" s="47"/>
      <c r="DMM1" s="47"/>
      <c r="DMN1" s="47"/>
      <c r="DMO1" s="47"/>
      <c r="DMP1" s="47"/>
      <c r="DMQ1" s="47"/>
      <c r="DMR1" s="47"/>
      <c r="DMS1" s="47"/>
      <c r="DMT1" s="47"/>
      <c r="DMU1" s="47"/>
      <c r="DMV1" s="47"/>
      <c r="DMW1" s="47"/>
      <c r="DMX1" s="47"/>
      <c r="DMY1" s="47"/>
      <c r="DMZ1" s="47"/>
      <c r="DNA1" s="47"/>
      <c r="DNB1" s="47"/>
      <c r="DNC1" s="47"/>
      <c r="DND1" s="47"/>
      <c r="DNE1" s="47"/>
      <c r="DNF1" s="47"/>
      <c r="DNG1" s="47"/>
      <c r="DNH1" s="47"/>
      <c r="DNI1" s="47"/>
      <c r="DNJ1" s="47"/>
      <c r="DNK1" s="47"/>
      <c r="DNL1" s="47"/>
      <c r="DNM1" s="47"/>
      <c r="DNN1" s="47"/>
      <c r="DNO1" s="47"/>
      <c r="DNP1" s="47"/>
      <c r="DNQ1" s="47"/>
      <c r="DNR1" s="47"/>
      <c r="DNS1" s="47"/>
      <c r="DNT1" s="47"/>
      <c r="DNU1" s="47"/>
      <c r="DNV1" s="47"/>
      <c r="DNW1" s="47"/>
      <c r="DNX1" s="47"/>
      <c r="DNY1" s="47"/>
      <c r="DNZ1" s="47"/>
      <c r="DOA1" s="47"/>
      <c r="DOB1" s="47"/>
      <c r="DOC1" s="47"/>
      <c r="DOD1" s="47"/>
      <c r="DOE1" s="47"/>
      <c r="DOF1" s="47"/>
      <c r="DOG1" s="47"/>
      <c r="DOH1" s="47"/>
      <c r="DOI1" s="47"/>
      <c r="DOJ1" s="47"/>
      <c r="DOK1" s="47"/>
      <c r="DOL1" s="47"/>
      <c r="DOM1" s="47"/>
      <c r="DON1" s="47"/>
      <c r="DOO1" s="47"/>
      <c r="DOP1" s="47"/>
      <c r="DOQ1" s="47"/>
      <c r="DOR1" s="47"/>
      <c r="DOS1" s="47"/>
      <c r="DOT1" s="47"/>
      <c r="DOU1" s="47"/>
      <c r="DOV1" s="47"/>
      <c r="DOW1" s="47"/>
      <c r="DOX1" s="47"/>
      <c r="DOY1" s="47"/>
      <c r="DOZ1" s="47"/>
      <c r="DPA1" s="47"/>
      <c r="DPB1" s="47"/>
      <c r="DPC1" s="47"/>
      <c r="DPD1" s="47"/>
      <c r="DPE1" s="47"/>
      <c r="DPF1" s="47"/>
      <c r="DPG1" s="47"/>
      <c r="DPH1" s="47"/>
      <c r="DPI1" s="47"/>
      <c r="DPJ1" s="47"/>
      <c r="DPK1" s="47"/>
      <c r="DPL1" s="47"/>
      <c r="DPM1" s="47"/>
      <c r="DPN1" s="47"/>
      <c r="DPO1" s="47"/>
      <c r="DPP1" s="47"/>
      <c r="DPQ1" s="47"/>
      <c r="DPR1" s="47"/>
      <c r="DPS1" s="47"/>
      <c r="DPT1" s="47"/>
      <c r="DPU1" s="47"/>
      <c r="DPV1" s="47"/>
      <c r="DPW1" s="47"/>
      <c r="DPX1" s="47"/>
      <c r="DPY1" s="47"/>
      <c r="DPZ1" s="47"/>
      <c r="DQA1" s="47"/>
      <c r="DQB1" s="47"/>
      <c r="DQC1" s="47"/>
      <c r="DQD1" s="47"/>
      <c r="DQE1" s="47"/>
      <c r="DQF1" s="47"/>
      <c r="DQG1" s="47"/>
      <c r="DQH1" s="47"/>
      <c r="DQI1" s="47"/>
      <c r="DQJ1" s="47"/>
      <c r="DQK1" s="47"/>
      <c r="DQL1" s="47"/>
      <c r="DQM1" s="47"/>
      <c r="DQN1" s="47"/>
      <c r="DQO1" s="47"/>
      <c r="DQP1" s="47"/>
      <c r="DQQ1" s="47"/>
      <c r="DQR1" s="47"/>
      <c r="DQS1" s="47"/>
      <c r="DQT1" s="47"/>
      <c r="DQU1" s="47"/>
      <c r="DQV1" s="47"/>
      <c r="DQW1" s="47"/>
      <c r="DQX1" s="47"/>
      <c r="DQY1" s="47"/>
      <c r="DQZ1" s="47"/>
      <c r="DRA1" s="47"/>
      <c r="DRB1" s="47"/>
      <c r="DRC1" s="47"/>
      <c r="DRD1" s="47"/>
      <c r="DRE1" s="47"/>
      <c r="DRF1" s="47"/>
      <c r="DRG1" s="47"/>
      <c r="DRH1" s="47"/>
      <c r="DRI1" s="47"/>
      <c r="DRJ1" s="47"/>
      <c r="DRK1" s="47"/>
      <c r="DRL1" s="47"/>
      <c r="DRM1" s="47"/>
      <c r="DRN1" s="47"/>
      <c r="DRO1" s="47"/>
      <c r="DRP1" s="47"/>
      <c r="DRQ1" s="47"/>
      <c r="DRR1" s="47"/>
      <c r="DRS1" s="47"/>
      <c r="DRT1" s="47"/>
      <c r="DRU1" s="47"/>
      <c r="DRV1" s="47"/>
      <c r="DRW1" s="47"/>
      <c r="DRX1" s="47"/>
      <c r="DRY1" s="47"/>
      <c r="DRZ1" s="47"/>
      <c r="DSA1" s="47"/>
      <c r="DSB1" s="47"/>
      <c r="DSC1" s="47"/>
      <c r="DSD1" s="47"/>
      <c r="DSE1" s="47"/>
      <c r="DSF1" s="47"/>
      <c r="DSG1" s="47"/>
      <c r="DSH1" s="47"/>
      <c r="DSI1" s="47"/>
      <c r="DSJ1" s="47"/>
      <c r="DSK1" s="47"/>
      <c r="DSL1" s="47"/>
      <c r="DSM1" s="47"/>
      <c r="DSN1" s="47"/>
      <c r="DSO1" s="47"/>
      <c r="DSP1" s="47"/>
      <c r="DSQ1" s="47"/>
      <c r="DSR1" s="47"/>
      <c r="DSS1" s="47"/>
      <c r="DST1" s="47"/>
      <c r="DSU1" s="47"/>
      <c r="DSV1" s="47"/>
      <c r="DSW1" s="47"/>
      <c r="DSX1" s="47"/>
      <c r="DSY1" s="47"/>
      <c r="DSZ1" s="47"/>
      <c r="DTA1" s="47"/>
      <c r="DTB1" s="47"/>
      <c r="DTC1" s="47"/>
      <c r="DTD1" s="47"/>
      <c r="DTE1" s="47"/>
      <c r="DTF1" s="47"/>
      <c r="DTG1" s="47"/>
      <c r="DTH1" s="47"/>
      <c r="DTI1" s="47"/>
      <c r="DTJ1" s="47"/>
      <c r="DTK1" s="47"/>
      <c r="DTL1" s="47"/>
      <c r="DTM1" s="47"/>
      <c r="DTN1" s="47"/>
      <c r="DTO1" s="47"/>
      <c r="DTP1" s="47"/>
      <c r="DTQ1" s="47"/>
      <c r="DTR1" s="47"/>
      <c r="DTS1" s="47"/>
      <c r="DTT1" s="47"/>
      <c r="DTU1" s="47"/>
      <c r="DTV1" s="47"/>
      <c r="DTW1" s="47"/>
      <c r="DTX1" s="47"/>
      <c r="DTY1" s="47"/>
      <c r="DTZ1" s="47"/>
      <c r="DUA1" s="47"/>
      <c r="DUB1" s="47"/>
      <c r="DUC1" s="47"/>
      <c r="DUD1" s="47"/>
      <c r="DUE1" s="47"/>
      <c r="DUF1" s="47"/>
      <c r="DUG1" s="47"/>
      <c r="DUH1" s="47"/>
      <c r="DUI1" s="47"/>
      <c r="DUJ1" s="47"/>
      <c r="DUK1" s="47"/>
      <c r="DUL1" s="47"/>
      <c r="DUM1" s="47"/>
      <c r="DUN1" s="47"/>
      <c r="DUO1" s="47"/>
      <c r="DUP1" s="47"/>
      <c r="DUQ1" s="47"/>
      <c r="DUR1" s="47"/>
      <c r="DUS1" s="47"/>
      <c r="DUT1" s="47"/>
      <c r="DUU1" s="47"/>
      <c r="DUV1" s="47"/>
      <c r="DUW1" s="47"/>
      <c r="DUX1" s="47"/>
      <c r="DUY1" s="47"/>
      <c r="DUZ1" s="47"/>
      <c r="DVA1" s="47"/>
      <c r="DVB1" s="47"/>
      <c r="DVC1" s="47"/>
      <c r="DVD1" s="47"/>
      <c r="DVE1" s="47"/>
      <c r="DVF1" s="47"/>
      <c r="DVG1" s="47"/>
      <c r="DVH1" s="47"/>
      <c r="DVI1" s="47"/>
      <c r="DVJ1" s="47"/>
      <c r="DVK1" s="47"/>
      <c r="DVL1" s="47"/>
      <c r="DVM1" s="47"/>
      <c r="DVN1" s="47"/>
      <c r="DVO1" s="47"/>
      <c r="DVP1" s="47"/>
      <c r="DVQ1" s="47"/>
      <c r="DVR1" s="47"/>
      <c r="DVS1" s="47"/>
      <c r="DVT1" s="47"/>
      <c r="DVU1" s="47"/>
      <c r="DVV1" s="47"/>
      <c r="DVW1" s="47"/>
      <c r="DVX1" s="47"/>
      <c r="DVY1" s="47"/>
      <c r="DVZ1" s="47"/>
      <c r="DWA1" s="47"/>
      <c r="DWB1" s="47"/>
      <c r="DWC1" s="47"/>
      <c r="DWD1" s="47"/>
      <c r="DWE1" s="47"/>
      <c r="DWF1" s="47"/>
      <c r="DWG1" s="47"/>
      <c r="DWH1" s="47"/>
      <c r="DWI1" s="47"/>
      <c r="DWJ1" s="47"/>
      <c r="DWK1" s="47"/>
      <c r="DWL1" s="47"/>
      <c r="DWM1" s="47"/>
      <c r="DWN1" s="47"/>
      <c r="DWO1" s="47"/>
      <c r="DWP1" s="47"/>
      <c r="DWQ1" s="47"/>
      <c r="DWR1" s="47"/>
      <c r="DWS1" s="47"/>
      <c r="DWT1" s="47"/>
      <c r="DWU1" s="47"/>
      <c r="DWV1" s="47"/>
      <c r="DWW1" s="47"/>
      <c r="DWX1" s="47"/>
      <c r="DWY1" s="47"/>
      <c r="DWZ1" s="47"/>
      <c r="DXA1" s="47"/>
      <c r="DXB1" s="47"/>
      <c r="DXC1" s="47"/>
      <c r="DXD1" s="47"/>
      <c r="DXE1" s="47"/>
      <c r="DXF1" s="47"/>
      <c r="DXG1" s="47"/>
      <c r="DXH1" s="47"/>
      <c r="DXI1" s="47"/>
      <c r="DXJ1" s="47"/>
      <c r="DXK1" s="47"/>
      <c r="DXL1" s="47"/>
      <c r="DXM1" s="47"/>
      <c r="DXN1" s="47"/>
      <c r="DXO1" s="47"/>
      <c r="DXP1" s="47"/>
      <c r="DXQ1" s="47"/>
      <c r="DXR1" s="47"/>
      <c r="DXS1" s="47"/>
      <c r="DXT1" s="47"/>
      <c r="DXU1" s="47"/>
      <c r="DXV1" s="47"/>
      <c r="DXW1" s="47"/>
      <c r="DXX1" s="47"/>
      <c r="DXY1" s="47"/>
      <c r="DXZ1" s="47"/>
      <c r="DYA1" s="47"/>
      <c r="DYB1" s="47"/>
      <c r="DYC1" s="47"/>
      <c r="DYD1" s="47"/>
      <c r="DYE1" s="47"/>
      <c r="DYF1" s="47"/>
      <c r="DYG1" s="47"/>
      <c r="DYH1" s="47"/>
      <c r="DYI1" s="47"/>
      <c r="DYJ1" s="47"/>
      <c r="DYK1" s="47"/>
      <c r="DYL1" s="47"/>
      <c r="DYM1" s="47"/>
      <c r="DYN1" s="47"/>
      <c r="DYO1" s="47"/>
      <c r="DYP1" s="47"/>
      <c r="DYQ1" s="47"/>
      <c r="DYR1" s="47"/>
      <c r="DYS1" s="47"/>
      <c r="DYT1" s="47"/>
      <c r="DYU1" s="47"/>
      <c r="DYV1" s="47"/>
      <c r="DYW1" s="47"/>
      <c r="DYX1" s="47"/>
      <c r="DYY1" s="47"/>
      <c r="DYZ1" s="47"/>
      <c r="DZA1" s="47"/>
      <c r="DZB1" s="47"/>
      <c r="DZC1" s="47"/>
      <c r="DZD1" s="47"/>
      <c r="DZE1" s="47"/>
      <c r="DZF1" s="47"/>
      <c r="DZG1" s="47"/>
      <c r="DZH1" s="47"/>
      <c r="DZI1" s="47"/>
      <c r="DZJ1" s="47"/>
      <c r="DZK1" s="47"/>
      <c r="DZL1" s="47"/>
      <c r="DZM1" s="47"/>
      <c r="DZN1" s="47"/>
      <c r="DZO1" s="47"/>
      <c r="DZP1" s="47"/>
      <c r="DZQ1" s="47"/>
      <c r="DZR1" s="47"/>
      <c r="DZS1" s="47"/>
      <c r="DZT1" s="47"/>
      <c r="DZU1" s="47"/>
      <c r="DZV1" s="47"/>
      <c r="DZW1" s="47"/>
      <c r="DZX1" s="47"/>
      <c r="DZY1" s="47"/>
      <c r="DZZ1" s="47"/>
      <c r="EAA1" s="47"/>
      <c r="EAB1" s="47"/>
      <c r="EAC1" s="47"/>
      <c r="EAD1" s="47"/>
      <c r="EAE1" s="47"/>
      <c r="EAF1" s="47"/>
      <c r="EAG1" s="47"/>
      <c r="EAH1" s="47"/>
      <c r="EAI1" s="47"/>
      <c r="EAJ1" s="47"/>
      <c r="EAK1" s="47"/>
      <c r="EAL1" s="47"/>
      <c r="EAM1" s="47"/>
      <c r="EAN1" s="47"/>
      <c r="EAO1" s="47"/>
      <c r="EAP1" s="47"/>
      <c r="EAQ1" s="47"/>
      <c r="EAR1" s="47"/>
      <c r="EAS1" s="47"/>
      <c r="EAT1" s="47"/>
      <c r="EAU1" s="47"/>
      <c r="EAV1" s="47"/>
      <c r="EAW1" s="47"/>
      <c r="EAX1" s="47"/>
      <c r="EAY1" s="47"/>
      <c r="EAZ1" s="47"/>
      <c r="EBA1" s="47"/>
      <c r="EBB1" s="47"/>
      <c r="EBC1" s="47"/>
      <c r="EBD1" s="47"/>
      <c r="EBE1" s="47"/>
      <c r="EBF1" s="47"/>
      <c r="EBG1" s="47"/>
      <c r="EBH1" s="47"/>
      <c r="EBI1" s="47"/>
      <c r="EBJ1" s="47"/>
      <c r="EBK1" s="47"/>
      <c r="EBL1" s="47"/>
      <c r="EBM1" s="47"/>
      <c r="EBN1" s="47"/>
      <c r="EBO1" s="47"/>
      <c r="EBP1" s="47"/>
      <c r="EBQ1" s="47"/>
      <c r="EBR1" s="47"/>
      <c r="EBS1" s="47"/>
      <c r="EBT1" s="47"/>
      <c r="EBU1" s="47"/>
      <c r="EBV1" s="47"/>
      <c r="EBW1" s="47"/>
      <c r="EBX1" s="47"/>
      <c r="EBY1" s="47"/>
      <c r="EBZ1" s="47"/>
      <c r="ECA1" s="47"/>
      <c r="ECB1" s="47"/>
      <c r="ECC1" s="47"/>
      <c r="ECD1" s="47"/>
      <c r="ECE1" s="47"/>
      <c r="ECF1" s="47"/>
      <c r="ECG1" s="47"/>
      <c r="ECH1" s="47"/>
      <c r="ECI1" s="47"/>
      <c r="ECJ1" s="47"/>
      <c r="ECK1" s="47"/>
      <c r="ECL1" s="47"/>
      <c r="ECM1" s="47"/>
      <c r="ECN1" s="47"/>
      <c r="ECO1" s="47"/>
      <c r="ECP1" s="47"/>
      <c r="ECQ1" s="47"/>
      <c r="ECR1" s="47"/>
      <c r="ECS1" s="47"/>
      <c r="ECT1" s="47"/>
      <c r="ECU1" s="47"/>
      <c r="ECV1" s="47"/>
      <c r="ECW1" s="47"/>
      <c r="ECX1" s="47"/>
      <c r="ECY1" s="47"/>
      <c r="ECZ1" s="47"/>
      <c r="EDA1" s="47"/>
      <c r="EDB1" s="47"/>
      <c r="EDC1" s="47"/>
      <c r="EDD1" s="47"/>
      <c r="EDE1" s="47"/>
      <c r="EDF1" s="47"/>
      <c r="EDG1" s="47"/>
      <c r="EDH1" s="47"/>
      <c r="EDI1" s="47"/>
      <c r="EDJ1" s="47"/>
      <c r="EDK1" s="47"/>
      <c r="EDL1" s="47"/>
      <c r="EDM1" s="47"/>
      <c r="EDN1" s="47"/>
      <c r="EDO1" s="47"/>
      <c r="EDP1" s="47"/>
      <c r="EDQ1" s="47"/>
      <c r="EDR1" s="47"/>
      <c r="EDS1" s="47"/>
      <c r="EDT1" s="47"/>
      <c r="EDU1" s="47"/>
      <c r="EDV1" s="47"/>
      <c r="EDW1" s="47"/>
      <c r="EDX1" s="47"/>
      <c r="EDY1" s="47"/>
      <c r="EDZ1" s="47"/>
      <c r="EEA1" s="47"/>
      <c r="EEB1" s="47"/>
      <c r="EEC1" s="47"/>
      <c r="EED1" s="47"/>
      <c r="EEE1" s="47"/>
      <c r="EEF1" s="47"/>
      <c r="EEG1" s="47"/>
      <c r="EEH1" s="47"/>
      <c r="EEI1" s="47"/>
      <c r="EEJ1" s="47"/>
      <c r="EEK1" s="47"/>
      <c r="EEL1" s="47"/>
      <c r="EEM1" s="47"/>
      <c r="EEN1" s="47"/>
      <c r="EEO1" s="47"/>
      <c r="EEP1" s="47"/>
      <c r="EEQ1" s="47"/>
      <c r="EER1" s="47"/>
      <c r="EES1" s="47"/>
      <c r="EET1" s="47"/>
      <c r="EEU1" s="47"/>
      <c r="EEV1" s="47"/>
      <c r="EEW1" s="47"/>
      <c r="EEX1" s="47"/>
      <c r="EEY1" s="47"/>
      <c r="EEZ1" s="47"/>
      <c r="EFA1" s="47"/>
      <c r="EFB1" s="47"/>
      <c r="EFC1" s="47"/>
      <c r="EFD1" s="47"/>
      <c r="EFE1" s="47"/>
      <c r="EFF1" s="47"/>
      <c r="EFG1" s="47"/>
      <c r="EFH1" s="47"/>
      <c r="EFI1" s="47"/>
      <c r="EFJ1" s="47"/>
      <c r="EFK1" s="47"/>
      <c r="EFL1" s="47"/>
      <c r="EFM1" s="47"/>
      <c r="EFN1" s="47"/>
      <c r="EFO1" s="47"/>
      <c r="EFP1" s="47"/>
      <c r="EFQ1" s="47"/>
      <c r="EFR1" s="47"/>
      <c r="EFS1" s="47"/>
      <c r="EFT1" s="47"/>
      <c r="EFU1" s="47"/>
      <c r="EFV1" s="47"/>
      <c r="EFW1" s="47"/>
      <c r="EFX1" s="47"/>
      <c r="EFY1" s="47"/>
      <c r="EFZ1" s="47"/>
      <c r="EGA1" s="47"/>
      <c r="EGB1" s="47"/>
      <c r="EGC1" s="47"/>
      <c r="EGD1" s="47"/>
      <c r="EGE1" s="47"/>
      <c r="EGF1" s="47"/>
      <c r="EGG1" s="47"/>
      <c r="EGH1" s="47"/>
      <c r="EGI1" s="47"/>
      <c r="EGJ1" s="47"/>
      <c r="EGK1" s="47"/>
      <c r="EGL1" s="47"/>
      <c r="EGM1" s="47"/>
      <c r="EGN1" s="47"/>
      <c r="EGO1" s="47"/>
      <c r="EGP1" s="47"/>
      <c r="EGQ1" s="47"/>
      <c r="EGR1" s="47"/>
      <c r="EGS1" s="47"/>
      <c r="EGT1" s="47"/>
      <c r="EGU1" s="47"/>
      <c r="EGV1" s="47"/>
      <c r="EGW1" s="47"/>
      <c r="EGX1" s="47"/>
      <c r="EGY1" s="47"/>
      <c r="EGZ1" s="47"/>
      <c r="EHA1" s="47"/>
      <c r="EHB1" s="47"/>
      <c r="EHC1" s="47"/>
      <c r="EHD1" s="47"/>
      <c r="EHE1" s="47"/>
      <c r="EHF1" s="47"/>
      <c r="EHG1" s="47"/>
      <c r="EHH1" s="47"/>
      <c r="EHI1" s="47"/>
      <c r="EHJ1" s="47"/>
      <c r="EHK1" s="47"/>
      <c r="EHL1" s="47"/>
      <c r="EHM1" s="47"/>
      <c r="EHN1" s="47"/>
      <c r="EHO1" s="47"/>
      <c r="EHP1" s="47"/>
      <c r="EHQ1" s="47"/>
      <c r="EHR1" s="47"/>
      <c r="EHS1" s="47"/>
      <c r="EHT1" s="47"/>
      <c r="EHU1" s="47"/>
      <c r="EHV1" s="47"/>
      <c r="EHW1" s="47"/>
      <c r="EHX1" s="47"/>
      <c r="EHY1" s="47"/>
      <c r="EHZ1" s="47"/>
      <c r="EIA1" s="47"/>
      <c r="EIB1" s="47"/>
      <c r="EIC1" s="47"/>
      <c r="EID1" s="47"/>
      <c r="EIE1" s="47"/>
      <c r="EIF1" s="47"/>
      <c r="EIG1" s="47"/>
      <c r="EIH1" s="47"/>
      <c r="EII1" s="47"/>
      <c r="EIJ1" s="47"/>
      <c r="EIK1" s="47"/>
      <c r="EIL1" s="47"/>
      <c r="EIM1" s="47"/>
      <c r="EIN1" s="47"/>
      <c r="EIO1" s="47"/>
      <c r="EIP1" s="47"/>
      <c r="EIQ1" s="47"/>
      <c r="EIR1" s="47"/>
      <c r="EIS1" s="47"/>
      <c r="EIT1" s="47"/>
      <c r="EIU1" s="47"/>
      <c r="EIV1" s="47"/>
      <c r="EIW1" s="47"/>
      <c r="EIX1" s="47"/>
      <c r="EIY1" s="47"/>
      <c r="EIZ1" s="47"/>
      <c r="EJA1" s="47"/>
      <c r="EJB1" s="47"/>
      <c r="EJC1" s="47"/>
      <c r="EJD1" s="47"/>
      <c r="EJE1" s="47"/>
      <c r="EJF1" s="47"/>
      <c r="EJG1" s="47"/>
      <c r="EJH1" s="47"/>
      <c r="EJI1" s="47"/>
      <c r="EJJ1" s="47"/>
      <c r="EJK1" s="47"/>
      <c r="EJL1" s="47"/>
      <c r="EJM1" s="47"/>
      <c r="EJN1" s="47"/>
      <c r="EJO1" s="47"/>
      <c r="EJP1" s="47"/>
      <c r="EJQ1" s="47"/>
      <c r="EJR1" s="47"/>
      <c r="EJS1" s="47"/>
      <c r="EJT1" s="47"/>
      <c r="EJU1" s="47"/>
      <c r="EJV1" s="47"/>
      <c r="EJW1" s="47"/>
      <c r="EJX1" s="47"/>
      <c r="EJY1" s="47"/>
      <c r="EJZ1" s="47"/>
      <c r="EKA1" s="47"/>
      <c r="EKB1" s="47"/>
      <c r="EKC1" s="47"/>
      <c r="EKD1" s="47"/>
      <c r="EKE1" s="47"/>
      <c r="EKF1" s="47"/>
      <c r="EKG1" s="47"/>
      <c r="EKH1" s="47"/>
      <c r="EKI1" s="47"/>
      <c r="EKJ1" s="47"/>
      <c r="EKK1" s="47"/>
      <c r="EKL1" s="47"/>
      <c r="EKM1" s="47"/>
      <c r="EKN1" s="47"/>
      <c r="EKO1" s="47"/>
      <c r="EKP1" s="47"/>
      <c r="EKQ1" s="47"/>
      <c r="EKR1" s="47"/>
      <c r="EKS1" s="47"/>
      <c r="EKT1" s="47"/>
      <c r="EKU1" s="47"/>
      <c r="EKV1" s="47"/>
      <c r="EKW1" s="47"/>
      <c r="EKX1" s="47"/>
      <c r="EKY1" s="47"/>
      <c r="EKZ1" s="47"/>
      <c r="ELA1" s="47"/>
      <c r="ELB1" s="47"/>
      <c r="ELC1" s="47"/>
      <c r="ELD1" s="47"/>
      <c r="ELE1" s="47"/>
      <c r="ELF1" s="47"/>
      <c r="ELG1" s="47"/>
      <c r="ELH1" s="47"/>
      <c r="ELI1" s="47"/>
      <c r="ELJ1" s="47"/>
      <c r="ELK1" s="47"/>
      <c r="ELL1" s="47"/>
      <c r="ELM1" s="47"/>
      <c r="ELN1" s="47"/>
      <c r="ELO1" s="47"/>
      <c r="ELP1" s="47"/>
      <c r="ELQ1" s="47"/>
      <c r="ELR1" s="47"/>
      <c r="ELS1" s="47"/>
      <c r="ELT1" s="47"/>
      <c r="ELU1" s="47"/>
      <c r="ELV1" s="47"/>
      <c r="ELW1" s="47"/>
      <c r="ELX1" s="47"/>
      <c r="ELY1" s="47"/>
      <c r="ELZ1" s="47"/>
      <c r="EMA1" s="47"/>
      <c r="EMB1" s="47"/>
      <c r="EMC1" s="47"/>
      <c r="EMD1" s="47"/>
      <c r="EME1" s="47"/>
      <c r="EMF1" s="47"/>
      <c r="EMG1" s="47"/>
      <c r="EMH1" s="47"/>
      <c r="EMI1" s="47"/>
      <c r="EMJ1" s="47"/>
      <c r="EMK1" s="47"/>
      <c r="EML1" s="47"/>
      <c r="EMM1" s="47"/>
      <c r="EMN1" s="47"/>
      <c r="EMO1" s="47"/>
      <c r="EMP1" s="47"/>
      <c r="EMQ1" s="47"/>
      <c r="EMR1" s="47"/>
      <c r="EMS1" s="47"/>
      <c r="EMT1" s="47"/>
      <c r="EMU1" s="47"/>
      <c r="EMV1" s="47"/>
      <c r="EMW1" s="47"/>
      <c r="EMX1" s="47"/>
      <c r="EMY1" s="47"/>
      <c r="EMZ1" s="47"/>
      <c r="ENA1" s="47"/>
      <c r="ENB1" s="47"/>
      <c r="ENC1" s="47"/>
      <c r="END1" s="47"/>
      <c r="ENE1" s="47"/>
      <c r="ENF1" s="47"/>
      <c r="ENG1" s="47"/>
      <c r="ENH1" s="47"/>
      <c r="ENI1" s="47"/>
      <c r="ENJ1" s="47"/>
      <c r="ENK1" s="47"/>
      <c r="ENL1" s="47"/>
      <c r="ENM1" s="47"/>
      <c r="ENN1" s="47"/>
      <c r="ENO1" s="47"/>
      <c r="ENP1" s="47"/>
      <c r="ENQ1" s="47"/>
      <c r="ENR1" s="47"/>
      <c r="ENS1" s="47"/>
      <c r="ENT1" s="47"/>
      <c r="ENU1" s="47"/>
      <c r="ENV1" s="47"/>
      <c r="ENW1" s="47"/>
      <c r="ENX1" s="47"/>
      <c r="ENY1" s="47"/>
      <c r="ENZ1" s="47"/>
      <c r="EOA1" s="47"/>
      <c r="EOB1" s="47"/>
      <c r="EOC1" s="47"/>
      <c r="EOD1" s="47"/>
      <c r="EOE1" s="47"/>
      <c r="EOF1" s="47"/>
      <c r="EOG1" s="47"/>
      <c r="EOH1" s="47"/>
      <c r="EOI1" s="47"/>
      <c r="EOJ1" s="47"/>
      <c r="EOK1" s="47"/>
      <c r="EOL1" s="47"/>
      <c r="EOM1" s="47"/>
      <c r="EON1" s="47"/>
      <c r="EOO1" s="47"/>
      <c r="EOP1" s="47"/>
      <c r="EOQ1" s="47"/>
      <c r="EOR1" s="47"/>
      <c r="EOS1" s="47"/>
      <c r="EOT1" s="47"/>
      <c r="EOU1" s="47"/>
      <c r="EOV1" s="47"/>
      <c r="EOW1" s="47"/>
      <c r="EOX1" s="47"/>
      <c r="EOY1" s="47"/>
      <c r="EOZ1" s="47"/>
      <c r="EPA1" s="47"/>
      <c r="EPB1" s="47"/>
      <c r="EPC1" s="47"/>
      <c r="EPD1" s="47"/>
      <c r="EPE1" s="47"/>
      <c r="EPF1" s="47"/>
      <c r="EPG1" s="47"/>
      <c r="EPH1" s="47"/>
      <c r="EPI1" s="47"/>
      <c r="EPJ1" s="47"/>
      <c r="EPK1" s="47"/>
      <c r="EPL1" s="47"/>
      <c r="EPM1" s="47"/>
      <c r="EPN1" s="47"/>
      <c r="EPO1" s="47"/>
      <c r="EPP1" s="47"/>
      <c r="EPQ1" s="47"/>
      <c r="EPR1" s="47"/>
      <c r="EPS1" s="47"/>
      <c r="EPT1" s="47"/>
      <c r="EPU1" s="47"/>
      <c r="EPV1" s="47"/>
      <c r="EPW1" s="47"/>
      <c r="EPX1" s="47"/>
      <c r="EPY1" s="47"/>
      <c r="EPZ1" s="47"/>
      <c r="EQA1" s="47"/>
      <c r="EQB1" s="47"/>
      <c r="EQC1" s="47"/>
      <c r="EQD1" s="47"/>
      <c r="EQE1" s="47"/>
      <c r="EQF1" s="47"/>
      <c r="EQG1" s="47"/>
      <c r="EQH1" s="47"/>
      <c r="EQI1" s="47"/>
      <c r="EQJ1" s="47"/>
      <c r="EQK1" s="47"/>
      <c r="EQL1" s="47"/>
      <c r="EQM1" s="47"/>
      <c r="EQN1" s="47"/>
      <c r="EQO1" s="47"/>
      <c r="EQP1" s="47"/>
      <c r="EQQ1" s="47"/>
      <c r="EQR1" s="47"/>
      <c r="EQS1" s="47"/>
      <c r="EQT1" s="47"/>
      <c r="EQU1" s="47"/>
      <c r="EQV1" s="47"/>
      <c r="EQW1" s="47"/>
      <c r="EQX1" s="47"/>
      <c r="EQY1" s="47"/>
      <c r="EQZ1" s="47"/>
      <c r="ERA1" s="47"/>
      <c r="ERB1" s="47"/>
      <c r="ERC1" s="47"/>
      <c r="ERD1" s="47"/>
      <c r="ERE1" s="47"/>
      <c r="ERF1" s="47"/>
      <c r="ERG1" s="47"/>
      <c r="ERH1" s="47"/>
      <c r="ERI1" s="47"/>
      <c r="ERJ1" s="47"/>
      <c r="ERK1" s="47"/>
      <c r="ERL1" s="47"/>
      <c r="ERM1" s="47"/>
      <c r="ERN1" s="47"/>
      <c r="ERO1" s="47"/>
      <c r="ERP1" s="47"/>
      <c r="ERQ1" s="47"/>
      <c r="ERR1" s="47"/>
      <c r="ERS1" s="47"/>
      <c r="ERT1" s="47"/>
      <c r="ERU1" s="47"/>
      <c r="ERV1" s="47"/>
      <c r="ERW1" s="47"/>
      <c r="ERX1" s="47"/>
      <c r="ERY1" s="47"/>
      <c r="ERZ1" s="47"/>
      <c r="ESA1" s="47"/>
      <c r="ESB1" s="47"/>
      <c r="ESC1" s="47"/>
      <c r="ESD1" s="47"/>
      <c r="ESE1" s="47"/>
      <c r="ESF1" s="47"/>
      <c r="ESG1" s="47"/>
      <c r="ESH1" s="47"/>
      <c r="ESI1" s="47"/>
      <c r="ESJ1" s="47"/>
      <c r="ESK1" s="47"/>
      <c r="ESL1" s="47"/>
      <c r="ESM1" s="47"/>
      <c r="ESN1" s="47"/>
      <c r="ESO1" s="47"/>
      <c r="ESP1" s="47"/>
      <c r="ESQ1" s="47"/>
      <c r="ESR1" s="47"/>
      <c r="ESS1" s="47"/>
      <c r="EST1" s="47"/>
      <c r="ESU1" s="47"/>
      <c r="ESV1" s="47"/>
      <c r="ESW1" s="47"/>
      <c r="ESX1" s="47"/>
      <c r="ESY1" s="47"/>
      <c r="ESZ1" s="47"/>
      <c r="ETA1" s="47"/>
      <c r="ETB1" s="47"/>
      <c r="ETC1" s="47"/>
      <c r="ETD1" s="47"/>
      <c r="ETE1" s="47"/>
      <c r="ETF1" s="47"/>
      <c r="ETG1" s="47"/>
      <c r="ETH1" s="47"/>
      <c r="ETI1" s="47"/>
      <c r="ETJ1" s="47"/>
      <c r="ETK1" s="47"/>
      <c r="ETL1" s="47"/>
      <c r="ETM1" s="47"/>
      <c r="ETN1" s="47"/>
      <c r="ETO1" s="47"/>
      <c r="ETP1" s="47"/>
      <c r="ETQ1" s="47"/>
      <c r="ETR1" s="47"/>
      <c r="ETS1" s="47"/>
      <c r="ETT1" s="47"/>
      <c r="ETU1" s="47"/>
      <c r="ETV1" s="47"/>
      <c r="ETW1" s="47"/>
      <c r="ETX1" s="47"/>
      <c r="ETY1" s="47"/>
      <c r="ETZ1" s="47"/>
      <c r="EUA1" s="47"/>
      <c r="EUB1" s="47"/>
      <c r="EUC1" s="47"/>
      <c r="EUD1" s="47"/>
      <c r="EUE1" s="47"/>
      <c r="EUF1" s="47"/>
      <c r="EUG1" s="47"/>
      <c r="EUH1" s="47"/>
      <c r="EUI1" s="47"/>
      <c r="EUJ1" s="47"/>
      <c r="EUK1" s="47"/>
      <c r="EUL1" s="47"/>
      <c r="EUM1" s="47"/>
      <c r="EUN1" s="47"/>
      <c r="EUO1" s="47"/>
      <c r="EUP1" s="47"/>
      <c r="EUQ1" s="47"/>
      <c r="EUR1" s="47"/>
      <c r="EUS1" s="47"/>
      <c r="EUT1" s="47"/>
      <c r="EUU1" s="47"/>
      <c r="EUV1" s="47"/>
      <c r="EUW1" s="47"/>
      <c r="EUX1" s="47"/>
      <c r="EUY1" s="47"/>
      <c r="EUZ1" s="47"/>
      <c r="EVA1" s="47"/>
      <c r="EVB1" s="47"/>
      <c r="EVC1" s="47"/>
      <c r="EVD1" s="47"/>
      <c r="EVE1" s="47"/>
      <c r="EVF1" s="47"/>
      <c r="EVG1" s="47"/>
      <c r="EVH1" s="47"/>
      <c r="EVI1" s="47"/>
      <c r="EVJ1" s="47"/>
      <c r="EVK1" s="47"/>
      <c r="EVL1" s="47"/>
      <c r="EVM1" s="47"/>
      <c r="EVN1" s="47"/>
      <c r="EVO1" s="47"/>
      <c r="EVP1" s="47"/>
      <c r="EVQ1" s="47"/>
      <c r="EVR1" s="47"/>
      <c r="EVS1" s="47"/>
      <c r="EVT1" s="47"/>
      <c r="EVU1" s="47"/>
      <c r="EVV1" s="47"/>
      <c r="EVW1" s="47"/>
      <c r="EVX1" s="47"/>
      <c r="EVY1" s="47"/>
      <c r="EVZ1" s="47"/>
      <c r="EWA1" s="47"/>
      <c r="EWB1" s="47"/>
      <c r="EWC1" s="47"/>
      <c r="EWD1" s="47"/>
      <c r="EWE1" s="47"/>
      <c r="EWF1" s="47"/>
      <c r="EWG1" s="47"/>
      <c r="EWH1" s="47"/>
      <c r="EWI1" s="47"/>
      <c r="EWJ1" s="47"/>
      <c r="EWK1" s="47"/>
      <c r="EWL1" s="47"/>
      <c r="EWM1" s="47"/>
      <c r="EWN1" s="47"/>
      <c r="EWO1" s="47"/>
      <c r="EWP1" s="47"/>
      <c r="EWQ1" s="47"/>
      <c r="EWR1" s="47"/>
      <c r="EWS1" s="47"/>
      <c r="EWT1" s="47"/>
      <c r="EWU1" s="47"/>
      <c r="EWV1" s="47"/>
      <c r="EWW1" s="47"/>
      <c r="EWX1" s="47"/>
      <c r="EWY1" s="47"/>
      <c r="EWZ1" s="47"/>
      <c r="EXA1" s="47"/>
      <c r="EXB1" s="47"/>
      <c r="EXC1" s="47"/>
      <c r="EXD1" s="47"/>
      <c r="EXE1" s="47"/>
      <c r="EXF1" s="47"/>
      <c r="EXG1" s="47"/>
      <c r="EXH1" s="47"/>
      <c r="EXI1" s="47"/>
      <c r="EXJ1" s="47"/>
      <c r="EXK1" s="47"/>
      <c r="EXL1" s="47"/>
      <c r="EXM1" s="47"/>
      <c r="EXN1" s="47"/>
      <c r="EXO1" s="47"/>
      <c r="EXP1" s="47"/>
      <c r="EXQ1" s="47"/>
      <c r="EXR1" s="47"/>
      <c r="EXS1" s="47"/>
      <c r="EXT1" s="47"/>
      <c r="EXU1" s="47"/>
      <c r="EXV1" s="47"/>
      <c r="EXW1" s="47"/>
      <c r="EXX1" s="47"/>
      <c r="EXY1" s="47"/>
      <c r="EXZ1" s="47"/>
      <c r="EYA1" s="47"/>
      <c r="EYB1" s="47"/>
      <c r="EYC1" s="47"/>
      <c r="EYD1" s="47"/>
      <c r="EYE1" s="47"/>
      <c r="EYF1" s="47"/>
      <c r="EYG1" s="47"/>
      <c r="EYH1" s="47"/>
      <c r="EYI1" s="47"/>
      <c r="EYJ1" s="47"/>
      <c r="EYK1" s="47"/>
      <c r="EYL1" s="47"/>
      <c r="EYM1" s="47"/>
      <c r="EYN1" s="47"/>
      <c r="EYO1" s="47"/>
      <c r="EYP1" s="47"/>
      <c r="EYQ1" s="47"/>
      <c r="EYR1" s="47"/>
      <c r="EYS1" s="47"/>
      <c r="EYT1" s="47"/>
      <c r="EYU1" s="47"/>
      <c r="EYV1" s="47"/>
      <c r="EYW1" s="47"/>
      <c r="EYX1" s="47"/>
      <c r="EYY1" s="47"/>
      <c r="EYZ1" s="47"/>
      <c r="EZA1" s="47"/>
      <c r="EZB1" s="47"/>
      <c r="EZC1" s="47"/>
      <c r="EZD1" s="47"/>
      <c r="EZE1" s="47"/>
      <c r="EZF1" s="47"/>
      <c r="EZG1" s="47"/>
      <c r="EZH1" s="47"/>
      <c r="EZI1" s="47"/>
      <c r="EZJ1" s="47"/>
      <c r="EZK1" s="47"/>
      <c r="EZL1" s="47"/>
      <c r="EZM1" s="47"/>
      <c r="EZN1" s="47"/>
      <c r="EZO1" s="47"/>
      <c r="EZP1" s="47"/>
      <c r="EZQ1" s="47"/>
      <c r="EZR1" s="47"/>
      <c r="EZS1" s="47"/>
      <c r="EZT1" s="47"/>
      <c r="EZU1" s="47"/>
      <c r="EZV1" s="47"/>
      <c r="EZW1" s="47"/>
      <c r="EZX1" s="47"/>
      <c r="EZY1" s="47"/>
      <c r="EZZ1" s="47"/>
      <c r="FAA1" s="47"/>
      <c r="FAB1" s="47"/>
      <c r="FAC1" s="47"/>
      <c r="FAD1" s="47"/>
      <c r="FAE1" s="47"/>
      <c r="FAF1" s="47"/>
      <c r="FAG1" s="47"/>
      <c r="FAH1" s="47"/>
      <c r="FAI1" s="47"/>
      <c r="FAJ1" s="47"/>
      <c r="FAK1" s="47"/>
      <c r="FAL1" s="47"/>
      <c r="FAM1" s="47"/>
      <c r="FAN1" s="47"/>
      <c r="FAO1" s="47"/>
      <c r="FAP1" s="47"/>
      <c r="FAQ1" s="47"/>
      <c r="FAR1" s="47"/>
      <c r="FAS1" s="47"/>
      <c r="FAT1" s="47"/>
      <c r="FAU1" s="47"/>
      <c r="FAV1" s="47"/>
      <c r="FAW1" s="47"/>
      <c r="FAX1" s="47"/>
      <c r="FAY1" s="47"/>
      <c r="FAZ1" s="47"/>
      <c r="FBA1" s="47"/>
      <c r="FBB1" s="47"/>
      <c r="FBC1" s="47"/>
      <c r="FBD1" s="47"/>
      <c r="FBE1" s="47"/>
      <c r="FBF1" s="47"/>
      <c r="FBG1" s="47"/>
      <c r="FBH1" s="47"/>
      <c r="FBI1" s="47"/>
      <c r="FBJ1" s="47"/>
      <c r="FBK1" s="47"/>
      <c r="FBL1" s="47"/>
      <c r="FBM1" s="47"/>
      <c r="FBN1" s="47"/>
      <c r="FBO1" s="47"/>
      <c r="FBP1" s="47"/>
      <c r="FBQ1" s="47"/>
      <c r="FBR1" s="47"/>
      <c r="FBS1" s="47"/>
      <c r="FBT1" s="47"/>
      <c r="FBU1" s="47"/>
      <c r="FBV1" s="47"/>
      <c r="FBW1" s="47"/>
      <c r="FBX1" s="47"/>
      <c r="FBY1" s="47"/>
      <c r="FBZ1" s="47"/>
      <c r="FCA1" s="47"/>
      <c r="FCB1" s="47"/>
      <c r="FCC1" s="47"/>
      <c r="FCD1" s="47"/>
      <c r="FCE1" s="47"/>
      <c r="FCF1" s="47"/>
      <c r="FCG1" s="47"/>
      <c r="FCH1" s="47"/>
      <c r="FCI1" s="47"/>
      <c r="FCJ1" s="47"/>
      <c r="FCK1" s="47"/>
      <c r="FCL1" s="47"/>
      <c r="FCM1" s="47"/>
      <c r="FCN1" s="47"/>
      <c r="FCO1" s="47"/>
      <c r="FCP1" s="47"/>
      <c r="FCQ1" s="47"/>
      <c r="FCR1" s="47"/>
      <c r="FCS1" s="47"/>
      <c r="FCT1" s="47"/>
      <c r="FCU1" s="47"/>
      <c r="FCV1" s="47"/>
      <c r="FCW1" s="47"/>
      <c r="FCX1" s="47"/>
      <c r="FCY1" s="47"/>
      <c r="FCZ1" s="47"/>
      <c r="FDA1" s="47"/>
      <c r="FDB1" s="47"/>
      <c r="FDC1" s="47"/>
      <c r="FDD1" s="47"/>
      <c r="FDE1" s="47"/>
      <c r="FDF1" s="47"/>
      <c r="FDG1" s="47"/>
      <c r="FDH1" s="47"/>
      <c r="FDI1" s="47"/>
      <c r="FDJ1" s="47"/>
      <c r="FDK1" s="47"/>
      <c r="FDL1" s="47"/>
      <c r="FDM1" s="47"/>
      <c r="FDN1" s="47"/>
      <c r="FDO1" s="47"/>
      <c r="FDP1" s="47"/>
      <c r="FDQ1" s="47"/>
      <c r="FDR1" s="47"/>
      <c r="FDS1" s="47"/>
      <c r="FDT1" s="47"/>
      <c r="FDU1" s="47"/>
      <c r="FDV1" s="47"/>
      <c r="FDW1" s="47"/>
      <c r="FDX1" s="47"/>
      <c r="FDY1" s="47"/>
      <c r="FDZ1" s="47"/>
      <c r="FEA1" s="47"/>
      <c r="FEB1" s="47"/>
      <c r="FEC1" s="47"/>
      <c r="FED1" s="47"/>
      <c r="FEE1" s="47"/>
      <c r="FEF1" s="47"/>
      <c r="FEG1" s="47"/>
      <c r="FEH1" s="47"/>
      <c r="FEI1" s="47"/>
      <c r="FEJ1" s="47"/>
      <c r="FEK1" s="47"/>
      <c r="FEL1" s="47"/>
      <c r="FEM1" s="47"/>
      <c r="FEN1" s="47"/>
      <c r="FEO1" s="47"/>
      <c r="FEP1" s="47"/>
      <c r="FEQ1" s="47"/>
      <c r="FER1" s="47"/>
      <c r="FES1" s="47"/>
      <c r="FET1" s="47"/>
      <c r="FEU1" s="47"/>
      <c r="FEV1" s="47"/>
      <c r="FEW1" s="47"/>
      <c r="FEX1" s="47"/>
      <c r="FEY1" s="47"/>
      <c r="FEZ1" s="47"/>
      <c r="FFA1" s="47"/>
      <c r="FFB1" s="47"/>
      <c r="FFC1" s="47"/>
      <c r="FFD1" s="47"/>
      <c r="FFE1" s="47"/>
      <c r="FFF1" s="47"/>
      <c r="FFG1" s="47"/>
      <c r="FFH1" s="47"/>
      <c r="FFI1" s="47"/>
      <c r="FFJ1" s="47"/>
      <c r="FFK1" s="47"/>
      <c r="FFL1" s="47"/>
      <c r="FFM1" s="47"/>
      <c r="FFN1" s="47"/>
      <c r="FFO1" s="47"/>
      <c r="FFP1" s="47"/>
      <c r="FFQ1" s="47"/>
      <c r="FFR1" s="47"/>
      <c r="FFS1" s="47"/>
      <c r="FFT1" s="47"/>
      <c r="FFU1" s="47"/>
      <c r="FFV1" s="47"/>
      <c r="FFW1" s="47"/>
      <c r="FFX1" s="47"/>
      <c r="FFY1" s="47"/>
      <c r="FFZ1" s="47"/>
      <c r="FGA1" s="47"/>
      <c r="FGB1" s="47"/>
      <c r="FGC1" s="47"/>
      <c r="FGD1" s="47"/>
      <c r="FGE1" s="47"/>
      <c r="FGF1" s="47"/>
      <c r="FGG1" s="47"/>
      <c r="FGH1" s="47"/>
      <c r="FGI1" s="47"/>
      <c r="FGJ1" s="47"/>
      <c r="FGK1" s="47"/>
      <c r="FGL1" s="47"/>
      <c r="FGM1" s="47"/>
      <c r="FGN1" s="47"/>
      <c r="FGO1" s="47"/>
      <c r="FGP1" s="47"/>
      <c r="FGQ1" s="47"/>
      <c r="FGR1" s="47"/>
      <c r="FGS1" s="47"/>
      <c r="FGT1" s="47"/>
      <c r="FGU1" s="47"/>
      <c r="FGV1" s="47"/>
      <c r="FGW1" s="47"/>
      <c r="FGX1" s="47"/>
      <c r="FGY1" s="47"/>
      <c r="FGZ1" s="47"/>
      <c r="FHA1" s="47"/>
      <c r="FHB1" s="47"/>
      <c r="FHC1" s="47"/>
      <c r="FHD1" s="47"/>
      <c r="FHE1" s="47"/>
      <c r="FHF1" s="47"/>
      <c r="FHG1" s="47"/>
      <c r="FHH1" s="47"/>
      <c r="FHI1" s="47"/>
      <c r="FHJ1" s="47"/>
      <c r="FHK1" s="47"/>
      <c r="FHL1" s="47"/>
      <c r="FHM1" s="47"/>
      <c r="FHN1" s="47"/>
      <c r="FHO1" s="47"/>
      <c r="FHP1" s="47"/>
      <c r="FHQ1" s="47"/>
      <c r="FHR1" s="47"/>
      <c r="FHS1" s="47"/>
      <c r="FHT1" s="47"/>
      <c r="FHU1" s="47"/>
      <c r="FHV1" s="47"/>
      <c r="FHW1" s="47"/>
      <c r="FHX1" s="47"/>
      <c r="FHY1" s="47"/>
      <c r="FHZ1" s="47"/>
      <c r="FIA1" s="47"/>
      <c r="FIB1" s="47"/>
      <c r="FIC1" s="47"/>
      <c r="FID1" s="47"/>
      <c r="FIE1" s="47"/>
      <c r="FIF1" s="47"/>
      <c r="FIG1" s="47"/>
      <c r="FIH1" s="47"/>
      <c r="FII1" s="47"/>
      <c r="FIJ1" s="47"/>
      <c r="FIK1" s="47"/>
      <c r="FIL1" s="47"/>
      <c r="FIM1" s="47"/>
      <c r="FIN1" s="47"/>
      <c r="FIO1" s="47"/>
      <c r="FIP1" s="47"/>
      <c r="FIQ1" s="47"/>
      <c r="FIR1" s="47"/>
      <c r="FIS1" s="47"/>
      <c r="FIT1" s="47"/>
      <c r="FIU1" s="47"/>
      <c r="FIV1" s="47"/>
      <c r="FIW1" s="47"/>
      <c r="FIX1" s="47"/>
      <c r="FIY1" s="47"/>
      <c r="FIZ1" s="47"/>
      <c r="FJA1" s="47"/>
      <c r="FJB1" s="47"/>
      <c r="FJC1" s="47"/>
      <c r="FJD1" s="47"/>
      <c r="FJE1" s="47"/>
      <c r="FJF1" s="47"/>
      <c r="FJG1" s="47"/>
      <c r="FJH1" s="47"/>
      <c r="FJI1" s="47"/>
      <c r="FJJ1" s="47"/>
      <c r="FJK1" s="47"/>
      <c r="FJL1" s="47"/>
      <c r="FJM1" s="47"/>
      <c r="FJN1" s="47"/>
      <c r="FJO1" s="47"/>
      <c r="FJP1" s="47"/>
      <c r="FJQ1" s="47"/>
      <c r="FJR1" s="47"/>
      <c r="FJS1" s="47"/>
      <c r="FJT1" s="47"/>
      <c r="FJU1" s="47"/>
      <c r="FJV1" s="47"/>
      <c r="FJW1" s="47"/>
      <c r="FJX1" s="47"/>
      <c r="FJY1" s="47"/>
      <c r="FJZ1" s="47"/>
      <c r="FKA1" s="47"/>
      <c r="FKB1" s="47"/>
      <c r="FKC1" s="47"/>
      <c r="FKD1" s="47"/>
      <c r="FKE1" s="47"/>
      <c r="FKF1" s="47"/>
      <c r="FKG1" s="47"/>
      <c r="FKH1" s="47"/>
      <c r="FKI1" s="47"/>
      <c r="FKJ1" s="47"/>
      <c r="FKK1" s="47"/>
      <c r="FKL1" s="47"/>
      <c r="FKM1" s="47"/>
      <c r="FKN1" s="47"/>
      <c r="FKO1" s="47"/>
      <c r="FKP1" s="47"/>
      <c r="FKQ1" s="47"/>
      <c r="FKR1" s="47"/>
      <c r="FKS1" s="47"/>
      <c r="FKT1" s="47"/>
      <c r="FKU1" s="47"/>
      <c r="FKV1" s="47"/>
      <c r="FKW1" s="47"/>
      <c r="FKX1" s="47"/>
      <c r="FKY1" s="47"/>
      <c r="FKZ1" s="47"/>
      <c r="FLA1" s="47"/>
      <c r="FLB1" s="47"/>
      <c r="FLC1" s="47"/>
      <c r="FLD1" s="47"/>
      <c r="FLE1" s="47"/>
      <c r="FLF1" s="47"/>
      <c r="FLG1" s="47"/>
      <c r="FLH1" s="47"/>
      <c r="FLI1" s="47"/>
      <c r="FLJ1" s="47"/>
      <c r="FLK1" s="47"/>
      <c r="FLL1" s="47"/>
      <c r="FLM1" s="47"/>
      <c r="FLN1" s="47"/>
      <c r="FLO1" s="47"/>
      <c r="FLP1" s="47"/>
      <c r="FLQ1" s="47"/>
      <c r="FLR1" s="47"/>
      <c r="FLS1" s="47"/>
      <c r="FLT1" s="47"/>
      <c r="FLU1" s="47"/>
      <c r="FLV1" s="47"/>
      <c r="FLW1" s="47"/>
      <c r="FLX1" s="47"/>
      <c r="FLY1" s="47"/>
      <c r="FLZ1" s="47"/>
      <c r="FMA1" s="47"/>
      <c r="FMB1" s="47"/>
      <c r="FMC1" s="47"/>
      <c r="FMD1" s="47"/>
      <c r="FME1" s="47"/>
      <c r="FMF1" s="47"/>
      <c r="FMG1" s="47"/>
      <c r="FMH1" s="47"/>
      <c r="FMI1" s="47"/>
      <c r="FMJ1" s="47"/>
      <c r="FMK1" s="47"/>
      <c r="FML1" s="47"/>
      <c r="FMM1" s="47"/>
      <c r="FMN1" s="47"/>
      <c r="FMO1" s="47"/>
      <c r="FMP1" s="47"/>
      <c r="FMQ1" s="47"/>
      <c r="FMR1" s="47"/>
      <c r="FMS1" s="47"/>
      <c r="FMT1" s="47"/>
      <c r="FMU1" s="47"/>
      <c r="FMV1" s="47"/>
      <c r="FMW1" s="47"/>
      <c r="FMX1" s="47"/>
      <c r="FMY1" s="47"/>
      <c r="FMZ1" s="47"/>
      <c r="FNA1" s="47"/>
      <c r="FNB1" s="47"/>
      <c r="FNC1" s="47"/>
      <c r="FND1" s="47"/>
      <c r="FNE1" s="47"/>
      <c r="FNF1" s="47"/>
      <c r="FNG1" s="47"/>
      <c r="FNH1" s="47"/>
      <c r="FNI1" s="47"/>
      <c r="FNJ1" s="47"/>
      <c r="FNK1" s="47"/>
      <c r="FNL1" s="47"/>
      <c r="FNM1" s="47"/>
      <c r="FNN1" s="47"/>
      <c r="FNO1" s="47"/>
      <c r="FNP1" s="47"/>
      <c r="FNQ1" s="47"/>
      <c r="FNR1" s="47"/>
      <c r="FNS1" s="47"/>
      <c r="FNT1" s="47"/>
      <c r="FNU1" s="47"/>
      <c r="FNV1" s="47"/>
      <c r="FNW1" s="47"/>
      <c r="FNX1" s="47"/>
      <c r="FNY1" s="47"/>
      <c r="FNZ1" s="47"/>
      <c r="FOA1" s="47"/>
      <c r="FOB1" s="47"/>
      <c r="FOC1" s="47"/>
      <c r="FOD1" s="47"/>
      <c r="FOE1" s="47"/>
      <c r="FOF1" s="47"/>
      <c r="FOG1" s="47"/>
      <c r="FOH1" s="47"/>
      <c r="FOI1" s="47"/>
      <c r="FOJ1" s="47"/>
      <c r="FOK1" s="47"/>
      <c r="FOL1" s="47"/>
      <c r="FOM1" s="47"/>
      <c r="FON1" s="47"/>
      <c r="FOO1" s="47"/>
      <c r="FOP1" s="47"/>
      <c r="FOQ1" s="47"/>
      <c r="FOR1" s="47"/>
      <c r="FOS1" s="47"/>
      <c r="FOT1" s="47"/>
      <c r="FOU1" s="47"/>
      <c r="FOV1" s="47"/>
      <c r="FOW1" s="47"/>
      <c r="FOX1" s="47"/>
      <c r="FOY1" s="47"/>
      <c r="FOZ1" s="47"/>
      <c r="FPA1" s="47"/>
      <c r="FPB1" s="47"/>
      <c r="FPC1" s="47"/>
      <c r="FPD1" s="47"/>
      <c r="FPE1" s="47"/>
      <c r="FPF1" s="47"/>
      <c r="FPG1" s="47"/>
      <c r="FPH1" s="47"/>
      <c r="FPI1" s="47"/>
      <c r="FPJ1" s="47"/>
      <c r="FPK1" s="47"/>
      <c r="FPL1" s="47"/>
      <c r="FPM1" s="47"/>
      <c r="FPN1" s="47"/>
      <c r="FPO1" s="47"/>
      <c r="FPP1" s="47"/>
      <c r="FPQ1" s="47"/>
      <c r="FPR1" s="47"/>
      <c r="FPS1" s="47"/>
      <c r="FPT1" s="47"/>
      <c r="FPU1" s="47"/>
      <c r="FPV1" s="47"/>
      <c r="FPW1" s="47"/>
      <c r="FPX1" s="47"/>
      <c r="FPY1" s="47"/>
      <c r="FPZ1" s="47"/>
      <c r="FQA1" s="47"/>
      <c r="FQB1" s="47"/>
      <c r="FQC1" s="47"/>
      <c r="FQD1" s="47"/>
      <c r="FQE1" s="47"/>
      <c r="FQF1" s="47"/>
      <c r="FQG1" s="47"/>
      <c r="FQH1" s="47"/>
      <c r="FQI1" s="47"/>
      <c r="FQJ1" s="47"/>
      <c r="FQK1" s="47"/>
      <c r="FQL1" s="47"/>
      <c r="FQM1" s="47"/>
      <c r="FQN1" s="47"/>
      <c r="FQO1" s="47"/>
      <c r="FQP1" s="47"/>
      <c r="FQQ1" s="47"/>
      <c r="FQR1" s="47"/>
      <c r="FQS1" s="47"/>
      <c r="FQT1" s="47"/>
      <c r="FQU1" s="47"/>
      <c r="FQV1" s="47"/>
      <c r="FQW1" s="47"/>
      <c r="FQX1" s="47"/>
      <c r="FQY1" s="47"/>
      <c r="FQZ1" s="47"/>
      <c r="FRA1" s="47"/>
      <c r="FRB1" s="47"/>
      <c r="FRC1" s="47"/>
      <c r="FRD1" s="47"/>
      <c r="FRE1" s="47"/>
      <c r="FRF1" s="47"/>
      <c r="FRG1" s="47"/>
      <c r="FRH1" s="47"/>
      <c r="FRI1" s="47"/>
      <c r="FRJ1" s="47"/>
      <c r="FRK1" s="47"/>
      <c r="FRL1" s="47"/>
      <c r="FRM1" s="47"/>
      <c r="FRN1" s="47"/>
      <c r="FRO1" s="47"/>
      <c r="FRP1" s="47"/>
      <c r="FRQ1" s="47"/>
      <c r="FRR1" s="47"/>
      <c r="FRS1" s="47"/>
      <c r="FRT1" s="47"/>
      <c r="FRU1" s="47"/>
      <c r="FRV1" s="47"/>
      <c r="FRW1" s="47"/>
      <c r="FRX1" s="47"/>
      <c r="FRY1" s="47"/>
      <c r="FRZ1" s="47"/>
      <c r="FSA1" s="47"/>
      <c r="FSB1" s="47"/>
      <c r="FSC1" s="47"/>
      <c r="FSD1" s="47"/>
      <c r="FSE1" s="47"/>
      <c r="FSF1" s="47"/>
      <c r="FSG1" s="47"/>
      <c r="FSH1" s="47"/>
      <c r="FSI1" s="47"/>
      <c r="FSJ1" s="47"/>
      <c r="FSK1" s="47"/>
      <c r="FSL1" s="47"/>
      <c r="FSM1" s="47"/>
      <c r="FSN1" s="47"/>
      <c r="FSO1" s="47"/>
      <c r="FSP1" s="47"/>
      <c r="FSQ1" s="47"/>
      <c r="FSR1" s="47"/>
      <c r="FSS1" s="47"/>
      <c r="FST1" s="47"/>
      <c r="FSU1" s="47"/>
      <c r="FSV1" s="47"/>
      <c r="FSW1" s="47"/>
      <c r="FSX1" s="47"/>
      <c r="FSY1" s="47"/>
      <c r="FSZ1" s="47"/>
      <c r="FTA1" s="47"/>
      <c r="FTB1" s="47"/>
      <c r="FTC1" s="47"/>
      <c r="FTD1" s="47"/>
      <c r="FTE1" s="47"/>
      <c r="FTF1" s="47"/>
      <c r="FTG1" s="47"/>
      <c r="FTH1" s="47"/>
      <c r="FTI1" s="47"/>
      <c r="FTJ1" s="47"/>
      <c r="FTK1" s="47"/>
      <c r="FTL1" s="47"/>
      <c r="FTM1" s="47"/>
      <c r="FTN1" s="47"/>
      <c r="FTO1" s="47"/>
      <c r="FTP1" s="47"/>
      <c r="FTQ1" s="47"/>
      <c r="FTR1" s="47"/>
      <c r="FTS1" s="47"/>
      <c r="FTT1" s="47"/>
      <c r="FTU1" s="47"/>
      <c r="FTV1" s="47"/>
      <c r="FTW1" s="47"/>
      <c r="FTX1" s="47"/>
      <c r="FTY1" s="47"/>
      <c r="FTZ1" s="47"/>
      <c r="FUA1" s="47"/>
      <c r="FUB1" s="47"/>
      <c r="FUC1" s="47"/>
      <c r="FUD1" s="47"/>
      <c r="FUE1" s="47"/>
      <c r="FUF1" s="47"/>
      <c r="FUG1" s="47"/>
      <c r="FUH1" s="47"/>
      <c r="FUI1" s="47"/>
      <c r="FUJ1" s="47"/>
      <c r="FUK1" s="47"/>
      <c r="FUL1" s="47"/>
      <c r="FUM1" s="47"/>
      <c r="FUN1" s="47"/>
      <c r="FUO1" s="47"/>
      <c r="FUP1" s="47"/>
      <c r="FUQ1" s="47"/>
      <c r="FUR1" s="47"/>
      <c r="FUS1" s="47"/>
      <c r="FUT1" s="47"/>
      <c r="FUU1" s="47"/>
      <c r="FUV1" s="47"/>
      <c r="FUW1" s="47"/>
      <c r="FUX1" s="47"/>
      <c r="FUY1" s="47"/>
      <c r="FUZ1" s="47"/>
      <c r="FVA1" s="47"/>
      <c r="FVB1" s="47"/>
      <c r="FVC1" s="47"/>
      <c r="FVD1" s="47"/>
      <c r="FVE1" s="47"/>
      <c r="FVF1" s="47"/>
      <c r="FVG1" s="47"/>
      <c r="FVH1" s="47"/>
      <c r="FVI1" s="47"/>
      <c r="FVJ1" s="47"/>
      <c r="FVK1" s="47"/>
      <c r="FVL1" s="47"/>
      <c r="FVM1" s="47"/>
      <c r="FVN1" s="47"/>
      <c r="FVO1" s="47"/>
      <c r="FVP1" s="47"/>
      <c r="FVQ1" s="47"/>
      <c r="FVR1" s="47"/>
      <c r="FVS1" s="47"/>
      <c r="FVT1" s="47"/>
      <c r="FVU1" s="47"/>
      <c r="FVV1" s="47"/>
      <c r="FVW1" s="47"/>
      <c r="FVX1" s="47"/>
      <c r="FVY1" s="47"/>
      <c r="FVZ1" s="47"/>
      <c r="FWA1" s="47"/>
      <c r="FWB1" s="47"/>
      <c r="FWC1" s="47"/>
      <c r="FWD1" s="47"/>
      <c r="FWE1" s="47"/>
      <c r="FWF1" s="47"/>
      <c r="FWG1" s="47"/>
      <c r="FWH1" s="47"/>
      <c r="FWI1" s="47"/>
      <c r="FWJ1" s="47"/>
      <c r="FWK1" s="47"/>
      <c r="FWL1" s="47"/>
      <c r="FWM1" s="47"/>
      <c r="FWN1" s="47"/>
      <c r="FWO1" s="47"/>
      <c r="FWP1" s="47"/>
      <c r="FWQ1" s="47"/>
      <c r="FWR1" s="47"/>
      <c r="FWS1" s="47"/>
      <c r="FWT1" s="47"/>
      <c r="FWU1" s="47"/>
      <c r="FWV1" s="47"/>
      <c r="FWW1" s="47"/>
      <c r="FWX1" s="47"/>
      <c r="FWY1" s="47"/>
      <c r="FWZ1" s="47"/>
      <c r="FXA1" s="47"/>
      <c r="FXB1" s="47"/>
      <c r="FXC1" s="47"/>
      <c r="FXD1" s="47"/>
      <c r="FXE1" s="47"/>
      <c r="FXF1" s="47"/>
      <c r="FXG1" s="47"/>
      <c r="FXH1" s="47"/>
      <c r="FXI1" s="47"/>
      <c r="FXJ1" s="47"/>
      <c r="FXK1" s="47"/>
      <c r="FXL1" s="47"/>
      <c r="FXM1" s="47"/>
      <c r="FXN1" s="47"/>
      <c r="FXO1" s="47"/>
      <c r="FXP1" s="47"/>
      <c r="FXQ1" s="47"/>
      <c r="FXR1" s="47"/>
      <c r="FXS1" s="47"/>
      <c r="FXT1" s="47"/>
      <c r="FXU1" s="47"/>
      <c r="FXV1" s="47"/>
      <c r="FXW1" s="47"/>
      <c r="FXX1" s="47"/>
      <c r="FXY1" s="47"/>
      <c r="FXZ1" s="47"/>
      <c r="FYA1" s="47"/>
      <c r="FYB1" s="47"/>
      <c r="FYC1" s="47"/>
      <c r="FYD1" s="47"/>
      <c r="FYE1" s="47"/>
      <c r="FYF1" s="47"/>
      <c r="FYG1" s="47"/>
      <c r="FYH1" s="47"/>
      <c r="FYI1" s="47"/>
      <c r="FYJ1" s="47"/>
      <c r="FYK1" s="47"/>
      <c r="FYL1" s="47"/>
      <c r="FYM1" s="47"/>
      <c r="FYN1" s="47"/>
      <c r="FYO1" s="47"/>
      <c r="FYP1" s="47"/>
      <c r="FYQ1" s="47"/>
      <c r="FYR1" s="47"/>
      <c r="FYS1" s="47"/>
      <c r="FYT1" s="47"/>
      <c r="FYU1" s="47"/>
      <c r="FYV1" s="47"/>
      <c r="FYW1" s="47"/>
      <c r="FYX1" s="47"/>
      <c r="FYY1" s="47"/>
      <c r="FYZ1" s="47"/>
      <c r="FZA1" s="47"/>
      <c r="FZB1" s="47"/>
      <c r="FZC1" s="47"/>
      <c r="FZD1" s="47"/>
      <c r="FZE1" s="47"/>
      <c r="FZF1" s="47"/>
      <c r="FZG1" s="47"/>
      <c r="FZH1" s="47"/>
      <c r="FZI1" s="47"/>
      <c r="FZJ1" s="47"/>
      <c r="FZK1" s="47"/>
      <c r="FZL1" s="47"/>
      <c r="FZM1" s="47"/>
      <c r="FZN1" s="47"/>
      <c r="FZO1" s="47"/>
      <c r="FZP1" s="47"/>
      <c r="FZQ1" s="47"/>
      <c r="FZR1" s="47"/>
      <c r="FZS1" s="47"/>
      <c r="FZT1" s="47"/>
      <c r="FZU1" s="47"/>
      <c r="FZV1" s="47"/>
      <c r="FZW1" s="47"/>
      <c r="FZX1" s="47"/>
      <c r="FZY1" s="47"/>
      <c r="FZZ1" s="47"/>
      <c r="GAA1" s="47"/>
      <c r="GAB1" s="47"/>
      <c r="GAC1" s="47"/>
      <c r="GAD1" s="47"/>
      <c r="GAE1" s="47"/>
      <c r="GAF1" s="47"/>
      <c r="GAG1" s="47"/>
      <c r="GAH1" s="47"/>
      <c r="GAI1" s="47"/>
      <c r="GAJ1" s="47"/>
      <c r="GAK1" s="47"/>
      <c r="GAL1" s="47"/>
      <c r="GAM1" s="47"/>
      <c r="GAN1" s="47"/>
      <c r="GAO1" s="47"/>
      <c r="GAP1" s="47"/>
      <c r="GAQ1" s="47"/>
      <c r="GAR1" s="47"/>
      <c r="GAS1" s="47"/>
      <c r="GAT1" s="47"/>
      <c r="GAU1" s="47"/>
      <c r="GAV1" s="47"/>
      <c r="GAW1" s="47"/>
      <c r="GAX1" s="47"/>
      <c r="GAY1" s="47"/>
      <c r="GAZ1" s="47"/>
      <c r="GBA1" s="47"/>
      <c r="GBB1" s="47"/>
      <c r="GBC1" s="47"/>
      <c r="GBD1" s="47"/>
      <c r="GBE1" s="47"/>
      <c r="GBF1" s="47"/>
      <c r="GBG1" s="47"/>
      <c r="GBH1" s="47"/>
      <c r="GBI1" s="47"/>
      <c r="GBJ1" s="47"/>
      <c r="GBK1" s="47"/>
      <c r="GBL1" s="47"/>
      <c r="GBM1" s="47"/>
      <c r="GBN1" s="47"/>
      <c r="GBO1" s="47"/>
      <c r="GBP1" s="47"/>
      <c r="GBQ1" s="47"/>
      <c r="GBR1" s="47"/>
      <c r="GBS1" s="47"/>
      <c r="GBT1" s="47"/>
      <c r="GBU1" s="47"/>
      <c r="GBV1" s="47"/>
      <c r="GBW1" s="47"/>
      <c r="GBX1" s="47"/>
      <c r="GBY1" s="47"/>
      <c r="GBZ1" s="47"/>
      <c r="GCA1" s="47"/>
      <c r="GCB1" s="47"/>
      <c r="GCC1" s="47"/>
      <c r="GCD1" s="47"/>
      <c r="GCE1" s="47"/>
      <c r="GCF1" s="47"/>
      <c r="GCG1" s="47"/>
      <c r="GCH1" s="47"/>
      <c r="GCI1" s="47"/>
      <c r="GCJ1" s="47"/>
      <c r="GCK1" s="47"/>
      <c r="GCL1" s="47"/>
      <c r="GCM1" s="47"/>
      <c r="GCN1" s="47"/>
      <c r="GCO1" s="47"/>
      <c r="GCP1" s="47"/>
      <c r="GCQ1" s="47"/>
      <c r="GCR1" s="47"/>
      <c r="GCS1" s="47"/>
      <c r="GCT1" s="47"/>
      <c r="GCU1" s="47"/>
      <c r="GCV1" s="47"/>
      <c r="GCW1" s="47"/>
      <c r="GCX1" s="47"/>
      <c r="GCY1" s="47"/>
      <c r="GCZ1" s="47"/>
      <c r="GDA1" s="47"/>
      <c r="GDB1" s="47"/>
      <c r="GDC1" s="47"/>
      <c r="GDD1" s="47"/>
      <c r="GDE1" s="47"/>
      <c r="GDF1" s="47"/>
      <c r="GDG1" s="47"/>
      <c r="GDH1" s="47"/>
      <c r="GDI1" s="47"/>
      <c r="GDJ1" s="47"/>
      <c r="GDK1" s="47"/>
      <c r="GDL1" s="47"/>
      <c r="GDM1" s="47"/>
      <c r="GDN1" s="47"/>
      <c r="GDO1" s="47"/>
      <c r="GDP1" s="47"/>
      <c r="GDQ1" s="47"/>
      <c r="GDR1" s="47"/>
      <c r="GDS1" s="47"/>
      <c r="GDT1" s="47"/>
      <c r="GDU1" s="47"/>
      <c r="GDV1" s="47"/>
      <c r="GDW1" s="47"/>
      <c r="GDX1" s="47"/>
      <c r="GDY1" s="47"/>
      <c r="GDZ1" s="47"/>
      <c r="GEA1" s="47"/>
      <c r="GEB1" s="47"/>
      <c r="GEC1" s="47"/>
      <c r="GED1" s="47"/>
      <c r="GEE1" s="47"/>
      <c r="GEF1" s="47"/>
      <c r="GEG1" s="47"/>
      <c r="GEH1" s="47"/>
      <c r="GEI1" s="47"/>
      <c r="GEJ1" s="47"/>
      <c r="GEK1" s="47"/>
      <c r="GEL1" s="47"/>
      <c r="GEM1" s="47"/>
      <c r="GEN1" s="47"/>
      <c r="GEO1" s="47"/>
      <c r="GEP1" s="47"/>
      <c r="GEQ1" s="47"/>
      <c r="GER1" s="47"/>
      <c r="GES1" s="47"/>
      <c r="GET1" s="47"/>
      <c r="GEU1" s="47"/>
      <c r="GEV1" s="47"/>
      <c r="GEW1" s="47"/>
      <c r="GEX1" s="47"/>
      <c r="GEY1" s="47"/>
      <c r="GEZ1" s="47"/>
      <c r="GFA1" s="47"/>
      <c r="GFB1" s="47"/>
      <c r="GFC1" s="47"/>
      <c r="GFD1" s="47"/>
      <c r="GFE1" s="47"/>
      <c r="GFF1" s="47"/>
      <c r="GFG1" s="47"/>
      <c r="GFH1" s="47"/>
      <c r="GFI1" s="47"/>
      <c r="GFJ1" s="47"/>
      <c r="GFK1" s="47"/>
      <c r="GFL1" s="47"/>
      <c r="GFM1" s="47"/>
      <c r="GFN1" s="47"/>
      <c r="GFO1" s="47"/>
      <c r="GFP1" s="47"/>
      <c r="GFQ1" s="47"/>
      <c r="GFR1" s="47"/>
      <c r="GFS1" s="47"/>
      <c r="GFT1" s="47"/>
      <c r="GFU1" s="47"/>
      <c r="GFV1" s="47"/>
      <c r="GFW1" s="47"/>
      <c r="GFX1" s="47"/>
      <c r="GFY1" s="47"/>
      <c r="GFZ1" s="47"/>
      <c r="GGA1" s="47"/>
      <c r="GGB1" s="47"/>
      <c r="GGC1" s="47"/>
      <c r="GGD1" s="47"/>
      <c r="GGE1" s="47"/>
      <c r="GGF1" s="47"/>
      <c r="GGG1" s="47"/>
      <c r="GGH1" s="47"/>
      <c r="GGI1" s="47"/>
      <c r="GGJ1" s="47"/>
      <c r="GGK1" s="47"/>
      <c r="GGL1" s="47"/>
      <c r="GGM1" s="47"/>
      <c r="GGN1" s="47"/>
      <c r="GGO1" s="47"/>
      <c r="GGP1" s="47"/>
      <c r="GGQ1" s="47"/>
      <c r="GGR1" s="47"/>
      <c r="GGS1" s="47"/>
      <c r="GGT1" s="47"/>
      <c r="GGU1" s="47"/>
      <c r="GGV1" s="47"/>
      <c r="GGW1" s="47"/>
      <c r="GGX1" s="47"/>
      <c r="GGY1" s="47"/>
      <c r="GGZ1" s="47"/>
      <c r="GHA1" s="47"/>
      <c r="GHB1" s="47"/>
      <c r="GHC1" s="47"/>
      <c r="GHD1" s="47"/>
      <c r="GHE1" s="47"/>
      <c r="GHF1" s="47"/>
      <c r="GHG1" s="47"/>
      <c r="GHH1" s="47"/>
      <c r="GHI1" s="47"/>
      <c r="GHJ1" s="47"/>
      <c r="GHK1" s="47"/>
      <c r="GHL1" s="47"/>
      <c r="GHM1" s="47"/>
      <c r="GHN1" s="47"/>
      <c r="GHO1" s="47"/>
      <c r="GHP1" s="47"/>
      <c r="GHQ1" s="47"/>
      <c r="GHR1" s="47"/>
      <c r="GHS1" s="47"/>
      <c r="GHT1" s="47"/>
      <c r="GHU1" s="47"/>
      <c r="GHV1" s="47"/>
      <c r="GHW1" s="47"/>
      <c r="GHX1" s="47"/>
      <c r="GHY1" s="47"/>
      <c r="GHZ1" s="47"/>
      <c r="GIA1" s="47"/>
      <c r="GIB1" s="47"/>
      <c r="GIC1" s="47"/>
      <c r="GID1" s="47"/>
      <c r="GIE1" s="47"/>
      <c r="GIF1" s="47"/>
      <c r="GIG1" s="47"/>
      <c r="GIH1" s="47"/>
      <c r="GII1" s="47"/>
      <c r="GIJ1" s="47"/>
      <c r="GIK1" s="47"/>
      <c r="GIL1" s="47"/>
      <c r="GIM1" s="47"/>
      <c r="GIN1" s="47"/>
      <c r="GIO1" s="47"/>
      <c r="GIP1" s="47"/>
      <c r="GIQ1" s="47"/>
      <c r="GIR1" s="47"/>
      <c r="GIS1" s="47"/>
      <c r="GIT1" s="47"/>
      <c r="GIU1" s="47"/>
      <c r="GIV1" s="47"/>
      <c r="GIW1" s="47"/>
      <c r="GIX1" s="47"/>
      <c r="GIY1" s="47"/>
      <c r="GIZ1" s="47"/>
      <c r="GJA1" s="47"/>
      <c r="GJB1" s="47"/>
      <c r="GJC1" s="47"/>
      <c r="GJD1" s="47"/>
      <c r="GJE1" s="47"/>
      <c r="GJF1" s="47"/>
      <c r="GJG1" s="47"/>
      <c r="GJH1" s="47"/>
      <c r="GJI1" s="47"/>
      <c r="GJJ1" s="47"/>
      <c r="GJK1" s="47"/>
      <c r="GJL1" s="47"/>
      <c r="GJM1" s="47"/>
      <c r="GJN1" s="47"/>
      <c r="GJO1" s="47"/>
      <c r="GJP1" s="47"/>
      <c r="GJQ1" s="47"/>
      <c r="GJR1" s="47"/>
      <c r="GJS1" s="47"/>
      <c r="GJT1" s="47"/>
      <c r="GJU1" s="47"/>
      <c r="GJV1" s="47"/>
      <c r="GJW1" s="47"/>
      <c r="GJX1" s="47"/>
      <c r="GJY1" s="47"/>
      <c r="GJZ1" s="47"/>
      <c r="GKA1" s="47"/>
      <c r="GKB1" s="47"/>
      <c r="GKC1" s="47"/>
      <c r="GKD1" s="47"/>
      <c r="GKE1" s="47"/>
      <c r="GKF1" s="47"/>
      <c r="GKG1" s="47"/>
      <c r="GKH1" s="47"/>
      <c r="GKI1" s="47"/>
      <c r="GKJ1" s="47"/>
      <c r="GKK1" s="47"/>
      <c r="GKL1" s="47"/>
      <c r="GKM1" s="47"/>
      <c r="GKN1" s="47"/>
      <c r="GKO1" s="47"/>
      <c r="GKP1" s="47"/>
      <c r="GKQ1" s="47"/>
      <c r="GKR1" s="47"/>
      <c r="GKS1" s="47"/>
      <c r="GKT1" s="47"/>
      <c r="GKU1" s="47"/>
      <c r="GKV1" s="47"/>
      <c r="GKW1" s="47"/>
      <c r="GKX1" s="47"/>
      <c r="GKY1" s="47"/>
      <c r="GKZ1" s="47"/>
      <c r="GLA1" s="47"/>
      <c r="GLB1" s="47"/>
      <c r="GLC1" s="47"/>
      <c r="GLD1" s="47"/>
      <c r="GLE1" s="47"/>
      <c r="GLF1" s="47"/>
      <c r="GLG1" s="47"/>
      <c r="GLH1" s="47"/>
      <c r="GLI1" s="47"/>
      <c r="GLJ1" s="47"/>
      <c r="GLK1" s="47"/>
      <c r="GLL1" s="47"/>
      <c r="GLM1" s="47"/>
      <c r="GLN1" s="47"/>
      <c r="GLO1" s="47"/>
      <c r="GLP1" s="47"/>
      <c r="GLQ1" s="47"/>
      <c r="GLR1" s="47"/>
      <c r="GLS1" s="47"/>
      <c r="GLT1" s="47"/>
      <c r="GLU1" s="47"/>
      <c r="GLV1" s="47"/>
      <c r="GLW1" s="47"/>
      <c r="GLX1" s="47"/>
      <c r="GLY1" s="47"/>
      <c r="GLZ1" s="47"/>
      <c r="GMA1" s="47"/>
      <c r="GMB1" s="47"/>
      <c r="GMC1" s="47"/>
      <c r="GMD1" s="47"/>
      <c r="GME1" s="47"/>
      <c r="GMF1" s="47"/>
      <c r="GMG1" s="47"/>
      <c r="GMH1" s="47"/>
      <c r="GMI1" s="47"/>
      <c r="GMJ1" s="47"/>
      <c r="GMK1" s="47"/>
      <c r="GML1" s="47"/>
      <c r="GMM1" s="47"/>
      <c r="GMN1" s="47"/>
      <c r="GMO1" s="47"/>
      <c r="GMP1" s="47"/>
      <c r="GMQ1" s="47"/>
      <c r="GMR1" s="47"/>
      <c r="GMS1" s="47"/>
      <c r="GMT1" s="47"/>
      <c r="GMU1" s="47"/>
      <c r="GMV1" s="47"/>
      <c r="GMW1" s="47"/>
      <c r="GMX1" s="47"/>
      <c r="GMY1" s="47"/>
      <c r="GMZ1" s="47"/>
      <c r="GNA1" s="47"/>
      <c r="GNB1" s="47"/>
      <c r="GNC1" s="47"/>
      <c r="GND1" s="47"/>
      <c r="GNE1" s="47"/>
      <c r="GNF1" s="47"/>
      <c r="GNG1" s="47"/>
      <c r="GNH1" s="47"/>
      <c r="GNI1" s="47"/>
      <c r="GNJ1" s="47"/>
      <c r="GNK1" s="47"/>
      <c r="GNL1" s="47"/>
      <c r="GNM1" s="47"/>
      <c r="GNN1" s="47"/>
      <c r="GNO1" s="47"/>
      <c r="GNP1" s="47"/>
      <c r="GNQ1" s="47"/>
      <c r="GNR1" s="47"/>
      <c r="GNS1" s="47"/>
      <c r="GNT1" s="47"/>
      <c r="GNU1" s="47"/>
      <c r="GNV1" s="47"/>
      <c r="GNW1" s="47"/>
      <c r="GNX1" s="47"/>
      <c r="GNY1" s="47"/>
      <c r="GNZ1" s="47"/>
      <c r="GOA1" s="47"/>
      <c r="GOB1" s="47"/>
      <c r="GOC1" s="47"/>
      <c r="GOD1" s="47"/>
      <c r="GOE1" s="47"/>
      <c r="GOF1" s="47"/>
      <c r="GOG1" s="47"/>
      <c r="GOH1" s="47"/>
      <c r="GOI1" s="47"/>
      <c r="GOJ1" s="47"/>
      <c r="GOK1" s="47"/>
      <c r="GOL1" s="47"/>
      <c r="GOM1" s="47"/>
      <c r="GON1" s="47"/>
      <c r="GOO1" s="47"/>
      <c r="GOP1" s="47"/>
      <c r="GOQ1" s="47"/>
      <c r="GOR1" s="47"/>
      <c r="GOS1" s="47"/>
      <c r="GOT1" s="47"/>
      <c r="GOU1" s="47"/>
      <c r="GOV1" s="47"/>
      <c r="GOW1" s="47"/>
      <c r="GOX1" s="47"/>
      <c r="GOY1" s="47"/>
      <c r="GOZ1" s="47"/>
      <c r="GPA1" s="47"/>
      <c r="GPB1" s="47"/>
      <c r="GPC1" s="47"/>
      <c r="GPD1" s="47"/>
      <c r="GPE1" s="47"/>
      <c r="GPF1" s="47"/>
      <c r="GPG1" s="47"/>
      <c r="GPH1" s="47"/>
      <c r="GPI1" s="47"/>
      <c r="GPJ1" s="47"/>
      <c r="GPK1" s="47"/>
      <c r="GPL1" s="47"/>
      <c r="GPM1" s="47"/>
      <c r="GPN1" s="47"/>
      <c r="GPO1" s="47"/>
      <c r="GPP1" s="47"/>
      <c r="GPQ1" s="47"/>
      <c r="GPR1" s="47"/>
      <c r="GPS1" s="47"/>
      <c r="GPT1" s="47"/>
      <c r="GPU1" s="47"/>
      <c r="GPV1" s="47"/>
      <c r="GPW1" s="47"/>
      <c r="GPX1" s="47"/>
      <c r="GPY1" s="47"/>
      <c r="GPZ1" s="47"/>
      <c r="GQA1" s="47"/>
      <c r="GQB1" s="47"/>
      <c r="GQC1" s="47"/>
      <c r="GQD1" s="47"/>
      <c r="GQE1" s="47"/>
      <c r="GQF1" s="47"/>
      <c r="GQG1" s="47"/>
      <c r="GQH1" s="47"/>
      <c r="GQI1" s="47"/>
      <c r="GQJ1" s="47"/>
      <c r="GQK1" s="47"/>
      <c r="GQL1" s="47"/>
      <c r="GQM1" s="47"/>
      <c r="GQN1" s="47"/>
      <c r="GQO1" s="47"/>
      <c r="GQP1" s="47"/>
      <c r="GQQ1" s="47"/>
      <c r="GQR1" s="47"/>
      <c r="GQS1" s="47"/>
      <c r="GQT1" s="47"/>
      <c r="GQU1" s="47"/>
      <c r="GQV1" s="47"/>
      <c r="GQW1" s="47"/>
      <c r="GQX1" s="47"/>
      <c r="GQY1" s="47"/>
      <c r="GQZ1" s="47"/>
      <c r="GRA1" s="47"/>
      <c r="GRB1" s="47"/>
      <c r="GRC1" s="47"/>
      <c r="GRD1" s="47"/>
      <c r="GRE1" s="47"/>
      <c r="GRF1" s="47"/>
      <c r="GRG1" s="47"/>
      <c r="GRH1" s="47"/>
      <c r="GRI1" s="47"/>
      <c r="GRJ1" s="47"/>
      <c r="GRK1" s="47"/>
      <c r="GRL1" s="47"/>
      <c r="GRM1" s="47"/>
      <c r="GRN1" s="47"/>
      <c r="GRO1" s="47"/>
      <c r="GRP1" s="47"/>
      <c r="GRQ1" s="47"/>
      <c r="GRR1" s="47"/>
      <c r="GRS1" s="47"/>
      <c r="GRT1" s="47"/>
      <c r="GRU1" s="47"/>
      <c r="GRV1" s="47"/>
      <c r="GRW1" s="47"/>
      <c r="GRX1" s="47"/>
      <c r="GRY1" s="47"/>
      <c r="GRZ1" s="47"/>
      <c r="GSA1" s="47"/>
      <c r="GSB1" s="47"/>
      <c r="GSC1" s="47"/>
      <c r="GSD1" s="47"/>
      <c r="GSE1" s="47"/>
      <c r="GSF1" s="47"/>
      <c r="GSG1" s="47"/>
      <c r="GSH1" s="47"/>
      <c r="GSI1" s="47"/>
      <c r="GSJ1" s="47"/>
      <c r="GSK1" s="47"/>
      <c r="GSL1" s="47"/>
      <c r="GSM1" s="47"/>
      <c r="GSN1" s="47"/>
      <c r="GSO1" s="47"/>
      <c r="GSP1" s="47"/>
      <c r="GSQ1" s="47"/>
      <c r="GSR1" s="47"/>
      <c r="GSS1" s="47"/>
      <c r="GST1" s="47"/>
      <c r="GSU1" s="47"/>
      <c r="GSV1" s="47"/>
      <c r="GSW1" s="47"/>
      <c r="GSX1" s="47"/>
      <c r="GSY1" s="47"/>
      <c r="GSZ1" s="47"/>
      <c r="GTA1" s="47"/>
      <c r="GTB1" s="47"/>
      <c r="GTC1" s="47"/>
      <c r="GTD1" s="47"/>
      <c r="GTE1" s="47"/>
      <c r="GTF1" s="47"/>
      <c r="GTG1" s="47"/>
      <c r="GTH1" s="47"/>
      <c r="GTI1" s="47"/>
      <c r="GTJ1" s="47"/>
      <c r="GTK1" s="47"/>
      <c r="GTL1" s="47"/>
      <c r="GTM1" s="47"/>
      <c r="GTN1" s="47"/>
      <c r="GTO1" s="47"/>
      <c r="GTP1" s="47"/>
      <c r="GTQ1" s="47"/>
      <c r="GTR1" s="47"/>
      <c r="GTS1" s="47"/>
      <c r="GTT1" s="47"/>
      <c r="GTU1" s="47"/>
      <c r="GTV1" s="47"/>
      <c r="GTW1" s="47"/>
      <c r="GTX1" s="47"/>
      <c r="GTY1" s="47"/>
      <c r="GTZ1" s="47"/>
      <c r="GUA1" s="47"/>
      <c r="GUB1" s="47"/>
      <c r="GUC1" s="47"/>
      <c r="GUD1" s="47"/>
      <c r="GUE1" s="47"/>
      <c r="GUF1" s="47"/>
      <c r="GUG1" s="47"/>
      <c r="GUH1" s="47"/>
      <c r="GUI1" s="47"/>
      <c r="GUJ1" s="47"/>
      <c r="GUK1" s="47"/>
      <c r="GUL1" s="47"/>
      <c r="GUM1" s="47"/>
      <c r="GUN1" s="47"/>
      <c r="GUO1" s="47"/>
      <c r="GUP1" s="47"/>
      <c r="GUQ1" s="47"/>
      <c r="GUR1" s="47"/>
      <c r="GUS1" s="47"/>
      <c r="GUT1" s="47"/>
      <c r="GUU1" s="47"/>
      <c r="GUV1" s="47"/>
      <c r="GUW1" s="47"/>
      <c r="GUX1" s="47"/>
      <c r="GUY1" s="47"/>
      <c r="GUZ1" s="47"/>
      <c r="GVA1" s="47"/>
      <c r="GVB1" s="47"/>
      <c r="GVC1" s="47"/>
      <c r="GVD1" s="47"/>
      <c r="GVE1" s="47"/>
      <c r="GVF1" s="47"/>
      <c r="GVG1" s="47"/>
      <c r="GVH1" s="47"/>
      <c r="GVI1" s="47"/>
      <c r="GVJ1" s="47"/>
      <c r="GVK1" s="47"/>
      <c r="GVL1" s="47"/>
      <c r="GVM1" s="47"/>
      <c r="GVN1" s="47"/>
      <c r="GVO1" s="47"/>
      <c r="GVP1" s="47"/>
      <c r="GVQ1" s="47"/>
      <c r="GVR1" s="47"/>
      <c r="GVS1" s="47"/>
      <c r="GVT1" s="47"/>
      <c r="GVU1" s="47"/>
      <c r="GVV1" s="47"/>
      <c r="GVW1" s="47"/>
      <c r="GVX1" s="47"/>
      <c r="GVY1" s="47"/>
      <c r="GVZ1" s="47"/>
      <c r="GWA1" s="47"/>
      <c r="GWB1" s="47"/>
      <c r="GWC1" s="47"/>
      <c r="GWD1" s="47"/>
      <c r="GWE1" s="47"/>
      <c r="GWF1" s="47"/>
      <c r="GWG1" s="47"/>
      <c r="GWH1" s="47"/>
      <c r="GWI1" s="47"/>
      <c r="GWJ1" s="47"/>
      <c r="GWK1" s="47"/>
      <c r="GWL1" s="47"/>
      <c r="GWM1" s="47"/>
      <c r="GWN1" s="47"/>
      <c r="GWO1" s="47"/>
      <c r="GWP1" s="47"/>
      <c r="GWQ1" s="47"/>
      <c r="GWR1" s="47"/>
      <c r="GWS1" s="47"/>
      <c r="GWT1" s="47"/>
      <c r="GWU1" s="47"/>
      <c r="GWV1" s="47"/>
      <c r="GWW1" s="47"/>
      <c r="GWX1" s="47"/>
      <c r="GWY1" s="47"/>
      <c r="GWZ1" s="47"/>
      <c r="GXA1" s="47"/>
      <c r="GXB1" s="47"/>
      <c r="GXC1" s="47"/>
      <c r="GXD1" s="47"/>
      <c r="GXE1" s="47"/>
      <c r="GXF1" s="47"/>
      <c r="GXG1" s="47"/>
      <c r="GXH1" s="47"/>
      <c r="GXI1" s="47"/>
      <c r="GXJ1" s="47"/>
      <c r="GXK1" s="47"/>
      <c r="GXL1" s="47"/>
      <c r="GXM1" s="47"/>
      <c r="GXN1" s="47"/>
      <c r="GXO1" s="47"/>
      <c r="GXP1" s="47"/>
      <c r="GXQ1" s="47"/>
      <c r="GXR1" s="47"/>
      <c r="GXS1" s="47"/>
      <c r="GXT1" s="47"/>
      <c r="GXU1" s="47"/>
      <c r="GXV1" s="47"/>
      <c r="GXW1" s="47"/>
      <c r="GXX1" s="47"/>
      <c r="GXY1" s="47"/>
      <c r="GXZ1" s="47"/>
      <c r="GYA1" s="47"/>
      <c r="GYB1" s="47"/>
      <c r="GYC1" s="47"/>
      <c r="GYD1" s="47"/>
      <c r="GYE1" s="47"/>
      <c r="GYF1" s="47"/>
      <c r="GYG1" s="47"/>
      <c r="GYH1" s="47"/>
      <c r="GYI1" s="47"/>
      <c r="GYJ1" s="47"/>
      <c r="GYK1" s="47"/>
      <c r="GYL1" s="47"/>
      <c r="GYM1" s="47"/>
      <c r="GYN1" s="47"/>
      <c r="GYO1" s="47"/>
      <c r="GYP1" s="47"/>
      <c r="GYQ1" s="47"/>
      <c r="GYR1" s="47"/>
      <c r="GYS1" s="47"/>
      <c r="GYT1" s="47"/>
      <c r="GYU1" s="47"/>
      <c r="GYV1" s="47"/>
      <c r="GYW1" s="47"/>
      <c r="GYX1" s="47"/>
      <c r="GYY1" s="47"/>
      <c r="GYZ1" s="47"/>
      <c r="GZA1" s="47"/>
      <c r="GZB1" s="47"/>
      <c r="GZC1" s="47"/>
      <c r="GZD1" s="47"/>
      <c r="GZE1" s="47"/>
      <c r="GZF1" s="47"/>
      <c r="GZG1" s="47"/>
      <c r="GZH1" s="47"/>
      <c r="GZI1" s="47"/>
      <c r="GZJ1" s="47"/>
      <c r="GZK1" s="47"/>
      <c r="GZL1" s="47"/>
      <c r="GZM1" s="47"/>
      <c r="GZN1" s="47"/>
      <c r="GZO1" s="47"/>
      <c r="GZP1" s="47"/>
      <c r="GZQ1" s="47"/>
      <c r="GZR1" s="47"/>
      <c r="GZS1" s="47"/>
      <c r="GZT1" s="47"/>
      <c r="GZU1" s="47"/>
      <c r="GZV1" s="47"/>
      <c r="GZW1" s="47"/>
      <c r="GZX1" s="47"/>
      <c r="GZY1" s="47"/>
      <c r="GZZ1" s="47"/>
      <c r="HAA1" s="47"/>
      <c r="HAB1" s="47"/>
      <c r="HAC1" s="47"/>
      <c r="HAD1" s="47"/>
      <c r="HAE1" s="47"/>
      <c r="HAF1" s="47"/>
      <c r="HAG1" s="47"/>
      <c r="HAH1" s="47"/>
      <c r="HAI1" s="47"/>
      <c r="HAJ1" s="47"/>
      <c r="HAK1" s="47"/>
      <c r="HAL1" s="47"/>
      <c r="HAM1" s="47"/>
      <c r="HAN1" s="47"/>
      <c r="HAO1" s="47"/>
      <c r="HAP1" s="47"/>
      <c r="HAQ1" s="47"/>
      <c r="HAR1" s="47"/>
      <c r="HAS1" s="47"/>
      <c r="HAT1" s="47"/>
      <c r="HAU1" s="47"/>
      <c r="HAV1" s="47"/>
      <c r="HAW1" s="47"/>
      <c r="HAX1" s="47"/>
      <c r="HAY1" s="47"/>
      <c r="HAZ1" s="47"/>
      <c r="HBA1" s="47"/>
      <c r="HBB1" s="47"/>
      <c r="HBC1" s="47"/>
      <c r="HBD1" s="47"/>
      <c r="HBE1" s="47"/>
      <c r="HBF1" s="47"/>
      <c r="HBG1" s="47"/>
      <c r="HBH1" s="47"/>
      <c r="HBI1" s="47"/>
      <c r="HBJ1" s="47"/>
      <c r="HBK1" s="47"/>
      <c r="HBL1" s="47"/>
      <c r="HBM1" s="47"/>
      <c r="HBN1" s="47"/>
      <c r="HBO1" s="47"/>
      <c r="HBP1" s="47"/>
      <c r="HBQ1" s="47"/>
      <c r="HBR1" s="47"/>
      <c r="HBS1" s="47"/>
      <c r="HBT1" s="47"/>
      <c r="HBU1" s="47"/>
      <c r="HBV1" s="47"/>
      <c r="HBW1" s="47"/>
      <c r="HBX1" s="47"/>
      <c r="HBY1" s="47"/>
      <c r="HBZ1" s="47"/>
      <c r="HCA1" s="47"/>
      <c r="HCB1" s="47"/>
      <c r="HCC1" s="47"/>
      <c r="HCD1" s="47"/>
      <c r="HCE1" s="47"/>
      <c r="HCF1" s="47"/>
      <c r="HCG1" s="47"/>
      <c r="HCH1" s="47"/>
      <c r="HCI1" s="47"/>
      <c r="HCJ1" s="47"/>
      <c r="HCK1" s="47"/>
      <c r="HCL1" s="47"/>
      <c r="HCM1" s="47"/>
      <c r="HCN1" s="47"/>
      <c r="HCO1" s="47"/>
      <c r="HCP1" s="47"/>
      <c r="HCQ1" s="47"/>
      <c r="HCR1" s="47"/>
      <c r="HCS1" s="47"/>
      <c r="HCT1" s="47"/>
      <c r="HCU1" s="47"/>
      <c r="HCV1" s="47"/>
      <c r="HCW1" s="47"/>
      <c r="HCX1" s="47"/>
      <c r="HCY1" s="47"/>
      <c r="HCZ1" s="47"/>
      <c r="HDA1" s="47"/>
      <c r="HDB1" s="47"/>
      <c r="HDC1" s="47"/>
      <c r="HDD1" s="47"/>
      <c r="HDE1" s="47"/>
      <c r="HDF1" s="47"/>
      <c r="HDG1" s="47"/>
      <c r="HDH1" s="47"/>
      <c r="HDI1" s="47"/>
      <c r="HDJ1" s="47"/>
      <c r="HDK1" s="47"/>
      <c r="HDL1" s="47"/>
      <c r="HDM1" s="47"/>
      <c r="HDN1" s="47"/>
      <c r="HDO1" s="47"/>
      <c r="HDP1" s="47"/>
      <c r="HDQ1" s="47"/>
      <c r="HDR1" s="47"/>
      <c r="HDS1" s="47"/>
      <c r="HDT1" s="47"/>
      <c r="HDU1" s="47"/>
      <c r="HDV1" s="47"/>
      <c r="HDW1" s="47"/>
      <c r="HDX1" s="47"/>
      <c r="HDY1" s="47"/>
      <c r="HDZ1" s="47"/>
      <c r="HEA1" s="47"/>
      <c r="HEB1" s="47"/>
      <c r="HEC1" s="47"/>
      <c r="HED1" s="47"/>
      <c r="HEE1" s="47"/>
      <c r="HEF1" s="47"/>
      <c r="HEG1" s="47"/>
      <c r="HEH1" s="47"/>
      <c r="HEI1" s="47"/>
      <c r="HEJ1" s="47"/>
      <c r="HEK1" s="47"/>
      <c r="HEL1" s="47"/>
      <c r="HEM1" s="47"/>
      <c r="HEN1" s="47"/>
      <c r="HEO1" s="47"/>
      <c r="HEP1" s="47"/>
      <c r="HEQ1" s="47"/>
      <c r="HER1" s="47"/>
      <c r="HES1" s="47"/>
      <c r="HET1" s="47"/>
      <c r="HEU1" s="47"/>
      <c r="HEV1" s="47"/>
      <c r="HEW1" s="47"/>
      <c r="HEX1" s="47"/>
      <c r="HEY1" s="47"/>
      <c r="HEZ1" s="47"/>
      <c r="HFA1" s="47"/>
      <c r="HFB1" s="47"/>
      <c r="HFC1" s="47"/>
      <c r="HFD1" s="47"/>
      <c r="HFE1" s="47"/>
      <c r="HFF1" s="47"/>
      <c r="HFG1" s="47"/>
      <c r="HFH1" s="47"/>
      <c r="HFI1" s="47"/>
      <c r="HFJ1" s="47"/>
      <c r="HFK1" s="47"/>
      <c r="HFL1" s="47"/>
      <c r="HFM1" s="47"/>
      <c r="HFN1" s="47"/>
      <c r="HFO1" s="47"/>
      <c r="HFP1" s="47"/>
      <c r="HFQ1" s="47"/>
      <c r="HFR1" s="47"/>
      <c r="HFS1" s="47"/>
      <c r="HFT1" s="47"/>
      <c r="HFU1" s="47"/>
      <c r="HFV1" s="47"/>
      <c r="HFW1" s="47"/>
      <c r="HFX1" s="47"/>
      <c r="HFY1" s="47"/>
      <c r="HFZ1" s="47"/>
      <c r="HGA1" s="47"/>
      <c r="HGB1" s="47"/>
      <c r="HGC1" s="47"/>
      <c r="HGD1" s="47"/>
      <c r="HGE1" s="47"/>
      <c r="HGF1" s="47"/>
      <c r="HGG1" s="47"/>
      <c r="HGH1" s="47"/>
      <c r="HGI1" s="47"/>
      <c r="HGJ1" s="47"/>
      <c r="HGK1" s="47"/>
      <c r="HGL1" s="47"/>
      <c r="HGM1" s="47"/>
      <c r="HGN1" s="47"/>
      <c r="HGO1" s="47"/>
      <c r="HGP1" s="47"/>
      <c r="HGQ1" s="47"/>
      <c r="HGR1" s="47"/>
      <c r="HGS1" s="47"/>
      <c r="HGT1" s="47"/>
      <c r="HGU1" s="47"/>
      <c r="HGV1" s="47"/>
      <c r="HGW1" s="47"/>
      <c r="HGX1" s="47"/>
      <c r="HGY1" s="47"/>
      <c r="HGZ1" s="47"/>
      <c r="HHA1" s="47"/>
      <c r="HHB1" s="47"/>
      <c r="HHC1" s="47"/>
      <c r="HHD1" s="47"/>
      <c r="HHE1" s="47"/>
      <c r="HHF1" s="47"/>
      <c r="HHG1" s="47"/>
      <c r="HHH1" s="47"/>
      <c r="HHI1" s="47"/>
      <c r="HHJ1" s="47"/>
      <c r="HHK1" s="47"/>
      <c r="HHL1" s="47"/>
      <c r="HHM1" s="47"/>
      <c r="HHN1" s="47"/>
      <c r="HHO1" s="47"/>
      <c r="HHP1" s="47"/>
      <c r="HHQ1" s="47"/>
      <c r="HHR1" s="47"/>
      <c r="HHS1" s="47"/>
      <c r="HHT1" s="47"/>
      <c r="HHU1" s="47"/>
      <c r="HHV1" s="47"/>
      <c r="HHW1" s="47"/>
      <c r="HHX1" s="47"/>
      <c r="HHY1" s="47"/>
      <c r="HHZ1" s="47"/>
      <c r="HIA1" s="47"/>
      <c r="HIB1" s="47"/>
      <c r="HIC1" s="47"/>
      <c r="HID1" s="47"/>
      <c r="HIE1" s="47"/>
      <c r="HIF1" s="47"/>
      <c r="HIG1" s="47"/>
      <c r="HIH1" s="47"/>
      <c r="HII1" s="47"/>
      <c r="HIJ1" s="47"/>
      <c r="HIK1" s="47"/>
      <c r="HIL1" s="47"/>
      <c r="HIM1" s="47"/>
      <c r="HIN1" s="47"/>
      <c r="HIO1" s="47"/>
      <c r="HIP1" s="47"/>
      <c r="HIQ1" s="47"/>
      <c r="HIR1" s="47"/>
      <c r="HIS1" s="47"/>
      <c r="HIT1" s="47"/>
      <c r="HIU1" s="47"/>
      <c r="HIV1" s="47"/>
      <c r="HIW1" s="47"/>
      <c r="HIX1" s="47"/>
      <c r="HIY1" s="47"/>
      <c r="HIZ1" s="47"/>
      <c r="HJA1" s="47"/>
      <c r="HJB1" s="47"/>
      <c r="HJC1" s="47"/>
      <c r="HJD1" s="47"/>
      <c r="HJE1" s="47"/>
      <c r="HJF1" s="47"/>
      <c r="HJG1" s="47"/>
      <c r="HJH1" s="47"/>
      <c r="HJI1" s="47"/>
      <c r="HJJ1" s="47"/>
      <c r="HJK1" s="47"/>
      <c r="HJL1" s="47"/>
      <c r="HJM1" s="47"/>
      <c r="HJN1" s="47"/>
      <c r="HJO1" s="47"/>
      <c r="HJP1" s="47"/>
      <c r="HJQ1" s="47"/>
      <c r="HJR1" s="47"/>
      <c r="HJS1" s="47"/>
      <c r="HJT1" s="47"/>
      <c r="HJU1" s="47"/>
      <c r="HJV1" s="47"/>
      <c r="HJW1" s="47"/>
      <c r="HJX1" s="47"/>
      <c r="HJY1" s="47"/>
      <c r="HJZ1" s="47"/>
      <c r="HKA1" s="47"/>
      <c r="HKB1" s="47"/>
      <c r="HKC1" s="47"/>
      <c r="HKD1" s="47"/>
      <c r="HKE1" s="47"/>
      <c r="HKF1" s="47"/>
      <c r="HKG1" s="47"/>
      <c r="HKH1" s="47"/>
      <c r="HKI1" s="47"/>
      <c r="HKJ1" s="47"/>
      <c r="HKK1" s="47"/>
      <c r="HKL1" s="47"/>
      <c r="HKM1" s="47"/>
      <c r="HKN1" s="47"/>
      <c r="HKO1" s="47"/>
      <c r="HKP1" s="47"/>
      <c r="HKQ1" s="47"/>
      <c r="HKR1" s="47"/>
      <c r="HKS1" s="47"/>
      <c r="HKT1" s="47"/>
      <c r="HKU1" s="47"/>
      <c r="HKV1" s="47"/>
      <c r="HKW1" s="47"/>
      <c r="HKX1" s="47"/>
      <c r="HKY1" s="47"/>
      <c r="HKZ1" s="47"/>
      <c r="HLA1" s="47"/>
      <c r="HLB1" s="47"/>
      <c r="HLC1" s="47"/>
      <c r="HLD1" s="47"/>
      <c r="HLE1" s="47"/>
      <c r="HLF1" s="47"/>
      <c r="HLG1" s="47"/>
      <c r="HLH1" s="47"/>
      <c r="HLI1" s="47"/>
      <c r="HLJ1" s="47"/>
      <c r="HLK1" s="47"/>
      <c r="HLL1" s="47"/>
      <c r="HLM1" s="47"/>
      <c r="HLN1" s="47"/>
      <c r="HLO1" s="47"/>
      <c r="HLP1" s="47"/>
      <c r="HLQ1" s="47"/>
      <c r="HLR1" s="47"/>
      <c r="HLS1" s="47"/>
      <c r="HLT1" s="47"/>
      <c r="HLU1" s="47"/>
      <c r="HLV1" s="47"/>
      <c r="HLW1" s="47"/>
      <c r="HLX1" s="47"/>
      <c r="HLY1" s="47"/>
      <c r="HLZ1" s="47"/>
      <c r="HMA1" s="47"/>
      <c r="HMB1" s="47"/>
      <c r="HMC1" s="47"/>
      <c r="HMD1" s="47"/>
      <c r="HME1" s="47"/>
      <c r="HMF1" s="47"/>
      <c r="HMG1" s="47"/>
      <c r="HMH1" s="47"/>
      <c r="HMI1" s="47"/>
      <c r="HMJ1" s="47"/>
      <c r="HMK1" s="47"/>
      <c r="HML1" s="47"/>
      <c r="HMM1" s="47"/>
      <c r="HMN1" s="47"/>
      <c r="HMO1" s="47"/>
      <c r="HMP1" s="47"/>
      <c r="HMQ1" s="47"/>
      <c r="HMR1" s="47"/>
      <c r="HMS1" s="47"/>
      <c r="HMT1" s="47"/>
      <c r="HMU1" s="47"/>
      <c r="HMV1" s="47"/>
      <c r="HMW1" s="47"/>
      <c r="HMX1" s="47"/>
      <c r="HMY1" s="47"/>
      <c r="HMZ1" s="47"/>
      <c r="HNA1" s="47"/>
      <c r="HNB1" s="47"/>
      <c r="HNC1" s="47"/>
      <c r="HND1" s="47"/>
      <c r="HNE1" s="47"/>
      <c r="HNF1" s="47"/>
      <c r="HNG1" s="47"/>
      <c r="HNH1" s="47"/>
      <c r="HNI1" s="47"/>
      <c r="HNJ1" s="47"/>
      <c r="HNK1" s="47"/>
      <c r="HNL1" s="47"/>
      <c r="HNM1" s="47"/>
      <c r="HNN1" s="47"/>
      <c r="HNO1" s="47"/>
      <c r="HNP1" s="47"/>
      <c r="HNQ1" s="47"/>
      <c r="HNR1" s="47"/>
      <c r="HNS1" s="47"/>
      <c r="HNT1" s="47"/>
      <c r="HNU1" s="47"/>
      <c r="HNV1" s="47"/>
      <c r="HNW1" s="47"/>
      <c r="HNX1" s="47"/>
      <c r="HNY1" s="47"/>
      <c r="HNZ1" s="47"/>
      <c r="HOA1" s="47"/>
      <c r="HOB1" s="47"/>
      <c r="HOC1" s="47"/>
      <c r="HOD1" s="47"/>
      <c r="HOE1" s="47"/>
      <c r="HOF1" s="47"/>
      <c r="HOG1" s="47"/>
      <c r="HOH1" s="47"/>
      <c r="HOI1" s="47"/>
      <c r="HOJ1" s="47"/>
      <c r="HOK1" s="47"/>
      <c r="HOL1" s="47"/>
      <c r="HOM1" s="47"/>
      <c r="HON1" s="47"/>
      <c r="HOO1" s="47"/>
      <c r="HOP1" s="47"/>
      <c r="HOQ1" s="47"/>
      <c r="HOR1" s="47"/>
      <c r="HOS1" s="47"/>
      <c r="HOT1" s="47"/>
      <c r="HOU1" s="47"/>
      <c r="HOV1" s="47"/>
      <c r="HOW1" s="47"/>
      <c r="HOX1" s="47"/>
      <c r="HOY1" s="47"/>
      <c r="HOZ1" s="47"/>
      <c r="HPA1" s="47"/>
      <c r="HPB1" s="47"/>
      <c r="HPC1" s="47"/>
      <c r="HPD1" s="47"/>
      <c r="HPE1" s="47"/>
      <c r="HPF1" s="47"/>
      <c r="HPG1" s="47"/>
      <c r="HPH1" s="47"/>
      <c r="HPI1" s="47"/>
      <c r="HPJ1" s="47"/>
      <c r="HPK1" s="47"/>
      <c r="HPL1" s="47"/>
      <c r="HPM1" s="47"/>
      <c r="HPN1" s="47"/>
      <c r="HPO1" s="47"/>
      <c r="HPP1" s="47"/>
      <c r="HPQ1" s="47"/>
      <c r="HPR1" s="47"/>
      <c r="HPS1" s="47"/>
      <c r="HPT1" s="47"/>
      <c r="HPU1" s="47"/>
      <c r="HPV1" s="47"/>
      <c r="HPW1" s="47"/>
      <c r="HPX1" s="47"/>
      <c r="HPY1" s="47"/>
      <c r="HPZ1" s="47"/>
      <c r="HQA1" s="47"/>
      <c r="HQB1" s="47"/>
      <c r="HQC1" s="47"/>
      <c r="HQD1" s="47"/>
      <c r="HQE1" s="47"/>
      <c r="HQF1" s="47"/>
      <c r="HQG1" s="47"/>
      <c r="HQH1" s="47"/>
      <c r="HQI1" s="47"/>
      <c r="HQJ1" s="47"/>
      <c r="HQK1" s="47"/>
      <c r="HQL1" s="47"/>
      <c r="HQM1" s="47"/>
      <c r="HQN1" s="47"/>
      <c r="HQO1" s="47"/>
      <c r="HQP1" s="47"/>
      <c r="HQQ1" s="47"/>
      <c r="HQR1" s="47"/>
      <c r="HQS1" s="47"/>
      <c r="HQT1" s="47"/>
      <c r="HQU1" s="47"/>
      <c r="HQV1" s="47"/>
      <c r="HQW1" s="47"/>
      <c r="HQX1" s="47"/>
      <c r="HQY1" s="47"/>
      <c r="HQZ1" s="47"/>
      <c r="HRA1" s="47"/>
      <c r="HRB1" s="47"/>
      <c r="HRC1" s="47"/>
      <c r="HRD1" s="47"/>
      <c r="HRE1" s="47"/>
      <c r="HRF1" s="47"/>
      <c r="HRG1" s="47"/>
      <c r="HRH1" s="47"/>
      <c r="HRI1" s="47"/>
      <c r="HRJ1" s="47"/>
      <c r="HRK1" s="47"/>
      <c r="HRL1" s="47"/>
      <c r="HRM1" s="47"/>
      <c r="HRN1" s="47"/>
      <c r="HRO1" s="47"/>
      <c r="HRP1" s="47"/>
      <c r="HRQ1" s="47"/>
      <c r="HRR1" s="47"/>
      <c r="HRS1" s="47"/>
      <c r="HRT1" s="47"/>
      <c r="HRU1" s="47"/>
      <c r="HRV1" s="47"/>
      <c r="HRW1" s="47"/>
      <c r="HRX1" s="47"/>
      <c r="HRY1" s="47"/>
      <c r="HRZ1" s="47"/>
      <c r="HSA1" s="47"/>
      <c r="HSB1" s="47"/>
      <c r="HSC1" s="47"/>
      <c r="HSD1" s="47"/>
      <c r="HSE1" s="47"/>
      <c r="HSF1" s="47"/>
      <c r="HSG1" s="47"/>
      <c r="HSH1" s="47"/>
      <c r="HSI1" s="47"/>
      <c r="HSJ1" s="47"/>
      <c r="HSK1" s="47"/>
      <c r="HSL1" s="47"/>
      <c r="HSM1" s="47"/>
      <c r="HSN1" s="47"/>
      <c r="HSO1" s="47"/>
      <c r="HSP1" s="47"/>
      <c r="HSQ1" s="47"/>
      <c r="HSR1" s="47"/>
      <c r="HSS1" s="47"/>
      <c r="HST1" s="47"/>
      <c r="HSU1" s="47"/>
      <c r="HSV1" s="47"/>
      <c r="HSW1" s="47"/>
      <c r="HSX1" s="47"/>
      <c r="HSY1" s="47"/>
      <c r="HSZ1" s="47"/>
      <c r="HTA1" s="47"/>
      <c r="HTB1" s="47"/>
      <c r="HTC1" s="47"/>
      <c r="HTD1" s="47"/>
      <c r="HTE1" s="47"/>
      <c r="HTF1" s="47"/>
      <c r="HTG1" s="47"/>
      <c r="HTH1" s="47"/>
      <c r="HTI1" s="47"/>
      <c r="HTJ1" s="47"/>
      <c r="HTK1" s="47"/>
      <c r="HTL1" s="47"/>
      <c r="HTM1" s="47"/>
      <c r="HTN1" s="47"/>
      <c r="HTO1" s="47"/>
      <c r="HTP1" s="47"/>
      <c r="HTQ1" s="47"/>
      <c r="HTR1" s="47"/>
      <c r="HTS1" s="47"/>
      <c r="HTT1" s="47"/>
      <c r="HTU1" s="47"/>
      <c r="HTV1" s="47"/>
      <c r="HTW1" s="47"/>
      <c r="HTX1" s="47"/>
      <c r="HTY1" s="47"/>
      <c r="HTZ1" s="47"/>
      <c r="HUA1" s="47"/>
      <c r="HUB1" s="47"/>
      <c r="HUC1" s="47"/>
      <c r="HUD1" s="47"/>
      <c r="HUE1" s="47"/>
      <c r="HUF1" s="47"/>
      <c r="HUG1" s="47"/>
      <c r="HUH1" s="47"/>
      <c r="HUI1" s="47"/>
      <c r="HUJ1" s="47"/>
      <c r="HUK1" s="47"/>
      <c r="HUL1" s="47"/>
      <c r="HUM1" s="47"/>
      <c r="HUN1" s="47"/>
      <c r="HUO1" s="47"/>
      <c r="HUP1" s="47"/>
      <c r="HUQ1" s="47"/>
      <c r="HUR1" s="47"/>
      <c r="HUS1" s="47"/>
      <c r="HUT1" s="47"/>
      <c r="HUU1" s="47"/>
      <c r="HUV1" s="47"/>
      <c r="HUW1" s="47"/>
      <c r="HUX1" s="47"/>
      <c r="HUY1" s="47"/>
      <c r="HUZ1" s="47"/>
      <c r="HVA1" s="47"/>
      <c r="HVB1" s="47"/>
      <c r="HVC1" s="47"/>
      <c r="HVD1" s="47"/>
      <c r="HVE1" s="47"/>
      <c r="HVF1" s="47"/>
      <c r="HVG1" s="47"/>
      <c r="HVH1" s="47"/>
      <c r="HVI1" s="47"/>
      <c r="HVJ1" s="47"/>
      <c r="HVK1" s="47"/>
      <c r="HVL1" s="47"/>
      <c r="HVM1" s="47"/>
      <c r="HVN1" s="47"/>
      <c r="HVO1" s="47"/>
      <c r="HVP1" s="47"/>
      <c r="HVQ1" s="47"/>
      <c r="HVR1" s="47"/>
      <c r="HVS1" s="47"/>
      <c r="HVT1" s="47"/>
      <c r="HVU1" s="47"/>
      <c r="HVV1" s="47"/>
      <c r="HVW1" s="47"/>
      <c r="HVX1" s="47"/>
      <c r="HVY1" s="47"/>
      <c r="HVZ1" s="47"/>
      <c r="HWA1" s="47"/>
      <c r="HWB1" s="47"/>
      <c r="HWC1" s="47"/>
      <c r="HWD1" s="47"/>
      <c r="HWE1" s="47"/>
      <c r="HWF1" s="47"/>
      <c r="HWG1" s="47"/>
      <c r="HWH1" s="47"/>
      <c r="HWI1" s="47"/>
      <c r="HWJ1" s="47"/>
      <c r="HWK1" s="47"/>
      <c r="HWL1" s="47"/>
      <c r="HWM1" s="47"/>
      <c r="HWN1" s="47"/>
      <c r="HWO1" s="47"/>
      <c r="HWP1" s="47"/>
      <c r="HWQ1" s="47"/>
      <c r="HWR1" s="47"/>
      <c r="HWS1" s="47"/>
      <c r="HWT1" s="47"/>
      <c r="HWU1" s="47"/>
      <c r="HWV1" s="47"/>
      <c r="HWW1" s="47"/>
      <c r="HWX1" s="47"/>
      <c r="HWY1" s="47"/>
      <c r="HWZ1" s="47"/>
      <c r="HXA1" s="47"/>
      <c r="HXB1" s="47"/>
      <c r="HXC1" s="47"/>
      <c r="HXD1" s="47"/>
      <c r="HXE1" s="47"/>
      <c r="HXF1" s="47"/>
      <c r="HXG1" s="47"/>
      <c r="HXH1" s="47"/>
      <c r="HXI1" s="47"/>
      <c r="HXJ1" s="47"/>
      <c r="HXK1" s="47"/>
      <c r="HXL1" s="47"/>
      <c r="HXM1" s="47"/>
      <c r="HXN1" s="47"/>
      <c r="HXO1" s="47"/>
      <c r="HXP1" s="47"/>
      <c r="HXQ1" s="47"/>
      <c r="HXR1" s="47"/>
      <c r="HXS1" s="47"/>
      <c r="HXT1" s="47"/>
      <c r="HXU1" s="47"/>
      <c r="HXV1" s="47"/>
      <c r="HXW1" s="47"/>
      <c r="HXX1" s="47"/>
      <c r="HXY1" s="47"/>
      <c r="HXZ1" s="47"/>
      <c r="HYA1" s="47"/>
      <c r="HYB1" s="47"/>
      <c r="HYC1" s="47"/>
      <c r="HYD1" s="47"/>
      <c r="HYE1" s="47"/>
      <c r="HYF1" s="47"/>
      <c r="HYG1" s="47"/>
      <c r="HYH1" s="47"/>
      <c r="HYI1" s="47"/>
      <c r="HYJ1" s="47"/>
      <c r="HYK1" s="47"/>
      <c r="HYL1" s="47"/>
      <c r="HYM1" s="47"/>
      <c r="HYN1" s="47"/>
      <c r="HYO1" s="47"/>
      <c r="HYP1" s="47"/>
      <c r="HYQ1" s="47"/>
      <c r="HYR1" s="47"/>
      <c r="HYS1" s="47"/>
      <c r="HYT1" s="47"/>
      <c r="HYU1" s="47"/>
      <c r="HYV1" s="47"/>
      <c r="HYW1" s="47"/>
      <c r="HYX1" s="47"/>
      <c r="HYY1" s="47"/>
      <c r="HYZ1" s="47"/>
      <c r="HZA1" s="47"/>
      <c r="HZB1" s="47"/>
      <c r="HZC1" s="47"/>
      <c r="HZD1" s="47"/>
      <c r="HZE1" s="47"/>
      <c r="HZF1" s="47"/>
      <c r="HZG1" s="47"/>
      <c r="HZH1" s="47"/>
      <c r="HZI1" s="47"/>
      <c r="HZJ1" s="47"/>
      <c r="HZK1" s="47"/>
      <c r="HZL1" s="47"/>
      <c r="HZM1" s="47"/>
      <c r="HZN1" s="47"/>
      <c r="HZO1" s="47"/>
      <c r="HZP1" s="47"/>
      <c r="HZQ1" s="47"/>
      <c r="HZR1" s="47"/>
      <c r="HZS1" s="47"/>
      <c r="HZT1" s="47"/>
      <c r="HZU1" s="47"/>
      <c r="HZV1" s="47"/>
      <c r="HZW1" s="47"/>
      <c r="HZX1" s="47"/>
      <c r="HZY1" s="47"/>
      <c r="HZZ1" s="47"/>
      <c r="IAA1" s="47"/>
      <c r="IAB1" s="47"/>
      <c r="IAC1" s="47"/>
      <c r="IAD1" s="47"/>
      <c r="IAE1" s="47"/>
      <c r="IAF1" s="47"/>
      <c r="IAG1" s="47"/>
      <c r="IAH1" s="47"/>
      <c r="IAI1" s="47"/>
      <c r="IAJ1" s="47"/>
      <c r="IAK1" s="47"/>
      <c r="IAL1" s="47"/>
      <c r="IAM1" s="47"/>
      <c r="IAN1" s="47"/>
      <c r="IAO1" s="47"/>
      <c r="IAP1" s="47"/>
      <c r="IAQ1" s="47"/>
      <c r="IAR1" s="47"/>
      <c r="IAS1" s="47"/>
      <c r="IAT1" s="47"/>
      <c r="IAU1" s="47"/>
      <c r="IAV1" s="47"/>
      <c r="IAW1" s="47"/>
      <c r="IAX1" s="47"/>
      <c r="IAY1" s="47"/>
      <c r="IAZ1" s="47"/>
      <c r="IBA1" s="47"/>
      <c r="IBB1" s="47"/>
      <c r="IBC1" s="47"/>
      <c r="IBD1" s="47"/>
      <c r="IBE1" s="47"/>
      <c r="IBF1" s="47"/>
      <c r="IBG1" s="47"/>
      <c r="IBH1" s="47"/>
      <c r="IBI1" s="47"/>
      <c r="IBJ1" s="47"/>
      <c r="IBK1" s="47"/>
      <c r="IBL1" s="47"/>
      <c r="IBM1" s="47"/>
      <c r="IBN1" s="47"/>
      <c r="IBO1" s="47"/>
      <c r="IBP1" s="47"/>
      <c r="IBQ1" s="47"/>
      <c r="IBR1" s="47"/>
      <c r="IBS1" s="47"/>
      <c r="IBT1" s="47"/>
      <c r="IBU1" s="47"/>
      <c r="IBV1" s="47"/>
      <c r="IBW1" s="47"/>
      <c r="IBX1" s="47"/>
      <c r="IBY1" s="47"/>
      <c r="IBZ1" s="47"/>
      <c r="ICA1" s="47"/>
      <c r="ICB1" s="47"/>
      <c r="ICC1" s="47"/>
      <c r="ICD1" s="47"/>
      <c r="ICE1" s="47"/>
      <c r="ICF1" s="47"/>
      <c r="ICG1" s="47"/>
      <c r="ICH1" s="47"/>
      <c r="ICI1" s="47"/>
      <c r="ICJ1" s="47"/>
      <c r="ICK1" s="47"/>
      <c r="ICL1" s="47"/>
      <c r="ICM1" s="47"/>
      <c r="ICN1" s="47"/>
      <c r="ICO1" s="47"/>
      <c r="ICP1" s="47"/>
      <c r="ICQ1" s="47"/>
      <c r="ICR1" s="47"/>
      <c r="ICS1" s="47"/>
      <c r="ICT1" s="47"/>
      <c r="ICU1" s="47"/>
      <c r="ICV1" s="47"/>
      <c r="ICW1" s="47"/>
      <c r="ICX1" s="47"/>
      <c r="ICY1" s="47"/>
      <c r="ICZ1" s="47"/>
      <c r="IDA1" s="47"/>
      <c r="IDB1" s="47"/>
      <c r="IDC1" s="47"/>
      <c r="IDD1" s="47"/>
      <c r="IDE1" s="47"/>
      <c r="IDF1" s="47"/>
      <c r="IDG1" s="47"/>
      <c r="IDH1" s="47"/>
      <c r="IDI1" s="47"/>
      <c r="IDJ1" s="47"/>
      <c r="IDK1" s="47"/>
      <c r="IDL1" s="47"/>
      <c r="IDM1" s="47"/>
      <c r="IDN1" s="47"/>
      <c r="IDO1" s="47"/>
      <c r="IDP1" s="47"/>
      <c r="IDQ1" s="47"/>
      <c r="IDR1" s="47"/>
      <c r="IDS1" s="47"/>
      <c r="IDT1" s="47"/>
      <c r="IDU1" s="47"/>
      <c r="IDV1" s="47"/>
      <c r="IDW1" s="47"/>
      <c r="IDX1" s="47"/>
      <c r="IDY1" s="47"/>
      <c r="IDZ1" s="47"/>
      <c r="IEA1" s="47"/>
      <c r="IEB1" s="47"/>
      <c r="IEC1" s="47"/>
      <c r="IED1" s="47"/>
      <c r="IEE1" s="47"/>
      <c r="IEF1" s="47"/>
      <c r="IEG1" s="47"/>
      <c r="IEH1" s="47"/>
      <c r="IEI1" s="47"/>
      <c r="IEJ1" s="47"/>
      <c r="IEK1" s="47"/>
      <c r="IEL1" s="47"/>
      <c r="IEM1" s="47"/>
      <c r="IEN1" s="47"/>
      <c r="IEO1" s="47"/>
      <c r="IEP1" s="47"/>
      <c r="IEQ1" s="47"/>
      <c r="IER1" s="47"/>
      <c r="IES1" s="47"/>
      <c r="IET1" s="47"/>
      <c r="IEU1" s="47"/>
      <c r="IEV1" s="47"/>
      <c r="IEW1" s="47"/>
      <c r="IEX1" s="47"/>
      <c r="IEY1" s="47"/>
      <c r="IEZ1" s="47"/>
      <c r="IFA1" s="47"/>
      <c r="IFB1" s="47"/>
      <c r="IFC1" s="47"/>
      <c r="IFD1" s="47"/>
      <c r="IFE1" s="47"/>
      <c r="IFF1" s="47"/>
      <c r="IFG1" s="47"/>
      <c r="IFH1" s="47"/>
      <c r="IFI1" s="47"/>
      <c r="IFJ1" s="47"/>
      <c r="IFK1" s="47"/>
      <c r="IFL1" s="47"/>
      <c r="IFM1" s="47"/>
      <c r="IFN1" s="47"/>
      <c r="IFO1" s="47"/>
      <c r="IFP1" s="47"/>
      <c r="IFQ1" s="47"/>
      <c r="IFR1" s="47"/>
      <c r="IFS1" s="47"/>
      <c r="IFT1" s="47"/>
      <c r="IFU1" s="47"/>
      <c r="IFV1" s="47"/>
      <c r="IFW1" s="47"/>
      <c r="IFX1" s="47"/>
      <c r="IFY1" s="47"/>
      <c r="IFZ1" s="47"/>
      <c r="IGA1" s="47"/>
      <c r="IGB1" s="47"/>
      <c r="IGC1" s="47"/>
      <c r="IGD1" s="47"/>
      <c r="IGE1" s="47"/>
      <c r="IGF1" s="47"/>
      <c r="IGG1" s="47"/>
      <c r="IGH1" s="47"/>
      <c r="IGI1" s="47"/>
      <c r="IGJ1" s="47"/>
      <c r="IGK1" s="47"/>
      <c r="IGL1" s="47"/>
      <c r="IGM1" s="47"/>
      <c r="IGN1" s="47"/>
      <c r="IGO1" s="47"/>
      <c r="IGP1" s="47"/>
      <c r="IGQ1" s="47"/>
      <c r="IGR1" s="47"/>
      <c r="IGS1" s="47"/>
      <c r="IGT1" s="47"/>
      <c r="IGU1" s="47"/>
      <c r="IGV1" s="47"/>
      <c r="IGW1" s="47"/>
      <c r="IGX1" s="47"/>
      <c r="IGY1" s="47"/>
      <c r="IGZ1" s="47"/>
      <c r="IHA1" s="47"/>
      <c r="IHB1" s="47"/>
      <c r="IHC1" s="47"/>
      <c r="IHD1" s="47"/>
      <c r="IHE1" s="47"/>
      <c r="IHF1" s="47"/>
      <c r="IHG1" s="47"/>
      <c r="IHH1" s="47"/>
      <c r="IHI1" s="47"/>
      <c r="IHJ1" s="47"/>
      <c r="IHK1" s="47"/>
      <c r="IHL1" s="47"/>
      <c r="IHM1" s="47"/>
      <c r="IHN1" s="47"/>
      <c r="IHO1" s="47"/>
      <c r="IHP1" s="47"/>
      <c r="IHQ1" s="47"/>
      <c r="IHR1" s="47"/>
      <c r="IHS1" s="47"/>
      <c r="IHT1" s="47"/>
      <c r="IHU1" s="47"/>
      <c r="IHV1" s="47"/>
      <c r="IHW1" s="47"/>
      <c r="IHX1" s="47"/>
      <c r="IHY1" s="47"/>
      <c r="IHZ1" s="47"/>
      <c r="IIA1" s="47"/>
      <c r="IIB1" s="47"/>
      <c r="IIC1" s="47"/>
      <c r="IID1" s="47"/>
      <c r="IIE1" s="47"/>
      <c r="IIF1" s="47"/>
      <c r="IIG1" s="47"/>
      <c r="IIH1" s="47"/>
      <c r="III1" s="47"/>
      <c r="IIJ1" s="47"/>
      <c r="IIK1" s="47"/>
      <c r="IIL1" s="47"/>
      <c r="IIM1" s="47"/>
      <c r="IIN1" s="47"/>
      <c r="IIO1" s="47"/>
      <c r="IIP1" s="47"/>
      <c r="IIQ1" s="47"/>
      <c r="IIR1" s="47"/>
      <c r="IIS1" s="47"/>
      <c r="IIT1" s="47"/>
      <c r="IIU1" s="47"/>
      <c r="IIV1" s="47"/>
      <c r="IIW1" s="47"/>
      <c r="IIX1" s="47"/>
      <c r="IIY1" s="47"/>
      <c r="IIZ1" s="47"/>
      <c r="IJA1" s="47"/>
      <c r="IJB1" s="47"/>
      <c r="IJC1" s="47"/>
      <c r="IJD1" s="47"/>
      <c r="IJE1" s="47"/>
      <c r="IJF1" s="47"/>
      <c r="IJG1" s="47"/>
      <c r="IJH1" s="47"/>
      <c r="IJI1" s="47"/>
      <c r="IJJ1" s="47"/>
      <c r="IJK1" s="47"/>
      <c r="IJL1" s="47"/>
      <c r="IJM1" s="47"/>
      <c r="IJN1" s="47"/>
      <c r="IJO1" s="47"/>
      <c r="IJP1" s="47"/>
      <c r="IJQ1" s="47"/>
      <c r="IJR1" s="47"/>
      <c r="IJS1" s="47"/>
      <c r="IJT1" s="47"/>
      <c r="IJU1" s="47"/>
      <c r="IJV1" s="47"/>
      <c r="IJW1" s="47"/>
      <c r="IJX1" s="47"/>
      <c r="IJY1" s="47"/>
      <c r="IJZ1" s="47"/>
      <c r="IKA1" s="47"/>
      <c r="IKB1" s="47"/>
      <c r="IKC1" s="47"/>
      <c r="IKD1" s="47"/>
      <c r="IKE1" s="47"/>
      <c r="IKF1" s="47"/>
      <c r="IKG1" s="47"/>
      <c r="IKH1" s="47"/>
      <c r="IKI1" s="47"/>
      <c r="IKJ1" s="47"/>
      <c r="IKK1" s="47"/>
      <c r="IKL1" s="47"/>
      <c r="IKM1" s="47"/>
      <c r="IKN1" s="47"/>
      <c r="IKO1" s="47"/>
      <c r="IKP1" s="47"/>
      <c r="IKQ1" s="47"/>
      <c r="IKR1" s="47"/>
      <c r="IKS1" s="47"/>
      <c r="IKT1" s="47"/>
      <c r="IKU1" s="47"/>
      <c r="IKV1" s="47"/>
      <c r="IKW1" s="47"/>
      <c r="IKX1" s="47"/>
      <c r="IKY1" s="47"/>
      <c r="IKZ1" s="47"/>
      <c r="ILA1" s="47"/>
      <c r="ILB1" s="47"/>
      <c r="ILC1" s="47"/>
      <c r="ILD1" s="47"/>
      <c r="ILE1" s="47"/>
      <c r="ILF1" s="47"/>
      <c r="ILG1" s="47"/>
      <c r="ILH1" s="47"/>
      <c r="ILI1" s="47"/>
      <c r="ILJ1" s="47"/>
      <c r="ILK1" s="47"/>
      <c r="ILL1" s="47"/>
      <c r="ILM1" s="47"/>
      <c r="ILN1" s="47"/>
      <c r="ILO1" s="47"/>
      <c r="ILP1" s="47"/>
      <c r="ILQ1" s="47"/>
      <c r="ILR1" s="47"/>
      <c r="ILS1" s="47"/>
      <c r="ILT1" s="47"/>
      <c r="ILU1" s="47"/>
      <c r="ILV1" s="47"/>
      <c r="ILW1" s="47"/>
      <c r="ILX1" s="47"/>
      <c r="ILY1" s="47"/>
      <c r="ILZ1" s="47"/>
      <c r="IMA1" s="47"/>
      <c r="IMB1" s="47"/>
      <c r="IMC1" s="47"/>
      <c r="IMD1" s="47"/>
      <c r="IME1" s="47"/>
      <c r="IMF1" s="47"/>
      <c r="IMG1" s="47"/>
      <c r="IMH1" s="47"/>
      <c r="IMI1" s="47"/>
      <c r="IMJ1" s="47"/>
      <c r="IMK1" s="47"/>
      <c r="IML1" s="47"/>
      <c r="IMM1" s="47"/>
      <c r="IMN1" s="47"/>
      <c r="IMO1" s="47"/>
      <c r="IMP1" s="47"/>
      <c r="IMQ1" s="47"/>
      <c r="IMR1" s="47"/>
      <c r="IMS1" s="47"/>
      <c r="IMT1" s="47"/>
      <c r="IMU1" s="47"/>
      <c r="IMV1" s="47"/>
      <c r="IMW1" s="47"/>
      <c r="IMX1" s="47"/>
      <c r="IMY1" s="47"/>
      <c r="IMZ1" s="47"/>
      <c r="INA1" s="47"/>
      <c r="INB1" s="47"/>
      <c r="INC1" s="47"/>
      <c r="IND1" s="47"/>
      <c r="INE1" s="47"/>
      <c r="INF1" s="47"/>
      <c r="ING1" s="47"/>
      <c r="INH1" s="47"/>
      <c r="INI1" s="47"/>
      <c r="INJ1" s="47"/>
      <c r="INK1" s="47"/>
      <c r="INL1" s="47"/>
      <c r="INM1" s="47"/>
      <c r="INN1" s="47"/>
      <c r="INO1" s="47"/>
      <c r="INP1" s="47"/>
      <c r="INQ1" s="47"/>
      <c r="INR1" s="47"/>
      <c r="INS1" s="47"/>
      <c r="INT1" s="47"/>
      <c r="INU1" s="47"/>
      <c r="INV1" s="47"/>
      <c r="INW1" s="47"/>
      <c r="INX1" s="47"/>
      <c r="INY1" s="47"/>
      <c r="INZ1" s="47"/>
      <c r="IOA1" s="47"/>
      <c r="IOB1" s="47"/>
      <c r="IOC1" s="47"/>
      <c r="IOD1" s="47"/>
      <c r="IOE1" s="47"/>
      <c r="IOF1" s="47"/>
      <c r="IOG1" s="47"/>
      <c r="IOH1" s="47"/>
      <c r="IOI1" s="47"/>
      <c r="IOJ1" s="47"/>
      <c r="IOK1" s="47"/>
      <c r="IOL1" s="47"/>
      <c r="IOM1" s="47"/>
      <c r="ION1" s="47"/>
      <c r="IOO1" s="47"/>
      <c r="IOP1" s="47"/>
      <c r="IOQ1" s="47"/>
      <c r="IOR1" s="47"/>
      <c r="IOS1" s="47"/>
      <c r="IOT1" s="47"/>
      <c r="IOU1" s="47"/>
      <c r="IOV1" s="47"/>
      <c r="IOW1" s="47"/>
      <c r="IOX1" s="47"/>
      <c r="IOY1" s="47"/>
      <c r="IOZ1" s="47"/>
      <c r="IPA1" s="47"/>
      <c r="IPB1" s="47"/>
      <c r="IPC1" s="47"/>
      <c r="IPD1" s="47"/>
      <c r="IPE1" s="47"/>
      <c r="IPF1" s="47"/>
      <c r="IPG1" s="47"/>
      <c r="IPH1" s="47"/>
      <c r="IPI1" s="47"/>
      <c r="IPJ1" s="47"/>
      <c r="IPK1" s="47"/>
      <c r="IPL1" s="47"/>
      <c r="IPM1" s="47"/>
      <c r="IPN1" s="47"/>
      <c r="IPO1" s="47"/>
      <c r="IPP1" s="47"/>
      <c r="IPQ1" s="47"/>
      <c r="IPR1" s="47"/>
      <c r="IPS1" s="47"/>
      <c r="IPT1" s="47"/>
      <c r="IPU1" s="47"/>
      <c r="IPV1" s="47"/>
      <c r="IPW1" s="47"/>
      <c r="IPX1" s="47"/>
      <c r="IPY1" s="47"/>
      <c r="IPZ1" s="47"/>
      <c r="IQA1" s="47"/>
      <c r="IQB1" s="47"/>
      <c r="IQC1" s="47"/>
      <c r="IQD1" s="47"/>
      <c r="IQE1" s="47"/>
      <c r="IQF1" s="47"/>
      <c r="IQG1" s="47"/>
      <c r="IQH1" s="47"/>
      <c r="IQI1" s="47"/>
      <c r="IQJ1" s="47"/>
      <c r="IQK1" s="47"/>
      <c r="IQL1" s="47"/>
      <c r="IQM1" s="47"/>
      <c r="IQN1" s="47"/>
      <c r="IQO1" s="47"/>
      <c r="IQP1" s="47"/>
      <c r="IQQ1" s="47"/>
      <c r="IQR1" s="47"/>
      <c r="IQS1" s="47"/>
      <c r="IQT1" s="47"/>
      <c r="IQU1" s="47"/>
      <c r="IQV1" s="47"/>
      <c r="IQW1" s="47"/>
      <c r="IQX1" s="47"/>
      <c r="IQY1" s="47"/>
      <c r="IQZ1" s="47"/>
      <c r="IRA1" s="47"/>
      <c r="IRB1" s="47"/>
      <c r="IRC1" s="47"/>
      <c r="IRD1" s="47"/>
      <c r="IRE1" s="47"/>
      <c r="IRF1" s="47"/>
      <c r="IRG1" s="47"/>
      <c r="IRH1" s="47"/>
      <c r="IRI1" s="47"/>
      <c r="IRJ1" s="47"/>
      <c r="IRK1" s="47"/>
      <c r="IRL1" s="47"/>
      <c r="IRM1" s="47"/>
      <c r="IRN1" s="47"/>
      <c r="IRO1" s="47"/>
      <c r="IRP1" s="47"/>
      <c r="IRQ1" s="47"/>
      <c r="IRR1" s="47"/>
      <c r="IRS1" s="47"/>
      <c r="IRT1" s="47"/>
      <c r="IRU1" s="47"/>
      <c r="IRV1" s="47"/>
      <c r="IRW1" s="47"/>
      <c r="IRX1" s="47"/>
      <c r="IRY1" s="47"/>
      <c r="IRZ1" s="47"/>
      <c r="ISA1" s="47"/>
      <c r="ISB1" s="47"/>
      <c r="ISC1" s="47"/>
      <c r="ISD1" s="47"/>
      <c r="ISE1" s="47"/>
      <c r="ISF1" s="47"/>
      <c r="ISG1" s="47"/>
      <c r="ISH1" s="47"/>
      <c r="ISI1" s="47"/>
      <c r="ISJ1" s="47"/>
      <c r="ISK1" s="47"/>
      <c r="ISL1" s="47"/>
      <c r="ISM1" s="47"/>
      <c r="ISN1" s="47"/>
      <c r="ISO1" s="47"/>
      <c r="ISP1" s="47"/>
      <c r="ISQ1" s="47"/>
      <c r="ISR1" s="47"/>
      <c r="ISS1" s="47"/>
      <c r="IST1" s="47"/>
      <c r="ISU1" s="47"/>
      <c r="ISV1" s="47"/>
      <c r="ISW1" s="47"/>
      <c r="ISX1" s="47"/>
      <c r="ISY1" s="47"/>
      <c r="ISZ1" s="47"/>
      <c r="ITA1" s="47"/>
      <c r="ITB1" s="47"/>
      <c r="ITC1" s="47"/>
      <c r="ITD1" s="47"/>
      <c r="ITE1" s="47"/>
      <c r="ITF1" s="47"/>
      <c r="ITG1" s="47"/>
      <c r="ITH1" s="47"/>
      <c r="ITI1" s="47"/>
      <c r="ITJ1" s="47"/>
      <c r="ITK1" s="47"/>
      <c r="ITL1" s="47"/>
      <c r="ITM1" s="47"/>
      <c r="ITN1" s="47"/>
      <c r="ITO1" s="47"/>
      <c r="ITP1" s="47"/>
      <c r="ITQ1" s="47"/>
      <c r="ITR1" s="47"/>
      <c r="ITS1" s="47"/>
      <c r="ITT1" s="47"/>
      <c r="ITU1" s="47"/>
      <c r="ITV1" s="47"/>
      <c r="ITW1" s="47"/>
      <c r="ITX1" s="47"/>
      <c r="ITY1" s="47"/>
      <c r="ITZ1" s="47"/>
      <c r="IUA1" s="47"/>
      <c r="IUB1" s="47"/>
      <c r="IUC1" s="47"/>
      <c r="IUD1" s="47"/>
      <c r="IUE1" s="47"/>
      <c r="IUF1" s="47"/>
      <c r="IUG1" s="47"/>
      <c r="IUH1" s="47"/>
      <c r="IUI1" s="47"/>
      <c r="IUJ1" s="47"/>
      <c r="IUK1" s="47"/>
      <c r="IUL1" s="47"/>
      <c r="IUM1" s="47"/>
      <c r="IUN1" s="47"/>
      <c r="IUO1" s="47"/>
      <c r="IUP1" s="47"/>
      <c r="IUQ1" s="47"/>
      <c r="IUR1" s="47"/>
      <c r="IUS1" s="47"/>
      <c r="IUT1" s="47"/>
      <c r="IUU1" s="47"/>
      <c r="IUV1" s="47"/>
      <c r="IUW1" s="47"/>
      <c r="IUX1" s="47"/>
      <c r="IUY1" s="47"/>
      <c r="IUZ1" s="47"/>
      <c r="IVA1" s="47"/>
      <c r="IVB1" s="47"/>
      <c r="IVC1" s="47"/>
      <c r="IVD1" s="47"/>
      <c r="IVE1" s="47"/>
      <c r="IVF1" s="47"/>
      <c r="IVG1" s="47"/>
      <c r="IVH1" s="47"/>
      <c r="IVI1" s="47"/>
      <c r="IVJ1" s="47"/>
      <c r="IVK1" s="47"/>
      <c r="IVL1" s="47"/>
      <c r="IVM1" s="47"/>
      <c r="IVN1" s="47"/>
      <c r="IVO1" s="47"/>
      <c r="IVP1" s="47"/>
      <c r="IVQ1" s="47"/>
      <c r="IVR1" s="47"/>
      <c r="IVS1" s="47"/>
      <c r="IVT1" s="47"/>
      <c r="IVU1" s="47"/>
      <c r="IVV1" s="47"/>
      <c r="IVW1" s="47"/>
      <c r="IVX1" s="47"/>
      <c r="IVY1" s="47"/>
      <c r="IVZ1" s="47"/>
      <c r="IWA1" s="47"/>
      <c r="IWB1" s="47"/>
      <c r="IWC1" s="47"/>
      <c r="IWD1" s="47"/>
      <c r="IWE1" s="47"/>
      <c r="IWF1" s="47"/>
      <c r="IWG1" s="47"/>
      <c r="IWH1" s="47"/>
      <c r="IWI1" s="47"/>
      <c r="IWJ1" s="47"/>
      <c r="IWK1" s="47"/>
      <c r="IWL1" s="47"/>
      <c r="IWM1" s="47"/>
      <c r="IWN1" s="47"/>
      <c r="IWO1" s="47"/>
      <c r="IWP1" s="47"/>
      <c r="IWQ1" s="47"/>
      <c r="IWR1" s="47"/>
      <c r="IWS1" s="47"/>
      <c r="IWT1" s="47"/>
      <c r="IWU1" s="47"/>
      <c r="IWV1" s="47"/>
      <c r="IWW1" s="47"/>
      <c r="IWX1" s="47"/>
      <c r="IWY1" s="47"/>
      <c r="IWZ1" s="47"/>
      <c r="IXA1" s="47"/>
      <c r="IXB1" s="47"/>
      <c r="IXC1" s="47"/>
      <c r="IXD1" s="47"/>
      <c r="IXE1" s="47"/>
      <c r="IXF1" s="47"/>
      <c r="IXG1" s="47"/>
      <c r="IXH1" s="47"/>
      <c r="IXI1" s="47"/>
      <c r="IXJ1" s="47"/>
      <c r="IXK1" s="47"/>
      <c r="IXL1" s="47"/>
      <c r="IXM1" s="47"/>
      <c r="IXN1" s="47"/>
      <c r="IXO1" s="47"/>
      <c r="IXP1" s="47"/>
      <c r="IXQ1" s="47"/>
      <c r="IXR1" s="47"/>
      <c r="IXS1" s="47"/>
      <c r="IXT1" s="47"/>
      <c r="IXU1" s="47"/>
      <c r="IXV1" s="47"/>
      <c r="IXW1" s="47"/>
      <c r="IXX1" s="47"/>
      <c r="IXY1" s="47"/>
      <c r="IXZ1" s="47"/>
      <c r="IYA1" s="47"/>
      <c r="IYB1" s="47"/>
      <c r="IYC1" s="47"/>
      <c r="IYD1" s="47"/>
      <c r="IYE1" s="47"/>
      <c r="IYF1" s="47"/>
      <c r="IYG1" s="47"/>
      <c r="IYH1" s="47"/>
      <c r="IYI1" s="47"/>
      <c r="IYJ1" s="47"/>
      <c r="IYK1" s="47"/>
      <c r="IYL1" s="47"/>
      <c r="IYM1" s="47"/>
      <c r="IYN1" s="47"/>
      <c r="IYO1" s="47"/>
      <c r="IYP1" s="47"/>
      <c r="IYQ1" s="47"/>
      <c r="IYR1" s="47"/>
      <c r="IYS1" s="47"/>
      <c r="IYT1" s="47"/>
      <c r="IYU1" s="47"/>
      <c r="IYV1" s="47"/>
      <c r="IYW1" s="47"/>
      <c r="IYX1" s="47"/>
      <c r="IYY1" s="47"/>
      <c r="IYZ1" s="47"/>
      <c r="IZA1" s="47"/>
      <c r="IZB1" s="47"/>
      <c r="IZC1" s="47"/>
      <c r="IZD1" s="47"/>
      <c r="IZE1" s="47"/>
      <c r="IZF1" s="47"/>
      <c r="IZG1" s="47"/>
      <c r="IZH1" s="47"/>
      <c r="IZI1" s="47"/>
      <c r="IZJ1" s="47"/>
      <c r="IZK1" s="47"/>
      <c r="IZL1" s="47"/>
      <c r="IZM1" s="47"/>
      <c r="IZN1" s="47"/>
      <c r="IZO1" s="47"/>
      <c r="IZP1" s="47"/>
      <c r="IZQ1" s="47"/>
      <c r="IZR1" s="47"/>
      <c r="IZS1" s="47"/>
      <c r="IZT1" s="47"/>
      <c r="IZU1" s="47"/>
      <c r="IZV1" s="47"/>
      <c r="IZW1" s="47"/>
      <c r="IZX1" s="47"/>
      <c r="IZY1" s="47"/>
      <c r="IZZ1" s="47"/>
      <c r="JAA1" s="47"/>
      <c r="JAB1" s="47"/>
      <c r="JAC1" s="47"/>
      <c r="JAD1" s="47"/>
      <c r="JAE1" s="47"/>
      <c r="JAF1" s="47"/>
      <c r="JAG1" s="47"/>
      <c r="JAH1" s="47"/>
      <c r="JAI1" s="47"/>
      <c r="JAJ1" s="47"/>
      <c r="JAK1" s="47"/>
      <c r="JAL1" s="47"/>
      <c r="JAM1" s="47"/>
      <c r="JAN1" s="47"/>
      <c r="JAO1" s="47"/>
      <c r="JAP1" s="47"/>
      <c r="JAQ1" s="47"/>
      <c r="JAR1" s="47"/>
      <c r="JAS1" s="47"/>
      <c r="JAT1" s="47"/>
      <c r="JAU1" s="47"/>
      <c r="JAV1" s="47"/>
      <c r="JAW1" s="47"/>
      <c r="JAX1" s="47"/>
      <c r="JAY1" s="47"/>
      <c r="JAZ1" s="47"/>
      <c r="JBA1" s="47"/>
      <c r="JBB1" s="47"/>
      <c r="JBC1" s="47"/>
      <c r="JBD1" s="47"/>
      <c r="JBE1" s="47"/>
      <c r="JBF1" s="47"/>
      <c r="JBG1" s="47"/>
      <c r="JBH1" s="47"/>
      <c r="JBI1" s="47"/>
      <c r="JBJ1" s="47"/>
      <c r="JBK1" s="47"/>
      <c r="JBL1" s="47"/>
      <c r="JBM1" s="47"/>
      <c r="JBN1" s="47"/>
      <c r="JBO1" s="47"/>
      <c r="JBP1" s="47"/>
      <c r="JBQ1" s="47"/>
      <c r="JBR1" s="47"/>
      <c r="JBS1" s="47"/>
      <c r="JBT1" s="47"/>
      <c r="JBU1" s="47"/>
      <c r="JBV1" s="47"/>
      <c r="JBW1" s="47"/>
      <c r="JBX1" s="47"/>
      <c r="JBY1" s="47"/>
      <c r="JBZ1" s="47"/>
      <c r="JCA1" s="47"/>
      <c r="JCB1" s="47"/>
      <c r="JCC1" s="47"/>
      <c r="JCD1" s="47"/>
      <c r="JCE1" s="47"/>
      <c r="JCF1" s="47"/>
      <c r="JCG1" s="47"/>
      <c r="JCH1" s="47"/>
      <c r="JCI1" s="47"/>
      <c r="JCJ1" s="47"/>
      <c r="JCK1" s="47"/>
      <c r="JCL1" s="47"/>
      <c r="JCM1" s="47"/>
      <c r="JCN1" s="47"/>
      <c r="JCO1" s="47"/>
      <c r="JCP1" s="47"/>
      <c r="JCQ1" s="47"/>
      <c r="JCR1" s="47"/>
      <c r="JCS1" s="47"/>
      <c r="JCT1" s="47"/>
      <c r="JCU1" s="47"/>
      <c r="JCV1" s="47"/>
      <c r="JCW1" s="47"/>
      <c r="JCX1" s="47"/>
      <c r="JCY1" s="47"/>
      <c r="JCZ1" s="47"/>
      <c r="JDA1" s="47"/>
      <c r="JDB1" s="47"/>
      <c r="JDC1" s="47"/>
      <c r="JDD1" s="47"/>
      <c r="JDE1" s="47"/>
      <c r="JDF1" s="47"/>
      <c r="JDG1" s="47"/>
      <c r="JDH1" s="47"/>
      <c r="JDI1" s="47"/>
      <c r="JDJ1" s="47"/>
      <c r="JDK1" s="47"/>
      <c r="JDL1" s="47"/>
      <c r="JDM1" s="47"/>
      <c r="JDN1" s="47"/>
      <c r="JDO1" s="47"/>
      <c r="JDP1" s="47"/>
      <c r="JDQ1" s="47"/>
      <c r="JDR1" s="47"/>
      <c r="JDS1" s="47"/>
      <c r="JDT1" s="47"/>
      <c r="JDU1" s="47"/>
      <c r="JDV1" s="47"/>
      <c r="JDW1" s="47"/>
      <c r="JDX1" s="47"/>
      <c r="JDY1" s="47"/>
      <c r="JDZ1" s="47"/>
      <c r="JEA1" s="47"/>
      <c r="JEB1" s="47"/>
      <c r="JEC1" s="47"/>
      <c r="JED1" s="47"/>
      <c r="JEE1" s="47"/>
      <c r="JEF1" s="47"/>
      <c r="JEG1" s="47"/>
      <c r="JEH1" s="47"/>
      <c r="JEI1" s="47"/>
      <c r="JEJ1" s="47"/>
      <c r="JEK1" s="47"/>
      <c r="JEL1" s="47"/>
      <c r="JEM1" s="47"/>
      <c r="JEN1" s="47"/>
      <c r="JEO1" s="47"/>
      <c r="JEP1" s="47"/>
      <c r="JEQ1" s="47"/>
      <c r="JER1" s="47"/>
      <c r="JES1" s="47"/>
      <c r="JET1" s="47"/>
      <c r="JEU1" s="47"/>
      <c r="JEV1" s="47"/>
      <c r="JEW1" s="47"/>
      <c r="JEX1" s="47"/>
      <c r="JEY1" s="47"/>
      <c r="JEZ1" s="47"/>
      <c r="JFA1" s="47"/>
      <c r="JFB1" s="47"/>
      <c r="JFC1" s="47"/>
      <c r="JFD1" s="47"/>
      <c r="JFE1" s="47"/>
      <c r="JFF1" s="47"/>
      <c r="JFG1" s="47"/>
      <c r="JFH1" s="47"/>
      <c r="JFI1" s="47"/>
      <c r="JFJ1" s="47"/>
      <c r="JFK1" s="47"/>
      <c r="JFL1" s="47"/>
      <c r="JFM1" s="47"/>
      <c r="JFN1" s="47"/>
      <c r="JFO1" s="47"/>
      <c r="JFP1" s="47"/>
      <c r="JFQ1" s="47"/>
      <c r="JFR1" s="47"/>
      <c r="JFS1" s="47"/>
      <c r="JFT1" s="47"/>
      <c r="JFU1" s="47"/>
      <c r="JFV1" s="47"/>
      <c r="JFW1" s="47"/>
      <c r="JFX1" s="47"/>
      <c r="JFY1" s="47"/>
      <c r="JFZ1" s="47"/>
      <c r="JGA1" s="47"/>
      <c r="JGB1" s="47"/>
      <c r="JGC1" s="47"/>
      <c r="JGD1" s="47"/>
      <c r="JGE1" s="47"/>
      <c r="JGF1" s="47"/>
      <c r="JGG1" s="47"/>
      <c r="JGH1" s="47"/>
      <c r="JGI1" s="47"/>
      <c r="JGJ1" s="47"/>
      <c r="JGK1" s="47"/>
      <c r="JGL1" s="47"/>
      <c r="JGM1" s="47"/>
      <c r="JGN1" s="47"/>
      <c r="JGO1" s="47"/>
      <c r="JGP1" s="47"/>
      <c r="JGQ1" s="47"/>
      <c r="JGR1" s="47"/>
      <c r="JGS1" s="47"/>
      <c r="JGT1" s="47"/>
      <c r="JGU1" s="47"/>
      <c r="JGV1" s="47"/>
      <c r="JGW1" s="47"/>
      <c r="JGX1" s="47"/>
      <c r="JGY1" s="47"/>
      <c r="JGZ1" s="47"/>
      <c r="JHA1" s="47"/>
      <c r="JHB1" s="47"/>
      <c r="JHC1" s="47"/>
      <c r="JHD1" s="47"/>
      <c r="JHE1" s="47"/>
      <c r="JHF1" s="47"/>
      <c r="JHG1" s="47"/>
      <c r="JHH1" s="47"/>
      <c r="JHI1" s="47"/>
      <c r="JHJ1" s="47"/>
      <c r="JHK1" s="47"/>
      <c r="JHL1" s="47"/>
      <c r="JHM1" s="47"/>
      <c r="JHN1" s="47"/>
      <c r="JHO1" s="47"/>
      <c r="JHP1" s="47"/>
      <c r="JHQ1" s="47"/>
      <c r="JHR1" s="47"/>
      <c r="JHS1" s="47"/>
      <c r="JHT1" s="47"/>
      <c r="JHU1" s="47"/>
      <c r="JHV1" s="47"/>
      <c r="JHW1" s="47"/>
      <c r="JHX1" s="47"/>
      <c r="JHY1" s="47"/>
      <c r="JHZ1" s="47"/>
      <c r="JIA1" s="47"/>
      <c r="JIB1" s="47"/>
      <c r="JIC1" s="47"/>
      <c r="JID1" s="47"/>
      <c r="JIE1" s="47"/>
      <c r="JIF1" s="47"/>
      <c r="JIG1" s="47"/>
      <c r="JIH1" s="47"/>
      <c r="JII1" s="47"/>
      <c r="JIJ1" s="47"/>
      <c r="JIK1" s="47"/>
      <c r="JIL1" s="47"/>
      <c r="JIM1" s="47"/>
      <c r="JIN1" s="47"/>
      <c r="JIO1" s="47"/>
      <c r="JIP1" s="47"/>
      <c r="JIQ1" s="47"/>
      <c r="JIR1" s="47"/>
      <c r="JIS1" s="47"/>
      <c r="JIT1" s="47"/>
      <c r="JIU1" s="47"/>
      <c r="JIV1" s="47"/>
      <c r="JIW1" s="47"/>
      <c r="JIX1" s="47"/>
      <c r="JIY1" s="47"/>
      <c r="JIZ1" s="47"/>
      <c r="JJA1" s="47"/>
      <c r="JJB1" s="47"/>
      <c r="JJC1" s="47"/>
      <c r="JJD1" s="47"/>
      <c r="JJE1" s="47"/>
      <c r="JJF1" s="47"/>
      <c r="JJG1" s="47"/>
      <c r="JJH1" s="47"/>
      <c r="JJI1" s="47"/>
      <c r="JJJ1" s="47"/>
      <c r="JJK1" s="47"/>
      <c r="JJL1" s="47"/>
      <c r="JJM1" s="47"/>
      <c r="JJN1" s="47"/>
      <c r="JJO1" s="47"/>
      <c r="JJP1" s="47"/>
      <c r="JJQ1" s="47"/>
      <c r="JJR1" s="47"/>
      <c r="JJS1" s="47"/>
      <c r="JJT1" s="47"/>
      <c r="JJU1" s="47"/>
      <c r="JJV1" s="47"/>
      <c r="JJW1" s="47"/>
      <c r="JJX1" s="47"/>
      <c r="JJY1" s="47"/>
      <c r="JJZ1" s="47"/>
      <c r="JKA1" s="47"/>
      <c r="JKB1" s="47"/>
      <c r="JKC1" s="47"/>
      <c r="JKD1" s="47"/>
      <c r="JKE1" s="47"/>
      <c r="JKF1" s="47"/>
      <c r="JKG1" s="47"/>
      <c r="JKH1" s="47"/>
      <c r="JKI1" s="47"/>
      <c r="JKJ1" s="47"/>
      <c r="JKK1" s="47"/>
      <c r="JKL1" s="47"/>
      <c r="JKM1" s="47"/>
      <c r="JKN1" s="47"/>
      <c r="JKO1" s="47"/>
      <c r="JKP1" s="47"/>
      <c r="JKQ1" s="47"/>
      <c r="JKR1" s="47"/>
      <c r="JKS1" s="47"/>
      <c r="JKT1" s="47"/>
      <c r="JKU1" s="47"/>
      <c r="JKV1" s="47"/>
      <c r="JKW1" s="47"/>
      <c r="JKX1" s="47"/>
      <c r="JKY1" s="47"/>
      <c r="JKZ1" s="47"/>
      <c r="JLA1" s="47"/>
      <c r="JLB1" s="47"/>
      <c r="JLC1" s="47"/>
      <c r="JLD1" s="47"/>
      <c r="JLE1" s="47"/>
      <c r="JLF1" s="47"/>
      <c r="JLG1" s="47"/>
      <c r="JLH1" s="47"/>
      <c r="JLI1" s="47"/>
      <c r="JLJ1" s="47"/>
      <c r="JLK1" s="47"/>
      <c r="JLL1" s="47"/>
      <c r="JLM1" s="47"/>
      <c r="JLN1" s="47"/>
      <c r="JLO1" s="47"/>
      <c r="JLP1" s="47"/>
      <c r="JLQ1" s="47"/>
      <c r="JLR1" s="47"/>
      <c r="JLS1" s="47"/>
      <c r="JLT1" s="47"/>
      <c r="JLU1" s="47"/>
      <c r="JLV1" s="47"/>
      <c r="JLW1" s="47"/>
      <c r="JLX1" s="47"/>
      <c r="JLY1" s="47"/>
      <c r="JLZ1" s="47"/>
      <c r="JMA1" s="47"/>
      <c r="JMB1" s="47"/>
      <c r="JMC1" s="47"/>
      <c r="JMD1" s="47"/>
      <c r="JME1" s="47"/>
      <c r="JMF1" s="47"/>
      <c r="JMG1" s="47"/>
      <c r="JMH1" s="47"/>
      <c r="JMI1" s="47"/>
      <c r="JMJ1" s="47"/>
      <c r="JMK1" s="47"/>
      <c r="JML1" s="47"/>
      <c r="JMM1" s="47"/>
      <c r="JMN1" s="47"/>
      <c r="JMO1" s="47"/>
      <c r="JMP1" s="47"/>
      <c r="JMQ1" s="47"/>
      <c r="JMR1" s="47"/>
      <c r="JMS1" s="47"/>
      <c r="JMT1" s="47"/>
      <c r="JMU1" s="47"/>
      <c r="JMV1" s="47"/>
      <c r="JMW1" s="47"/>
      <c r="JMX1" s="47"/>
      <c r="JMY1" s="47"/>
      <c r="JMZ1" s="47"/>
      <c r="JNA1" s="47"/>
      <c r="JNB1" s="47"/>
      <c r="JNC1" s="47"/>
      <c r="JND1" s="47"/>
      <c r="JNE1" s="47"/>
      <c r="JNF1" s="47"/>
      <c r="JNG1" s="47"/>
      <c r="JNH1" s="47"/>
      <c r="JNI1" s="47"/>
      <c r="JNJ1" s="47"/>
      <c r="JNK1" s="47"/>
      <c r="JNL1" s="47"/>
      <c r="JNM1" s="47"/>
      <c r="JNN1" s="47"/>
      <c r="JNO1" s="47"/>
      <c r="JNP1" s="47"/>
      <c r="JNQ1" s="47"/>
      <c r="JNR1" s="47"/>
      <c r="JNS1" s="47"/>
      <c r="JNT1" s="47"/>
      <c r="JNU1" s="47"/>
      <c r="JNV1" s="47"/>
      <c r="JNW1" s="47"/>
      <c r="JNX1" s="47"/>
      <c r="JNY1" s="47"/>
      <c r="JNZ1" s="47"/>
      <c r="JOA1" s="47"/>
      <c r="JOB1" s="47"/>
      <c r="JOC1" s="47"/>
      <c r="JOD1" s="47"/>
      <c r="JOE1" s="47"/>
      <c r="JOF1" s="47"/>
      <c r="JOG1" s="47"/>
      <c r="JOH1" s="47"/>
      <c r="JOI1" s="47"/>
      <c r="JOJ1" s="47"/>
      <c r="JOK1" s="47"/>
      <c r="JOL1" s="47"/>
      <c r="JOM1" s="47"/>
      <c r="JON1" s="47"/>
      <c r="JOO1" s="47"/>
      <c r="JOP1" s="47"/>
      <c r="JOQ1" s="47"/>
      <c r="JOR1" s="47"/>
      <c r="JOS1" s="47"/>
      <c r="JOT1" s="47"/>
      <c r="JOU1" s="47"/>
      <c r="JOV1" s="47"/>
      <c r="JOW1" s="47"/>
      <c r="JOX1" s="47"/>
      <c r="JOY1" s="47"/>
      <c r="JOZ1" s="47"/>
      <c r="JPA1" s="47"/>
      <c r="JPB1" s="47"/>
      <c r="JPC1" s="47"/>
      <c r="JPD1" s="47"/>
      <c r="JPE1" s="47"/>
      <c r="JPF1" s="47"/>
      <c r="JPG1" s="47"/>
      <c r="JPH1" s="47"/>
      <c r="JPI1" s="47"/>
      <c r="JPJ1" s="47"/>
      <c r="JPK1" s="47"/>
      <c r="JPL1" s="47"/>
      <c r="JPM1" s="47"/>
      <c r="JPN1" s="47"/>
      <c r="JPO1" s="47"/>
      <c r="JPP1" s="47"/>
      <c r="JPQ1" s="47"/>
      <c r="JPR1" s="47"/>
      <c r="JPS1" s="47"/>
      <c r="JPT1" s="47"/>
      <c r="JPU1" s="47"/>
      <c r="JPV1" s="47"/>
      <c r="JPW1" s="47"/>
      <c r="JPX1" s="47"/>
      <c r="JPY1" s="47"/>
      <c r="JPZ1" s="47"/>
      <c r="JQA1" s="47"/>
      <c r="JQB1" s="47"/>
      <c r="JQC1" s="47"/>
      <c r="JQD1" s="47"/>
      <c r="JQE1" s="47"/>
      <c r="JQF1" s="47"/>
      <c r="JQG1" s="47"/>
      <c r="JQH1" s="47"/>
      <c r="JQI1" s="47"/>
      <c r="JQJ1" s="47"/>
      <c r="JQK1" s="47"/>
      <c r="JQL1" s="47"/>
      <c r="JQM1" s="47"/>
      <c r="JQN1" s="47"/>
      <c r="JQO1" s="47"/>
      <c r="JQP1" s="47"/>
      <c r="JQQ1" s="47"/>
      <c r="JQR1" s="47"/>
      <c r="JQS1" s="47"/>
      <c r="JQT1" s="47"/>
      <c r="JQU1" s="47"/>
      <c r="JQV1" s="47"/>
      <c r="JQW1" s="47"/>
      <c r="JQX1" s="47"/>
      <c r="JQY1" s="47"/>
      <c r="JQZ1" s="47"/>
      <c r="JRA1" s="47"/>
      <c r="JRB1" s="47"/>
      <c r="JRC1" s="47"/>
      <c r="JRD1" s="47"/>
      <c r="JRE1" s="47"/>
      <c r="JRF1" s="47"/>
      <c r="JRG1" s="47"/>
      <c r="JRH1" s="47"/>
      <c r="JRI1" s="47"/>
      <c r="JRJ1" s="47"/>
      <c r="JRK1" s="47"/>
      <c r="JRL1" s="47"/>
      <c r="JRM1" s="47"/>
      <c r="JRN1" s="47"/>
      <c r="JRO1" s="47"/>
      <c r="JRP1" s="47"/>
      <c r="JRQ1" s="47"/>
      <c r="JRR1" s="47"/>
      <c r="JRS1" s="47"/>
      <c r="JRT1" s="47"/>
      <c r="JRU1" s="47"/>
      <c r="JRV1" s="47"/>
      <c r="JRW1" s="47"/>
      <c r="JRX1" s="47"/>
      <c r="JRY1" s="47"/>
      <c r="JRZ1" s="47"/>
      <c r="JSA1" s="47"/>
      <c r="JSB1" s="47"/>
      <c r="JSC1" s="47"/>
      <c r="JSD1" s="47"/>
      <c r="JSE1" s="47"/>
      <c r="JSF1" s="47"/>
      <c r="JSG1" s="47"/>
      <c r="JSH1" s="47"/>
      <c r="JSI1" s="47"/>
      <c r="JSJ1" s="47"/>
      <c r="JSK1" s="47"/>
      <c r="JSL1" s="47"/>
      <c r="JSM1" s="47"/>
      <c r="JSN1" s="47"/>
      <c r="JSO1" s="47"/>
      <c r="JSP1" s="47"/>
      <c r="JSQ1" s="47"/>
      <c r="JSR1" s="47"/>
      <c r="JSS1" s="47"/>
      <c r="JST1" s="47"/>
      <c r="JSU1" s="47"/>
      <c r="JSV1" s="47"/>
      <c r="JSW1" s="47"/>
      <c r="JSX1" s="47"/>
      <c r="JSY1" s="47"/>
      <c r="JSZ1" s="47"/>
      <c r="JTA1" s="47"/>
      <c r="JTB1" s="47"/>
      <c r="JTC1" s="47"/>
      <c r="JTD1" s="47"/>
      <c r="JTE1" s="47"/>
      <c r="JTF1" s="47"/>
      <c r="JTG1" s="47"/>
      <c r="JTH1" s="47"/>
      <c r="JTI1" s="47"/>
      <c r="JTJ1" s="47"/>
      <c r="JTK1" s="47"/>
      <c r="JTL1" s="47"/>
      <c r="JTM1" s="47"/>
      <c r="JTN1" s="47"/>
      <c r="JTO1" s="47"/>
      <c r="JTP1" s="47"/>
      <c r="JTQ1" s="47"/>
      <c r="JTR1" s="47"/>
      <c r="JTS1" s="47"/>
      <c r="JTT1" s="47"/>
      <c r="JTU1" s="47"/>
      <c r="JTV1" s="47"/>
      <c r="JTW1" s="47"/>
      <c r="JTX1" s="47"/>
      <c r="JTY1" s="47"/>
      <c r="JTZ1" s="47"/>
      <c r="JUA1" s="47"/>
      <c r="JUB1" s="47"/>
      <c r="JUC1" s="47"/>
      <c r="JUD1" s="47"/>
      <c r="JUE1" s="47"/>
      <c r="JUF1" s="47"/>
      <c r="JUG1" s="47"/>
      <c r="JUH1" s="47"/>
      <c r="JUI1" s="47"/>
      <c r="JUJ1" s="47"/>
      <c r="JUK1" s="47"/>
      <c r="JUL1" s="47"/>
      <c r="JUM1" s="47"/>
      <c r="JUN1" s="47"/>
      <c r="JUO1" s="47"/>
      <c r="JUP1" s="47"/>
      <c r="JUQ1" s="47"/>
      <c r="JUR1" s="47"/>
      <c r="JUS1" s="47"/>
      <c r="JUT1" s="47"/>
      <c r="JUU1" s="47"/>
      <c r="JUV1" s="47"/>
      <c r="JUW1" s="47"/>
      <c r="JUX1" s="47"/>
      <c r="JUY1" s="47"/>
      <c r="JUZ1" s="47"/>
      <c r="JVA1" s="47"/>
      <c r="JVB1" s="47"/>
      <c r="JVC1" s="47"/>
      <c r="JVD1" s="47"/>
      <c r="JVE1" s="47"/>
      <c r="JVF1" s="47"/>
      <c r="JVG1" s="47"/>
      <c r="JVH1" s="47"/>
      <c r="JVI1" s="47"/>
      <c r="JVJ1" s="47"/>
      <c r="JVK1" s="47"/>
      <c r="JVL1" s="47"/>
      <c r="JVM1" s="47"/>
      <c r="JVN1" s="47"/>
      <c r="JVO1" s="47"/>
      <c r="JVP1" s="47"/>
      <c r="JVQ1" s="47"/>
      <c r="JVR1" s="47"/>
      <c r="JVS1" s="47"/>
      <c r="JVT1" s="47"/>
      <c r="JVU1" s="47"/>
      <c r="JVV1" s="47"/>
      <c r="JVW1" s="47"/>
      <c r="JVX1" s="47"/>
      <c r="JVY1" s="47"/>
      <c r="JVZ1" s="47"/>
      <c r="JWA1" s="47"/>
      <c r="JWB1" s="47"/>
      <c r="JWC1" s="47"/>
      <c r="JWD1" s="47"/>
      <c r="JWE1" s="47"/>
      <c r="JWF1" s="47"/>
      <c r="JWG1" s="47"/>
      <c r="JWH1" s="47"/>
      <c r="JWI1" s="47"/>
      <c r="JWJ1" s="47"/>
      <c r="JWK1" s="47"/>
      <c r="JWL1" s="47"/>
      <c r="JWM1" s="47"/>
      <c r="JWN1" s="47"/>
      <c r="JWO1" s="47"/>
      <c r="JWP1" s="47"/>
      <c r="JWQ1" s="47"/>
      <c r="JWR1" s="47"/>
      <c r="JWS1" s="47"/>
      <c r="JWT1" s="47"/>
      <c r="JWU1" s="47"/>
      <c r="JWV1" s="47"/>
      <c r="JWW1" s="47"/>
      <c r="JWX1" s="47"/>
      <c r="JWY1" s="47"/>
      <c r="JWZ1" s="47"/>
      <c r="JXA1" s="47"/>
      <c r="JXB1" s="47"/>
      <c r="JXC1" s="47"/>
      <c r="JXD1" s="47"/>
      <c r="JXE1" s="47"/>
      <c r="JXF1" s="47"/>
      <c r="JXG1" s="47"/>
      <c r="JXH1" s="47"/>
      <c r="JXI1" s="47"/>
      <c r="JXJ1" s="47"/>
      <c r="JXK1" s="47"/>
      <c r="JXL1" s="47"/>
      <c r="JXM1" s="47"/>
      <c r="JXN1" s="47"/>
      <c r="JXO1" s="47"/>
      <c r="JXP1" s="47"/>
      <c r="JXQ1" s="47"/>
      <c r="JXR1" s="47"/>
      <c r="JXS1" s="47"/>
      <c r="JXT1" s="47"/>
      <c r="JXU1" s="47"/>
      <c r="JXV1" s="47"/>
      <c r="JXW1" s="47"/>
      <c r="JXX1" s="47"/>
      <c r="JXY1" s="47"/>
      <c r="JXZ1" s="47"/>
      <c r="JYA1" s="47"/>
      <c r="JYB1" s="47"/>
      <c r="JYC1" s="47"/>
      <c r="JYD1" s="47"/>
      <c r="JYE1" s="47"/>
      <c r="JYF1" s="47"/>
      <c r="JYG1" s="47"/>
      <c r="JYH1" s="47"/>
      <c r="JYI1" s="47"/>
      <c r="JYJ1" s="47"/>
      <c r="JYK1" s="47"/>
      <c r="JYL1" s="47"/>
      <c r="JYM1" s="47"/>
      <c r="JYN1" s="47"/>
      <c r="JYO1" s="47"/>
      <c r="JYP1" s="47"/>
      <c r="JYQ1" s="47"/>
      <c r="JYR1" s="47"/>
      <c r="JYS1" s="47"/>
      <c r="JYT1" s="47"/>
      <c r="JYU1" s="47"/>
      <c r="JYV1" s="47"/>
      <c r="JYW1" s="47"/>
      <c r="JYX1" s="47"/>
      <c r="JYY1" s="47"/>
      <c r="JYZ1" s="47"/>
      <c r="JZA1" s="47"/>
      <c r="JZB1" s="47"/>
      <c r="JZC1" s="47"/>
      <c r="JZD1" s="47"/>
      <c r="JZE1" s="47"/>
      <c r="JZF1" s="47"/>
      <c r="JZG1" s="47"/>
      <c r="JZH1" s="47"/>
      <c r="JZI1" s="47"/>
      <c r="JZJ1" s="47"/>
      <c r="JZK1" s="47"/>
      <c r="JZL1" s="47"/>
      <c r="JZM1" s="47"/>
      <c r="JZN1" s="47"/>
      <c r="JZO1" s="47"/>
      <c r="JZP1" s="47"/>
      <c r="JZQ1" s="47"/>
      <c r="JZR1" s="47"/>
      <c r="JZS1" s="47"/>
      <c r="JZT1" s="47"/>
      <c r="JZU1" s="47"/>
      <c r="JZV1" s="47"/>
      <c r="JZW1" s="47"/>
      <c r="JZX1" s="47"/>
      <c r="JZY1" s="47"/>
      <c r="JZZ1" s="47"/>
      <c r="KAA1" s="47"/>
      <c r="KAB1" s="47"/>
      <c r="KAC1" s="47"/>
      <c r="KAD1" s="47"/>
      <c r="KAE1" s="47"/>
      <c r="KAF1" s="47"/>
      <c r="KAG1" s="47"/>
      <c r="KAH1" s="47"/>
      <c r="KAI1" s="47"/>
      <c r="KAJ1" s="47"/>
      <c r="KAK1" s="47"/>
      <c r="KAL1" s="47"/>
      <c r="KAM1" s="47"/>
      <c r="KAN1" s="47"/>
      <c r="KAO1" s="47"/>
      <c r="KAP1" s="47"/>
      <c r="KAQ1" s="47"/>
      <c r="KAR1" s="47"/>
      <c r="KAS1" s="47"/>
      <c r="KAT1" s="47"/>
      <c r="KAU1" s="47"/>
      <c r="KAV1" s="47"/>
      <c r="KAW1" s="47"/>
      <c r="KAX1" s="47"/>
      <c r="KAY1" s="47"/>
      <c r="KAZ1" s="47"/>
      <c r="KBA1" s="47"/>
      <c r="KBB1" s="47"/>
      <c r="KBC1" s="47"/>
      <c r="KBD1" s="47"/>
      <c r="KBE1" s="47"/>
      <c r="KBF1" s="47"/>
      <c r="KBG1" s="47"/>
      <c r="KBH1" s="47"/>
      <c r="KBI1" s="47"/>
      <c r="KBJ1" s="47"/>
      <c r="KBK1" s="47"/>
      <c r="KBL1" s="47"/>
      <c r="KBM1" s="47"/>
      <c r="KBN1" s="47"/>
      <c r="KBO1" s="47"/>
      <c r="KBP1" s="47"/>
      <c r="KBQ1" s="47"/>
      <c r="KBR1" s="47"/>
      <c r="KBS1" s="47"/>
      <c r="KBT1" s="47"/>
      <c r="KBU1" s="47"/>
      <c r="KBV1" s="47"/>
      <c r="KBW1" s="47"/>
      <c r="KBX1" s="47"/>
      <c r="KBY1" s="47"/>
      <c r="KBZ1" s="47"/>
      <c r="KCA1" s="47"/>
      <c r="KCB1" s="47"/>
      <c r="KCC1" s="47"/>
      <c r="KCD1" s="47"/>
      <c r="KCE1" s="47"/>
      <c r="KCF1" s="47"/>
      <c r="KCG1" s="47"/>
      <c r="KCH1" s="47"/>
      <c r="KCI1" s="47"/>
      <c r="KCJ1" s="47"/>
      <c r="KCK1" s="47"/>
      <c r="KCL1" s="47"/>
      <c r="KCM1" s="47"/>
      <c r="KCN1" s="47"/>
      <c r="KCO1" s="47"/>
      <c r="KCP1" s="47"/>
      <c r="KCQ1" s="47"/>
      <c r="KCR1" s="47"/>
      <c r="KCS1" s="47"/>
      <c r="KCT1" s="47"/>
      <c r="KCU1" s="47"/>
      <c r="KCV1" s="47"/>
      <c r="KCW1" s="47"/>
      <c r="KCX1" s="47"/>
      <c r="KCY1" s="47"/>
      <c r="KCZ1" s="47"/>
      <c r="KDA1" s="47"/>
      <c r="KDB1" s="47"/>
      <c r="KDC1" s="47"/>
      <c r="KDD1" s="47"/>
      <c r="KDE1" s="47"/>
      <c r="KDF1" s="47"/>
      <c r="KDG1" s="47"/>
      <c r="KDH1" s="47"/>
      <c r="KDI1" s="47"/>
      <c r="KDJ1" s="47"/>
      <c r="KDK1" s="47"/>
      <c r="KDL1" s="47"/>
      <c r="KDM1" s="47"/>
      <c r="KDN1" s="47"/>
      <c r="KDO1" s="47"/>
      <c r="KDP1" s="47"/>
      <c r="KDQ1" s="47"/>
      <c r="KDR1" s="47"/>
      <c r="KDS1" s="47"/>
      <c r="KDT1" s="47"/>
      <c r="KDU1" s="47"/>
      <c r="KDV1" s="47"/>
      <c r="KDW1" s="47"/>
      <c r="KDX1" s="47"/>
      <c r="KDY1" s="47"/>
      <c r="KDZ1" s="47"/>
      <c r="KEA1" s="47"/>
      <c r="KEB1" s="47"/>
      <c r="KEC1" s="47"/>
      <c r="KED1" s="47"/>
      <c r="KEE1" s="47"/>
      <c r="KEF1" s="47"/>
      <c r="KEG1" s="47"/>
      <c r="KEH1" s="47"/>
      <c r="KEI1" s="47"/>
      <c r="KEJ1" s="47"/>
      <c r="KEK1" s="47"/>
      <c r="KEL1" s="47"/>
      <c r="KEM1" s="47"/>
      <c r="KEN1" s="47"/>
      <c r="KEO1" s="47"/>
      <c r="KEP1" s="47"/>
      <c r="KEQ1" s="47"/>
      <c r="KER1" s="47"/>
      <c r="KES1" s="47"/>
      <c r="KET1" s="47"/>
      <c r="KEU1" s="47"/>
      <c r="KEV1" s="47"/>
      <c r="KEW1" s="47"/>
      <c r="KEX1" s="47"/>
      <c r="KEY1" s="47"/>
      <c r="KEZ1" s="47"/>
      <c r="KFA1" s="47"/>
      <c r="KFB1" s="47"/>
      <c r="KFC1" s="47"/>
      <c r="KFD1" s="47"/>
      <c r="KFE1" s="47"/>
      <c r="KFF1" s="47"/>
      <c r="KFG1" s="47"/>
      <c r="KFH1" s="47"/>
      <c r="KFI1" s="47"/>
      <c r="KFJ1" s="47"/>
      <c r="KFK1" s="47"/>
      <c r="KFL1" s="47"/>
      <c r="KFM1" s="47"/>
      <c r="KFN1" s="47"/>
      <c r="KFO1" s="47"/>
      <c r="KFP1" s="47"/>
      <c r="KFQ1" s="47"/>
      <c r="KFR1" s="47"/>
      <c r="KFS1" s="47"/>
      <c r="KFT1" s="47"/>
      <c r="KFU1" s="47"/>
      <c r="KFV1" s="47"/>
      <c r="KFW1" s="47"/>
      <c r="KFX1" s="47"/>
      <c r="KFY1" s="47"/>
      <c r="KFZ1" s="47"/>
      <c r="KGA1" s="47"/>
      <c r="KGB1" s="47"/>
      <c r="KGC1" s="47"/>
      <c r="KGD1" s="47"/>
      <c r="KGE1" s="47"/>
      <c r="KGF1" s="47"/>
      <c r="KGG1" s="47"/>
      <c r="KGH1" s="47"/>
      <c r="KGI1" s="47"/>
      <c r="KGJ1" s="47"/>
      <c r="KGK1" s="47"/>
      <c r="KGL1" s="47"/>
      <c r="KGM1" s="47"/>
      <c r="KGN1" s="47"/>
      <c r="KGO1" s="47"/>
      <c r="KGP1" s="47"/>
      <c r="KGQ1" s="47"/>
      <c r="KGR1" s="47"/>
      <c r="KGS1" s="47"/>
      <c r="KGT1" s="47"/>
      <c r="KGU1" s="47"/>
      <c r="KGV1" s="47"/>
      <c r="KGW1" s="47"/>
      <c r="KGX1" s="47"/>
      <c r="KGY1" s="47"/>
      <c r="KGZ1" s="47"/>
      <c r="KHA1" s="47"/>
      <c r="KHB1" s="47"/>
      <c r="KHC1" s="47"/>
      <c r="KHD1" s="47"/>
      <c r="KHE1" s="47"/>
      <c r="KHF1" s="47"/>
      <c r="KHG1" s="47"/>
      <c r="KHH1" s="47"/>
      <c r="KHI1" s="47"/>
      <c r="KHJ1" s="47"/>
      <c r="KHK1" s="47"/>
      <c r="KHL1" s="47"/>
      <c r="KHM1" s="47"/>
      <c r="KHN1" s="47"/>
      <c r="KHO1" s="47"/>
      <c r="KHP1" s="47"/>
      <c r="KHQ1" s="47"/>
      <c r="KHR1" s="47"/>
      <c r="KHS1" s="47"/>
      <c r="KHT1" s="47"/>
      <c r="KHU1" s="47"/>
      <c r="KHV1" s="47"/>
      <c r="KHW1" s="47"/>
      <c r="KHX1" s="47"/>
      <c r="KHY1" s="47"/>
      <c r="KHZ1" s="47"/>
      <c r="KIA1" s="47"/>
      <c r="KIB1" s="47"/>
      <c r="KIC1" s="47"/>
      <c r="KID1" s="47"/>
      <c r="KIE1" s="47"/>
      <c r="KIF1" s="47"/>
      <c r="KIG1" s="47"/>
      <c r="KIH1" s="47"/>
      <c r="KII1" s="47"/>
      <c r="KIJ1" s="47"/>
      <c r="KIK1" s="47"/>
      <c r="KIL1" s="47"/>
      <c r="KIM1" s="47"/>
      <c r="KIN1" s="47"/>
      <c r="KIO1" s="47"/>
      <c r="KIP1" s="47"/>
      <c r="KIQ1" s="47"/>
      <c r="KIR1" s="47"/>
      <c r="KIS1" s="47"/>
      <c r="KIT1" s="47"/>
      <c r="KIU1" s="47"/>
      <c r="KIV1" s="47"/>
      <c r="KIW1" s="47"/>
      <c r="KIX1" s="47"/>
      <c r="KIY1" s="47"/>
      <c r="KIZ1" s="47"/>
      <c r="KJA1" s="47"/>
      <c r="KJB1" s="47"/>
      <c r="KJC1" s="47"/>
      <c r="KJD1" s="47"/>
      <c r="KJE1" s="47"/>
      <c r="KJF1" s="47"/>
      <c r="KJG1" s="47"/>
      <c r="KJH1" s="47"/>
      <c r="KJI1" s="47"/>
      <c r="KJJ1" s="47"/>
      <c r="KJK1" s="47"/>
      <c r="KJL1" s="47"/>
      <c r="KJM1" s="47"/>
      <c r="KJN1" s="47"/>
      <c r="KJO1" s="47"/>
      <c r="KJP1" s="47"/>
      <c r="KJQ1" s="47"/>
      <c r="KJR1" s="47"/>
      <c r="KJS1" s="47"/>
      <c r="KJT1" s="47"/>
      <c r="KJU1" s="47"/>
      <c r="KJV1" s="47"/>
      <c r="KJW1" s="47"/>
      <c r="KJX1" s="47"/>
      <c r="KJY1" s="47"/>
      <c r="KJZ1" s="47"/>
      <c r="KKA1" s="47"/>
      <c r="KKB1" s="47"/>
      <c r="KKC1" s="47"/>
      <c r="KKD1" s="47"/>
      <c r="KKE1" s="47"/>
      <c r="KKF1" s="47"/>
      <c r="KKG1" s="47"/>
      <c r="KKH1" s="47"/>
      <c r="KKI1" s="47"/>
      <c r="KKJ1" s="47"/>
      <c r="KKK1" s="47"/>
      <c r="KKL1" s="47"/>
      <c r="KKM1" s="47"/>
      <c r="KKN1" s="47"/>
      <c r="KKO1" s="47"/>
      <c r="KKP1" s="47"/>
      <c r="KKQ1" s="47"/>
      <c r="KKR1" s="47"/>
      <c r="KKS1" s="47"/>
      <c r="KKT1" s="47"/>
      <c r="KKU1" s="47"/>
      <c r="KKV1" s="47"/>
      <c r="KKW1" s="47"/>
      <c r="KKX1" s="47"/>
      <c r="KKY1" s="47"/>
      <c r="KKZ1" s="47"/>
      <c r="KLA1" s="47"/>
      <c r="KLB1" s="47"/>
      <c r="KLC1" s="47"/>
      <c r="KLD1" s="47"/>
      <c r="KLE1" s="47"/>
      <c r="KLF1" s="47"/>
      <c r="KLG1" s="47"/>
      <c r="KLH1" s="47"/>
      <c r="KLI1" s="47"/>
      <c r="KLJ1" s="47"/>
      <c r="KLK1" s="47"/>
      <c r="KLL1" s="47"/>
      <c r="KLM1" s="47"/>
      <c r="KLN1" s="47"/>
      <c r="KLO1" s="47"/>
      <c r="KLP1" s="47"/>
      <c r="KLQ1" s="47"/>
      <c r="KLR1" s="47"/>
      <c r="KLS1" s="47"/>
      <c r="KLT1" s="47"/>
      <c r="KLU1" s="47"/>
      <c r="KLV1" s="47"/>
      <c r="KLW1" s="47"/>
      <c r="KLX1" s="47"/>
      <c r="KLY1" s="47"/>
      <c r="KLZ1" s="47"/>
      <c r="KMA1" s="47"/>
      <c r="KMB1" s="47"/>
      <c r="KMC1" s="47"/>
      <c r="KMD1" s="47"/>
      <c r="KME1" s="47"/>
      <c r="KMF1" s="47"/>
      <c r="KMG1" s="47"/>
      <c r="KMH1" s="47"/>
      <c r="KMI1" s="47"/>
      <c r="KMJ1" s="47"/>
      <c r="KMK1" s="47"/>
      <c r="KML1" s="47"/>
      <c r="KMM1" s="47"/>
      <c r="KMN1" s="47"/>
      <c r="KMO1" s="47"/>
      <c r="KMP1" s="47"/>
      <c r="KMQ1" s="47"/>
      <c r="KMR1" s="47"/>
      <c r="KMS1" s="47"/>
      <c r="KMT1" s="47"/>
      <c r="KMU1" s="47"/>
      <c r="KMV1" s="47"/>
      <c r="KMW1" s="47"/>
      <c r="KMX1" s="47"/>
      <c r="KMY1" s="47"/>
      <c r="KMZ1" s="47"/>
      <c r="KNA1" s="47"/>
      <c r="KNB1" s="47"/>
      <c r="KNC1" s="47"/>
      <c r="KND1" s="47"/>
      <c r="KNE1" s="47"/>
      <c r="KNF1" s="47"/>
      <c r="KNG1" s="47"/>
      <c r="KNH1" s="47"/>
      <c r="KNI1" s="47"/>
      <c r="KNJ1" s="47"/>
      <c r="KNK1" s="47"/>
      <c r="KNL1" s="47"/>
      <c r="KNM1" s="47"/>
      <c r="KNN1" s="47"/>
      <c r="KNO1" s="47"/>
      <c r="KNP1" s="47"/>
      <c r="KNQ1" s="47"/>
      <c r="KNR1" s="47"/>
      <c r="KNS1" s="47"/>
      <c r="KNT1" s="47"/>
      <c r="KNU1" s="47"/>
      <c r="KNV1" s="47"/>
      <c r="KNW1" s="47"/>
      <c r="KNX1" s="47"/>
      <c r="KNY1" s="47"/>
      <c r="KNZ1" s="47"/>
      <c r="KOA1" s="47"/>
      <c r="KOB1" s="47"/>
      <c r="KOC1" s="47"/>
      <c r="KOD1" s="47"/>
      <c r="KOE1" s="47"/>
      <c r="KOF1" s="47"/>
      <c r="KOG1" s="47"/>
      <c r="KOH1" s="47"/>
      <c r="KOI1" s="47"/>
      <c r="KOJ1" s="47"/>
      <c r="KOK1" s="47"/>
      <c r="KOL1" s="47"/>
      <c r="KOM1" s="47"/>
      <c r="KON1" s="47"/>
      <c r="KOO1" s="47"/>
      <c r="KOP1" s="47"/>
      <c r="KOQ1" s="47"/>
      <c r="KOR1" s="47"/>
      <c r="KOS1" s="47"/>
      <c r="KOT1" s="47"/>
      <c r="KOU1" s="47"/>
      <c r="KOV1" s="47"/>
      <c r="KOW1" s="47"/>
      <c r="KOX1" s="47"/>
      <c r="KOY1" s="47"/>
      <c r="KOZ1" s="47"/>
      <c r="KPA1" s="47"/>
      <c r="KPB1" s="47"/>
      <c r="KPC1" s="47"/>
      <c r="KPD1" s="47"/>
      <c r="KPE1" s="47"/>
      <c r="KPF1" s="47"/>
      <c r="KPG1" s="47"/>
      <c r="KPH1" s="47"/>
      <c r="KPI1" s="47"/>
      <c r="KPJ1" s="47"/>
      <c r="KPK1" s="47"/>
      <c r="KPL1" s="47"/>
      <c r="KPM1" s="47"/>
      <c r="KPN1" s="47"/>
      <c r="KPO1" s="47"/>
      <c r="KPP1" s="47"/>
      <c r="KPQ1" s="47"/>
      <c r="KPR1" s="47"/>
      <c r="KPS1" s="47"/>
      <c r="KPT1" s="47"/>
      <c r="KPU1" s="47"/>
      <c r="KPV1" s="47"/>
      <c r="KPW1" s="47"/>
      <c r="KPX1" s="47"/>
      <c r="KPY1" s="47"/>
      <c r="KPZ1" s="47"/>
      <c r="KQA1" s="47"/>
      <c r="KQB1" s="47"/>
      <c r="KQC1" s="47"/>
      <c r="KQD1" s="47"/>
      <c r="KQE1" s="47"/>
      <c r="KQF1" s="47"/>
      <c r="KQG1" s="47"/>
      <c r="KQH1" s="47"/>
      <c r="KQI1" s="47"/>
      <c r="KQJ1" s="47"/>
      <c r="KQK1" s="47"/>
      <c r="KQL1" s="47"/>
      <c r="KQM1" s="47"/>
      <c r="KQN1" s="47"/>
      <c r="KQO1" s="47"/>
      <c r="KQP1" s="47"/>
      <c r="KQQ1" s="47"/>
      <c r="KQR1" s="47"/>
      <c r="KQS1" s="47"/>
      <c r="KQT1" s="47"/>
      <c r="KQU1" s="47"/>
      <c r="KQV1" s="47"/>
      <c r="KQW1" s="47"/>
      <c r="KQX1" s="47"/>
      <c r="KQY1" s="47"/>
      <c r="KQZ1" s="47"/>
      <c r="KRA1" s="47"/>
      <c r="KRB1" s="47"/>
      <c r="KRC1" s="47"/>
      <c r="KRD1" s="47"/>
      <c r="KRE1" s="47"/>
      <c r="KRF1" s="47"/>
      <c r="KRG1" s="47"/>
      <c r="KRH1" s="47"/>
      <c r="KRI1" s="47"/>
      <c r="KRJ1" s="47"/>
      <c r="KRK1" s="47"/>
      <c r="KRL1" s="47"/>
      <c r="KRM1" s="47"/>
      <c r="KRN1" s="47"/>
      <c r="KRO1" s="47"/>
      <c r="KRP1" s="47"/>
      <c r="KRQ1" s="47"/>
      <c r="KRR1" s="47"/>
      <c r="KRS1" s="47"/>
      <c r="KRT1" s="47"/>
      <c r="KRU1" s="47"/>
      <c r="KRV1" s="47"/>
      <c r="KRW1" s="47"/>
      <c r="KRX1" s="47"/>
      <c r="KRY1" s="47"/>
      <c r="KRZ1" s="47"/>
      <c r="KSA1" s="47"/>
      <c r="KSB1" s="47"/>
      <c r="KSC1" s="47"/>
      <c r="KSD1" s="47"/>
      <c r="KSE1" s="47"/>
      <c r="KSF1" s="47"/>
      <c r="KSG1" s="47"/>
      <c r="KSH1" s="47"/>
      <c r="KSI1" s="47"/>
      <c r="KSJ1" s="47"/>
      <c r="KSK1" s="47"/>
      <c r="KSL1" s="47"/>
      <c r="KSM1" s="47"/>
      <c r="KSN1" s="47"/>
      <c r="KSO1" s="47"/>
      <c r="KSP1" s="47"/>
      <c r="KSQ1" s="47"/>
      <c r="KSR1" s="47"/>
      <c r="KSS1" s="47"/>
      <c r="KST1" s="47"/>
      <c r="KSU1" s="47"/>
      <c r="KSV1" s="47"/>
      <c r="KSW1" s="47"/>
      <c r="KSX1" s="47"/>
      <c r="KSY1" s="47"/>
      <c r="KSZ1" s="47"/>
      <c r="KTA1" s="47"/>
      <c r="KTB1" s="47"/>
      <c r="KTC1" s="47"/>
      <c r="KTD1" s="47"/>
      <c r="KTE1" s="47"/>
      <c r="KTF1" s="47"/>
      <c r="KTG1" s="47"/>
      <c r="KTH1" s="47"/>
      <c r="KTI1" s="47"/>
      <c r="KTJ1" s="47"/>
      <c r="KTK1" s="47"/>
      <c r="KTL1" s="47"/>
      <c r="KTM1" s="47"/>
      <c r="KTN1" s="47"/>
      <c r="KTO1" s="47"/>
      <c r="KTP1" s="47"/>
      <c r="KTQ1" s="47"/>
      <c r="KTR1" s="47"/>
      <c r="KTS1" s="47"/>
      <c r="KTT1" s="47"/>
      <c r="KTU1" s="47"/>
      <c r="KTV1" s="47"/>
      <c r="KTW1" s="47"/>
      <c r="KTX1" s="47"/>
      <c r="KTY1" s="47"/>
      <c r="KTZ1" s="47"/>
      <c r="KUA1" s="47"/>
      <c r="KUB1" s="47"/>
      <c r="KUC1" s="47"/>
      <c r="KUD1" s="47"/>
      <c r="KUE1" s="47"/>
      <c r="KUF1" s="47"/>
      <c r="KUG1" s="47"/>
      <c r="KUH1" s="47"/>
      <c r="KUI1" s="47"/>
      <c r="KUJ1" s="47"/>
      <c r="KUK1" s="47"/>
      <c r="KUL1" s="47"/>
      <c r="KUM1" s="47"/>
      <c r="KUN1" s="47"/>
      <c r="KUO1" s="47"/>
      <c r="KUP1" s="47"/>
      <c r="KUQ1" s="47"/>
      <c r="KUR1" s="47"/>
      <c r="KUS1" s="47"/>
      <c r="KUT1" s="47"/>
      <c r="KUU1" s="47"/>
      <c r="KUV1" s="47"/>
      <c r="KUW1" s="47"/>
      <c r="KUX1" s="47"/>
      <c r="KUY1" s="47"/>
      <c r="KUZ1" s="47"/>
      <c r="KVA1" s="47"/>
      <c r="KVB1" s="47"/>
      <c r="KVC1" s="47"/>
      <c r="KVD1" s="47"/>
      <c r="KVE1" s="47"/>
      <c r="KVF1" s="47"/>
      <c r="KVG1" s="47"/>
      <c r="KVH1" s="47"/>
      <c r="KVI1" s="47"/>
      <c r="KVJ1" s="47"/>
      <c r="KVK1" s="47"/>
      <c r="KVL1" s="47"/>
      <c r="KVM1" s="47"/>
      <c r="KVN1" s="47"/>
      <c r="KVO1" s="47"/>
      <c r="KVP1" s="47"/>
      <c r="KVQ1" s="47"/>
      <c r="KVR1" s="47"/>
      <c r="KVS1" s="47"/>
      <c r="KVT1" s="47"/>
      <c r="KVU1" s="47"/>
      <c r="KVV1" s="47"/>
      <c r="KVW1" s="47"/>
      <c r="KVX1" s="47"/>
      <c r="KVY1" s="47"/>
      <c r="KVZ1" s="47"/>
      <c r="KWA1" s="47"/>
      <c r="KWB1" s="47"/>
      <c r="KWC1" s="47"/>
      <c r="KWD1" s="47"/>
      <c r="KWE1" s="47"/>
      <c r="KWF1" s="47"/>
      <c r="KWG1" s="47"/>
      <c r="KWH1" s="47"/>
      <c r="KWI1" s="47"/>
      <c r="KWJ1" s="47"/>
      <c r="KWK1" s="47"/>
      <c r="KWL1" s="47"/>
      <c r="KWM1" s="47"/>
      <c r="KWN1" s="47"/>
      <c r="KWO1" s="47"/>
      <c r="KWP1" s="47"/>
      <c r="KWQ1" s="47"/>
      <c r="KWR1" s="47"/>
      <c r="KWS1" s="47"/>
      <c r="KWT1" s="47"/>
      <c r="KWU1" s="47"/>
      <c r="KWV1" s="47"/>
      <c r="KWW1" s="47"/>
      <c r="KWX1" s="47"/>
      <c r="KWY1" s="47"/>
      <c r="KWZ1" s="47"/>
      <c r="KXA1" s="47"/>
      <c r="KXB1" s="47"/>
      <c r="KXC1" s="47"/>
      <c r="KXD1" s="47"/>
      <c r="KXE1" s="47"/>
      <c r="KXF1" s="47"/>
      <c r="KXG1" s="47"/>
      <c r="KXH1" s="47"/>
      <c r="KXI1" s="47"/>
      <c r="KXJ1" s="47"/>
      <c r="KXK1" s="47"/>
      <c r="KXL1" s="47"/>
      <c r="KXM1" s="47"/>
      <c r="KXN1" s="47"/>
      <c r="KXO1" s="47"/>
      <c r="KXP1" s="47"/>
      <c r="KXQ1" s="47"/>
      <c r="KXR1" s="47"/>
      <c r="KXS1" s="47"/>
      <c r="KXT1" s="47"/>
      <c r="KXU1" s="47"/>
      <c r="KXV1" s="47"/>
      <c r="KXW1" s="47"/>
      <c r="KXX1" s="47"/>
      <c r="KXY1" s="47"/>
      <c r="KXZ1" s="47"/>
      <c r="KYA1" s="47"/>
      <c r="KYB1" s="47"/>
      <c r="KYC1" s="47"/>
      <c r="KYD1" s="47"/>
      <c r="KYE1" s="47"/>
      <c r="KYF1" s="47"/>
      <c r="KYG1" s="47"/>
      <c r="KYH1" s="47"/>
      <c r="KYI1" s="47"/>
      <c r="KYJ1" s="47"/>
      <c r="KYK1" s="47"/>
      <c r="KYL1" s="47"/>
      <c r="KYM1" s="47"/>
      <c r="KYN1" s="47"/>
      <c r="KYO1" s="47"/>
      <c r="KYP1" s="47"/>
      <c r="KYQ1" s="47"/>
      <c r="KYR1" s="47"/>
      <c r="KYS1" s="47"/>
      <c r="KYT1" s="47"/>
      <c r="KYU1" s="47"/>
      <c r="KYV1" s="47"/>
      <c r="KYW1" s="47"/>
      <c r="KYX1" s="47"/>
      <c r="KYY1" s="47"/>
      <c r="KYZ1" s="47"/>
      <c r="KZA1" s="47"/>
      <c r="KZB1" s="47"/>
      <c r="KZC1" s="47"/>
      <c r="KZD1" s="47"/>
      <c r="KZE1" s="47"/>
      <c r="KZF1" s="47"/>
      <c r="KZG1" s="47"/>
      <c r="KZH1" s="47"/>
      <c r="KZI1" s="47"/>
      <c r="KZJ1" s="47"/>
      <c r="KZK1" s="47"/>
      <c r="KZL1" s="47"/>
      <c r="KZM1" s="47"/>
      <c r="KZN1" s="47"/>
      <c r="KZO1" s="47"/>
      <c r="KZP1" s="47"/>
      <c r="KZQ1" s="47"/>
      <c r="KZR1" s="47"/>
      <c r="KZS1" s="47"/>
      <c r="KZT1" s="47"/>
      <c r="KZU1" s="47"/>
      <c r="KZV1" s="47"/>
      <c r="KZW1" s="47"/>
      <c r="KZX1" s="47"/>
      <c r="KZY1" s="47"/>
      <c r="KZZ1" s="47"/>
      <c r="LAA1" s="47"/>
      <c r="LAB1" s="47"/>
      <c r="LAC1" s="47"/>
      <c r="LAD1" s="47"/>
      <c r="LAE1" s="47"/>
      <c r="LAF1" s="47"/>
      <c r="LAG1" s="47"/>
      <c r="LAH1" s="47"/>
      <c r="LAI1" s="47"/>
      <c r="LAJ1" s="47"/>
      <c r="LAK1" s="47"/>
      <c r="LAL1" s="47"/>
      <c r="LAM1" s="47"/>
      <c r="LAN1" s="47"/>
      <c r="LAO1" s="47"/>
      <c r="LAP1" s="47"/>
      <c r="LAQ1" s="47"/>
      <c r="LAR1" s="47"/>
      <c r="LAS1" s="47"/>
      <c r="LAT1" s="47"/>
      <c r="LAU1" s="47"/>
      <c r="LAV1" s="47"/>
      <c r="LAW1" s="47"/>
      <c r="LAX1" s="47"/>
      <c r="LAY1" s="47"/>
      <c r="LAZ1" s="47"/>
      <c r="LBA1" s="47"/>
      <c r="LBB1" s="47"/>
      <c r="LBC1" s="47"/>
      <c r="LBD1" s="47"/>
      <c r="LBE1" s="47"/>
      <c r="LBF1" s="47"/>
      <c r="LBG1" s="47"/>
      <c r="LBH1" s="47"/>
      <c r="LBI1" s="47"/>
      <c r="LBJ1" s="47"/>
      <c r="LBK1" s="47"/>
      <c r="LBL1" s="47"/>
      <c r="LBM1" s="47"/>
      <c r="LBN1" s="47"/>
      <c r="LBO1" s="47"/>
      <c r="LBP1" s="47"/>
      <c r="LBQ1" s="47"/>
      <c r="LBR1" s="47"/>
      <c r="LBS1" s="47"/>
      <c r="LBT1" s="47"/>
      <c r="LBU1" s="47"/>
      <c r="LBV1" s="47"/>
      <c r="LBW1" s="47"/>
      <c r="LBX1" s="47"/>
      <c r="LBY1" s="47"/>
      <c r="LBZ1" s="47"/>
      <c r="LCA1" s="47"/>
      <c r="LCB1" s="47"/>
      <c r="LCC1" s="47"/>
      <c r="LCD1" s="47"/>
      <c r="LCE1" s="47"/>
      <c r="LCF1" s="47"/>
      <c r="LCG1" s="47"/>
      <c r="LCH1" s="47"/>
      <c r="LCI1" s="47"/>
      <c r="LCJ1" s="47"/>
      <c r="LCK1" s="47"/>
      <c r="LCL1" s="47"/>
      <c r="LCM1" s="47"/>
      <c r="LCN1" s="47"/>
      <c r="LCO1" s="47"/>
      <c r="LCP1" s="47"/>
      <c r="LCQ1" s="47"/>
      <c r="LCR1" s="47"/>
      <c r="LCS1" s="47"/>
      <c r="LCT1" s="47"/>
      <c r="LCU1" s="47"/>
      <c r="LCV1" s="47"/>
      <c r="LCW1" s="47"/>
      <c r="LCX1" s="47"/>
      <c r="LCY1" s="47"/>
      <c r="LCZ1" s="47"/>
      <c r="LDA1" s="47"/>
      <c r="LDB1" s="47"/>
      <c r="LDC1" s="47"/>
      <c r="LDD1" s="47"/>
      <c r="LDE1" s="47"/>
      <c r="LDF1" s="47"/>
      <c r="LDG1" s="47"/>
      <c r="LDH1" s="47"/>
      <c r="LDI1" s="47"/>
      <c r="LDJ1" s="47"/>
      <c r="LDK1" s="47"/>
      <c r="LDL1" s="47"/>
      <c r="LDM1" s="47"/>
      <c r="LDN1" s="47"/>
      <c r="LDO1" s="47"/>
      <c r="LDP1" s="47"/>
      <c r="LDQ1" s="47"/>
      <c r="LDR1" s="47"/>
      <c r="LDS1" s="47"/>
      <c r="LDT1" s="47"/>
      <c r="LDU1" s="47"/>
      <c r="LDV1" s="47"/>
      <c r="LDW1" s="47"/>
      <c r="LDX1" s="47"/>
      <c r="LDY1" s="47"/>
      <c r="LDZ1" s="47"/>
      <c r="LEA1" s="47"/>
      <c r="LEB1" s="47"/>
      <c r="LEC1" s="47"/>
      <c r="LED1" s="47"/>
      <c r="LEE1" s="47"/>
      <c r="LEF1" s="47"/>
      <c r="LEG1" s="47"/>
      <c r="LEH1" s="47"/>
      <c r="LEI1" s="47"/>
      <c r="LEJ1" s="47"/>
      <c r="LEK1" s="47"/>
      <c r="LEL1" s="47"/>
      <c r="LEM1" s="47"/>
      <c r="LEN1" s="47"/>
      <c r="LEO1" s="47"/>
      <c r="LEP1" s="47"/>
      <c r="LEQ1" s="47"/>
      <c r="LER1" s="47"/>
      <c r="LES1" s="47"/>
      <c r="LET1" s="47"/>
      <c r="LEU1" s="47"/>
      <c r="LEV1" s="47"/>
      <c r="LEW1" s="47"/>
      <c r="LEX1" s="47"/>
      <c r="LEY1" s="47"/>
      <c r="LEZ1" s="47"/>
      <c r="LFA1" s="47"/>
      <c r="LFB1" s="47"/>
      <c r="LFC1" s="47"/>
      <c r="LFD1" s="47"/>
      <c r="LFE1" s="47"/>
      <c r="LFF1" s="47"/>
      <c r="LFG1" s="47"/>
      <c r="LFH1" s="47"/>
      <c r="LFI1" s="47"/>
      <c r="LFJ1" s="47"/>
      <c r="LFK1" s="47"/>
      <c r="LFL1" s="47"/>
      <c r="LFM1" s="47"/>
      <c r="LFN1" s="47"/>
      <c r="LFO1" s="47"/>
      <c r="LFP1" s="47"/>
      <c r="LFQ1" s="47"/>
      <c r="LFR1" s="47"/>
      <c r="LFS1" s="47"/>
      <c r="LFT1" s="47"/>
      <c r="LFU1" s="47"/>
      <c r="LFV1" s="47"/>
      <c r="LFW1" s="47"/>
      <c r="LFX1" s="47"/>
      <c r="LFY1" s="47"/>
      <c r="LFZ1" s="47"/>
      <c r="LGA1" s="47"/>
      <c r="LGB1" s="47"/>
      <c r="LGC1" s="47"/>
      <c r="LGD1" s="47"/>
      <c r="LGE1" s="47"/>
      <c r="LGF1" s="47"/>
      <c r="LGG1" s="47"/>
      <c r="LGH1" s="47"/>
      <c r="LGI1" s="47"/>
      <c r="LGJ1" s="47"/>
      <c r="LGK1" s="47"/>
      <c r="LGL1" s="47"/>
      <c r="LGM1" s="47"/>
      <c r="LGN1" s="47"/>
      <c r="LGO1" s="47"/>
      <c r="LGP1" s="47"/>
      <c r="LGQ1" s="47"/>
      <c r="LGR1" s="47"/>
      <c r="LGS1" s="47"/>
      <c r="LGT1" s="47"/>
      <c r="LGU1" s="47"/>
      <c r="LGV1" s="47"/>
      <c r="LGW1" s="47"/>
      <c r="LGX1" s="47"/>
      <c r="LGY1" s="47"/>
      <c r="LGZ1" s="47"/>
      <c r="LHA1" s="47"/>
      <c r="LHB1" s="47"/>
      <c r="LHC1" s="47"/>
      <c r="LHD1" s="47"/>
      <c r="LHE1" s="47"/>
      <c r="LHF1" s="47"/>
      <c r="LHG1" s="47"/>
      <c r="LHH1" s="47"/>
      <c r="LHI1" s="47"/>
      <c r="LHJ1" s="47"/>
      <c r="LHK1" s="47"/>
      <c r="LHL1" s="47"/>
      <c r="LHM1" s="47"/>
      <c r="LHN1" s="47"/>
      <c r="LHO1" s="47"/>
      <c r="LHP1" s="47"/>
      <c r="LHQ1" s="47"/>
      <c r="LHR1" s="47"/>
      <c r="LHS1" s="47"/>
      <c r="LHT1" s="47"/>
      <c r="LHU1" s="47"/>
      <c r="LHV1" s="47"/>
      <c r="LHW1" s="47"/>
      <c r="LHX1" s="47"/>
      <c r="LHY1" s="47"/>
      <c r="LHZ1" s="47"/>
      <c r="LIA1" s="47"/>
      <c r="LIB1" s="47"/>
      <c r="LIC1" s="47"/>
      <c r="LID1" s="47"/>
      <c r="LIE1" s="47"/>
      <c r="LIF1" s="47"/>
      <c r="LIG1" s="47"/>
      <c r="LIH1" s="47"/>
      <c r="LII1" s="47"/>
      <c r="LIJ1" s="47"/>
      <c r="LIK1" s="47"/>
      <c r="LIL1" s="47"/>
      <c r="LIM1" s="47"/>
      <c r="LIN1" s="47"/>
      <c r="LIO1" s="47"/>
      <c r="LIP1" s="47"/>
      <c r="LIQ1" s="47"/>
      <c r="LIR1" s="47"/>
      <c r="LIS1" s="47"/>
      <c r="LIT1" s="47"/>
      <c r="LIU1" s="47"/>
      <c r="LIV1" s="47"/>
      <c r="LIW1" s="47"/>
      <c r="LIX1" s="47"/>
      <c r="LIY1" s="47"/>
      <c r="LIZ1" s="47"/>
      <c r="LJA1" s="47"/>
      <c r="LJB1" s="47"/>
      <c r="LJC1" s="47"/>
      <c r="LJD1" s="47"/>
      <c r="LJE1" s="47"/>
      <c r="LJF1" s="47"/>
      <c r="LJG1" s="47"/>
      <c r="LJH1" s="47"/>
      <c r="LJI1" s="47"/>
      <c r="LJJ1" s="47"/>
      <c r="LJK1" s="47"/>
      <c r="LJL1" s="47"/>
      <c r="LJM1" s="47"/>
      <c r="LJN1" s="47"/>
      <c r="LJO1" s="47"/>
      <c r="LJP1" s="47"/>
      <c r="LJQ1" s="47"/>
      <c r="LJR1" s="47"/>
      <c r="LJS1" s="47"/>
      <c r="LJT1" s="47"/>
      <c r="LJU1" s="47"/>
      <c r="LJV1" s="47"/>
      <c r="LJW1" s="47"/>
      <c r="LJX1" s="47"/>
      <c r="LJY1" s="47"/>
      <c r="LJZ1" s="47"/>
      <c r="LKA1" s="47"/>
      <c r="LKB1" s="47"/>
      <c r="LKC1" s="47"/>
      <c r="LKD1" s="47"/>
      <c r="LKE1" s="47"/>
      <c r="LKF1" s="47"/>
      <c r="LKG1" s="47"/>
      <c r="LKH1" s="47"/>
      <c r="LKI1" s="47"/>
      <c r="LKJ1" s="47"/>
      <c r="LKK1" s="47"/>
      <c r="LKL1" s="47"/>
      <c r="LKM1" s="47"/>
      <c r="LKN1" s="47"/>
      <c r="LKO1" s="47"/>
      <c r="LKP1" s="47"/>
      <c r="LKQ1" s="47"/>
      <c r="LKR1" s="47"/>
      <c r="LKS1" s="47"/>
      <c r="LKT1" s="47"/>
      <c r="LKU1" s="47"/>
      <c r="LKV1" s="47"/>
      <c r="LKW1" s="47"/>
      <c r="LKX1" s="47"/>
      <c r="LKY1" s="47"/>
      <c r="LKZ1" s="47"/>
      <c r="LLA1" s="47"/>
      <c r="LLB1" s="47"/>
      <c r="LLC1" s="47"/>
      <c r="LLD1" s="47"/>
      <c r="LLE1" s="47"/>
      <c r="LLF1" s="47"/>
      <c r="LLG1" s="47"/>
      <c r="LLH1" s="47"/>
      <c r="LLI1" s="47"/>
      <c r="LLJ1" s="47"/>
      <c r="LLK1" s="47"/>
      <c r="LLL1" s="47"/>
      <c r="LLM1" s="47"/>
      <c r="LLN1" s="47"/>
      <c r="LLO1" s="47"/>
      <c r="LLP1" s="47"/>
      <c r="LLQ1" s="47"/>
      <c r="LLR1" s="47"/>
      <c r="LLS1" s="47"/>
      <c r="LLT1" s="47"/>
      <c r="LLU1" s="47"/>
      <c r="LLV1" s="47"/>
      <c r="LLW1" s="47"/>
      <c r="LLX1" s="47"/>
      <c r="LLY1" s="47"/>
      <c r="LLZ1" s="47"/>
      <c r="LMA1" s="47"/>
      <c r="LMB1" s="47"/>
      <c r="LMC1" s="47"/>
      <c r="LMD1" s="47"/>
      <c r="LME1" s="47"/>
      <c r="LMF1" s="47"/>
      <c r="LMG1" s="47"/>
      <c r="LMH1" s="47"/>
      <c r="LMI1" s="47"/>
      <c r="LMJ1" s="47"/>
      <c r="LMK1" s="47"/>
      <c r="LML1" s="47"/>
      <c r="LMM1" s="47"/>
      <c r="LMN1" s="47"/>
      <c r="LMO1" s="47"/>
      <c r="LMP1" s="47"/>
      <c r="LMQ1" s="47"/>
      <c r="LMR1" s="47"/>
      <c r="LMS1" s="47"/>
      <c r="LMT1" s="47"/>
      <c r="LMU1" s="47"/>
      <c r="LMV1" s="47"/>
      <c r="LMW1" s="47"/>
      <c r="LMX1" s="47"/>
      <c r="LMY1" s="47"/>
      <c r="LMZ1" s="47"/>
      <c r="LNA1" s="47"/>
      <c r="LNB1" s="47"/>
      <c r="LNC1" s="47"/>
      <c r="LND1" s="47"/>
      <c r="LNE1" s="47"/>
      <c r="LNF1" s="47"/>
      <c r="LNG1" s="47"/>
      <c r="LNH1" s="47"/>
      <c r="LNI1" s="47"/>
      <c r="LNJ1" s="47"/>
      <c r="LNK1" s="47"/>
      <c r="LNL1" s="47"/>
      <c r="LNM1" s="47"/>
      <c r="LNN1" s="47"/>
      <c r="LNO1" s="47"/>
      <c r="LNP1" s="47"/>
      <c r="LNQ1" s="47"/>
      <c r="LNR1" s="47"/>
      <c r="LNS1" s="47"/>
      <c r="LNT1" s="47"/>
      <c r="LNU1" s="47"/>
      <c r="LNV1" s="47"/>
      <c r="LNW1" s="47"/>
      <c r="LNX1" s="47"/>
      <c r="LNY1" s="47"/>
      <c r="LNZ1" s="47"/>
      <c r="LOA1" s="47"/>
      <c r="LOB1" s="47"/>
      <c r="LOC1" s="47"/>
      <c r="LOD1" s="47"/>
      <c r="LOE1" s="47"/>
      <c r="LOF1" s="47"/>
      <c r="LOG1" s="47"/>
      <c r="LOH1" s="47"/>
      <c r="LOI1" s="47"/>
      <c r="LOJ1" s="47"/>
      <c r="LOK1" s="47"/>
      <c r="LOL1" s="47"/>
      <c r="LOM1" s="47"/>
      <c r="LON1" s="47"/>
      <c r="LOO1" s="47"/>
      <c r="LOP1" s="47"/>
      <c r="LOQ1" s="47"/>
      <c r="LOR1" s="47"/>
      <c r="LOS1" s="47"/>
      <c r="LOT1" s="47"/>
      <c r="LOU1" s="47"/>
      <c r="LOV1" s="47"/>
      <c r="LOW1" s="47"/>
      <c r="LOX1" s="47"/>
      <c r="LOY1" s="47"/>
      <c r="LOZ1" s="47"/>
      <c r="LPA1" s="47"/>
      <c r="LPB1" s="47"/>
      <c r="LPC1" s="47"/>
      <c r="LPD1" s="47"/>
      <c r="LPE1" s="47"/>
      <c r="LPF1" s="47"/>
      <c r="LPG1" s="47"/>
      <c r="LPH1" s="47"/>
      <c r="LPI1" s="47"/>
      <c r="LPJ1" s="47"/>
      <c r="LPK1" s="47"/>
      <c r="LPL1" s="47"/>
      <c r="LPM1" s="47"/>
      <c r="LPN1" s="47"/>
      <c r="LPO1" s="47"/>
      <c r="LPP1" s="47"/>
      <c r="LPQ1" s="47"/>
      <c r="LPR1" s="47"/>
      <c r="LPS1" s="47"/>
      <c r="LPT1" s="47"/>
      <c r="LPU1" s="47"/>
      <c r="LPV1" s="47"/>
      <c r="LPW1" s="47"/>
      <c r="LPX1" s="47"/>
      <c r="LPY1" s="47"/>
      <c r="LPZ1" s="47"/>
      <c r="LQA1" s="47"/>
      <c r="LQB1" s="47"/>
      <c r="LQC1" s="47"/>
      <c r="LQD1" s="47"/>
      <c r="LQE1" s="47"/>
      <c r="LQF1" s="47"/>
      <c r="LQG1" s="47"/>
      <c r="LQH1" s="47"/>
      <c r="LQI1" s="47"/>
      <c r="LQJ1" s="47"/>
      <c r="LQK1" s="47"/>
      <c r="LQL1" s="47"/>
      <c r="LQM1" s="47"/>
      <c r="LQN1" s="47"/>
      <c r="LQO1" s="47"/>
      <c r="LQP1" s="47"/>
      <c r="LQQ1" s="47"/>
      <c r="LQR1" s="47"/>
      <c r="LQS1" s="47"/>
      <c r="LQT1" s="47"/>
      <c r="LQU1" s="47"/>
      <c r="LQV1" s="47"/>
      <c r="LQW1" s="47"/>
      <c r="LQX1" s="47"/>
      <c r="LQY1" s="47"/>
      <c r="LQZ1" s="47"/>
      <c r="LRA1" s="47"/>
      <c r="LRB1" s="47"/>
      <c r="LRC1" s="47"/>
      <c r="LRD1" s="47"/>
      <c r="LRE1" s="47"/>
      <c r="LRF1" s="47"/>
      <c r="LRG1" s="47"/>
      <c r="LRH1" s="47"/>
      <c r="LRI1" s="47"/>
      <c r="LRJ1" s="47"/>
      <c r="LRK1" s="47"/>
      <c r="LRL1" s="47"/>
      <c r="LRM1" s="47"/>
      <c r="LRN1" s="47"/>
      <c r="LRO1" s="47"/>
      <c r="LRP1" s="47"/>
      <c r="LRQ1" s="47"/>
      <c r="LRR1" s="47"/>
      <c r="LRS1" s="47"/>
      <c r="LRT1" s="47"/>
      <c r="LRU1" s="47"/>
      <c r="LRV1" s="47"/>
      <c r="LRW1" s="47"/>
      <c r="LRX1" s="47"/>
      <c r="LRY1" s="47"/>
      <c r="LRZ1" s="47"/>
      <c r="LSA1" s="47"/>
      <c r="LSB1" s="47"/>
      <c r="LSC1" s="47"/>
      <c r="LSD1" s="47"/>
      <c r="LSE1" s="47"/>
      <c r="LSF1" s="47"/>
      <c r="LSG1" s="47"/>
      <c r="LSH1" s="47"/>
      <c r="LSI1" s="47"/>
      <c r="LSJ1" s="47"/>
      <c r="LSK1" s="47"/>
      <c r="LSL1" s="47"/>
      <c r="LSM1" s="47"/>
      <c r="LSN1" s="47"/>
      <c r="LSO1" s="47"/>
      <c r="LSP1" s="47"/>
      <c r="LSQ1" s="47"/>
      <c r="LSR1" s="47"/>
      <c r="LSS1" s="47"/>
      <c r="LST1" s="47"/>
      <c r="LSU1" s="47"/>
      <c r="LSV1" s="47"/>
      <c r="LSW1" s="47"/>
      <c r="LSX1" s="47"/>
      <c r="LSY1" s="47"/>
      <c r="LSZ1" s="47"/>
      <c r="LTA1" s="47"/>
      <c r="LTB1" s="47"/>
      <c r="LTC1" s="47"/>
      <c r="LTD1" s="47"/>
      <c r="LTE1" s="47"/>
      <c r="LTF1" s="47"/>
      <c r="LTG1" s="47"/>
      <c r="LTH1" s="47"/>
      <c r="LTI1" s="47"/>
      <c r="LTJ1" s="47"/>
      <c r="LTK1" s="47"/>
      <c r="LTL1" s="47"/>
      <c r="LTM1" s="47"/>
      <c r="LTN1" s="47"/>
      <c r="LTO1" s="47"/>
      <c r="LTP1" s="47"/>
      <c r="LTQ1" s="47"/>
      <c r="LTR1" s="47"/>
      <c r="LTS1" s="47"/>
      <c r="LTT1" s="47"/>
      <c r="LTU1" s="47"/>
      <c r="LTV1" s="47"/>
      <c r="LTW1" s="47"/>
      <c r="LTX1" s="47"/>
      <c r="LTY1" s="47"/>
      <c r="LTZ1" s="47"/>
      <c r="LUA1" s="47"/>
      <c r="LUB1" s="47"/>
      <c r="LUC1" s="47"/>
      <c r="LUD1" s="47"/>
      <c r="LUE1" s="47"/>
      <c r="LUF1" s="47"/>
      <c r="LUG1" s="47"/>
      <c r="LUH1" s="47"/>
      <c r="LUI1" s="47"/>
      <c r="LUJ1" s="47"/>
      <c r="LUK1" s="47"/>
      <c r="LUL1" s="47"/>
      <c r="LUM1" s="47"/>
      <c r="LUN1" s="47"/>
      <c r="LUO1" s="47"/>
      <c r="LUP1" s="47"/>
      <c r="LUQ1" s="47"/>
      <c r="LUR1" s="47"/>
      <c r="LUS1" s="47"/>
      <c r="LUT1" s="47"/>
      <c r="LUU1" s="47"/>
      <c r="LUV1" s="47"/>
      <c r="LUW1" s="47"/>
      <c r="LUX1" s="47"/>
      <c r="LUY1" s="47"/>
      <c r="LUZ1" s="47"/>
      <c r="LVA1" s="47"/>
      <c r="LVB1" s="47"/>
      <c r="LVC1" s="47"/>
      <c r="LVD1" s="47"/>
      <c r="LVE1" s="47"/>
      <c r="LVF1" s="47"/>
      <c r="LVG1" s="47"/>
      <c r="LVH1" s="47"/>
      <c r="LVI1" s="47"/>
      <c r="LVJ1" s="47"/>
      <c r="LVK1" s="47"/>
      <c r="LVL1" s="47"/>
      <c r="LVM1" s="47"/>
      <c r="LVN1" s="47"/>
      <c r="LVO1" s="47"/>
      <c r="LVP1" s="47"/>
      <c r="LVQ1" s="47"/>
      <c r="LVR1" s="47"/>
      <c r="LVS1" s="47"/>
      <c r="LVT1" s="47"/>
      <c r="LVU1" s="47"/>
      <c r="LVV1" s="47"/>
      <c r="LVW1" s="47"/>
      <c r="LVX1" s="47"/>
      <c r="LVY1" s="47"/>
      <c r="LVZ1" s="47"/>
      <c r="LWA1" s="47"/>
      <c r="LWB1" s="47"/>
      <c r="LWC1" s="47"/>
      <c r="LWD1" s="47"/>
      <c r="LWE1" s="47"/>
      <c r="LWF1" s="47"/>
      <c r="LWG1" s="47"/>
      <c r="LWH1" s="47"/>
      <c r="LWI1" s="47"/>
      <c r="LWJ1" s="47"/>
      <c r="LWK1" s="47"/>
      <c r="LWL1" s="47"/>
      <c r="LWM1" s="47"/>
      <c r="LWN1" s="47"/>
      <c r="LWO1" s="47"/>
      <c r="LWP1" s="47"/>
      <c r="LWQ1" s="47"/>
      <c r="LWR1" s="47"/>
      <c r="LWS1" s="47"/>
      <c r="LWT1" s="47"/>
      <c r="LWU1" s="47"/>
      <c r="LWV1" s="47"/>
      <c r="LWW1" s="47"/>
      <c r="LWX1" s="47"/>
      <c r="LWY1" s="47"/>
      <c r="LWZ1" s="47"/>
      <c r="LXA1" s="47"/>
      <c r="LXB1" s="47"/>
      <c r="LXC1" s="47"/>
      <c r="LXD1" s="47"/>
      <c r="LXE1" s="47"/>
      <c r="LXF1" s="47"/>
      <c r="LXG1" s="47"/>
      <c r="LXH1" s="47"/>
      <c r="LXI1" s="47"/>
      <c r="LXJ1" s="47"/>
      <c r="LXK1" s="47"/>
      <c r="LXL1" s="47"/>
      <c r="LXM1" s="47"/>
      <c r="LXN1" s="47"/>
      <c r="LXO1" s="47"/>
      <c r="LXP1" s="47"/>
      <c r="LXQ1" s="47"/>
      <c r="LXR1" s="47"/>
      <c r="LXS1" s="47"/>
      <c r="LXT1" s="47"/>
      <c r="LXU1" s="47"/>
      <c r="LXV1" s="47"/>
      <c r="LXW1" s="47"/>
      <c r="LXX1" s="47"/>
      <c r="LXY1" s="47"/>
      <c r="LXZ1" s="47"/>
      <c r="LYA1" s="47"/>
      <c r="LYB1" s="47"/>
      <c r="LYC1" s="47"/>
      <c r="LYD1" s="47"/>
      <c r="LYE1" s="47"/>
      <c r="LYF1" s="47"/>
      <c r="LYG1" s="47"/>
      <c r="LYH1" s="47"/>
      <c r="LYI1" s="47"/>
      <c r="LYJ1" s="47"/>
      <c r="LYK1" s="47"/>
      <c r="LYL1" s="47"/>
      <c r="LYM1" s="47"/>
      <c r="LYN1" s="47"/>
      <c r="LYO1" s="47"/>
      <c r="LYP1" s="47"/>
      <c r="LYQ1" s="47"/>
      <c r="LYR1" s="47"/>
      <c r="LYS1" s="47"/>
      <c r="LYT1" s="47"/>
      <c r="LYU1" s="47"/>
      <c r="LYV1" s="47"/>
      <c r="LYW1" s="47"/>
      <c r="LYX1" s="47"/>
      <c r="LYY1" s="47"/>
      <c r="LYZ1" s="47"/>
      <c r="LZA1" s="47"/>
      <c r="LZB1" s="47"/>
      <c r="LZC1" s="47"/>
      <c r="LZD1" s="47"/>
      <c r="LZE1" s="47"/>
      <c r="LZF1" s="47"/>
      <c r="LZG1" s="47"/>
      <c r="LZH1" s="47"/>
      <c r="LZI1" s="47"/>
      <c r="LZJ1" s="47"/>
      <c r="LZK1" s="47"/>
      <c r="LZL1" s="47"/>
      <c r="LZM1" s="47"/>
      <c r="LZN1" s="47"/>
      <c r="LZO1" s="47"/>
      <c r="LZP1" s="47"/>
      <c r="LZQ1" s="47"/>
      <c r="LZR1" s="47"/>
      <c r="LZS1" s="47"/>
      <c r="LZT1" s="47"/>
      <c r="LZU1" s="47"/>
      <c r="LZV1" s="47"/>
      <c r="LZW1" s="47"/>
      <c r="LZX1" s="47"/>
      <c r="LZY1" s="47"/>
      <c r="LZZ1" s="47"/>
      <c r="MAA1" s="47"/>
      <c r="MAB1" s="47"/>
      <c r="MAC1" s="47"/>
      <c r="MAD1" s="47"/>
      <c r="MAE1" s="47"/>
      <c r="MAF1" s="47"/>
      <c r="MAG1" s="47"/>
      <c r="MAH1" s="47"/>
      <c r="MAI1" s="47"/>
      <c r="MAJ1" s="47"/>
      <c r="MAK1" s="47"/>
      <c r="MAL1" s="47"/>
      <c r="MAM1" s="47"/>
      <c r="MAN1" s="47"/>
      <c r="MAO1" s="47"/>
      <c r="MAP1" s="47"/>
      <c r="MAQ1" s="47"/>
      <c r="MAR1" s="47"/>
      <c r="MAS1" s="47"/>
      <c r="MAT1" s="47"/>
      <c r="MAU1" s="47"/>
      <c r="MAV1" s="47"/>
      <c r="MAW1" s="47"/>
      <c r="MAX1" s="47"/>
      <c r="MAY1" s="47"/>
      <c r="MAZ1" s="47"/>
      <c r="MBA1" s="47"/>
      <c r="MBB1" s="47"/>
      <c r="MBC1" s="47"/>
      <c r="MBD1" s="47"/>
      <c r="MBE1" s="47"/>
      <c r="MBF1" s="47"/>
      <c r="MBG1" s="47"/>
      <c r="MBH1" s="47"/>
      <c r="MBI1" s="47"/>
      <c r="MBJ1" s="47"/>
      <c r="MBK1" s="47"/>
      <c r="MBL1" s="47"/>
      <c r="MBM1" s="47"/>
      <c r="MBN1" s="47"/>
      <c r="MBO1" s="47"/>
      <c r="MBP1" s="47"/>
      <c r="MBQ1" s="47"/>
      <c r="MBR1" s="47"/>
      <c r="MBS1" s="47"/>
      <c r="MBT1" s="47"/>
      <c r="MBU1" s="47"/>
      <c r="MBV1" s="47"/>
      <c r="MBW1" s="47"/>
      <c r="MBX1" s="47"/>
      <c r="MBY1" s="47"/>
      <c r="MBZ1" s="47"/>
      <c r="MCA1" s="47"/>
      <c r="MCB1" s="47"/>
      <c r="MCC1" s="47"/>
      <c r="MCD1" s="47"/>
      <c r="MCE1" s="47"/>
      <c r="MCF1" s="47"/>
      <c r="MCG1" s="47"/>
      <c r="MCH1" s="47"/>
      <c r="MCI1" s="47"/>
      <c r="MCJ1" s="47"/>
      <c r="MCK1" s="47"/>
      <c r="MCL1" s="47"/>
      <c r="MCM1" s="47"/>
      <c r="MCN1" s="47"/>
      <c r="MCO1" s="47"/>
      <c r="MCP1" s="47"/>
      <c r="MCQ1" s="47"/>
      <c r="MCR1" s="47"/>
      <c r="MCS1" s="47"/>
      <c r="MCT1" s="47"/>
      <c r="MCU1" s="47"/>
      <c r="MCV1" s="47"/>
      <c r="MCW1" s="47"/>
      <c r="MCX1" s="47"/>
      <c r="MCY1" s="47"/>
      <c r="MCZ1" s="47"/>
      <c r="MDA1" s="47"/>
      <c r="MDB1" s="47"/>
      <c r="MDC1" s="47"/>
      <c r="MDD1" s="47"/>
      <c r="MDE1" s="47"/>
      <c r="MDF1" s="47"/>
      <c r="MDG1" s="47"/>
      <c r="MDH1" s="47"/>
      <c r="MDI1" s="47"/>
      <c r="MDJ1" s="47"/>
      <c r="MDK1" s="47"/>
      <c r="MDL1" s="47"/>
      <c r="MDM1" s="47"/>
      <c r="MDN1" s="47"/>
      <c r="MDO1" s="47"/>
      <c r="MDP1" s="47"/>
      <c r="MDQ1" s="47"/>
      <c r="MDR1" s="47"/>
      <c r="MDS1" s="47"/>
      <c r="MDT1" s="47"/>
      <c r="MDU1" s="47"/>
      <c r="MDV1" s="47"/>
      <c r="MDW1" s="47"/>
      <c r="MDX1" s="47"/>
      <c r="MDY1" s="47"/>
      <c r="MDZ1" s="47"/>
      <c r="MEA1" s="47"/>
      <c r="MEB1" s="47"/>
      <c r="MEC1" s="47"/>
      <c r="MED1" s="47"/>
      <c r="MEE1" s="47"/>
      <c r="MEF1" s="47"/>
      <c r="MEG1" s="47"/>
      <c r="MEH1" s="47"/>
      <c r="MEI1" s="47"/>
      <c r="MEJ1" s="47"/>
      <c r="MEK1" s="47"/>
      <c r="MEL1" s="47"/>
      <c r="MEM1" s="47"/>
      <c r="MEN1" s="47"/>
      <c r="MEO1" s="47"/>
      <c r="MEP1" s="47"/>
      <c r="MEQ1" s="47"/>
      <c r="MER1" s="47"/>
      <c r="MES1" s="47"/>
      <c r="MET1" s="47"/>
      <c r="MEU1" s="47"/>
      <c r="MEV1" s="47"/>
      <c r="MEW1" s="47"/>
      <c r="MEX1" s="47"/>
      <c r="MEY1" s="47"/>
      <c r="MEZ1" s="47"/>
      <c r="MFA1" s="47"/>
      <c r="MFB1" s="47"/>
      <c r="MFC1" s="47"/>
      <c r="MFD1" s="47"/>
      <c r="MFE1" s="47"/>
      <c r="MFF1" s="47"/>
      <c r="MFG1" s="47"/>
      <c r="MFH1" s="47"/>
      <c r="MFI1" s="47"/>
      <c r="MFJ1" s="47"/>
      <c r="MFK1" s="47"/>
      <c r="MFL1" s="47"/>
      <c r="MFM1" s="47"/>
      <c r="MFN1" s="47"/>
      <c r="MFO1" s="47"/>
      <c r="MFP1" s="47"/>
      <c r="MFQ1" s="47"/>
      <c r="MFR1" s="47"/>
      <c r="MFS1" s="47"/>
      <c r="MFT1" s="47"/>
      <c r="MFU1" s="47"/>
      <c r="MFV1" s="47"/>
      <c r="MFW1" s="47"/>
      <c r="MFX1" s="47"/>
      <c r="MFY1" s="47"/>
      <c r="MFZ1" s="47"/>
      <c r="MGA1" s="47"/>
      <c r="MGB1" s="47"/>
      <c r="MGC1" s="47"/>
      <c r="MGD1" s="47"/>
      <c r="MGE1" s="47"/>
      <c r="MGF1" s="47"/>
      <c r="MGG1" s="47"/>
      <c r="MGH1" s="47"/>
      <c r="MGI1" s="47"/>
      <c r="MGJ1" s="47"/>
      <c r="MGK1" s="47"/>
      <c r="MGL1" s="47"/>
      <c r="MGM1" s="47"/>
      <c r="MGN1" s="47"/>
      <c r="MGO1" s="47"/>
      <c r="MGP1" s="47"/>
      <c r="MGQ1" s="47"/>
      <c r="MGR1" s="47"/>
      <c r="MGS1" s="47"/>
      <c r="MGT1" s="47"/>
      <c r="MGU1" s="47"/>
      <c r="MGV1" s="47"/>
      <c r="MGW1" s="47"/>
      <c r="MGX1" s="47"/>
      <c r="MGY1" s="47"/>
      <c r="MGZ1" s="47"/>
      <c r="MHA1" s="47"/>
      <c r="MHB1" s="47"/>
      <c r="MHC1" s="47"/>
      <c r="MHD1" s="47"/>
      <c r="MHE1" s="47"/>
      <c r="MHF1" s="47"/>
      <c r="MHG1" s="47"/>
      <c r="MHH1" s="47"/>
      <c r="MHI1" s="47"/>
      <c r="MHJ1" s="47"/>
      <c r="MHK1" s="47"/>
      <c r="MHL1" s="47"/>
      <c r="MHM1" s="47"/>
      <c r="MHN1" s="47"/>
      <c r="MHO1" s="47"/>
      <c r="MHP1" s="47"/>
      <c r="MHQ1" s="47"/>
      <c r="MHR1" s="47"/>
      <c r="MHS1" s="47"/>
      <c r="MHT1" s="47"/>
      <c r="MHU1" s="47"/>
      <c r="MHV1" s="47"/>
      <c r="MHW1" s="47"/>
      <c r="MHX1" s="47"/>
      <c r="MHY1" s="47"/>
      <c r="MHZ1" s="47"/>
      <c r="MIA1" s="47"/>
      <c r="MIB1" s="47"/>
      <c r="MIC1" s="47"/>
      <c r="MID1" s="47"/>
      <c r="MIE1" s="47"/>
      <c r="MIF1" s="47"/>
      <c r="MIG1" s="47"/>
      <c r="MIH1" s="47"/>
      <c r="MII1" s="47"/>
      <c r="MIJ1" s="47"/>
      <c r="MIK1" s="47"/>
      <c r="MIL1" s="47"/>
      <c r="MIM1" s="47"/>
      <c r="MIN1" s="47"/>
      <c r="MIO1" s="47"/>
      <c r="MIP1" s="47"/>
      <c r="MIQ1" s="47"/>
      <c r="MIR1" s="47"/>
      <c r="MIS1" s="47"/>
      <c r="MIT1" s="47"/>
      <c r="MIU1" s="47"/>
      <c r="MIV1" s="47"/>
      <c r="MIW1" s="47"/>
      <c r="MIX1" s="47"/>
      <c r="MIY1" s="47"/>
      <c r="MIZ1" s="47"/>
      <c r="MJA1" s="47"/>
      <c r="MJB1" s="47"/>
      <c r="MJC1" s="47"/>
      <c r="MJD1" s="47"/>
      <c r="MJE1" s="47"/>
      <c r="MJF1" s="47"/>
      <c r="MJG1" s="47"/>
      <c r="MJH1" s="47"/>
      <c r="MJI1" s="47"/>
      <c r="MJJ1" s="47"/>
      <c r="MJK1" s="47"/>
      <c r="MJL1" s="47"/>
      <c r="MJM1" s="47"/>
      <c r="MJN1" s="47"/>
      <c r="MJO1" s="47"/>
      <c r="MJP1" s="47"/>
      <c r="MJQ1" s="47"/>
      <c r="MJR1" s="47"/>
      <c r="MJS1" s="47"/>
      <c r="MJT1" s="47"/>
      <c r="MJU1" s="47"/>
      <c r="MJV1" s="47"/>
      <c r="MJW1" s="47"/>
      <c r="MJX1" s="47"/>
      <c r="MJY1" s="47"/>
      <c r="MJZ1" s="47"/>
      <c r="MKA1" s="47"/>
      <c r="MKB1" s="47"/>
      <c r="MKC1" s="47"/>
      <c r="MKD1" s="47"/>
      <c r="MKE1" s="47"/>
      <c r="MKF1" s="47"/>
      <c r="MKG1" s="47"/>
      <c r="MKH1" s="47"/>
      <c r="MKI1" s="47"/>
      <c r="MKJ1" s="47"/>
      <c r="MKK1" s="47"/>
      <c r="MKL1" s="47"/>
      <c r="MKM1" s="47"/>
      <c r="MKN1" s="47"/>
      <c r="MKO1" s="47"/>
      <c r="MKP1" s="47"/>
      <c r="MKQ1" s="47"/>
      <c r="MKR1" s="47"/>
      <c r="MKS1" s="47"/>
      <c r="MKT1" s="47"/>
      <c r="MKU1" s="47"/>
      <c r="MKV1" s="47"/>
      <c r="MKW1" s="47"/>
      <c r="MKX1" s="47"/>
      <c r="MKY1" s="47"/>
      <c r="MKZ1" s="47"/>
      <c r="MLA1" s="47"/>
      <c r="MLB1" s="47"/>
      <c r="MLC1" s="47"/>
      <c r="MLD1" s="47"/>
      <c r="MLE1" s="47"/>
      <c r="MLF1" s="47"/>
      <c r="MLG1" s="47"/>
      <c r="MLH1" s="47"/>
      <c r="MLI1" s="47"/>
      <c r="MLJ1" s="47"/>
      <c r="MLK1" s="47"/>
      <c r="MLL1" s="47"/>
      <c r="MLM1" s="47"/>
      <c r="MLN1" s="47"/>
      <c r="MLO1" s="47"/>
      <c r="MLP1" s="47"/>
      <c r="MLQ1" s="47"/>
      <c r="MLR1" s="47"/>
      <c r="MLS1" s="47"/>
      <c r="MLT1" s="47"/>
      <c r="MLU1" s="47"/>
      <c r="MLV1" s="47"/>
      <c r="MLW1" s="47"/>
      <c r="MLX1" s="47"/>
      <c r="MLY1" s="47"/>
      <c r="MLZ1" s="47"/>
      <c r="MMA1" s="47"/>
      <c r="MMB1" s="47"/>
      <c r="MMC1" s="47"/>
      <c r="MMD1" s="47"/>
      <c r="MME1" s="47"/>
      <c r="MMF1" s="47"/>
      <c r="MMG1" s="47"/>
      <c r="MMH1" s="47"/>
      <c r="MMI1" s="47"/>
      <c r="MMJ1" s="47"/>
      <c r="MMK1" s="47"/>
      <c r="MML1" s="47"/>
      <c r="MMM1" s="47"/>
      <c r="MMN1" s="47"/>
      <c r="MMO1" s="47"/>
      <c r="MMP1" s="47"/>
      <c r="MMQ1" s="47"/>
      <c r="MMR1" s="47"/>
      <c r="MMS1" s="47"/>
      <c r="MMT1" s="47"/>
      <c r="MMU1" s="47"/>
      <c r="MMV1" s="47"/>
      <c r="MMW1" s="47"/>
      <c r="MMX1" s="47"/>
      <c r="MMY1" s="47"/>
      <c r="MMZ1" s="47"/>
      <c r="MNA1" s="47"/>
      <c r="MNB1" s="47"/>
      <c r="MNC1" s="47"/>
      <c r="MND1" s="47"/>
      <c r="MNE1" s="47"/>
      <c r="MNF1" s="47"/>
      <c r="MNG1" s="47"/>
      <c r="MNH1" s="47"/>
      <c r="MNI1" s="47"/>
      <c r="MNJ1" s="47"/>
      <c r="MNK1" s="47"/>
      <c r="MNL1" s="47"/>
      <c r="MNM1" s="47"/>
      <c r="MNN1" s="47"/>
      <c r="MNO1" s="47"/>
      <c r="MNP1" s="47"/>
      <c r="MNQ1" s="47"/>
      <c r="MNR1" s="47"/>
      <c r="MNS1" s="47"/>
      <c r="MNT1" s="47"/>
      <c r="MNU1" s="47"/>
      <c r="MNV1" s="47"/>
      <c r="MNW1" s="47"/>
      <c r="MNX1" s="47"/>
      <c r="MNY1" s="47"/>
      <c r="MNZ1" s="47"/>
      <c r="MOA1" s="47"/>
      <c r="MOB1" s="47"/>
      <c r="MOC1" s="47"/>
      <c r="MOD1" s="47"/>
      <c r="MOE1" s="47"/>
      <c r="MOF1" s="47"/>
      <c r="MOG1" s="47"/>
      <c r="MOH1" s="47"/>
      <c r="MOI1" s="47"/>
      <c r="MOJ1" s="47"/>
      <c r="MOK1" s="47"/>
      <c r="MOL1" s="47"/>
      <c r="MOM1" s="47"/>
      <c r="MON1" s="47"/>
      <c r="MOO1" s="47"/>
      <c r="MOP1" s="47"/>
      <c r="MOQ1" s="47"/>
      <c r="MOR1" s="47"/>
      <c r="MOS1" s="47"/>
      <c r="MOT1" s="47"/>
      <c r="MOU1" s="47"/>
      <c r="MOV1" s="47"/>
      <c r="MOW1" s="47"/>
      <c r="MOX1" s="47"/>
      <c r="MOY1" s="47"/>
      <c r="MOZ1" s="47"/>
      <c r="MPA1" s="47"/>
      <c r="MPB1" s="47"/>
      <c r="MPC1" s="47"/>
      <c r="MPD1" s="47"/>
      <c r="MPE1" s="47"/>
      <c r="MPF1" s="47"/>
      <c r="MPG1" s="47"/>
      <c r="MPH1" s="47"/>
      <c r="MPI1" s="47"/>
      <c r="MPJ1" s="47"/>
      <c r="MPK1" s="47"/>
      <c r="MPL1" s="47"/>
      <c r="MPM1" s="47"/>
      <c r="MPN1" s="47"/>
      <c r="MPO1" s="47"/>
      <c r="MPP1" s="47"/>
      <c r="MPQ1" s="47"/>
      <c r="MPR1" s="47"/>
      <c r="MPS1" s="47"/>
      <c r="MPT1" s="47"/>
      <c r="MPU1" s="47"/>
      <c r="MPV1" s="47"/>
      <c r="MPW1" s="47"/>
      <c r="MPX1" s="47"/>
      <c r="MPY1" s="47"/>
      <c r="MPZ1" s="47"/>
      <c r="MQA1" s="47"/>
      <c r="MQB1" s="47"/>
      <c r="MQC1" s="47"/>
      <c r="MQD1" s="47"/>
      <c r="MQE1" s="47"/>
      <c r="MQF1" s="47"/>
      <c r="MQG1" s="47"/>
      <c r="MQH1" s="47"/>
      <c r="MQI1" s="47"/>
      <c r="MQJ1" s="47"/>
      <c r="MQK1" s="47"/>
      <c r="MQL1" s="47"/>
      <c r="MQM1" s="47"/>
      <c r="MQN1" s="47"/>
      <c r="MQO1" s="47"/>
      <c r="MQP1" s="47"/>
      <c r="MQQ1" s="47"/>
      <c r="MQR1" s="47"/>
      <c r="MQS1" s="47"/>
      <c r="MQT1" s="47"/>
      <c r="MQU1" s="47"/>
      <c r="MQV1" s="47"/>
      <c r="MQW1" s="47"/>
      <c r="MQX1" s="47"/>
      <c r="MQY1" s="47"/>
      <c r="MQZ1" s="47"/>
      <c r="MRA1" s="47"/>
      <c r="MRB1" s="47"/>
      <c r="MRC1" s="47"/>
      <c r="MRD1" s="47"/>
      <c r="MRE1" s="47"/>
      <c r="MRF1" s="47"/>
      <c r="MRG1" s="47"/>
      <c r="MRH1" s="47"/>
      <c r="MRI1" s="47"/>
      <c r="MRJ1" s="47"/>
      <c r="MRK1" s="47"/>
      <c r="MRL1" s="47"/>
      <c r="MRM1" s="47"/>
      <c r="MRN1" s="47"/>
      <c r="MRO1" s="47"/>
      <c r="MRP1" s="47"/>
      <c r="MRQ1" s="47"/>
      <c r="MRR1" s="47"/>
      <c r="MRS1" s="47"/>
      <c r="MRT1" s="47"/>
      <c r="MRU1" s="47"/>
      <c r="MRV1" s="47"/>
      <c r="MRW1" s="47"/>
      <c r="MRX1" s="47"/>
      <c r="MRY1" s="47"/>
      <c r="MRZ1" s="47"/>
      <c r="MSA1" s="47"/>
      <c r="MSB1" s="47"/>
      <c r="MSC1" s="47"/>
      <c r="MSD1" s="47"/>
      <c r="MSE1" s="47"/>
      <c r="MSF1" s="47"/>
      <c r="MSG1" s="47"/>
      <c r="MSH1" s="47"/>
      <c r="MSI1" s="47"/>
      <c r="MSJ1" s="47"/>
      <c r="MSK1" s="47"/>
      <c r="MSL1" s="47"/>
      <c r="MSM1" s="47"/>
      <c r="MSN1" s="47"/>
      <c r="MSO1" s="47"/>
      <c r="MSP1" s="47"/>
      <c r="MSQ1" s="47"/>
      <c r="MSR1" s="47"/>
      <c r="MSS1" s="47"/>
      <c r="MST1" s="47"/>
      <c r="MSU1" s="47"/>
      <c r="MSV1" s="47"/>
      <c r="MSW1" s="47"/>
      <c r="MSX1" s="47"/>
      <c r="MSY1" s="47"/>
      <c r="MSZ1" s="47"/>
      <c r="MTA1" s="47"/>
      <c r="MTB1" s="47"/>
      <c r="MTC1" s="47"/>
      <c r="MTD1" s="47"/>
      <c r="MTE1" s="47"/>
      <c r="MTF1" s="47"/>
      <c r="MTG1" s="47"/>
      <c r="MTH1" s="47"/>
      <c r="MTI1" s="47"/>
      <c r="MTJ1" s="47"/>
      <c r="MTK1" s="47"/>
      <c r="MTL1" s="47"/>
      <c r="MTM1" s="47"/>
      <c r="MTN1" s="47"/>
      <c r="MTO1" s="47"/>
      <c r="MTP1" s="47"/>
      <c r="MTQ1" s="47"/>
      <c r="MTR1" s="47"/>
      <c r="MTS1" s="47"/>
      <c r="MTT1" s="47"/>
      <c r="MTU1" s="47"/>
      <c r="MTV1" s="47"/>
      <c r="MTW1" s="47"/>
      <c r="MTX1" s="47"/>
      <c r="MTY1" s="47"/>
      <c r="MTZ1" s="47"/>
      <c r="MUA1" s="47"/>
      <c r="MUB1" s="47"/>
      <c r="MUC1" s="47"/>
      <c r="MUD1" s="47"/>
      <c r="MUE1" s="47"/>
      <c r="MUF1" s="47"/>
      <c r="MUG1" s="47"/>
      <c r="MUH1" s="47"/>
      <c r="MUI1" s="47"/>
      <c r="MUJ1" s="47"/>
      <c r="MUK1" s="47"/>
      <c r="MUL1" s="47"/>
      <c r="MUM1" s="47"/>
      <c r="MUN1" s="47"/>
      <c r="MUO1" s="47"/>
      <c r="MUP1" s="47"/>
      <c r="MUQ1" s="47"/>
      <c r="MUR1" s="47"/>
      <c r="MUS1" s="47"/>
      <c r="MUT1" s="47"/>
      <c r="MUU1" s="47"/>
      <c r="MUV1" s="47"/>
      <c r="MUW1" s="47"/>
      <c r="MUX1" s="47"/>
      <c r="MUY1" s="47"/>
      <c r="MUZ1" s="47"/>
      <c r="MVA1" s="47"/>
      <c r="MVB1" s="47"/>
      <c r="MVC1" s="47"/>
      <c r="MVD1" s="47"/>
      <c r="MVE1" s="47"/>
      <c r="MVF1" s="47"/>
      <c r="MVG1" s="47"/>
      <c r="MVH1" s="47"/>
      <c r="MVI1" s="47"/>
      <c r="MVJ1" s="47"/>
      <c r="MVK1" s="47"/>
      <c r="MVL1" s="47"/>
      <c r="MVM1" s="47"/>
      <c r="MVN1" s="47"/>
      <c r="MVO1" s="47"/>
      <c r="MVP1" s="47"/>
      <c r="MVQ1" s="47"/>
      <c r="MVR1" s="47"/>
      <c r="MVS1" s="47"/>
      <c r="MVT1" s="47"/>
      <c r="MVU1" s="47"/>
      <c r="MVV1" s="47"/>
      <c r="MVW1" s="47"/>
      <c r="MVX1" s="47"/>
      <c r="MVY1" s="47"/>
      <c r="MVZ1" s="47"/>
      <c r="MWA1" s="47"/>
      <c r="MWB1" s="47"/>
      <c r="MWC1" s="47"/>
      <c r="MWD1" s="47"/>
      <c r="MWE1" s="47"/>
      <c r="MWF1" s="47"/>
      <c r="MWG1" s="47"/>
      <c r="MWH1" s="47"/>
      <c r="MWI1" s="47"/>
      <c r="MWJ1" s="47"/>
      <c r="MWK1" s="47"/>
      <c r="MWL1" s="47"/>
      <c r="MWM1" s="47"/>
      <c r="MWN1" s="47"/>
      <c r="MWO1" s="47"/>
      <c r="MWP1" s="47"/>
      <c r="MWQ1" s="47"/>
      <c r="MWR1" s="47"/>
      <c r="MWS1" s="47"/>
      <c r="MWT1" s="47"/>
      <c r="MWU1" s="47"/>
      <c r="MWV1" s="47"/>
      <c r="MWW1" s="47"/>
      <c r="MWX1" s="47"/>
      <c r="MWY1" s="47"/>
      <c r="MWZ1" s="47"/>
      <c r="MXA1" s="47"/>
      <c r="MXB1" s="47"/>
      <c r="MXC1" s="47"/>
      <c r="MXD1" s="47"/>
      <c r="MXE1" s="47"/>
      <c r="MXF1" s="47"/>
      <c r="MXG1" s="47"/>
      <c r="MXH1" s="47"/>
      <c r="MXI1" s="47"/>
      <c r="MXJ1" s="47"/>
      <c r="MXK1" s="47"/>
      <c r="MXL1" s="47"/>
      <c r="MXM1" s="47"/>
      <c r="MXN1" s="47"/>
      <c r="MXO1" s="47"/>
      <c r="MXP1" s="47"/>
      <c r="MXQ1" s="47"/>
      <c r="MXR1" s="47"/>
      <c r="MXS1" s="47"/>
      <c r="MXT1" s="47"/>
      <c r="MXU1" s="47"/>
      <c r="MXV1" s="47"/>
      <c r="MXW1" s="47"/>
      <c r="MXX1" s="47"/>
      <c r="MXY1" s="47"/>
      <c r="MXZ1" s="47"/>
      <c r="MYA1" s="47"/>
      <c r="MYB1" s="47"/>
      <c r="MYC1" s="47"/>
      <c r="MYD1" s="47"/>
      <c r="MYE1" s="47"/>
      <c r="MYF1" s="47"/>
      <c r="MYG1" s="47"/>
      <c r="MYH1" s="47"/>
      <c r="MYI1" s="47"/>
      <c r="MYJ1" s="47"/>
      <c r="MYK1" s="47"/>
      <c r="MYL1" s="47"/>
      <c r="MYM1" s="47"/>
      <c r="MYN1" s="47"/>
      <c r="MYO1" s="47"/>
      <c r="MYP1" s="47"/>
      <c r="MYQ1" s="47"/>
      <c r="MYR1" s="47"/>
      <c r="MYS1" s="47"/>
      <c r="MYT1" s="47"/>
      <c r="MYU1" s="47"/>
      <c r="MYV1" s="47"/>
      <c r="MYW1" s="47"/>
      <c r="MYX1" s="47"/>
      <c r="MYY1" s="47"/>
      <c r="MYZ1" s="47"/>
      <c r="MZA1" s="47"/>
      <c r="MZB1" s="47"/>
      <c r="MZC1" s="47"/>
      <c r="MZD1" s="47"/>
      <c r="MZE1" s="47"/>
      <c r="MZF1" s="47"/>
      <c r="MZG1" s="47"/>
      <c r="MZH1" s="47"/>
      <c r="MZI1" s="47"/>
      <c r="MZJ1" s="47"/>
      <c r="MZK1" s="47"/>
      <c r="MZL1" s="47"/>
      <c r="MZM1" s="47"/>
      <c r="MZN1" s="47"/>
      <c r="MZO1" s="47"/>
      <c r="MZP1" s="47"/>
      <c r="MZQ1" s="47"/>
      <c r="MZR1" s="47"/>
      <c r="MZS1" s="47"/>
      <c r="MZT1" s="47"/>
      <c r="MZU1" s="47"/>
      <c r="MZV1" s="47"/>
      <c r="MZW1" s="47"/>
      <c r="MZX1" s="47"/>
      <c r="MZY1" s="47"/>
      <c r="MZZ1" s="47"/>
      <c r="NAA1" s="47"/>
      <c r="NAB1" s="47"/>
      <c r="NAC1" s="47"/>
      <c r="NAD1" s="47"/>
      <c r="NAE1" s="47"/>
      <c r="NAF1" s="47"/>
      <c r="NAG1" s="47"/>
      <c r="NAH1" s="47"/>
      <c r="NAI1" s="47"/>
      <c r="NAJ1" s="47"/>
      <c r="NAK1" s="47"/>
      <c r="NAL1" s="47"/>
      <c r="NAM1" s="47"/>
      <c r="NAN1" s="47"/>
      <c r="NAO1" s="47"/>
      <c r="NAP1" s="47"/>
      <c r="NAQ1" s="47"/>
      <c r="NAR1" s="47"/>
      <c r="NAS1" s="47"/>
      <c r="NAT1" s="47"/>
      <c r="NAU1" s="47"/>
      <c r="NAV1" s="47"/>
      <c r="NAW1" s="47"/>
      <c r="NAX1" s="47"/>
      <c r="NAY1" s="47"/>
      <c r="NAZ1" s="47"/>
      <c r="NBA1" s="47"/>
      <c r="NBB1" s="47"/>
      <c r="NBC1" s="47"/>
      <c r="NBD1" s="47"/>
      <c r="NBE1" s="47"/>
      <c r="NBF1" s="47"/>
      <c r="NBG1" s="47"/>
      <c r="NBH1" s="47"/>
      <c r="NBI1" s="47"/>
      <c r="NBJ1" s="47"/>
      <c r="NBK1" s="47"/>
      <c r="NBL1" s="47"/>
      <c r="NBM1" s="47"/>
      <c r="NBN1" s="47"/>
      <c r="NBO1" s="47"/>
      <c r="NBP1" s="47"/>
      <c r="NBQ1" s="47"/>
      <c r="NBR1" s="47"/>
      <c r="NBS1" s="47"/>
      <c r="NBT1" s="47"/>
      <c r="NBU1" s="47"/>
      <c r="NBV1" s="47"/>
      <c r="NBW1" s="47"/>
      <c r="NBX1" s="47"/>
      <c r="NBY1" s="47"/>
      <c r="NBZ1" s="47"/>
      <c r="NCA1" s="47"/>
      <c r="NCB1" s="47"/>
      <c r="NCC1" s="47"/>
      <c r="NCD1" s="47"/>
      <c r="NCE1" s="47"/>
      <c r="NCF1" s="47"/>
      <c r="NCG1" s="47"/>
      <c r="NCH1" s="47"/>
      <c r="NCI1" s="47"/>
      <c r="NCJ1" s="47"/>
      <c r="NCK1" s="47"/>
      <c r="NCL1" s="47"/>
      <c r="NCM1" s="47"/>
      <c r="NCN1" s="47"/>
      <c r="NCO1" s="47"/>
      <c r="NCP1" s="47"/>
      <c r="NCQ1" s="47"/>
      <c r="NCR1" s="47"/>
      <c r="NCS1" s="47"/>
      <c r="NCT1" s="47"/>
      <c r="NCU1" s="47"/>
      <c r="NCV1" s="47"/>
      <c r="NCW1" s="47"/>
      <c r="NCX1" s="47"/>
      <c r="NCY1" s="47"/>
      <c r="NCZ1" s="47"/>
      <c r="NDA1" s="47"/>
      <c r="NDB1" s="47"/>
      <c r="NDC1" s="47"/>
      <c r="NDD1" s="47"/>
      <c r="NDE1" s="47"/>
      <c r="NDF1" s="47"/>
      <c r="NDG1" s="47"/>
      <c r="NDH1" s="47"/>
      <c r="NDI1" s="47"/>
      <c r="NDJ1" s="47"/>
      <c r="NDK1" s="47"/>
      <c r="NDL1" s="47"/>
      <c r="NDM1" s="47"/>
      <c r="NDN1" s="47"/>
      <c r="NDO1" s="47"/>
      <c r="NDP1" s="47"/>
      <c r="NDQ1" s="47"/>
      <c r="NDR1" s="47"/>
      <c r="NDS1" s="47"/>
      <c r="NDT1" s="47"/>
      <c r="NDU1" s="47"/>
      <c r="NDV1" s="47"/>
      <c r="NDW1" s="47"/>
      <c r="NDX1" s="47"/>
      <c r="NDY1" s="47"/>
      <c r="NDZ1" s="47"/>
      <c r="NEA1" s="47"/>
      <c r="NEB1" s="47"/>
      <c r="NEC1" s="47"/>
      <c r="NED1" s="47"/>
      <c r="NEE1" s="47"/>
      <c r="NEF1" s="47"/>
      <c r="NEG1" s="47"/>
      <c r="NEH1" s="47"/>
      <c r="NEI1" s="47"/>
      <c r="NEJ1" s="47"/>
      <c r="NEK1" s="47"/>
      <c r="NEL1" s="47"/>
      <c r="NEM1" s="47"/>
      <c r="NEN1" s="47"/>
      <c r="NEO1" s="47"/>
      <c r="NEP1" s="47"/>
      <c r="NEQ1" s="47"/>
      <c r="NER1" s="47"/>
      <c r="NES1" s="47"/>
      <c r="NET1" s="47"/>
      <c r="NEU1" s="47"/>
      <c r="NEV1" s="47"/>
      <c r="NEW1" s="47"/>
      <c r="NEX1" s="47"/>
      <c r="NEY1" s="47"/>
      <c r="NEZ1" s="47"/>
      <c r="NFA1" s="47"/>
      <c r="NFB1" s="47"/>
      <c r="NFC1" s="47"/>
      <c r="NFD1" s="47"/>
      <c r="NFE1" s="47"/>
      <c r="NFF1" s="47"/>
      <c r="NFG1" s="47"/>
      <c r="NFH1" s="47"/>
      <c r="NFI1" s="47"/>
      <c r="NFJ1" s="47"/>
      <c r="NFK1" s="47"/>
      <c r="NFL1" s="47"/>
      <c r="NFM1" s="47"/>
      <c r="NFN1" s="47"/>
      <c r="NFO1" s="47"/>
      <c r="NFP1" s="47"/>
      <c r="NFQ1" s="47"/>
      <c r="NFR1" s="47"/>
      <c r="NFS1" s="47"/>
      <c r="NFT1" s="47"/>
      <c r="NFU1" s="47"/>
      <c r="NFV1" s="47"/>
      <c r="NFW1" s="47"/>
      <c r="NFX1" s="47"/>
      <c r="NFY1" s="47"/>
      <c r="NFZ1" s="47"/>
      <c r="NGA1" s="47"/>
      <c r="NGB1" s="47"/>
      <c r="NGC1" s="47"/>
      <c r="NGD1" s="47"/>
      <c r="NGE1" s="47"/>
      <c r="NGF1" s="47"/>
      <c r="NGG1" s="47"/>
      <c r="NGH1" s="47"/>
      <c r="NGI1" s="47"/>
      <c r="NGJ1" s="47"/>
      <c r="NGK1" s="47"/>
      <c r="NGL1" s="47"/>
      <c r="NGM1" s="47"/>
      <c r="NGN1" s="47"/>
      <c r="NGO1" s="47"/>
      <c r="NGP1" s="47"/>
      <c r="NGQ1" s="47"/>
      <c r="NGR1" s="47"/>
      <c r="NGS1" s="47"/>
      <c r="NGT1" s="47"/>
      <c r="NGU1" s="47"/>
      <c r="NGV1" s="47"/>
      <c r="NGW1" s="47"/>
      <c r="NGX1" s="47"/>
      <c r="NGY1" s="47"/>
      <c r="NGZ1" s="47"/>
      <c r="NHA1" s="47"/>
      <c r="NHB1" s="47"/>
      <c r="NHC1" s="47"/>
      <c r="NHD1" s="47"/>
      <c r="NHE1" s="47"/>
      <c r="NHF1" s="47"/>
      <c r="NHG1" s="47"/>
      <c r="NHH1" s="47"/>
      <c r="NHI1" s="47"/>
      <c r="NHJ1" s="47"/>
      <c r="NHK1" s="47"/>
      <c r="NHL1" s="47"/>
      <c r="NHM1" s="47"/>
      <c r="NHN1" s="47"/>
      <c r="NHO1" s="47"/>
      <c r="NHP1" s="47"/>
      <c r="NHQ1" s="47"/>
      <c r="NHR1" s="47"/>
      <c r="NHS1" s="47"/>
      <c r="NHT1" s="47"/>
      <c r="NHU1" s="47"/>
      <c r="NHV1" s="47"/>
      <c r="NHW1" s="47"/>
      <c r="NHX1" s="47"/>
      <c r="NHY1" s="47"/>
      <c r="NHZ1" s="47"/>
      <c r="NIA1" s="47"/>
      <c r="NIB1" s="47"/>
      <c r="NIC1" s="47"/>
      <c r="NID1" s="47"/>
      <c r="NIE1" s="47"/>
      <c r="NIF1" s="47"/>
      <c r="NIG1" s="47"/>
      <c r="NIH1" s="47"/>
      <c r="NII1" s="47"/>
      <c r="NIJ1" s="47"/>
      <c r="NIK1" s="47"/>
      <c r="NIL1" s="47"/>
      <c r="NIM1" s="47"/>
      <c r="NIN1" s="47"/>
      <c r="NIO1" s="47"/>
      <c r="NIP1" s="47"/>
      <c r="NIQ1" s="47"/>
      <c r="NIR1" s="47"/>
      <c r="NIS1" s="47"/>
      <c r="NIT1" s="47"/>
      <c r="NIU1" s="47"/>
      <c r="NIV1" s="47"/>
      <c r="NIW1" s="47"/>
      <c r="NIX1" s="47"/>
      <c r="NIY1" s="47"/>
      <c r="NIZ1" s="47"/>
      <c r="NJA1" s="47"/>
      <c r="NJB1" s="47"/>
      <c r="NJC1" s="47"/>
      <c r="NJD1" s="47"/>
      <c r="NJE1" s="47"/>
      <c r="NJF1" s="47"/>
      <c r="NJG1" s="47"/>
      <c r="NJH1" s="47"/>
      <c r="NJI1" s="47"/>
      <c r="NJJ1" s="47"/>
      <c r="NJK1" s="47"/>
      <c r="NJL1" s="47"/>
      <c r="NJM1" s="47"/>
      <c r="NJN1" s="47"/>
      <c r="NJO1" s="47"/>
      <c r="NJP1" s="47"/>
      <c r="NJQ1" s="47"/>
      <c r="NJR1" s="47"/>
      <c r="NJS1" s="47"/>
      <c r="NJT1" s="47"/>
      <c r="NJU1" s="47"/>
      <c r="NJV1" s="47"/>
      <c r="NJW1" s="47"/>
      <c r="NJX1" s="47"/>
      <c r="NJY1" s="47"/>
      <c r="NJZ1" s="47"/>
      <c r="NKA1" s="47"/>
      <c r="NKB1" s="47"/>
      <c r="NKC1" s="47"/>
      <c r="NKD1" s="47"/>
      <c r="NKE1" s="47"/>
      <c r="NKF1" s="47"/>
      <c r="NKG1" s="47"/>
      <c r="NKH1" s="47"/>
      <c r="NKI1" s="47"/>
      <c r="NKJ1" s="47"/>
      <c r="NKK1" s="47"/>
      <c r="NKL1" s="47"/>
      <c r="NKM1" s="47"/>
      <c r="NKN1" s="47"/>
      <c r="NKO1" s="47"/>
      <c r="NKP1" s="47"/>
      <c r="NKQ1" s="47"/>
      <c r="NKR1" s="47"/>
      <c r="NKS1" s="47"/>
      <c r="NKT1" s="47"/>
      <c r="NKU1" s="47"/>
      <c r="NKV1" s="47"/>
      <c r="NKW1" s="47"/>
      <c r="NKX1" s="47"/>
      <c r="NKY1" s="47"/>
      <c r="NKZ1" s="47"/>
      <c r="NLA1" s="47"/>
      <c r="NLB1" s="47"/>
      <c r="NLC1" s="47"/>
      <c r="NLD1" s="47"/>
      <c r="NLE1" s="47"/>
      <c r="NLF1" s="47"/>
      <c r="NLG1" s="47"/>
      <c r="NLH1" s="47"/>
      <c r="NLI1" s="47"/>
      <c r="NLJ1" s="47"/>
      <c r="NLK1" s="47"/>
      <c r="NLL1" s="47"/>
      <c r="NLM1" s="47"/>
      <c r="NLN1" s="47"/>
      <c r="NLO1" s="47"/>
      <c r="NLP1" s="47"/>
      <c r="NLQ1" s="47"/>
      <c r="NLR1" s="47"/>
      <c r="NLS1" s="47"/>
      <c r="NLT1" s="47"/>
      <c r="NLU1" s="47"/>
      <c r="NLV1" s="47"/>
      <c r="NLW1" s="47"/>
      <c r="NLX1" s="47"/>
      <c r="NLY1" s="47"/>
      <c r="NLZ1" s="47"/>
      <c r="NMA1" s="47"/>
      <c r="NMB1" s="47"/>
      <c r="NMC1" s="47"/>
      <c r="NMD1" s="47"/>
      <c r="NME1" s="47"/>
      <c r="NMF1" s="47"/>
      <c r="NMG1" s="47"/>
      <c r="NMH1" s="47"/>
      <c r="NMI1" s="47"/>
      <c r="NMJ1" s="47"/>
      <c r="NMK1" s="47"/>
      <c r="NML1" s="47"/>
      <c r="NMM1" s="47"/>
      <c r="NMN1" s="47"/>
      <c r="NMO1" s="47"/>
      <c r="NMP1" s="47"/>
      <c r="NMQ1" s="47"/>
      <c r="NMR1" s="47"/>
      <c r="NMS1" s="47"/>
      <c r="NMT1" s="47"/>
      <c r="NMU1" s="47"/>
      <c r="NMV1" s="47"/>
      <c r="NMW1" s="47"/>
      <c r="NMX1" s="47"/>
      <c r="NMY1" s="47"/>
      <c r="NMZ1" s="47"/>
      <c r="NNA1" s="47"/>
      <c r="NNB1" s="47"/>
      <c r="NNC1" s="47"/>
      <c r="NND1" s="47"/>
      <c r="NNE1" s="47"/>
      <c r="NNF1" s="47"/>
      <c r="NNG1" s="47"/>
      <c r="NNH1" s="47"/>
      <c r="NNI1" s="47"/>
      <c r="NNJ1" s="47"/>
      <c r="NNK1" s="47"/>
      <c r="NNL1" s="47"/>
      <c r="NNM1" s="47"/>
      <c r="NNN1" s="47"/>
      <c r="NNO1" s="47"/>
      <c r="NNP1" s="47"/>
      <c r="NNQ1" s="47"/>
      <c r="NNR1" s="47"/>
      <c r="NNS1" s="47"/>
      <c r="NNT1" s="47"/>
      <c r="NNU1" s="47"/>
      <c r="NNV1" s="47"/>
      <c r="NNW1" s="47"/>
      <c r="NNX1" s="47"/>
      <c r="NNY1" s="47"/>
      <c r="NNZ1" s="47"/>
      <c r="NOA1" s="47"/>
      <c r="NOB1" s="47"/>
      <c r="NOC1" s="47"/>
      <c r="NOD1" s="47"/>
      <c r="NOE1" s="47"/>
      <c r="NOF1" s="47"/>
      <c r="NOG1" s="47"/>
      <c r="NOH1" s="47"/>
      <c r="NOI1" s="47"/>
      <c r="NOJ1" s="47"/>
      <c r="NOK1" s="47"/>
      <c r="NOL1" s="47"/>
      <c r="NOM1" s="47"/>
      <c r="NON1" s="47"/>
      <c r="NOO1" s="47"/>
      <c r="NOP1" s="47"/>
      <c r="NOQ1" s="47"/>
      <c r="NOR1" s="47"/>
      <c r="NOS1" s="47"/>
      <c r="NOT1" s="47"/>
      <c r="NOU1" s="47"/>
      <c r="NOV1" s="47"/>
      <c r="NOW1" s="47"/>
      <c r="NOX1" s="47"/>
      <c r="NOY1" s="47"/>
      <c r="NOZ1" s="47"/>
      <c r="NPA1" s="47"/>
      <c r="NPB1" s="47"/>
      <c r="NPC1" s="47"/>
      <c r="NPD1" s="47"/>
      <c r="NPE1" s="47"/>
      <c r="NPF1" s="47"/>
      <c r="NPG1" s="47"/>
      <c r="NPH1" s="47"/>
      <c r="NPI1" s="47"/>
      <c r="NPJ1" s="47"/>
      <c r="NPK1" s="47"/>
      <c r="NPL1" s="47"/>
      <c r="NPM1" s="47"/>
      <c r="NPN1" s="47"/>
      <c r="NPO1" s="47"/>
      <c r="NPP1" s="47"/>
      <c r="NPQ1" s="47"/>
      <c r="NPR1" s="47"/>
      <c r="NPS1" s="47"/>
      <c r="NPT1" s="47"/>
      <c r="NPU1" s="47"/>
      <c r="NPV1" s="47"/>
      <c r="NPW1" s="47"/>
      <c r="NPX1" s="47"/>
      <c r="NPY1" s="47"/>
      <c r="NPZ1" s="47"/>
      <c r="NQA1" s="47"/>
      <c r="NQB1" s="47"/>
      <c r="NQC1" s="47"/>
      <c r="NQD1" s="47"/>
      <c r="NQE1" s="47"/>
      <c r="NQF1" s="47"/>
      <c r="NQG1" s="47"/>
      <c r="NQH1" s="47"/>
      <c r="NQI1" s="47"/>
      <c r="NQJ1" s="47"/>
      <c r="NQK1" s="47"/>
      <c r="NQL1" s="47"/>
      <c r="NQM1" s="47"/>
      <c r="NQN1" s="47"/>
      <c r="NQO1" s="47"/>
      <c r="NQP1" s="47"/>
      <c r="NQQ1" s="47"/>
      <c r="NQR1" s="47"/>
      <c r="NQS1" s="47"/>
      <c r="NQT1" s="47"/>
      <c r="NQU1" s="47"/>
      <c r="NQV1" s="47"/>
      <c r="NQW1" s="47"/>
      <c r="NQX1" s="47"/>
      <c r="NQY1" s="47"/>
      <c r="NQZ1" s="47"/>
      <c r="NRA1" s="47"/>
      <c r="NRB1" s="47"/>
      <c r="NRC1" s="47"/>
      <c r="NRD1" s="47"/>
      <c r="NRE1" s="47"/>
      <c r="NRF1" s="47"/>
      <c r="NRG1" s="47"/>
      <c r="NRH1" s="47"/>
      <c r="NRI1" s="47"/>
      <c r="NRJ1" s="47"/>
      <c r="NRK1" s="47"/>
      <c r="NRL1" s="47"/>
      <c r="NRM1" s="47"/>
      <c r="NRN1" s="47"/>
      <c r="NRO1" s="47"/>
      <c r="NRP1" s="47"/>
      <c r="NRQ1" s="47"/>
      <c r="NRR1" s="47"/>
      <c r="NRS1" s="47"/>
      <c r="NRT1" s="47"/>
      <c r="NRU1" s="47"/>
      <c r="NRV1" s="47"/>
      <c r="NRW1" s="47"/>
      <c r="NRX1" s="47"/>
      <c r="NRY1" s="47"/>
      <c r="NRZ1" s="47"/>
      <c r="NSA1" s="47"/>
      <c r="NSB1" s="47"/>
      <c r="NSC1" s="47"/>
      <c r="NSD1" s="47"/>
      <c r="NSE1" s="47"/>
      <c r="NSF1" s="47"/>
      <c r="NSG1" s="47"/>
      <c r="NSH1" s="47"/>
      <c r="NSI1" s="47"/>
      <c r="NSJ1" s="47"/>
      <c r="NSK1" s="47"/>
      <c r="NSL1" s="47"/>
      <c r="NSM1" s="47"/>
      <c r="NSN1" s="47"/>
      <c r="NSO1" s="47"/>
      <c r="NSP1" s="47"/>
      <c r="NSQ1" s="47"/>
      <c r="NSR1" s="47"/>
      <c r="NSS1" s="47"/>
      <c r="NST1" s="47"/>
      <c r="NSU1" s="47"/>
      <c r="NSV1" s="47"/>
      <c r="NSW1" s="47"/>
      <c r="NSX1" s="47"/>
      <c r="NSY1" s="47"/>
      <c r="NSZ1" s="47"/>
      <c r="NTA1" s="47"/>
      <c r="NTB1" s="47"/>
      <c r="NTC1" s="47"/>
      <c r="NTD1" s="47"/>
      <c r="NTE1" s="47"/>
      <c r="NTF1" s="47"/>
      <c r="NTG1" s="47"/>
      <c r="NTH1" s="47"/>
      <c r="NTI1" s="47"/>
      <c r="NTJ1" s="47"/>
      <c r="NTK1" s="47"/>
      <c r="NTL1" s="47"/>
      <c r="NTM1" s="47"/>
      <c r="NTN1" s="47"/>
      <c r="NTO1" s="47"/>
      <c r="NTP1" s="47"/>
      <c r="NTQ1" s="47"/>
      <c r="NTR1" s="47"/>
      <c r="NTS1" s="47"/>
      <c r="NTT1" s="47"/>
      <c r="NTU1" s="47"/>
      <c r="NTV1" s="47"/>
      <c r="NTW1" s="47"/>
      <c r="NTX1" s="47"/>
      <c r="NTY1" s="47"/>
      <c r="NTZ1" s="47"/>
      <c r="NUA1" s="47"/>
      <c r="NUB1" s="47"/>
      <c r="NUC1" s="47"/>
      <c r="NUD1" s="47"/>
      <c r="NUE1" s="47"/>
      <c r="NUF1" s="47"/>
      <c r="NUG1" s="47"/>
      <c r="NUH1" s="47"/>
      <c r="NUI1" s="47"/>
      <c r="NUJ1" s="47"/>
      <c r="NUK1" s="47"/>
      <c r="NUL1" s="47"/>
      <c r="NUM1" s="47"/>
      <c r="NUN1" s="47"/>
      <c r="NUO1" s="47"/>
      <c r="NUP1" s="47"/>
      <c r="NUQ1" s="47"/>
      <c r="NUR1" s="47"/>
      <c r="NUS1" s="47"/>
      <c r="NUT1" s="47"/>
      <c r="NUU1" s="47"/>
      <c r="NUV1" s="47"/>
      <c r="NUW1" s="47"/>
      <c r="NUX1" s="47"/>
      <c r="NUY1" s="47"/>
      <c r="NUZ1" s="47"/>
      <c r="NVA1" s="47"/>
      <c r="NVB1" s="47"/>
      <c r="NVC1" s="47"/>
      <c r="NVD1" s="47"/>
      <c r="NVE1" s="47"/>
      <c r="NVF1" s="47"/>
      <c r="NVG1" s="47"/>
      <c r="NVH1" s="47"/>
      <c r="NVI1" s="47"/>
      <c r="NVJ1" s="47"/>
      <c r="NVK1" s="47"/>
      <c r="NVL1" s="47"/>
      <c r="NVM1" s="47"/>
      <c r="NVN1" s="47"/>
      <c r="NVO1" s="47"/>
      <c r="NVP1" s="47"/>
      <c r="NVQ1" s="47"/>
      <c r="NVR1" s="47"/>
      <c r="NVS1" s="47"/>
      <c r="NVT1" s="47"/>
      <c r="NVU1" s="47"/>
      <c r="NVV1" s="47"/>
      <c r="NVW1" s="47"/>
      <c r="NVX1" s="47"/>
      <c r="NVY1" s="47"/>
      <c r="NVZ1" s="47"/>
      <c r="NWA1" s="47"/>
      <c r="NWB1" s="47"/>
      <c r="NWC1" s="47"/>
      <c r="NWD1" s="47"/>
      <c r="NWE1" s="47"/>
      <c r="NWF1" s="47"/>
      <c r="NWG1" s="47"/>
      <c r="NWH1" s="47"/>
      <c r="NWI1" s="47"/>
      <c r="NWJ1" s="47"/>
      <c r="NWK1" s="47"/>
      <c r="NWL1" s="47"/>
      <c r="NWM1" s="47"/>
      <c r="NWN1" s="47"/>
      <c r="NWO1" s="47"/>
      <c r="NWP1" s="47"/>
      <c r="NWQ1" s="47"/>
      <c r="NWR1" s="47"/>
      <c r="NWS1" s="47"/>
      <c r="NWT1" s="47"/>
      <c r="NWU1" s="47"/>
      <c r="NWV1" s="47"/>
      <c r="NWW1" s="47"/>
      <c r="NWX1" s="47"/>
      <c r="NWY1" s="47"/>
      <c r="NWZ1" s="47"/>
      <c r="NXA1" s="47"/>
      <c r="NXB1" s="47"/>
      <c r="NXC1" s="47"/>
      <c r="NXD1" s="47"/>
      <c r="NXE1" s="47"/>
      <c r="NXF1" s="47"/>
      <c r="NXG1" s="47"/>
      <c r="NXH1" s="47"/>
      <c r="NXI1" s="47"/>
      <c r="NXJ1" s="47"/>
      <c r="NXK1" s="47"/>
      <c r="NXL1" s="47"/>
      <c r="NXM1" s="47"/>
      <c r="NXN1" s="47"/>
      <c r="NXO1" s="47"/>
      <c r="NXP1" s="47"/>
      <c r="NXQ1" s="47"/>
      <c r="NXR1" s="47"/>
      <c r="NXS1" s="47"/>
      <c r="NXT1" s="47"/>
      <c r="NXU1" s="47"/>
      <c r="NXV1" s="47"/>
      <c r="NXW1" s="47"/>
      <c r="NXX1" s="47"/>
      <c r="NXY1" s="47"/>
      <c r="NXZ1" s="47"/>
      <c r="NYA1" s="47"/>
      <c r="NYB1" s="47"/>
      <c r="NYC1" s="47"/>
      <c r="NYD1" s="47"/>
      <c r="NYE1" s="47"/>
      <c r="NYF1" s="47"/>
      <c r="NYG1" s="47"/>
      <c r="NYH1" s="47"/>
      <c r="NYI1" s="47"/>
      <c r="NYJ1" s="47"/>
      <c r="NYK1" s="47"/>
      <c r="NYL1" s="47"/>
      <c r="NYM1" s="47"/>
      <c r="NYN1" s="47"/>
      <c r="NYO1" s="47"/>
      <c r="NYP1" s="47"/>
      <c r="NYQ1" s="47"/>
      <c r="NYR1" s="47"/>
      <c r="NYS1" s="47"/>
      <c r="NYT1" s="47"/>
      <c r="NYU1" s="47"/>
      <c r="NYV1" s="47"/>
      <c r="NYW1" s="47"/>
      <c r="NYX1" s="47"/>
      <c r="NYY1" s="47"/>
      <c r="NYZ1" s="47"/>
      <c r="NZA1" s="47"/>
      <c r="NZB1" s="47"/>
      <c r="NZC1" s="47"/>
      <c r="NZD1" s="47"/>
      <c r="NZE1" s="47"/>
      <c r="NZF1" s="47"/>
      <c r="NZG1" s="47"/>
      <c r="NZH1" s="47"/>
      <c r="NZI1" s="47"/>
      <c r="NZJ1" s="47"/>
      <c r="NZK1" s="47"/>
      <c r="NZL1" s="47"/>
      <c r="NZM1" s="47"/>
      <c r="NZN1" s="47"/>
      <c r="NZO1" s="47"/>
      <c r="NZP1" s="47"/>
      <c r="NZQ1" s="47"/>
      <c r="NZR1" s="47"/>
      <c r="NZS1" s="47"/>
      <c r="NZT1" s="47"/>
      <c r="NZU1" s="47"/>
      <c r="NZV1" s="47"/>
      <c r="NZW1" s="47"/>
      <c r="NZX1" s="47"/>
      <c r="NZY1" s="47"/>
      <c r="NZZ1" s="47"/>
      <c r="OAA1" s="47"/>
      <c r="OAB1" s="47"/>
      <c r="OAC1" s="47"/>
      <c r="OAD1" s="47"/>
      <c r="OAE1" s="47"/>
      <c r="OAF1" s="47"/>
      <c r="OAG1" s="47"/>
      <c r="OAH1" s="47"/>
      <c r="OAI1" s="47"/>
      <c r="OAJ1" s="47"/>
      <c r="OAK1" s="47"/>
      <c r="OAL1" s="47"/>
      <c r="OAM1" s="47"/>
      <c r="OAN1" s="47"/>
      <c r="OAO1" s="47"/>
      <c r="OAP1" s="47"/>
      <c r="OAQ1" s="47"/>
      <c r="OAR1" s="47"/>
      <c r="OAS1" s="47"/>
      <c r="OAT1" s="47"/>
      <c r="OAU1" s="47"/>
      <c r="OAV1" s="47"/>
      <c r="OAW1" s="47"/>
      <c r="OAX1" s="47"/>
      <c r="OAY1" s="47"/>
      <c r="OAZ1" s="47"/>
      <c r="OBA1" s="47"/>
      <c r="OBB1" s="47"/>
      <c r="OBC1" s="47"/>
      <c r="OBD1" s="47"/>
      <c r="OBE1" s="47"/>
      <c r="OBF1" s="47"/>
      <c r="OBG1" s="47"/>
      <c r="OBH1" s="47"/>
      <c r="OBI1" s="47"/>
      <c r="OBJ1" s="47"/>
      <c r="OBK1" s="47"/>
      <c r="OBL1" s="47"/>
      <c r="OBM1" s="47"/>
      <c r="OBN1" s="47"/>
      <c r="OBO1" s="47"/>
      <c r="OBP1" s="47"/>
      <c r="OBQ1" s="47"/>
      <c r="OBR1" s="47"/>
      <c r="OBS1" s="47"/>
      <c r="OBT1" s="47"/>
      <c r="OBU1" s="47"/>
      <c r="OBV1" s="47"/>
      <c r="OBW1" s="47"/>
      <c r="OBX1" s="47"/>
      <c r="OBY1" s="47"/>
      <c r="OBZ1" s="47"/>
      <c r="OCA1" s="47"/>
      <c r="OCB1" s="47"/>
      <c r="OCC1" s="47"/>
      <c r="OCD1" s="47"/>
      <c r="OCE1" s="47"/>
      <c r="OCF1" s="47"/>
      <c r="OCG1" s="47"/>
      <c r="OCH1" s="47"/>
      <c r="OCI1" s="47"/>
      <c r="OCJ1" s="47"/>
      <c r="OCK1" s="47"/>
      <c r="OCL1" s="47"/>
      <c r="OCM1" s="47"/>
      <c r="OCN1" s="47"/>
      <c r="OCO1" s="47"/>
      <c r="OCP1" s="47"/>
      <c r="OCQ1" s="47"/>
      <c r="OCR1" s="47"/>
      <c r="OCS1" s="47"/>
      <c r="OCT1" s="47"/>
      <c r="OCU1" s="47"/>
      <c r="OCV1" s="47"/>
      <c r="OCW1" s="47"/>
      <c r="OCX1" s="47"/>
      <c r="OCY1" s="47"/>
      <c r="OCZ1" s="47"/>
      <c r="ODA1" s="47"/>
      <c r="ODB1" s="47"/>
      <c r="ODC1" s="47"/>
      <c r="ODD1" s="47"/>
      <c r="ODE1" s="47"/>
      <c r="ODF1" s="47"/>
      <c r="ODG1" s="47"/>
      <c r="ODH1" s="47"/>
      <c r="ODI1" s="47"/>
      <c r="ODJ1" s="47"/>
      <c r="ODK1" s="47"/>
      <c r="ODL1" s="47"/>
      <c r="ODM1" s="47"/>
      <c r="ODN1" s="47"/>
      <c r="ODO1" s="47"/>
      <c r="ODP1" s="47"/>
      <c r="ODQ1" s="47"/>
      <c r="ODR1" s="47"/>
      <c r="ODS1" s="47"/>
      <c r="ODT1" s="47"/>
      <c r="ODU1" s="47"/>
      <c r="ODV1" s="47"/>
      <c r="ODW1" s="47"/>
      <c r="ODX1" s="47"/>
      <c r="ODY1" s="47"/>
      <c r="ODZ1" s="47"/>
      <c r="OEA1" s="47"/>
      <c r="OEB1" s="47"/>
      <c r="OEC1" s="47"/>
      <c r="OED1" s="47"/>
      <c r="OEE1" s="47"/>
      <c r="OEF1" s="47"/>
      <c r="OEG1" s="47"/>
      <c r="OEH1" s="47"/>
      <c r="OEI1" s="47"/>
      <c r="OEJ1" s="47"/>
      <c r="OEK1" s="47"/>
      <c r="OEL1" s="47"/>
      <c r="OEM1" s="47"/>
      <c r="OEN1" s="47"/>
      <c r="OEO1" s="47"/>
      <c r="OEP1" s="47"/>
      <c r="OEQ1" s="47"/>
      <c r="OER1" s="47"/>
      <c r="OES1" s="47"/>
      <c r="OET1" s="47"/>
      <c r="OEU1" s="47"/>
      <c r="OEV1" s="47"/>
      <c r="OEW1" s="47"/>
      <c r="OEX1" s="47"/>
      <c r="OEY1" s="47"/>
      <c r="OEZ1" s="47"/>
      <c r="OFA1" s="47"/>
      <c r="OFB1" s="47"/>
      <c r="OFC1" s="47"/>
      <c r="OFD1" s="47"/>
      <c r="OFE1" s="47"/>
      <c r="OFF1" s="47"/>
      <c r="OFG1" s="47"/>
      <c r="OFH1" s="47"/>
      <c r="OFI1" s="47"/>
      <c r="OFJ1" s="47"/>
      <c r="OFK1" s="47"/>
      <c r="OFL1" s="47"/>
      <c r="OFM1" s="47"/>
      <c r="OFN1" s="47"/>
      <c r="OFO1" s="47"/>
      <c r="OFP1" s="47"/>
      <c r="OFQ1" s="47"/>
      <c r="OFR1" s="47"/>
      <c r="OFS1" s="47"/>
      <c r="OFT1" s="47"/>
      <c r="OFU1" s="47"/>
      <c r="OFV1" s="47"/>
      <c r="OFW1" s="47"/>
      <c r="OFX1" s="47"/>
      <c r="OFY1" s="47"/>
      <c r="OFZ1" s="47"/>
      <c r="OGA1" s="47"/>
      <c r="OGB1" s="47"/>
      <c r="OGC1" s="47"/>
      <c r="OGD1" s="47"/>
      <c r="OGE1" s="47"/>
      <c r="OGF1" s="47"/>
      <c r="OGG1" s="47"/>
      <c r="OGH1" s="47"/>
      <c r="OGI1" s="47"/>
      <c r="OGJ1" s="47"/>
      <c r="OGK1" s="47"/>
      <c r="OGL1" s="47"/>
      <c r="OGM1" s="47"/>
      <c r="OGN1" s="47"/>
      <c r="OGO1" s="47"/>
      <c r="OGP1" s="47"/>
      <c r="OGQ1" s="47"/>
      <c r="OGR1" s="47"/>
      <c r="OGS1" s="47"/>
      <c r="OGT1" s="47"/>
      <c r="OGU1" s="47"/>
      <c r="OGV1" s="47"/>
      <c r="OGW1" s="47"/>
      <c r="OGX1" s="47"/>
      <c r="OGY1" s="47"/>
      <c r="OGZ1" s="47"/>
      <c r="OHA1" s="47"/>
      <c r="OHB1" s="47"/>
      <c r="OHC1" s="47"/>
      <c r="OHD1" s="47"/>
      <c r="OHE1" s="47"/>
      <c r="OHF1" s="47"/>
      <c r="OHG1" s="47"/>
      <c r="OHH1" s="47"/>
      <c r="OHI1" s="47"/>
      <c r="OHJ1" s="47"/>
      <c r="OHK1" s="47"/>
      <c r="OHL1" s="47"/>
      <c r="OHM1" s="47"/>
      <c r="OHN1" s="47"/>
      <c r="OHO1" s="47"/>
      <c r="OHP1" s="47"/>
      <c r="OHQ1" s="47"/>
      <c r="OHR1" s="47"/>
      <c r="OHS1" s="47"/>
      <c r="OHT1" s="47"/>
      <c r="OHU1" s="47"/>
      <c r="OHV1" s="47"/>
      <c r="OHW1" s="47"/>
      <c r="OHX1" s="47"/>
      <c r="OHY1" s="47"/>
      <c r="OHZ1" s="47"/>
      <c r="OIA1" s="47"/>
      <c r="OIB1" s="47"/>
      <c r="OIC1" s="47"/>
      <c r="OID1" s="47"/>
      <c r="OIE1" s="47"/>
      <c r="OIF1" s="47"/>
      <c r="OIG1" s="47"/>
      <c r="OIH1" s="47"/>
      <c r="OII1" s="47"/>
      <c r="OIJ1" s="47"/>
      <c r="OIK1" s="47"/>
      <c r="OIL1" s="47"/>
      <c r="OIM1" s="47"/>
      <c r="OIN1" s="47"/>
      <c r="OIO1" s="47"/>
      <c r="OIP1" s="47"/>
      <c r="OIQ1" s="47"/>
      <c r="OIR1" s="47"/>
      <c r="OIS1" s="47"/>
      <c r="OIT1" s="47"/>
      <c r="OIU1" s="47"/>
      <c r="OIV1" s="47"/>
      <c r="OIW1" s="47"/>
      <c r="OIX1" s="47"/>
      <c r="OIY1" s="47"/>
      <c r="OIZ1" s="47"/>
      <c r="OJA1" s="47"/>
      <c r="OJB1" s="47"/>
      <c r="OJC1" s="47"/>
      <c r="OJD1" s="47"/>
      <c r="OJE1" s="47"/>
      <c r="OJF1" s="47"/>
      <c r="OJG1" s="47"/>
      <c r="OJH1" s="47"/>
      <c r="OJI1" s="47"/>
      <c r="OJJ1" s="47"/>
      <c r="OJK1" s="47"/>
      <c r="OJL1" s="47"/>
      <c r="OJM1" s="47"/>
      <c r="OJN1" s="47"/>
      <c r="OJO1" s="47"/>
      <c r="OJP1" s="47"/>
      <c r="OJQ1" s="47"/>
      <c r="OJR1" s="47"/>
      <c r="OJS1" s="47"/>
      <c r="OJT1" s="47"/>
      <c r="OJU1" s="47"/>
      <c r="OJV1" s="47"/>
      <c r="OJW1" s="47"/>
      <c r="OJX1" s="47"/>
      <c r="OJY1" s="47"/>
      <c r="OJZ1" s="47"/>
      <c r="OKA1" s="47"/>
      <c r="OKB1" s="47"/>
      <c r="OKC1" s="47"/>
      <c r="OKD1" s="47"/>
      <c r="OKE1" s="47"/>
      <c r="OKF1" s="47"/>
      <c r="OKG1" s="47"/>
      <c r="OKH1" s="47"/>
      <c r="OKI1" s="47"/>
      <c r="OKJ1" s="47"/>
      <c r="OKK1" s="47"/>
      <c r="OKL1" s="47"/>
      <c r="OKM1" s="47"/>
      <c r="OKN1" s="47"/>
      <c r="OKO1" s="47"/>
      <c r="OKP1" s="47"/>
      <c r="OKQ1" s="47"/>
      <c r="OKR1" s="47"/>
      <c r="OKS1" s="47"/>
      <c r="OKT1" s="47"/>
      <c r="OKU1" s="47"/>
      <c r="OKV1" s="47"/>
      <c r="OKW1" s="47"/>
      <c r="OKX1" s="47"/>
      <c r="OKY1" s="47"/>
      <c r="OKZ1" s="47"/>
      <c r="OLA1" s="47"/>
      <c r="OLB1" s="47"/>
      <c r="OLC1" s="47"/>
      <c r="OLD1" s="47"/>
      <c r="OLE1" s="47"/>
      <c r="OLF1" s="47"/>
      <c r="OLG1" s="47"/>
      <c r="OLH1" s="47"/>
      <c r="OLI1" s="47"/>
      <c r="OLJ1" s="47"/>
      <c r="OLK1" s="47"/>
      <c r="OLL1" s="47"/>
      <c r="OLM1" s="47"/>
      <c r="OLN1" s="47"/>
      <c r="OLO1" s="47"/>
      <c r="OLP1" s="47"/>
      <c r="OLQ1" s="47"/>
      <c r="OLR1" s="47"/>
      <c r="OLS1" s="47"/>
      <c r="OLT1" s="47"/>
      <c r="OLU1" s="47"/>
      <c r="OLV1" s="47"/>
      <c r="OLW1" s="47"/>
      <c r="OLX1" s="47"/>
      <c r="OLY1" s="47"/>
      <c r="OLZ1" s="47"/>
      <c r="OMA1" s="47"/>
      <c r="OMB1" s="47"/>
      <c r="OMC1" s="47"/>
      <c r="OMD1" s="47"/>
      <c r="OME1" s="47"/>
      <c r="OMF1" s="47"/>
      <c r="OMG1" s="47"/>
      <c r="OMH1" s="47"/>
      <c r="OMI1" s="47"/>
      <c r="OMJ1" s="47"/>
      <c r="OMK1" s="47"/>
      <c r="OML1" s="47"/>
      <c r="OMM1" s="47"/>
      <c r="OMN1" s="47"/>
      <c r="OMO1" s="47"/>
      <c r="OMP1" s="47"/>
      <c r="OMQ1" s="47"/>
      <c r="OMR1" s="47"/>
      <c r="OMS1" s="47"/>
      <c r="OMT1" s="47"/>
      <c r="OMU1" s="47"/>
      <c r="OMV1" s="47"/>
      <c r="OMW1" s="47"/>
      <c r="OMX1" s="47"/>
      <c r="OMY1" s="47"/>
      <c r="OMZ1" s="47"/>
      <c r="ONA1" s="47"/>
      <c r="ONB1" s="47"/>
      <c r="ONC1" s="47"/>
      <c r="OND1" s="47"/>
      <c r="ONE1" s="47"/>
      <c r="ONF1" s="47"/>
      <c r="ONG1" s="47"/>
      <c r="ONH1" s="47"/>
      <c r="ONI1" s="47"/>
      <c r="ONJ1" s="47"/>
      <c r="ONK1" s="47"/>
      <c r="ONL1" s="47"/>
      <c r="ONM1" s="47"/>
      <c r="ONN1" s="47"/>
      <c r="ONO1" s="47"/>
      <c r="ONP1" s="47"/>
      <c r="ONQ1" s="47"/>
      <c r="ONR1" s="47"/>
      <c r="ONS1" s="47"/>
      <c r="ONT1" s="47"/>
      <c r="ONU1" s="47"/>
      <c r="ONV1" s="47"/>
      <c r="ONW1" s="47"/>
      <c r="ONX1" s="47"/>
      <c r="ONY1" s="47"/>
      <c r="ONZ1" s="47"/>
      <c r="OOA1" s="47"/>
      <c r="OOB1" s="47"/>
      <c r="OOC1" s="47"/>
      <c r="OOD1" s="47"/>
      <c r="OOE1" s="47"/>
      <c r="OOF1" s="47"/>
      <c r="OOG1" s="47"/>
      <c r="OOH1" s="47"/>
      <c r="OOI1" s="47"/>
      <c r="OOJ1" s="47"/>
      <c r="OOK1" s="47"/>
      <c r="OOL1" s="47"/>
      <c r="OOM1" s="47"/>
      <c r="OON1" s="47"/>
      <c r="OOO1" s="47"/>
      <c r="OOP1" s="47"/>
      <c r="OOQ1" s="47"/>
      <c r="OOR1" s="47"/>
      <c r="OOS1" s="47"/>
      <c r="OOT1" s="47"/>
      <c r="OOU1" s="47"/>
      <c r="OOV1" s="47"/>
      <c r="OOW1" s="47"/>
      <c r="OOX1" s="47"/>
      <c r="OOY1" s="47"/>
      <c r="OOZ1" s="47"/>
      <c r="OPA1" s="47"/>
      <c r="OPB1" s="47"/>
      <c r="OPC1" s="47"/>
      <c r="OPD1" s="47"/>
      <c r="OPE1" s="47"/>
      <c r="OPF1" s="47"/>
      <c r="OPG1" s="47"/>
      <c r="OPH1" s="47"/>
      <c r="OPI1" s="47"/>
      <c r="OPJ1" s="47"/>
      <c r="OPK1" s="47"/>
      <c r="OPL1" s="47"/>
      <c r="OPM1" s="47"/>
      <c r="OPN1" s="47"/>
      <c r="OPO1" s="47"/>
      <c r="OPP1" s="47"/>
      <c r="OPQ1" s="47"/>
      <c r="OPR1" s="47"/>
      <c r="OPS1" s="47"/>
      <c r="OPT1" s="47"/>
      <c r="OPU1" s="47"/>
      <c r="OPV1" s="47"/>
      <c r="OPW1" s="47"/>
      <c r="OPX1" s="47"/>
      <c r="OPY1" s="47"/>
      <c r="OPZ1" s="47"/>
      <c r="OQA1" s="47"/>
      <c r="OQB1" s="47"/>
      <c r="OQC1" s="47"/>
      <c r="OQD1" s="47"/>
      <c r="OQE1" s="47"/>
      <c r="OQF1" s="47"/>
      <c r="OQG1" s="47"/>
      <c r="OQH1" s="47"/>
      <c r="OQI1" s="47"/>
      <c r="OQJ1" s="47"/>
      <c r="OQK1" s="47"/>
      <c r="OQL1" s="47"/>
      <c r="OQM1" s="47"/>
      <c r="OQN1" s="47"/>
      <c r="OQO1" s="47"/>
      <c r="OQP1" s="47"/>
      <c r="OQQ1" s="47"/>
      <c r="OQR1" s="47"/>
      <c r="OQS1" s="47"/>
      <c r="OQT1" s="47"/>
      <c r="OQU1" s="47"/>
      <c r="OQV1" s="47"/>
      <c r="OQW1" s="47"/>
      <c r="OQX1" s="47"/>
      <c r="OQY1" s="47"/>
      <c r="OQZ1" s="47"/>
      <c r="ORA1" s="47"/>
      <c r="ORB1" s="47"/>
      <c r="ORC1" s="47"/>
      <c r="ORD1" s="47"/>
      <c r="ORE1" s="47"/>
      <c r="ORF1" s="47"/>
      <c r="ORG1" s="47"/>
      <c r="ORH1" s="47"/>
      <c r="ORI1" s="47"/>
      <c r="ORJ1" s="47"/>
      <c r="ORK1" s="47"/>
      <c r="ORL1" s="47"/>
      <c r="ORM1" s="47"/>
      <c r="ORN1" s="47"/>
      <c r="ORO1" s="47"/>
      <c r="ORP1" s="47"/>
      <c r="ORQ1" s="47"/>
      <c r="ORR1" s="47"/>
      <c r="ORS1" s="47"/>
      <c r="ORT1" s="47"/>
      <c r="ORU1" s="47"/>
      <c r="ORV1" s="47"/>
      <c r="ORW1" s="47"/>
      <c r="ORX1" s="47"/>
      <c r="ORY1" s="47"/>
      <c r="ORZ1" s="47"/>
      <c r="OSA1" s="47"/>
      <c r="OSB1" s="47"/>
      <c r="OSC1" s="47"/>
      <c r="OSD1" s="47"/>
      <c r="OSE1" s="47"/>
      <c r="OSF1" s="47"/>
      <c r="OSG1" s="47"/>
      <c r="OSH1" s="47"/>
      <c r="OSI1" s="47"/>
      <c r="OSJ1" s="47"/>
      <c r="OSK1" s="47"/>
      <c r="OSL1" s="47"/>
      <c r="OSM1" s="47"/>
      <c r="OSN1" s="47"/>
      <c r="OSO1" s="47"/>
      <c r="OSP1" s="47"/>
      <c r="OSQ1" s="47"/>
      <c r="OSR1" s="47"/>
      <c r="OSS1" s="47"/>
      <c r="OST1" s="47"/>
      <c r="OSU1" s="47"/>
      <c r="OSV1" s="47"/>
      <c r="OSW1" s="47"/>
      <c r="OSX1" s="47"/>
      <c r="OSY1" s="47"/>
      <c r="OSZ1" s="47"/>
      <c r="OTA1" s="47"/>
      <c r="OTB1" s="47"/>
      <c r="OTC1" s="47"/>
      <c r="OTD1" s="47"/>
      <c r="OTE1" s="47"/>
      <c r="OTF1" s="47"/>
      <c r="OTG1" s="47"/>
      <c r="OTH1" s="47"/>
      <c r="OTI1" s="47"/>
      <c r="OTJ1" s="47"/>
      <c r="OTK1" s="47"/>
      <c r="OTL1" s="47"/>
      <c r="OTM1" s="47"/>
      <c r="OTN1" s="47"/>
      <c r="OTO1" s="47"/>
      <c r="OTP1" s="47"/>
      <c r="OTQ1" s="47"/>
      <c r="OTR1" s="47"/>
      <c r="OTS1" s="47"/>
      <c r="OTT1" s="47"/>
      <c r="OTU1" s="47"/>
      <c r="OTV1" s="47"/>
      <c r="OTW1" s="47"/>
      <c r="OTX1" s="47"/>
      <c r="OTY1" s="47"/>
      <c r="OTZ1" s="47"/>
      <c r="OUA1" s="47"/>
      <c r="OUB1" s="47"/>
      <c r="OUC1" s="47"/>
      <c r="OUD1" s="47"/>
      <c r="OUE1" s="47"/>
      <c r="OUF1" s="47"/>
      <c r="OUG1" s="47"/>
      <c r="OUH1" s="47"/>
      <c r="OUI1" s="47"/>
      <c r="OUJ1" s="47"/>
      <c r="OUK1" s="47"/>
      <c r="OUL1" s="47"/>
      <c r="OUM1" s="47"/>
      <c r="OUN1" s="47"/>
      <c r="OUO1" s="47"/>
      <c r="OUP1" s="47"/>
      <c r="OUQ1" s="47"/>
      <c r="OUR1" s="47"/>
      <c r="OUS1" s="47"/>
      <c r="OUT1" s="47"/>
      <c r="OUU1" s="47"/>
      <c r="OUV1" s="47"/>
      <c r="OUW1" s="47"/>
      <c r="OUX1" s="47"/>
      <c r="OUY1" s="47"/>
      <c r="OUZ1" s="47"/>
      <c r="OVA1" s="47"/>
      <c r="OVB1" s="47"/>
      <c r="OVC1" s="47"/>
      <c r="OVD1" s="47"/>
      <c r="OVE1" s="47"/>
      <c r="OVF1" s="47"/>
      <c r="OVG1" s="47"/>
      <c r="OVH1" s="47"/>
      <c r="OVI1" s="47"/>
      <c r="OVJ1" s="47"/>
      <c r="OVK1" s="47"/>
      <c r="OVL1" s="47"/>
      <c r="OVM1" s="47"/>
      <c r="OVN1" s="47"/>
      <c r="OVO1" s="47"/>
      <c r="OVP1" s="47"/>
      <c r="OVQ1" s="47"/>
      <c r="OVR1" s="47"/>
      <c r="OVS1" s="47"/>
      <c r="OVT1" s="47"/>
      <c r="OVU1" s="47"/>
      <c r="OVV1" s="47"/>
      <c r="OVW1" s="47"/>
      <c r="OVX1" s="47"/>
      <c r="OVY1" s="47"/>
      <c r="OVZ1" s="47"/>
      <c r="OWA1" s="47"/>
      <c r="OWB1" s="47"/>
      <c r="OWC1" s="47"/>
      <c r="OWD1" s="47"/>
      <c r="OWE1" s="47"/>
      <c r="OWF1" s="47"/>
      <c r="OWG1" s="47"/>
      <c r="OWH1" s="47"/>
      <c r="OWI1" s="47"/>
      <c r="OWJ1" s="47"/>
      <c r="OWK1" s="47"/>
      <c r="OWL1" s="47"/>
      <c r="OWM1" s="47"/>
      <c r="OWN1" s="47"/>
      <c r="OWO1" s="47"/>
      <c r="OWP1" s="47"/>
      <c r="OWQ1" s="47"/>
      <c r="OWR1" s="47"/>
      <c r="OWS1" s="47"/>
      <c r="OWT1" s="47"/>
      <c r="OWU1" s="47"/>
      <c r="OWV1" s="47"/>
      <c r="OWW1" s="47"/>
      <c r="OWX1" s="47"/>
      <c r="OWY1" s="47"/>
      <c r="OWZ1" s="47"/>
      <c r="OXA1" s="47"/>
      <c r="OXB1" s="47"/>
      <c r="OXC1" s="47"/>
      <c r="OXD1" s="47"/>
      <c r="OXE1" s="47"/>
      <c r="OXF1" s="47"/>
      <c r="OXG1" s="47"/>
      <c r="OXH1" s="47"/>
      <c r="OXI1" s="47"/>
      <c r="OXJ1" s="47"/>
      <c r="OXK1" s="47"/>
      <c r="OXL1" s="47"/>
      <c r="OXM1" s="47"/>
      <c r="OXN1" s="47"/>
      <c r="OXO1" s="47"/>
      <c r="OXP1" s="47"/>
      <c r="OXQ1" s="47"/>
      <c r="OXR1" s="47"/>
      <c r="OXS1" s="47"/>
      <c r="OXT1" s="47"/>
      <c r="OXU1" s="47"/>
      <c r="OXV1" s="47"/>
      <c r="OXW1" s="47"/>
      <c r="OXX1" s="47"/>
      <c r="OXY1" s="47"/>
      <c r="OXZ1" s="47"/>
      <c r="OYA1" s="47"/>
      <c r="OYB1" s="47"/>
      <c r="OYC1" s="47"/>
      <c r="OYD1" s="47"/>
      <c r="OYE1" s="47"/>
      <c r="OYF1" s="47"/>
      <c r="OYG1" s="47"/>
      <c r="OYH1" s="47"/>
      <c r="OYI1" s="47"/>
      <c r="OYJ1" s="47"/>
      <c r="OYK1" s="47"/>
      <c r="OYL1" s="47"/>
      <c r="OYM1" s="47"/>
      <c r="OYN1" s="47"/>
      <c r="OYO1" s="47"/>
      <c r="OYP1" s="47"/>
      <c r="OYQ1" s="47"/>
      <c r="OYR1" s="47"/>
      <c r="OYS1" s="47"/>
      <c r="OYT1" s="47"/>
      <c r="OYU1" s="47"/>
      <c r="OYV1" s="47"/>
      <c r="OYW1" s="47"/>
      <c r="OYX1" s="47"/>
      <c r="OYY1" s="47"/>
      <c r="OYZ1" s="47"/>
      <c r="OZA1" s="47"/>
      <c r="OZB1" s="47"/>
      <c r="OZC1" s="47"/>
      <c r="OZD1" s="47"/>
      <c r="OZE1" s="47"/>
      <c r="OZF1" s="47"/>
      <c r="OZG1" s="47"/>
      <c r="OZH1" s="47"/>
      <c r="OZI1" s="47"/>
      <c r="OZJ1" s="47"/>
      <c r="OZK1" s="47"/>
      <c r="OZL1" s="47"/>
      <c r="OZM1" s="47"/>
      <c r="OZN1" s="47"/>
      <c r="OZO1" s="47"/>
      <c r="OZP1" s="47"/>
      <c r="OZQ1" s="47"/>
      <c r="OZR1" s="47"/>
      <c r="OZS1" s="47"/>
      <c r="OZT1" s="47"/>
      <c r="OZU1" s="47"/>
      <c r="OZV1" s="47"/>
      <c r="OZW1" s="47"/>
      <c r="OZX1" s="47"/>
      <c r="OZY1" s="47"/>
      <c r="OZZ1" s="47"/>
      <c r="PAA1" s="47"/>
      <c r="PAB1" s="47"/>
      <c r="PAC1" s="47"/>
      <c r="PAD1" s="47"/>
      <c r="PAE1" s="47"/>
      <c r="PAF1" s="47"/>
      <c r="PAG1" s="47"/>
      <c r="PAH1" s="47"/>
      <c r="PAI1" s="47"/>
      <c r="PAJ1" s="47"/>
      <c r="PAK1" s="47"/>
      <c r="PAL1" s="47"/>
      <c r="PAM1" s="47"/>
      <c r="PAN1" s="47"/>
      <c r="PAO1" s="47"/>
      <c r="PAP1" s="47"/>
      <c r="PAQ1" s="47"/>
      <c r="PAR1" s="47"/>
      <c r="PAS1" s="47"/>
      <c r="PAT1" s="47"/>
      <c r="PAU1" s="47"/>
      <c r="PAV1" s="47"/>
      <c r="PAW1" s="47"/>
      <c r="PAX1" s="47"/>
      <c r="PAY1" s="47"/>
      <c r="PAZ1" s="47"/>
      <c r="PBA1" s="47"/>
      <c r="PBB1" s="47"/>
      <c r="PBC1" s="47"/>
      <c r="PBD1" s="47"/>
      <c r="PBE1" s="47"/>
      <c r="PBF1" s="47"/>
      <c r="PBG1" s="47"/>
      <c r="PBH1" s="47"/>
      <c r="PBI1" s="47"/>
      <c r="PBJ1" s="47"/>
      <c r="PBK1" s="47"/>
      <c r="PBL1" s="47"/>
      <c r="PBM1" s="47"/>
      <c r="PBN1" s="47"/>
      <c r="PBO1" s="47"/>
      <c r="PBP1" s="47"/>
      <c r="PBQ1" s="47"/>
      <c r="PBR1" s="47"/>
      <c r="PBS1" s="47"/>
      <c r="PBT1" s="47"/>
      <c r="PBU1" s="47"/>
      <c r="PBV1" s="47"/>
      <c r="PBW1" s="47"/>
      <c r="PBX1" s="47"/>
      <c r="PBY1" s="47"/>
      <c r="PBZ1" s="47"/>
      <c r="PCA1" s="47"/>
      <c r="PCB1" s="47"/>
      <c r="PCC1" s="47"/>
      <c r="PCD1" s="47"/>
      <c r="PCE1" s="47"/>
      <c r="PCF1" s="47"/>
      <c r="PCG1" s="47"/>
      <c r="PCH1" s="47"/>
      <c r="PCI1" s="47"/>
      <c r="PCJ1" s="47"/>
      <c r="PCK1" s="47"/>
      <c r="PCL1" s="47"/>
      <c r="PCM1" s="47"/>
      <c r="PCN1" s="47"/>
      <c r="PCO1" s="47"/>
      <c r="PCP1" s="47"/>
      <c r="PCQ1" s="47"/>
      <c r="PCR1" s="47"/>
      <c r="PCS1" s="47"/>
      <c r="PCT1" s="47"/>
      <c r="PCU1" s="47"/>
      <c r="PCV1" s="47"/>
      <c r="PCW1" s="47"/>
      <c r="PCX1" s="47"/>
      <c r="PCY1" s="47"/>
      <c r="PCZ1" s="47"/>
      <c r="PDA1" s="47"/>
      <c r="PDB1" s="47"/>
      <c r="PDC1" s="47"/>
      <c r="PDD1" s="47"/>
      <c r="PDE1" s="47"/>
      <c r="PDF1" s="47"/>
      <c r="PDG1" s="47"/>
      <c r="PDH1" s="47"/>
      <c r="PDI1" s="47"/>
      <c r="PDJ1" s="47"/>
      <c r="PDK1" s="47"/>
      <c r="PDL1" s="47"/>
      <c r="PDM1" s="47"/>
      <c r="PDN1" s="47"/>
      <c r="PDO1" s="47"/>
      <c r="PDP1" s="47"/>
      <c r="PDQ1" s="47"/>
      <c r="PDR1" s="47"/>
      <c r="PDS1" s="47"/>
      <c r="PDT1" s="47"/>
      <c r="PDU1" s="47"/>
      <c r="PDV1" s="47"/>
      <c r="PDW1" s="47"/>
      <c r="PDX1" s="47"/>
      <c r="PDY1" s="47"/>
      <c r="PDZ1" s="47"/>
      <c r="PEA1" s="47"/>
      <c r="PEB1" s="47"/>
      <c r="PEC1" s="47"/>
      <c r="PED1" s="47"/>
      <c r="PEE1" s="47"/>
      <c r="PEF1" s="47"/>
      <c r="PEG1" s="47"/>
      <c r="PEH1" s="47"/>
      <c r="PEI1" s="47"/>
      <c r="PEJ1" s="47"/>
      <c r="PEK1" s="47"/>
      <c r="PEL1" s="47"/>
      <c r="PEM1" s="47"/>
      <c r="PEN1" s="47"/>
      <c r="PEO1" s="47"/>
      <c r="PEP1" s="47"/>
      <c r="PEQ1" s="47"/>
      <c r="PER1" s="47"/>
      <c r="PES1" s="47"/>
      <c r="PET1" s="47"/>
      <c r="PEU1" s="47"/>
      <c r="PEV1" s="47"/>
      <c r="PEW1" s="47"/>
      <c r="PEX1" s="47"/>
      <c r="PEY1" s="47"/>
      <c r="PEZ1" s="47"/>
      <c r="PFA1" s="47"/>
      <c r="PFB1" s="47"/>
      <c r="PFC1" s="47"/>
      <c r="PFD1" s="47"/>
      <c r="PFE1" s="47"/>
      <c r="PFF1" s="47"/>
      <c r="PFG1" s="47"/>
      <c r="PFH1" s="47"/>
      <c r="PFI1" s="47"/>
      <c r="PFJ1" s="47"/>
      <c r="PFK1" s="47"/>
      <c r="PFL1" s="47"/>
      <c r="PFM1" s="47"/>
      <c r="PFN1" s="47"/>
      <c r="PFO1" s="47"/>
      <c r="PFP1" s="47"/>
      <c r="PFQ1" s="47"/>
      <c r="PFR1" s="47"/>
      <c r="PFS1" s="47"/>
      <c r="PFT1" s="47"/>
      <c r="PFU1" s="47"/>
      <c r="PFV1" s="47"/>
      <c r="PFW1" s="47"/>
      <c r="PFX1" s="47"/>
      <c r="PFY1" s="47"/>
      <c r="PFZ1" s="47"/>
      <c r="PGA1" s="47"/>
      <c r="PGB1" s="47"/>
      <c r="PGC1" s="47"/>
      <c r="PGD1" s="47"/>
      <c r="PGE1" s="47"/>
      <c r="PGF1" s="47"/>
      <c r="PGG1" s="47"/>
      <c r="PGH1" s="47"/>
      <c r="PGI1" s="47"/>
      <c r="PGJ1" s="47"/>
      <c r="PGK1" s="47"/>
      <c r="PGL1" s="47"/>
      <c r="PGM1" s="47"/>
      <c r="PGN1" s="47"/>
      <c r="PGO1" s="47"/>
      <c r="PGP1" s="47"/>
      <c r="PGQ1" s="47"/>
      <c r="PGR1" s="47"/>
      <c r="PGS1" s="47"/>
      <c r="PGT1" s="47"/>
      <c r="PGU1" s="47"/>
      <c r="PGV1" s="47"/>
      <c r="PGW1" s="47"/>
      <c r="PGX1" s="47"/>
      <c r="PGY1" s="47"/>
      <c r="PGZ1" s="47"/>
      <c r="PHA1" s="47"/>
      <c r="PHB1" s="47"/>
      <c r="PHC1" s="47"/>
      <c r="PHD1" s="47"/>
      <c r="PHE1" s="47"/>
      <c r="PHF1" s="47"/>
      <c r="PHG1" s="47"/>
      <c r="PHH1" s="47"/>
      <c r="PHI1" s="47"/>
      <c r="PHJ1" s="47"/>
      <c r="PHK1" s="47"/>
      <c r="PHL1" s="47"/>
      <c r="PHM1" s="47"/>
      <c r="PHN1" s="47"/>
      <c r="PHO1" s="47"/>
      <c r="PHP1" s="47"/>
      <c r="PHQ1" s="47"/>
      <c r="PHR1" s="47"/>
      <c r="PHS1" s="47"/>
      <c r="PHT1" s="47"/>
      <c r="PHU1" s="47"/>
      <c r="PHV1" s="47"/>
      <c r="PHW1" s="47"/>
      <c r="PHX1" s="47"/>
      <c r="PHY1" s="47"/>
      <c r="PHZ1" s="47"/>
      <c r="PIA1" s="47"/>
      <c r="PIB1" s="47"/>
      <c r="PIC1" s="47"/>
      <c r="PID1" s="47"/>
      <c r="PIE1" s="47"/>
      <c r="PIF1" s="47"/>
      <c r="PIG1" s="47"/>
      <c r="PIH1" s="47"/>
      <c r="PII1" s="47"/>
      <c r="PIJ1" s="47"/>
      <c r="PIK1" s="47"/>
      <c r="PIL1" s="47"/>
      <c r="PIM1" s="47"/>
      <c r="PIN1" s="47"/>
      <c r="PIO1" s="47"/>
      <c r="PIP1" s="47"/>
      <c r="PIQ1" s="47"/>
      <c r="PIR1" s="47"/>
      <c r="PIS1" s="47"/>
      <c r="PIT1" s="47"/>
      <c r="PIU1" s="47"/>
      <c r="PIV1" s="47"/>
      <c r="PIW1" s="47"/>
      <c r="PIX1" s="47"/>
      <c r="PIY1" s="47"/>
      <c r="PIZ1" s="47"/>
      <c r="PJA1" s="47"/>
      <c r="PJB1" s="47"/>
      <c r="PJC1" s="47"/>
      <c r="PJD1" s="47"/>
      <c r="PJE1" s="47"/>
      <c r="PJF1" s="47"/>
      <c r="PJG1" s="47"/>
      <c r="PJH1" s="47"/>
      <c r="PJI1" s="47"/>
      <c r="PJJ1" s="47"/>
      <c r="PJK1" s="47"/>
      <c r="PJL1" s="47"/>
      <c r="PJM1" s="47"/>
      <c r="PJN1" s="47"/>
      <c r="PJO1" s="47"/>
      <c r="PJP1" s="47"/>
      <c r="PJQ1" s="47"/>
      <c r="PJR1" s="47"/>
      <c r="PJS1" s="47"/>
      <c r="PJT1" s="47"/>
      <c r="PJU1" s="47"/>
      <c r="PJV1" s="47"/>
      <c r="PJW1" s="47"/>
      <c r="PJX1" s="47"/>
      <c r="PJY1" s="47"/>
      <c r="PJZ1" s="47"/>
      <c r="PKA1" s="47"/>
      <c r="PKB1" s="47"/>
      <c r="PKC1" s="47"/>
      <c r="PKD1" s="47"/>
      <c r="PKE1" s="47"/>
      <c r="PKF1" s="47"/>
      <c r="PKG1" s="47"/>
      <c r="PKH1" s="47"/>
      <c r="PKI1" s="47"/>
      <c r="PKJ1" s="47"/>
      <c r="PKK1" s="47"/>
      <c r="PKL1" s="47"/>
      <c r="PKM1" s="47"/>
      <c r="PKN1" s="47"/>
      <c r="PKO1" s="47"/>
      <c r="PKP1" s="47"/>
      <c r="PKQ1" s="47"/>
      <c r="PKR1" s="47"/>
      <c r="PKS1" s="47"/>
      <c r="PKT1" s="47"/>
      <c r="PKU1" s="47"/>
      <c r="PKV1" s="47"/>
      <c r="PKW1" s="47"/>
      <c r="PKX1" s="47"/>
      <c r="PKY1" s="47"/>
      <c r="PKZ1" s="47"/>
      <c r="PLA1" s="47"/>
      <c r="PLB1" s="47"/>
      <c r="PLC1" s="47"/>
      <c r="PLD1" s="47"/>
      <c r="PLE1" s="47"/>
      <c r="PLF1" s="47"/>
      <c r="PLG1" s="47"/>
      <c r="PLH1" s="47"/>
      <c r="PLI1" s="47"/>
      <c r="PLJ1" s="47"/>
      <c r="PLK1" s="47"/>
      <c r="PLL1" s="47"/>
      <c r="PLM1" s="47"/>
      <c r="PLN1" s="47"/>
      <c r="PLO1" s="47"/>
      <c r="PLP1" s="47"/>
      <c r="PLQ1" s="47"/>
      <c r="PLR1" s="47"/>
      <c r="PLS1" s="47"/>
      <c r="PLT1" s="47"/>
      <c r="PLU1" s="47"/>
      <c r="PLV1" s="47"/>
      <c r="PLW1" s="47"/>
      <c r="PLX1" s="47"/>
      <c r="PLY1" s="47"/>
      <c r="PLZ1" s="47"/>
      <c r="PMA1" s="47"/>
      <c r="PMB1" s="47"/>
      <c r="PMC1" s="47"/>
      <c r="PMD1" s="47"/>
      <c r="PME1" s="47"/>
      <c r="PMF1" s="47"/>
      <c r="PMG1" s="47"/>
      <c r="PMH1" s="47"/>
      <c r="PMI1" s="47"/>
      <c r="PMJ1" s="47"/>
      <c r="PMK1" s="47"/>
      <c r="PML1" s="47"/>
      <c r="PMM1" s="47"/>
      <c r="PMN1" s="47"/>
      <c r="PMO1" s="47"/>
      <c r="PMP1" s="47"/>
      <c r="PMQ1" s="47"/>
      <c r="PMR1" s="47"/>
      <c r="PMS1" s="47"/>
      <c r="PMT1" s="47"/>
      <c r="PMU1" s="47"/>
      <c r="PMV1" s="47"/>
      <c r="PMW1" s="47"/>
      <c r="PMX1" s="47"/>
      <c r="PMY1" s="47"/>
      <c r="PMZ1" s="47"/>
      <c r="PNA1" s="47"/>
      <c r="PNB1" s="47"/>
      <c r="PNC1" s="47"/>
      <c r="PND1" s="47"/>
      <c r="PNE1" s="47"/>
      <c r="PNF1" s="47"/>
      <c r="PNG1" s="47"/>
      <c r="PNH1" s="47"/>
      <c r="PNI1" s="47"/>
      <c r="PNJ1" s="47"/>
      <c r="PNK1" s="47"/>
      <c r="PNL1" s="47"/>
      <c r="PNM1" s="47"/>
      <c r="PNN1" s="47"/>
      <c r="PNO1" s="47"/>
      <c r="PNP1" s="47"/>
      <c r="PNQ1" s="47"/>
      <c r="PNR1" s="47"/>
      <c r="PNS1" s="47"/>
      <c r="PNT1" s="47"/>
      <c r="PNU1" s="47"/>
      <c r="PNV1" s="47"/>
      <c r="PNW1" s="47"/>
      <c r="PNX1" s="47"/>
      <c r="PNY1" s="47"/>
      <c r="PNZ1" s="47"/>
      <c r="POA1" s="47"/>
      <c r="POB1" s="47"/>
      <c r="POC1" s="47"/>
      <c r="POD1" s="47"/>
      <c r="POE1" s="47"/>
      <c r="POF1" s="47"/>
      <c r="POG1" s="47"/>
      <c r="POH1" s="47"/>
      <c r="POI1" s="47"/>
      <c r="POJ1" s="47"/>
      <c r="POK1" s="47"/>
      <c r="POL1" s="47"/>
      <c r="POM1" s="47"/>
      <c r="PON1" s="47"/>
      <c r="POO1" s="47"/>
      <c r="POP1" s="47"/>
      <c r="POQ1" s="47"/>
      <c r="POR1" s="47"/>
      <c r="POS1" s="47"/>
      <c r="POT1" s="47"/>
      <c r="POU1" s="47"/>
      <c r="POV1" s="47"/>
      <c r="POW1" s="47"/>
      <c r="POX1" s="47"/>
      <c r="POY1" s="47"/>
      <c r="POZ1" s="47"/>
      <c r="PPA1" s="47"/>
      <c r="PPB1" s="47"/>
      <c r="PPC1" s="47"/>
      <c r="PPD1" s="47"/>
      <c r="PPE1" s="47"/>
      <c r="PPF1" s="47"/>
      <c r="PPG1" s="47"/>
      <c r="PPH1" s="47"/>
      <c r="PPI1" s="47"/>
      <c r="PPJ1" s="47"/>
      <c r="PPK1" s="47"/>
      <c r="PPL1" s="47"/>
      <c r="PPM1" s="47"/>
      <c r="PPN1" s="47"/>
      <c r="PPO1" s="47"/>
      <c r="PPP1" s="47"/>
      <c r="PPQ1" s="47"/>
      <c r="PPR1" s="47"/>
      <c r="PPS1" s="47"/>
      <c r="PPT1" s="47"/>
      <c r="PPU1" s="47"/>
      <c r="PPV1" s="47"/>
      <c r="PPW1" s="47"/>
      <c r="PPX1" s="47"/>
      <c r="PPY1" s="47"/>
      <c r="PPZ1" s="47"/>
      <c r="PQA1" s="47"/>
      <c r="PQB1" s="47"/>
      <c r="PQC1" s="47"/>
      <c r="PQD1" s="47"/>
      <c r="PQE1" s="47"/>
      <c r="PQF1" s="47"/>
      <c r="PQG1" s="47"/>
      <c r="PQH1" s="47"/>
      <c r="PQI1" s="47"/>
      <c r="PQJ1" s="47"/>
      <c r="PQK1" s="47"/>
      <c r="PQL1" s="47"/>
      <c r="PQM1" s="47"/>
      <c r="PQN1" s="47"/>
      <c r="PQO1" s="47"/>
      <c r="PQP1" s="47"/>
      <c r="PQQ1" s="47"/>
      <c r="PQR1" s="47"/>
      <c r="PQS1" s="47"/>
      <c r="PQT1" s="47"/>
      <c r="PQU1" s="47"/>
      <c r="PQV1" s="47"/>
      <c r="PQW1" s="47"/>
      <c r="PQX1" s="47"/>
      <c r="PQY1" s="47"/>
      <c r="PQZ1" s="47"/>
      <c r="PRA1" s="47"/>
      <c r="PRB1" s="47"/>
      <c r="PRC1" s="47"/>
      <c r="PRD1" s="47"/>
      <c r="PRE1" s="47"/>
      <c r="PRF1" s="47"/>
      <c r="PRG1" s="47"/>
      <c r="PRH1" s="47"/>
      <c r="PRI1" s="47"/>
      <c r="PRJ1" s="47"/>
      <c r="PRK1" s="47"/>
      <c r="PRL1" s="47"/>
      <c r="PRM1" s="47"/>
      <c r="PRN1" s="47"/>
      <c r="PRO1" s="47"/>
      <c r="PRP1" s="47"/>
      <c r="PRQ1" s="47"/>
      <c r="PRR1" s="47"/>
      <c r="PRS1" s="47"/>
      <c r="PRT1" s="47"/>
      <c r="PRU1" s="47"/>
      <c r="PRV1" s="47"/>
      <c r="PRW1" s="47"/>
      <c r="PRX1" s="47"/>
      <c r="PRY1" s="47"/>
      <c r="PRZ1" s="47"/>
      <c r="PSA1" s="47"/>
      <c r="PSB1" s="47"/>
      <c r="PSC1" s="47"/>
      <c r="PSD1" s="47"/>
      <c r="PSE1" s="47"/>
      <c r="PSF1" s="47"/>
      <c r="PSG1" s="47"/>
      <c r="PSH1" s="47"/>
      <c r="PSI1" s="47"/>
      <c r="PSJ1" s="47"/>
      <c r="PSK1" s="47"/>
      <c r="PSL1" s="47"/>
      <c r="PSM1" s="47"/>
      <c r="PSN1" s="47"/>
      <c r="PSO1" s="47"/>
      <c r="PSP1" s="47"/>
      <c r="PSQ1" s="47"/>
      <c r="PSR1" s="47"/>
      <c r="PSS1" s="47"/>
      <c r="PST1" s="47"/>
      <c r="PSU1" s="47"/>
      <c r="PSV1" s="47"/>
      <c r="PSW1" s="47"/>
      <c r="PSX1" s="47"/>
      <c r="PSY1" s="47"/>
      <c r="PSZ1" s="47"/>
      <c r="PTA1" s="47"/>
      <c r="PTB1" s="47"/>
      <c r="PTC1" s="47"/>
      <c r="PTD1" s="47"/>
      <c r="PTE1" s="47"/>
      <c r="PTF1" s="47"/>
      <c r="PTG1" s="47"/>
      <c r="PTH1" s="47"/>
      <c r="PTI1" s="47"/>
      <c r="PTJ1" s="47"/>
      <c r="PTK1" s="47"/>
      <c r="PTL1" s="47"/>
      <c r="PTM1" s="47"/>
      <c r="PTN1" s="47"/>
      <c r="PTO1" s="47"/>
      <c r="PTP1" s="47"/>
      <c r="PTQ1" s="47"/>
      <c r="PTR1" s="47"/>
      <c r="PTS1" s="47"/>
      <c r="PTT1" s="47"/>
      <c r="PTU1" s="47"/>
      <c r="PTV1" s="47"/>
      <c r="PTW1" s="47"/>
      <c r="PTX1" s="47"/>
      <c r="PTY1" s="47"/>
      <c r="PTZ1" s="47"/>
      <c r="PUA1" s="47"/>
      <c r="PUB1" s="47"/>
      <c r="PUC1" s="47"/>
      <c r="PUD1" s="47"/>
      <c r="PUE1" s="47"/>
      <c r="PUF1" s="47"/>
      <c r="PUG1" s="47"/>
      <c r="PUH1" s="47"/>
      <c r="PUI1" s="47"/>
      <c r="PUJ1" s="47"/>
      <c r="PUK1" s="47"/>
      <c r="PUL1" s="47"/>
      <c r="PUM1" s="47"/>
      <c r="PUN1" s="47"/>
      <c r="PUO1" s="47"/>
      <c r="PUP1" s="47"/>
      <c r="PUQ1" s="47"/>
      <c r="PUR1" s="47"/>
      <c r="PUS1" s="47"/>
      <c r="PUT1" s="47"/>
      <c r="PUU1" s="47"/>
      <c r="PUV1" s="47"/>
      <c r="PUW1" s="47"/>
      <c r="PUX1" s="47"/>
      <c r="PUY1" s="47"/>
      <c r="PUZ1" s="47"/>
      <c r="PVA1" s="47"/>
      <c r="PVB1" s="47"/>
      <c r="PVC1" s="47"/>
      <c r="PVD1" s="47"/>
      <c r="PVE1" s="47"/>
      <c r="PVF1" s="47"/>
      <c r="PVG1" s="47"/>
      <c r="PVH1" s="47"/>
      <c r="PVI1" s="47"/>
      <c r="PVJ1" s="47"/>
      <c r="PVK1" s="47"/>
      <c r="PVL1" s="47"/>
      <c r="PVM1" s="47"/>
      <c r="PVN1" s="47"/>
      <c r="PVO1" s="47"/>
      <c r="PVP1" s="47"/>
      <c r="PVQ1" s="47"/>
      <c r="PVR1" s="47"/>
      <c r="PVS1" s="47"/>
      <c r="PVT1" s="47"/>
      <c r="PVU1" s="47"/>
      <c r="PVV1" s="47"/>
      <c r="PVW1" s="47"/>
      <c r="PVX1" s="47"/>
      <c r="PVY1" s="47"/>
      <c r="PVZ1" s="47"/>
      <c r="PWA1" s="47"/>
      <c r="PWB1" s="47"/>
      <c r="PWC1" s="47"/>
      <c r="PWD1" s="47"/>
      <c r="PWE1" s="47"/>
      <c r="PWF1" s="47"/>
      <c r="PWG1" s="47"/>
      <c r="PWH1" s="47"/>
      <c r="PWI1" s="47"/>
      <c r="PWJ1" s="47"/>
      <c r="PWK1" s="47"/>
      <c r="PWL1" s="47"/>
      <c r="PWM1" s="47"/>
      <c r="PWN1" s="47"/>
      <c r="PWO1" s="47"/>
      <c r="PWP1" s="47"/>
      <c r="PWQ1" s="47"/>
      <c r="PWR1" s="47"/>
      <c r="PWS1" s="47"/>
      <c r="PWT1" s="47"/>
      <c r="PWU1" s="47"/>
      <c r="PWV1" s="47"/>
      <c r="PWW1" s="47"/>
      <c r="PWX1" s="47"/>
      <c r="PWY1" s="47"/>
      <c r="PWZ1" s="47"/>
      <c r="PXA1" s="47"/>
      <c r="PXB1" s="47"/>
      <c r="PXC1" s="47"/>
      <c r="PXD1" s="47"/>
      <c r="PXE1" s="47"/>
      <c r="PXF1" s="47"/>
      <c r="PXG1" s="47"/>
      <c r="PXH1" s="47"/>
      <c r="PXI1" s="47"/>
      <c r="PXJ1" s="47"/>
      <c r="PXK1" s="47"/>
      <c r="PXL1" s="47"/>
      <c r="PXM1" s="47"/>
      <c r="PXN1" s="47"/>
      <c r="PXO1" s="47"/>
      <c r="PXP1" s="47"/>
      <c r="PXQ1" s="47"/>
      <c r="PXR1" s="47"/>
      <c r="PXS1" s="47"/>
      <c r="PXT1" s="47"/>
      <c r="PXU1" s="47"/>
      <c r="PXV1" s="47"/>
      <c r="PXW1" s="47"/>
      <c r="PXX1" s="47"/>
      <c r="PXY1" s="47"/>
      <c r="PXZ1" s="47"/>
      <c r="PYA1" s="47"/>
      <c r="PYB1" s="47"/>
      <c r="PYC1" s="47"/>
      <c r="PYD1" s="47"/>
      <c r="PYE1" s="47"/>
      <c r="PYF1" s="47"/>
      <c r="PYG1" s="47"/>
      <c r="PYH1" s="47"/>
      <c r="PYI1" s="47"/>
      <c r="PYJ1" s="47"/>
      <c r="PYK1" s="47"/>
      <c r="PYL1" s="47"/>
      <c r="PYM1" s="47"/>
      <c r="PYN1" s="47"/>
      <c r="PYO1" s="47"/>
      <c r="PYP1" s="47"/>
      <c r="PYQ1" s="47"/>
      <c r="PYR1" s="47"/>
      <c r="PYS1" s="47"/>
      <c r="PYT1" s="47"/>
      <c r="PYU1" s="47"/>
      <c r="PYV1" s="47"/>
      <c r="PYW1" s="47"/>
      <c r="PYX1" s="47"/>
      <c r="PYY1" s="47"/>
      <c r="PYZ1" s="47"/>
      <c r="PZA1" s="47"/>
      <c r="PZB1" s="47"/>
      <c r="PZC1" s="47"/>
      <c r="PZD1" s="47"/>
      <c r="PZE1" s="47"/>
      <c r="PZF1" s="47"/>
      <c r="PZG1" s="47"/>
      <c r="PZH1" s="47"/>
      <c r="PZI1" s="47"/>
      <c r="PZJ1" s="47"/>
      <c r="PZK1" s="47"/>
      <c r="PZL1" s="47"/>
      <c r="PZM1" s="47"/>
      <c r="PZN1" s="47"/>
      <c r="PZO1" s="47"/>
      <c r="PZP1" s="47"/>
      <c r="PZQ1" s="47"/>
      <c r="PZR1" s="47"/>
      <c r="PZS1" s="47"/>
      <c r="PZT1" s="47"/>
      <c r="PZU1" s="47"/>
      <c r="PZV1" s="47"/>
      <c r="PZW1" s="47"/>
      <c r="PZX1" s="47"/>
      <c r="PZY1" s="47"/>
      <c r="PZZ1" s="47"/>
      <c r="QAA1" s="47"/>
      <c r="QAB1" s="47"/>
      <c r="QAC1" s="47"/>
      <c r="QAD1" s="47"/>
      <c r="QAE1" s="47"/>
      <c r="QAF1" s="47"/>
      <c r="QAG1" s="47"/>
      <c r="QAH1" s="47"/>
      <c r="QAI1" s="47"/>
      <c r="QAJ1" s="47"/>
      <c r="QAK1" s="47"/>
      <c r="QAL1" s="47"/>
      <c r="QAM1" s="47"/>
      <c r="QAN1" s="47"/>
      <c r="QAO1" s="47"/>
      <c r="QAP1" s="47"/>
      <c r="QAQ1" s="47"/>
      <c r="QAR1" s="47"/>
      <c r="QAS1" s="47"/>
      <c r="QAT1" s="47"/>
      <c r="QAU1" s="47"/>
      <c r="QAV1" s="47"/>
      <c r="QAW1" s="47"/>
      <c r="QAX1" s="47"/>
      <c r="QAY1" s="47"/>
      <c r="QAZ1" s="47"/>
      <c r="QBA1" s="47"/>
      <c r="QBB1" s="47"/>
      <c r="QBC1" s="47"/>
      <c r="QBD1" s="47"/>
      <c r="QBE1" s="47"/>
      <c r="QBF1" s="47"/>
      <c r="QBG1" s="47"/>
      <c r="QBH1" s="47"/>
      <c r="QBI1" s="47"/>
      <c r="QBJ1" s="47"/>
      <c r="QBK1" s="47"/>
      <c r="QBL1" s="47"/>
      <c r="QBM1" s="47"/>
      <c r="QBN1" s="47"/>
      <c r="QBO1" s="47"/>
      <c r="QBP1" s="47"/>
      <c r="QBQ1" s="47"/>
      <c r="QBR1" s="47"/>
      <c r="QBS1" s="47"/>
      <c r="QBT1" s="47"/>
      <c r="QBU1" s="47"/>
      <c r="QBV1" s="47"/>
      <c r="QBW1" s="47"/>
      <c r="QBX1" s="47"/>
      <c r="QBY1" s="47"/>
      <c r="QBZ1" s="47"/>
      <c r="QCA1" s="47"/>
      <c r="QCB1" s="47"/>
      <c r="QCC1" s="47"/>
      <c r="QCD1" s="47"/>
      <c r="QCE1" s="47"/>
      <c r="QCF1" s="47"/>
      <c r="QCG1" s="47"/>
      <c r="QCH1" s="47"/>
      <c r="QCI1" s="47"/>
      <c r="QCJ1" s="47"/>
      <c r="QCK1" s="47"/>
      <c r="QCL1" s="47"/>
      <c r="QCM1" s="47"/>
      <c r="QCN1" s="47"/>
      <c r="QCO1" s="47"/>
      <c r="QCP1" s="47"/>
      <c r="QCQ1" s="47"/>
      <c r="QCR1" s="47"/>
      <c r="QCS1" s="47"/>
      <c r="QCT1" s="47"/>
      <c r="QCU1" s="47"/>
      <c r="QCV1" s="47"/>
      <c r="QCW1" s="47"/>
      <c r="QCX1" s="47"/>
      <c r="QCY1" s="47"/>
      <c r="QCZ1" s="47"/>
      <c r="QDA1" s="47"/>
      <c r="QDB1" s="47"/>
      <c r="QDC1" s="47"/>
      <c r="QDD1" s="47"/>
      <c r="QDE1" s="47"/>
      <c r="QDF1" s="47"/>
      <c r="QDG1" s="47"/>
      <c r="QDH1" s="47"/>
      <c r="QDI1" s="47"/>
      <c r="QDJ1" s="47"/>
      <c r="QDK1" s="47"/>
      <c r="QDL1" s="47"/>
      <c r="QDM1" s="47"/>
      <c r="QDN1" s="47"/>
      <c r="QDO1" s="47"/>
      <c r="QDP1" s="47"/>
      <c r="QDQ1" s="47"/>
      <c r="QDR1" s="47"/>
      <c r="QDS1" s="47"/>
      <c r="QDT1" s="47"/>
      <c r="QDU1" s="47"/>
      <c r="QDV1" s="47"/>
      <c r="QDW1" s="47"/>
      <c r="QDX1" s="47"/>
      <c r="QDY1" s="47"/>
      <c r="QDZ1" s="47"/>
      <c r="QEA1" s="47"/>
      <c r="QEB1" s="47"/>
      <c r="QEC1" s="47"/>
      <c r="QED1" s="47"/>
      <c r="QEE1" s="47"/>
      <c r="QEF1" s="47"/>
      <c r="QEG1" s="47"/>
      <c r="QEH1" s="47"/>
      <c r="QEI1" s="47"/>
      <c r="QEJ1" s="47"/>
      <c r="QEK1" s="47"/>
      <c r="QEL1" s="47"/>
      <c r="QEM1" s="47"/>
      <c r="QEN1" s="47"/>
      <c r="QEO1" s="47"/>
      <c r="QEP1" s="47"/>
      <c r="QEQ1" s="47"/>
      <c r="QER1" s="47"/>
      <c r="QES1" s="47"/>
      <c r="QET1" s="47"/>
      <c r="QEU1" s="47"/>
      <c r="QEV1" s="47"/>
      <c r="QEW1" s="47"/>
      <c r="QEX1" s="47"/>
      <c r="QEY1" s="47"/>
      <c r="QEZ1" s="47"/>
      <c r="QFA1" s="47"/>
      <c r="QFB1" s="47"/>
      <c r="QFC1" s="47"/>
      <c r="QFD1" s="47"/>
      <c r="QFE1" s="47"/>
      <c r="QFF1" s="47"/>
      <c r="QFG1" s="47"/>
      <c r="QFH1" s="47"/>
      <c r="QFI1" s="47"/>
      <c r="QFJ1" s="47"/>
      <c r="QFK1" s="47"/>
      <c r="QFL1" s="47"/>
      <c r="QFM1" s="47"/>
      <c r="QFN1" s="47"/>
      <c r="QFO1" s="47"/>
      <c r="QFP1" s="47"/>
      <c r="QFQ1" s="47"/>
      <c r="QFR1" s="47"/>
      <c r="QFS1" s="47"/>
      <c r="QFT1" s="47"/>
      <c r="QFU1" s="47"/>
      <c r="QFV1" s="47"/>
      <c r="QFW1" s="47"/>
      <c r="QFX1" s="47"/>
      <c r="QFY1" s="47"/>
      <c r="QFZ1" s="47"/>
      <c r="QGA1" s="47"/>
      <c r="QGB1" s="47"/>
      <c r="QGC1" s="47"/>
      <c r="QGD1" s="47"/>
      <c r="QGE1" s="47"/>
      <c r="QGF1" s="47"/>
      <c r="QGG1" s="47"/>
      <c r="QGH1" s="47"/>
      <c r="QGI1" s="47"/>
      <c r="QGJ1" s="47"/>
      <c r="QGK1" s="47"/>
      <c r="QGL1" s="47"/>
      <c r="QGM1" s="47"/>
      <c r="QGN1" s="47"/>
      <c r="QGO1" s="47"/>
      <c r="QGP1" s="47"/>
      <c r="QGQ1" s="47"/>
      <c r="QGR1" s="47"/>
      <c r="QGS1" s="47"/>
      <c r="QGT1" s="47"/>
      <c r="QGU1" s="47"/>
      <c r="QGV1" s="47"/>
      <c r="QGW1" s="47"/>
      <c r="QGX1" s="47"/>
      <c r="QGY1" s="47"/>
      <c r="QGZ1" s="47"/>
      <c r="QHA1" s="47"/>
      <c r="QHB1" s="47"/>
      <c r="QHC1" s="47"/>
      <c r="QHD1" s="47"/>
      <c r="QHE1" s="47"/>
      <c r="QHF1" s="47"/>
      <c r="QHG1" s="47"/>
      <c r="QHH1" s="47"/>
      <c r="QHI1" s="47"/>
      <c r="QHJ1" s="47"/>
      <c r="QHK1" s="47"/>
      <c r="QHL1" s="47"/>
      <c r="QHM1" s="47"/>
      <c r="QHN1" s="47"/>
      <c r="QHO1" s="47"/>
      <c r="QHP1" s="47"/>
      <c r="QHQ1" s="47"/>
      <c r="QHR1" s="47"/>
      <c r="QHS1" s="47"/>
      <c r="QHT1" s="47"/>
      <c r="QHU1" s="47"/>
      <c r="QHV1" s="47"/>
      <c r="QHW1" s="47"/>
      <c r="QHX1" s="47"/>
      <c r="QHY1" s="47"/>
      <c r="QHZ1" s="47"/>
      <c r="QIA1" s="47"/>
      <c r="QIB1" s="47"/>
      <c r="QIC1" s="47"/>
      <c r="QID1" s="47"/>
      <c r="QIE1" s="47"/>
      <c r="QIF1" s="47"/>
      <c r="QIG1" s="47"/>
      <c r="QIH1" s="47"/>
      <c r="QII1" s="47"/>
      <c r="QIJ1" s="47"/>
      <c r="QIK1" s="47"/>
      <c r="QIL1" s="47"/>
      <c r="QIM1" s="47"/>
      <c r="QIN1" s="47"/>
      <c r="QIO1" s="47"/>
      <c r="QIP1" s="47"/>
      <c r="QIQ1" s="47"/>
      <c r="QIR1" s="47"/>
      <c r="QIS1" s="47"/>
      <c r="QIT1" s="47"/>
      <c r="QIU1" s="47"/>
      <c r="QIV1" s="47"/>
      <c r="QIW1" s="47"/>
      <c r="QIX1" s="47"/>
      <c r="QIY1" s="47"/>
      <c r="QIZ1" s="47"/>
      <c r="QJA1" s="47"/>
      <c r="QJB1" s="47"/>
      <c r="QJC1" s="47"/>
      <c r="QJD1" s="47"/>
      <c r="QJE1" s="47"/>
      <c r="QJF1" s="47"/>
      <c r="QJG1" s="47"/>
      <c r="QJH1" s="47"/>
      <c r="QJI1" s="47"/>
      <c r="QJJ1" s="47"/>
      <c r="QJK1" s="47"/>
      <c r="QJL1" s="47"/>
      <c r="QJM1" s="47"/>
      <c r="QJN1" s="47"/>
      <c r="QJO1" s="47"/>
      <c r="QJP1" s="47"/>
      <c r="QJQ1" s="47"/>
      <c r="QJR1" s="47"/>
      <c r="QJS1" s="47"/>
      <c r="QJT1" s="47"/>
      <c r="QJU1" s="47"/>
      <c r="QJV1" s="47"/>
      <c r="QJW1" s="47"/>
      <c r="QJX1" s="47"/>
      <c r="QJY1" s="47"/>
      <c r="QJZ1" s="47"/>
      <c r="QKA1" s="47"/>
      <c r="QKB1" s="47"/>
      <c r="QKC1" s="47"/>
      <c r="QKD1" s="47"/>
      <c r="QKE1" s="47"/>
      <c r="QKF1" s="47"/>
      <c r="QKG1" s="47"/>
      <c r="QKH1" s="47"/>
      <c r="QKI1" s="47"/>
      <c r="QKJ1" s="47"/>
      <c r="QKK1" s="47"/>
      <c r="QKL1" s="47"/>
      <c r="QKM1" s="47"/>
      <c r="QKN1" s="47"/>
      <c r="QKO1" s="47"/>
      <c r="QKP1" s="47"/>
      <c r="QKQ1" s="47"/>
      <c r="QKR1" s="47"/>
      <c r="QKS1" s="47"/>
      <c r="QKT1" s="47"/>
      <c r="QKU1" s="47"/>
      <c r="QKV1" s="47"/>
      <c r="QKW1" s="47"/>
      <c r="QKX1" s="47"/>
      <c r="QKY1" s="47"/>
      <c r="QKZ1" s="47"/>
      <c r="QLA1" s="47"/>
      <c r="QLB1" s="47"/>
      <c r="QLC1" s="47"/>
      <c r="QLD1" s="47"/>
      <c r="QLE1" s="47"/>
      <c r="QLF1" s="47"/>
      <c r="QLG1" s="47"/>
      <c r="QLH1" s="47"/>
      <c r="QLI1" s="47"/>
      <c r="QLJ1" s="47"/>
      <c r="QLK1" s="47"/>
      <c r="QLL1" s="47"/>
      <c r="QLM1" s="47"/>
      <c r="QLN1" s="47"/>
      <c r="QLO1" s="47"/>
      <c r="QLP1" s="47"/>
      <c r="QLQ1" s="47"/>
      <c r="QLR1" s="47"/>
      <c r="QLS1" s="47"/>
      <c r="QLT1" s="47"/>
      <c r="QLU1" s="47"/>
      <c r="QLV1" s="47"/>
      <c r="QLW1" s="47"/>
      <c r="QLX1" s="47"/>
      <c r="QLY1" s="47"/>
      <c r="QLZ1" s="47"/>
      <c r="QMA1" s="47"/>
      <c r="QMB1" s="47"/>
      <c r="QMC1" s="47"/>
      <c r="QMD1" s="47"/>
      <c r="QME1" s="47"/>
      <c r="QMF1" s="47"/>
      <c r="QMG1" s="47"/>
      <c r="QMH1" s="47"/>
      <c r="QMI1" s="47"/>
      <c r="QMJ1" s="47"/>
      <c r="QMK1" s="47"/>
      <c r="QML1" s="47"/>
      <c r="QMM1" s="47"/>
      <c r="QMN1" s="47"/>
      <c r="QMO1" s="47"/>
      <c r="QMP1" s="47"/>
      <c r="QMQ1" s="47"/>
      <c r="QMR1" s="47"/>
      <c r="QMS1" s="47"/>
      <c r="QMT1" s="47"/>
      <c r="QMU1" s="47"/>
      <c r="QMV1" s="47"/>
      <c r="QMW1" s="47"/>
      <c r="QMX1" s="47"/>
      <c r="QMY1" s="47"/>
      <c r="QMZ1" s="47"/>
      <c r="QNA1" s="47"/>
      <c r="QNB1" s="47"/>
      <c r="QNC1" s="47"/>
      <c r="QND1" s="47"/>
      <c r="QNE1" s="47"/>
      <c r="QNF1" s="47"/>
      <c r="QNG1" s="47"/>
      <c r="QNH1" s="47"/>
      <c r="QNI1" s="47"/>
      <c r="QNJ1" s="47"/>
      <c r="QNK1" s="47"/>
      <c r="QNL1" s="47"/>
      <c r="QNM1" s="47"/>
      <c r="QNN1" s="47"/>
      <c r="QNO1" s="47"/>
      <c r="QNP1" s="47"/>
      <c r="QNQ1" s="47"/>
      <c r="QNR1" s="47"/>
      <c r="QNS1" s="47"/>
      <c r="QNT1" s="47"/>
      <c r="QNU1" s="47"/>
      <c r="QNV1" s="47"/>
      <c r="QNW1" s="47"/>
      <c r="QNX1" s="47"/>
      <c r="QNY1" s="47"/>
      <c r="QNZ1" s="47"/>
      <c r="QOA1" s="47"/>
      <c r="QOB1" s="47"/>
      <c r="QOC1" s="47"/>
      <c r="QOD1" s="47"/>
      <c r="QOE1" s="47"/>
      <c r="QOF1" s="47"/>
      <c r="QOG1" s="47"/>
      <c r="QOH1" s="47"/>
      <c r="QOI1" s="47"/>
      <c r="QOJ1" s="47"/>
      <c r="QOK1" s="47"/>
      <c r="QOL1" s="47"/>
      <c r="QOM1" s="47"/>
      <c r="QON1" s="47"/>
      <c r="QOO1" s="47"/>
      <c r="QOP1" s="47"/>
      <c r="QOQ1" s="47"/>
      <c r="QOR1" s="47"/>
      <c r="QOS1" s="47"/>
      <c r="QOT1" s="47"/>
      <c r="QOU1" s="47"/>
      <c r="QOV1" s="47"/>
      <c r="QOW1" s="47"/>
      <c r="QOX1" s="47"/>
      <c r="QOY1" s="47"/>
      <c r="QOZ1" s="47"/>
      <c r="QPA1" s="47"/>
      <c r="QPB1" s="47"/>
      <c r="QPC1" s="47"/>
      <c r="QPD1" s="47"/>
      <c r="QPE1" s="47"/>
      <c r="QPF1" s="47"/>
      <c r="QPG1" s="47"/>
      <c r="QPH1" s="47"/>
      <c r="QPI1" s="47"/>
      <c r="QPJ1" s="47"/>
      <c r="QPK1" s="47"/>
      <c r="QPL1" s="47"/>
      <c r="QPM1" s="47"/>
      <c r="QPN1" s="47"/>
      <c r="QPO1" s="47"/>
      <c r="QPP1" s="47"/>
      <c r="QPQ1" s="47"/>
      <c r="QPR1" s="47"/>
      <c r="QPS1" s="47"/>
      <c r="QPT1" s="47"/>
      <c r="QPU1" s="47"/>
      <c r="QPV1" s="47"/>
      <c r="QPW1" s="47"/>
      <c r="QPX1" s="47"/>
      <c r="QPY1" s="47"/>
      <c r="QPZ1" s="47"/>
      <c r="QQA1" s="47"/>
      <c r="QQB1" s="47"/>
      <c r="QQC1" s="47"/>
      <c r="QQD1" s="47"/>
      <c r="QQE1" s="47"/>
      <c r="QQF1" s="47"/>
      <c r="QQG1" s="47"/>
      <c r="QQH1" s="47"/>
      <c r="QQI1" s="47"/>
      <c r="QQJ1" s="47"/>
      <c r="QQK1" s="47"/>
      <c r="QQL1" s="47"/>
      <c r="QQM1" s="47"/>
      <c r="QQN1" s="47"/>
      <c r="QQO1" s="47"/>
      <c r="QQP1" s="47"/>
      <c r="QQQ1" s="47"/>
      <c r="QQR1" s="47"/>
      <c r="QQS1" s="47"/>
      <c r="QQT1" s="47"/>
      <c r="QQU1" s="47"/>
      <c r="QQV1" s="47"/>
      <c r="QQW1" s="47"/>
      <c r="QQX1" s="47"/>
      <c r="QQY1" s="47"/>
      <c r="QQZ1" s="47"/>
      <c r="QRA1" s="47"/>
      <c r="QRB1" s="47"/>
      <c r="QRC1" s="47"/>
      <c r="QRD1" s="47"/>
      <c r="QRE1" s="47"/>
      <c r="QRF1" s="47"/>
      <c r="QRG1" s="47"/>
      <c r="QRH1" s="47"/>
      <c r="QRI1" s="47"/>
      <c r="QRJ1" s="47"/>
      <c r="QRK1" s="47"/>
      <c r="QRL1" s="47"/>
      <c r="QRM1" s="47"/>
      <c r="QRN1" s="47"/>
      <c r="QRO1" s="47"/>
      <c r="QRP1" s="47"/>
      <c r="QRQ1" s="47"/>
      <c r="QRR1" s="47"/>
      <c r="QRS1" s="47"/>
      <c r="QRT1" s="47"/>
      <c r="QRU1" s="47"/>
      <c r="QRV1" s="47"/>
      <c r="QRW1" s="47"/>
      <c r="QRX1" s="47"/>
      <c r="QRY1" s="47"/>
      <c r="QRZ1" s="47"/>
      <c r="QSA1" s="47"/>
      <c r="QSB1" s="47"/>
      <c r="QSC1" s="47"/>
      <c r="QSD1" s="47"/>
      <c r="QSE1" s="47"/>
      <c r="QSF1" s="47"/>
      <c r="QSG1" s="47"/>
      <c r="QSH1" s="47"/>
      <c r="QSI1" s="47"/>
      <c r="QSJ1" s="47"/>
      <c r="QSK1" s="47"/>
      <c r="QSL1" s="47"/>
      <c r="QSM1" s="47"/>
      <c r="QSN1" s="47"/>
      <c r="QSO1" s="47"/>
      <c r="QSP1" s="47"/>
      <c r="QSQ1" s="47"/>
      <c r="QSR1" s="47"/>
      <c r="QSS1" s="47"/>
      <c r="QST1" s="47"/>
      <c r="QSU1" s="47"/>
      <c r="QSV1" s="47"/>
      <c r="QSW1" s="47"/>
      <c r="QSX1" s="47"/>
      <c r="QSY1" s="47"/>
      <c r="QSZ1" s="47"/>
      <c r="QTA1" s="47"/>
      <c r="QTB1" s="47"/>
      <c r="QTC1" s="47"/>
      <c r="QTD1" s="47"/>
      <c r="QTE1" s="47"/>
      <c r="QTF1" s="47"/>
      <c r="QTG1" s="47"/>
      <c r="QTH1" s="47"/>
      <c r="QTI1" s="47"/>
      <c r="QTJ1" s="47"/>
      <c r="QTK1" s="47"/>
      <c r="QTL1" s="47"/>
      <c r="QTM1" s="47"/>
      <c r="QTN1" s="47"/>
      <c r="QTO1" s="47"/>
      <c r="QTP1" s="47"/>
      <c r="QTQ1" s="47"/>
      <c r="QTR1" s="47"/>
      <c r="QTS1" s="47"/>
      <c r="QTT1" s="47"/>
      <c r="QTU1" s="47"/>
      <c r="QTV1" s="47"/>
      <c r="QTW1" s="47"/>
      <c r="QTX1" s="47"/>
      <c r="QTY1" s="47"/>
      <c r="QTZ1" s="47"/>
      <c r="QUA1" s="47"/>
      <c r="QUB1" s="47"/>
      <c r="QUC1" s="47"/>
      <c r="QUD1" s="47"/>
      <c r="QUE1" s="47"/>
      <c r="QUF1" s="47"/>
      <c r="QUG1" s="47"/>
      <c r="QUH1" s="47"/>
      <c r="QUI1" s="47"/>
      <c r="QUJ1" s="47"/>
      <c r="QUK1" s="47"/>
      <c r="QUL1" s="47"/>
      <c r="QUM1" s="47"/>
      <c r="QUN1" s="47"/>
      <c r="QUO1" s="47"/>
      <c r="QUP1" s="47"/>
      <c r="QUQ1" s="47"/>
      <c r="QUR1" s="47"/>
      <c r="QUS1" s="47"/>
      <c r="QUT1" s="47"/>
      <c r="QUU1" s="47"/>
      <c r="QUV1" s="47"/>
      <c r="QUW1" s="47"/>
      <c r="QUX1" s="47"/>
      <c r="QUY1" s="47"/>
      <c r="QUZ1" s="47"/>
      <c r="QVA1" s="47"/>
      <c r="QVB1" s="47"/>
      <c r="QVC1" s="47"/>
      <c r="QVD1" s="47"/>
      <c r="QVE1" s="47"/>
      <c r="QVF1" s="47"/>
      <c r="QVG1" s="47"/>
      <c r="QVH1" s="47"/>
      <c r="QVI1" s="47"/>
      <c r="QVJ1" s="47"/>
      <c r="QVK1" s="47"/>
      <c r="QVL1" s="47"/>
      <c r="QVM1" s="47"/>
      <c r="QVN1" s="47"/>
      <c r="QVO1" s="47"/>
      <c r="QVP1" s="47"/>
      <c r="QVQ1" s="47"/>
      <c r="QVR1" s="47"/>
      <c r="QVS1" s="47"/>
      <c r="QVT1" s="47"/>
      <c r="QVU1" s="47"/>
      <c r="QVV1" s="47"/>
      <c r="QVW1" s="47"/>
      <c r="QVX1" s="47"/>
      <c r="QVY1" s="47"/>
      <c r="QVZ1" s="47"/>
      <c r="QWA1" s="47"/>
      <c r="QWB1" s="47"/>
      <c r="QWC1" s="47"/>
      <c r="QWD1" s="47"/>
      <c r="QWE1" s="47"/>
      <c r="QWF1" s="47"/>
      <c r="QWG1" s="47"/>
      <c r="QWH1" s="47"/>
      <c r="QWI1" s="47"/>
      <c r="QWJ1" s="47"/>
      <c r="QWK1" s="47"/>
      <c r="QWL1" s="47"/>
      <c r="QWM1" s="47"/>
      <c r="QWN1" s="47"/>
      <c r="QWO1" s="47"/>
      <c r="QWP1" s="47"/>
      <c r="QWQ1" s="47"/>
      <c r="QWR1" s="47"/>
      <c r="QWS1" s="47"/>
      <c r="QWT1" s="47"/>
      <c r="QWU1" s="47"/>
      <c r="QWV1" s="47"/>
      <c r="QWW1" s="47"/>
      <c r="QWX1" s="47"/>
      <c r="QWY1" s="47"/>
      <c r="QWZ1" s="47"/>
      <c r="QXA1" s="47"/>
      <c r="QXB1" s="47"/>
      <c r="QXC1" s="47"/>
      <c r="QXD1" s="47"/>
      <c r="QXE1" s="47"/>
      <c r="QXF1" s="47"/>
      <c r="QXG1" s="47"/>
      <c r="QXH1" s="47"/>
      <c r="QXI1" s="47"/>
      <c r="QXJ1" s="47"/>
      <c r="QXK1" s="47"/>
      <c r="QXL1" s="47"/>
      <c r="QXM1" s="47"/>
      <c r="QXN1" s="47"/>
      <c r="QXO1" s="47"/>
      <c r="QXP1" s="47"/>
      <c r="QXQ1" s="47"/>
      <c r="QXR1" s="47"/>
      <c r="QXS1" s="47"/>
      <c r="QXT1" s="47"/>
      <c r="QXU1" s="47"/>
      <c r="QXV1" s="47"/>
      <c r="QXW1" s="47"/>
      <c r="QXX1" s="47"/>
      <c r="QXY1" s="47"/>
      <c r="QXZ1" s="47"/>
      <c r="QYA1" s="47"/>
      <c r="QYB1" s="47"/>
      <c r="QYC1" s="47"/>
      <c r="QYD1" s="47"/>
      <c r="QYE1" s="47"/>
      <c r="QYF1" s="47"/>
      <c r="QYG1" s="47"/>
      <c r="QYH1" s="47"/>
      <c r="QYI1" s="47"/>
      <c r="QYJ1" s="47"/>
      <c r="QYK1" s="47"/>
      <c r="QYL1" s="47"/>
      <c r="QYM1" s="47"/>
      <c r="QYN1" s="47"/>
      <c r="QYO1" s="47"/>
      <c r="QYP1" s="47"/>
      <c r="QYQ1" s="47"/>
      <c r="QYR1" s="47"/>
      <c r="QYS1" s="47"/>
      <c r="QYT1" s="47"/>
      <c r="QYU1" s="47"/>
      <c r="QYV1" s="47"/>
      <c r="QYW1" s="47"/>
      <c r="QYX1" s="47"/>
      <c r="QYY1" s="47"/>
      <c r="QYZ1" s="47"/>
      <c r="QZA1" s="47"/>
      <c r="QZB1" s="47"/>
      <c r="QZC1" s="47"/>
      <c r="QZD1" s="47"/>
      <c r="QZE1" s="47"/>
      <c r="QZF1" s="47"/>
      <c r="QZG1" s="47"/>
      <c r="QZH1" s="47"/>
      <c r="QZI1" s="47"/>
      <c r="QZJ1" s="47"/>
      <c r="QZK1" s="47"/>
      <c r="QZL1" s="47"/>
      <c r="QZM1" s="47"/>
      <c r="QZN1" s="47"/>
      <c r="QZO1" s="47"/>
      <c r="QZP1" s="47"/>
      <c r="QZQ1" s="47"/>
      <c r="QZR1" s="47"/>
      <c r="QZS1" s="47"/>
      <c r="QZT1" s="47"/>
      <c r="QZU1" s="47"/>
      <c r="QZV1" s="47"/>
      <c r="QZW1" s="47"/>
      <c r="QZX1" s="47"/>
      <c r="QZY1" s="47"/>
      <c r="QZZ1" s="47"/>
      <c r="RAA1" s="47"/>
      <c r="RAB1" s="47"/>
      <c r="RAC1" s="47"/>
      <c r="RAD1" s="47"/>
      <c r="RAE1" s="47"/>
      <c r="RAF1" s="47"/>
      <c r="RAG1" s="47"/>
      <c r="RAH1" s="47"/>
      <c r="RAI1" s="47"/>
      <c r="RAJ1" s="47"/>
      <c r="RAK1" s="47"/>
      <c r="RAL1" s="47"/>
      <c r="RAM1" s="47"/>
      <c r="RAN1" s="47"/>
      <c r="RAO1" s="47"/>
      <c r="RAP1" s="47"/>
      <c r="RAQ1" s="47"/>
      <c r="RAR1" s="47"/>
      <c r="RAS1" s="47"/>
      <c r="RAT1" s="47"/>
      <c r="RAU1" s="47"/>
      <c r="RAV1" s="47"/>
      <c r="RAW1" s="47"/>
      <c r="RAX1" s="47"/>
      <c r="RAY1" s="47"/>
      <c r="RAZ1" s="47"/>
      <c r="RBA1" s="47"/>
      <c r="RBB1" s="47"/>
      <c r="RBC1" s="47"/>
      <c r="RBD1" s="47"/>
      <c r="RBE1" s="47"/>
      <c r="RBF1" s="47"/>
      <c r="RBG1" s="47"/>
      <c r="RBH1" s="47"/>
      <c r="RBI1" s="47"/>
      <c r="RBJ1" s="47"/>
      <c r="RBK1" s="47"/>
      <c r="RBL1" s="47"/>
      <c r="RBM1" s="47"/>
      <c r="RBN1" s="47"/>
      <c r="RBO1" s="47"/>
      <c r="RBP1" s="47"/>
      <c r="RBQ1" s="47"/>
      <c r="RBR1" s="47"/>
      <c r="RBS1" s="47"/>
      <c r="RBT1" s="47"/>
      <c r="RBU1" s="47"/>
      <c r="RBV1" s="47"/>
      <c r="RBW1" s="47"/>
      <c r="RBX1" s="47"/>
      <c r="RBY1" s="47"/>
      <c r="RBZ1" s="47"/>
      <c r="RCA1" s="47"/>
      <c r="RCB1" s="47"/>
      <c r="RCC1" s="47"/>
      <c r="RCD1" s="47"/>
      <c r="RCE1" s="47"/>
      <c r="RCF1" s="47"/>
      <c r="RCG1" s="47"/>
      <c r="RCH1" s="47"/>
      <c r="RCI1" s="47"/>
      <c r="RCJ1" s="47"/>
      <c r="RCK1" s="47"/>
      <c r="RCL1" s="47"/>
      <c r="RCM1" s="47"/>
      <c r="RCN1" s="47"/>
      <c r="RCO1" s="47"/>
      <c r="RCP1" s="47"/>
      <c r="RCQ1" s="47"/>
      <c r="RCR1" s="47"/>
      <c r="RCS1" s="47"/>
      <c r="RCT1" s="47"/>
      <c r="RCU1" s="47"/>
      <c r="RCV1" s="47"/>
      <c r="RCW1" s="47"/>
      <c r="RCX1" s="47"/>
      <c r="RCY1" s="47"/>
      <c r="RCZ1" s="47"/>
      <c r="RDA1" s="47"/>
      <c r="RDB1" s="47"/>
      <c r="RDC1" s="47"/>
      <c r="RDD1" s="47"/>
      <c r="RDE1" s="47"/>
      <c r="RDF1" s="47"/>
      <c r="RDG1" s="47"/>
      <c r="RDH1" s="47"/>
      <c r="RDI1" s="47"/>
      <c r="RDJ1" s="47"/>
      <c r="RDK1" s="47"/>
      <c r="RDL1" s="47"/>
      <c r="RDM1" s="47"/>
      <c r="RDN1" s="47"/>
      <c r="RDO1" s="47"/>
      <c r="RDP1" s="47"/>
      <c r="RDQ1" s="47"/>
      <c r="RDR1" s="47"/>
      <c r="RDS1" s="47"/>
      <c r="RDT1" s="47"/>
      <c r="RDU1" s="47"/>
      <c r="RDV1" s="47"/>
      <c r="RDW1" s="47"/>
      <c r="RDX1" s="47"/>
      <c r="RDY1" s="47"/>
      <c r="RDZ1" s="47"/>
      <c r="REA1" s="47"/>
      <c r="REB1" s="47"/>
      <c r="REC1" s="47"/>
      <c r="RED1" s="47"/>
      <c r="REE1" s="47"/>
      <c r="REF1" s="47"/>
      <c r="REG1" s="47"/>
      <c r="REH1" s="47"/>
      <c r="REI1" s="47"/>
      <c r="REJ1" s="47"/>
      <c r="REK1" s="47"/>
      <c r="REL1" s="47"/>
      <c r="REM1" s="47"/>
      <c r="REN1" s="47"/>
      <c r="REO1" s="47"/>
      <c r="REP1" s="47"/>
      <c r="REQ1" s="47"/>
      <c r="RER1" s="47"/>
      <c r="RES1" s="47"/>
      <c r="RET1" s="47"/>
      <c r="REU1" s="47"/>
      <c r="REV1" s="47"/>
      <c r="REW1" s="47"/>
      <c r="REX1" s="47"/>
      <c r="REY1" s="47"/>
      <c r="REZ1" s="47"/>
      <c r="RFA1" s="47"/>
      <c r="RFB1" s="47"/>
      <c r="RFC1" s="47"/>
      <c r="RFD1" s="47"/>
      <c r="RFE1" s="47"/>
      <c r="RFF1" s="47"/>
      <c r="RFG1" s="47"/>
      <c r="RFH1" s="47"/>
      <c r="RFI1" s="47"/>
      <c r="RFJ1" s="47"/>
      <c r="RFK1" s="47"/>
      <c r="RFL1" s="47"/>
      <c r="RFM1" s="47"/>
      <c r="RFN1" s="47"/>
      <c r="RFO1" s="47"/>
      <c r="RFP1" s="47"/>
      <c r="RFQ1" s="47"/>
      <c r="RFR1" s="47"/>
      <c r="RFS1" s="47"/>
      <c r="RFT1" s="47"/>
      <c r="RFU1" s="47"/>
      <c r="RFV1" s="47"/>
      <c r="RFW1" s="47"/>
      <c r="RFX1" s="47"/>
      <c r="RFY1" s="47"/>
      <c r="RFZ1" s="47"/>
      <c r="RGA1" s="47"/>
      <c r="RGB1" s="47"/>
      <c r="RGC1" s="47"/>
      <c r="RGD1" s="47"/>
      <c r="RGE1" s="47"/>
      <c r="RGF1" s="47"/>
      <c r="RGG1" s="47"/>
      <c r="RGH1" s="47"/>
      <c r="RGI1" s="47"/>
      <c r="RGJ1" s="47"/>
      <c r="RGK1" s="47"/>
      <c r="RGL1" s="47"/>
      <c r="RGM1" s="47"/>
      <c r="RGN1" s="47"/>
      <c r="RGO1" s="47"/>
      <c r="RGP1" s="47"/>
      <c r="RGQ1" s="47"/>
      <c r="RGR1" s="47"/>
      <c r="RGS1" s="47"/>
      <c r="RGT1" s="47"/>
      <c r="RGU1" s="47"/>
      <c r="RGV1" s="47"/>
      <c r="RGW1" s="47"/>
      <c r="RGX1" s="47"/>
      <c r="RGY1" s="47"/>
      <c r="RGZ1" s="47"/>
      <c r="RHA1" s="47"/>
      <c r="RHB1" s="47"/>
      <c r="RHC1" s="47"/>
      <c r="RHD1" s="47"/>
      <c r="RHE1" s="47"/>
      <c r="RHF1" s="47"/>
      <c r="RHG1" s="47"/>
      <c r="RHH1" s="47"/>
      <c r="RHI1" s="47"/>
      <c r="RHJ1" s="47"/>
      <c r="RHK1" s="47"/>
      <c r="RHL1" s="47"/>
      <c r="RHM1" s="47"/>
      <c r="RHN1" s="47"/>
      <c r="RHO1" s="47"/>
      <c r="RHP1" s="47"/>
      <c r="RHQ1" s="47"/>
      <c r="RHR1" s="47"/>
      <c r="RHS1" s="47"/>
      <c r="RHT1" s="47"/>
      <c r="RHU1" s="47"/>
      <c r="RHV1" s="47"/>
      <c r="RHW1" s="47"/>
      <c r="RHX1" s="47"/>
      <c r="RHY1" s="47"/>
      <c r="RHZ1" s="47"/>
      <c r="RIA1" s="47"/>
      <c r="RIB1" s="47"/>
      <c r="RIC1" s="47"/>
      <c r="RID1" s="47"/>
      <c r="RIE1" s="47"/>
      <c r="RIF1" s="47"/>
      <c r="RIG1" s="47"/>
      <c r="RIH1" s="47"/>
      <c r="RII1" s="47"/>
      <c r="RIJ1" s="47"/>
      <c r="RIK1" s="47"/>
      <c r="RIL1" s="47"/>
      <c r="RIM1" s="47"/>
      <c r="RIN1" s="47"/>
      <c r="RIO1" s="47"/>
      <c r="RIP1" s="47"/>
      <c r="RIQ1" s="47"/>
      <c r="RIR1" s="47"/>
      <c r="RIS1" s="47"/>
      <c r="RIT1" s="47"/>
      <c r="RIU1" s="47"/>
      <c r="RIV1" s="47"/>
      <c r="RIW1" s="47"/>
      <c r="RIX1" s="47"/>
      <c r="RIY1" s="47"/>
      <c r="RIZ1" s="47"/>
      <c r="RJA1" s="47"/>
      <c r="RJB1" s="47"/>
      <c r="RJC1" s="47"/>
      <c r="RJD1" s="47"/>
      <c r="RJE1" s="47"/>
      <c r="RJF1" s="47"/>
      <c r="RJG1" s="47"/>
      <c r="RJH1" s="47"/>
      <c r="RJI1" s="47"/>
      <c r="RJJ1" s="47"/>
      <c r="RJK1" s="47"/>
      <c r="RJL1" s="47"/>
      <c r="RJM1" s="47"/>
      <c r="RJN1" s="47"/>
      <c r="RJO1" s="47"/>
      <c r="RJP1" s="47"/>
      <c r="RJQ1" s="47"/>
      <c r="RJR1" s="47"/>
      <c r="RJS1" s="47"/>
      <c r="RJT1" s="47"/>
      <c r="RJU1" s="47"/>
      <c r="RJV1" s="47"/>
      <c r="RJW1" s="47"/>
      <c r="RJX1" s="47"/>
      <c r="RJY1" s="47"/>
      <c r="RJZ1" s="47"/>
      <c r="RKA1" s="47"/>
      <c r="RKB1" s="47"/>
      <c r="RKC1" s="47"/>
      <c r="RKD1" s="47"/>
      <c r="RKE1" s="47"/>
      <c r="RKF1" s="47"/>
      <c r="RKG1" s="47"/>
      <c r="RKH1" s="47"/>
      <c r="RKI1" s="47"/>
      <c r="RKJ1" s="47"/>
      <c r="RKK1" s="47"/>
      <c r="RKL1" s="47"/>
      <c r="RKM1" s="47"/>
      <c r="RKN1" s="47"/>
      <c r="RKO1" s="47"/>
      <c r="RKP1" s="47"/>
      <c r="RKQ1" s="47"/>
      <c r="RKR1" s="47"/>
      <c r="RKS1" s="47"/>
      <c r="RKT1" s="47"/>
      <c r="RKU1" s="47"/>
      <c r="RKV1" s="47"/>
      <c r="RKW1" s="47"/>
      <c r="RKX1" s="47"/>
      <c r="RKY1" s="47"/>
      <c r="RKZ1" s="47"/>
      <c r="RLA1" s="47"/>
      <c r="RLB1" s="47"/>
      <c r="RLC1" s="47"/>
      <c r="RLD1" s="47"/>
      <c r="RLE1" s="47"/>
      <c r="RLF1" s="47"/>
      <c r="RLG1" s="47"/>
      <c r="RLH1" s="47"/>
      <c r="RLI1" s="47"/>
      <c r="RLJ1" s="47"/>
      <c r="RLK1" s="47"/>
      <c r="RLL1" s="47"/>
      <c r="RLM1" s="47"/>
      <c r="RLN1" s="47"/>
      <c r="RLO1" s="47"/>
      <c r="RLP1" s="47"/>
      <c r="RLQ1" s="47"/>
      <c r="RLR1" s="47"/>
      <c r="RLS1" s="47"/>
      <c r="RLT1" s="47"/>
      <c r="RLU1" s="47"/>
      <c r="RLV1" s="47"/>
      <c r="RLW1" s="47"/>
      <c r="RLX1" s="47"/>
      <c r="RLY1" s="47"/>
      <c r="RLZ1" s="47"/>
      <c r="RMA1" s="47"/>
      <c r="RMB1" s="47"/>
      <c r="RMC1" s="47"/>
      <c r="RMD1" s="47"/>
      <c r="RME1" s="47"/>
      <c r="RMF1" s="47"/>
      <c r="RMG1" s="47"/>
      <c r="RMH1" s="47"/>
      <c r="RMI1" s="47"/>
      <c r="RMJ1" s="47"/>
      <c r="RMK1" s="47"/>
      <c r="RML1" s="47"/>
      <c r="RMM1" s="47"/>
      <c r="RMN1" s="47"/>
      <c r="RMO1" s="47"/>
      <c r="RMP1" s="47"/>
      <c r="RMQ1" s="47"/>
      <c r="RMR1" s="47"/>
      <c r="RMS1" s="47"/>
      <c r="RMT1" s="47"/>
      <c r="RMU1" s="47"/>
      <c r="RMV1" s="47"/>
      <c r="RMW1" s="47"/>
      <c r="RMX1" s="47"/>
      <c r="RMY1" s="47"/>
      <c r="RMZ1" s="47"/>
      <c r="RNA1" s="47"/>
      <c r="RNB1" s="47"/>
      <c r="RNC1" s="47"/>
      <c r="RND1" s="47"/>
      <c r="RNE1" s="47"/>
      <c r="RNF1" s="47"/>
      <c r="RNG1" s="47"/>
      <c r="RNH1" s="47"/>
      <c r="RNI1" s="47"/>
      <c r="RNJ1" s="47"/>
      <c r="RNK1" s="47"/>
      <c r="RNL1" s="47"/>
      <c r="RNM1" s="47"/>
      <c r="RNN1" s="47"/>
      <c r="RNO1" s="47"/>
      <c r="RNP1" s="47"/>
      <c r="RNQ1" s="47"/>
      <c r="RNR1" s="47"/>
      <c r="RNS1" s="47"/>
      <c r="RNT1" s="47"/>
      <c r="RNU1" s="47"/>
      <c r="RNV1" s="47"/>
      <c r="RNW1" s="47"/>
      <c r="RNX1" s="47"/>
      <c r="RNY1" s="47"/>
      <c r="RNZ1" s="47"/>
      <c r="ROA1" s="47"/>
      <c r="ROB1" s="47"/>
      <c r="ROC1" s="47"/>
      <c r="ROD1" s="47"/>
      <c r="ROE1" s="47"/>
      <c r="ROF1" s="47"/>
      <c r="ROG1" s="47"/>
      <c r="ROH1" s="47"/>
      <c r="ROI1" s="47"/>
      <c r="ROJ1" s="47"/>
      <c r="ROK1" s="47"/>
      <c r="ROL1" s="47"/>
      <c r="ROM1" s="47"/>
      <c r="RON1" s="47"/>
      <c r="ROO1" s="47"/>
      <c r="ROP1" s="47"/>
      <c r="ROQ1" s="47"/>
      <c r="ROR1" s="47"/>
      <c r="ROS1" s="47"/>
      <c r="ROT1" s="47"/>
      <c r="ROU1" s="47"/>
      <c r="ROV1" s="47"/>
      <c r="ROW1" s="47"/>
      <c r="ROX1" s="47"/>
      <c r="ROY1" s="47"/>
      <c r="ROZ1" s="47"/>
      <c r="RPA1" s="47"/>
      <c r="RPB1" s="47"/>
      <c r="RPC1" s="47"/>
      <c r="RPD1" s="47"/>
      <c r="RPE1" s="47"/>
      <c r="RPF1" s="47"/>
      <c r="RPG1" s="47"/>
      <c r="RPH1" s="47"/>
      <c r="RPI1" s="47"/>
      <c r="RPJ1" s="47"/>
      <c r="RPK1" s="47"/>
      <c r="RPL1" s="47"/>
      <c r="RPM1" s="47"/>
      <c r="RPN1" s="47"/>
      <c r="RPO1" s="47"/>
      <c r="RPP1" s="47"/>
      <c r="RPQ1" s="47"/>
      <c r="RPR1" s="47"/>
      <c r="RPS1" s="47"/>
      <c r="RPT1" s="47"/>
      <c r="RPU1" s="47"/>
      <c r="RPV1" s="47"/>
      <c r="RPW1" s="47"/>
      <c r="RPX1" s="47"/>
      <c r="RPY1" s="47"/>
      <c r="RPZ1" s="47"/>
      <c r="RQA1" s="47"/>
      <c r="RQB1" s="47"/>
      <c r="RQC1" s="47"/>
      <c r="RQD1" s="47"/>
      <c r="RQE1" s="47"/>
      <c r="RQF1" s="47"/>
      <c r="RQG1" s="47"/>
      <c r="RQH1" s="47"/>
      <c r="RQI1" s="47"/>
      <c r="RQJ1" s="47"/>
      <c r="RQK1" s="47"/>
      <c r="RQL1" s="47"/>
      <c r="RQM1" s="47"/>
      <c r="RQN1" s="47"/>
      <c r="RQO1" s="47"/>
      <c r="RQP1" s="47"/>
      <c r="RQQ1" s="47"/>
      <c r="RQR1" s="47"/>
      <c r="RQS1" s="47"/>
      <c r="RQT1" s="47"/>
      <c r="RQU1" s="47"/>
      <c r="RQV1" s="47"/>
      <c r="RQW1" s="47"/>
      <c r="RQX1" s="47"/>
      <c r="RQY1" s="47"/>
      <c r="RQZ1" s="47"/>
      <c r="RRA1" s="47"/>
      <c r="RRB1" s="47"/>
      <c r="RRC1" s="47"/>
      <c r="RRD1" s="47"/>
      <c r="RRE1" s="47"/>
      <c r="RRF1" s="47"/>
      <c r="RRG1" s="47"/>
      <c r="RRH1" s="47"/>
      <c r="RRI1" s="47"/>
      <c r="RRJ1" s="47"/>
      <c r="RRK1" s="47"/>
      <c r="RRL1" s="47"/>
      <c r="RRM1" s="47"/>
      <c r="RRN1" s="47"/>
      <c r="RRO1" s="47"/>
      <c r="RRP1" s="47"/>
      <c r="RRQ1" s="47"/>
      <c r="RRR1" s="47"/>
      <c r="RRS1" s="47"/>
      <c r="RRT1" s="47"/>
      <c r="RRU1" s="47"/>
      <c r="RRV1" s="47"/>
      <c r="RRW1" s="47"/>
      <c r="RRX1" s="47"/>
      <c r="RRY1" s="47"/>
      <c r="RRZ1" s="47"/>
      <c r="RSA1" s="47"/>
      <c r="RSB1" s="47"/>
      <c r="RSC1" s="47"/>
      <c r="RSD1" s="47"/>
      <c r="RSE1" s="47"/>
      <c r="RSF1" s="47"/>
      <c r="RSG1" s="47"/>
      <c r="RSH1" s="47"/>
      <c r="RSI1" s="47"/>
      <c r="RSJ1" s="47"/>
      <c r="RSK1" s="47"/>
      <c r="RSL1" s="47"/>
      <c r="RSM1" s="47"/>
      <c r="RSN1" s="47"/>
      <c r="RSO1" s="47"/>
      <c r="RSP1" s="47"/>
      <c r="RSQ1" s="47"/>
      <c r="RSR1" s="47"/>
      <c r="RSS1" s="47"/>
      <c r="RST1" s="47"/>
      <c r="RSU1" s="47"/>
      <c r="RSV1" s="47"/>
      <c r="RSW1" s="47"/>
      <c r="RSX1" s="47"/>
      <c r="RSY1" s="47"/>
      <c r="RSZ1" s="47"/>
      <c r="RTA1" s="47"/>
      <c r="RTB1" s="47"/>
      <c r="RTC1" s="47"/>
      <c r="RTD1" s="47"/>
      <c r="RTE1" s="47"/>
      <c r="RTF1" s="47"/>
      <c r="RTG1" s="47"/>
      <c r="RTH1" s="47"/>
      <c r="RTI1" s="47"/>
      <c r="RTJ1" s="47"/>
      <c r="RTK1" s="47"/>
      <c r="RTL1" s="47"/>
      <c r="RTM1" s="47"/>
      <c r="RTN1" s="47"/>
      <c r="RTO1" s="47"/>
      <c r="RTP1" s="47"/>
      <c r="RTQ1" s="47"/>
      <c r="RTR1" s="47"/>
      <c r="RTS1" s="47"/>
      <c r="RTT1" s="47"/>
      <c r="RTU1" s="47"/>
      <c r="RTV1" s="47"/>
      <c r="RTW1" s="47"/>
      <c r="RTX1" s="47"/>
      <c r="RTY1" s="47"/>
      <c r="RTZ1" s="47"/>
      <c r="RUA1" s="47"/>
      <c r="RUB1" s="47"/>
      <c r="RUC1" s="47"/>
      <c r="RUD1" s="47"/>
      <c r="RUE1" s="47"/>
      <c r="RUF1" s="47"/>
      <c r="RUG1" s="47"/>
      <c r="RUH1" s="47"/>
      <c r="RUI1" s="47"/>
      <c r="RUJ1" s="47"/>
      <c r="RUK1" s="47"/>
      <c r="RUL1" s="47"/>
      <c r="RUM1" s="47"/>
      <c r="RUN1" s="47"/>
      <c r="RUO1" s="47"/>
      <c r="RUP1" s="47"/>
      <c r="RUQ1" s="47"/>
      <c r="RUR1" s="47"/>
      <c r="RUS1" s="47"/>
      <c r="RUT1" s="47"/>
      <c r="RUU1" s="47"/>
      <c r="RUV1" s="47"/>
      <c r="RUW1" s="47"/>
      <c r="RUX1" s="47"/>
      <c r="RUY1" s="47"/>
      <c r="RUZ1" s="47"/>
      <c r="RVA1" s="47"/>
      <c r="RVB1" s="47"/>
      <c r="RVC1" s="47"/>
      <c r="RVD1" s="47"/>
      <c r="RVE1" s="47"/>
      <c r="RVF1" s="47"/>
      <c r="RVG1" s="47"/>
      <c r="RVH1" s="47"/>
      <c r="RVI1" s="47"/>
      <c r="RVJ1" s="47"/>
      <c r="RVK1" s="47"/>
      <c r="RVL1" s="47"/>
      <c r="RVM1" s="47"/>
      <c r="RVN1" s="47"/>
      <c r="RVO1" s="47"/>
      <c r="RVP1" s="47"/>
      <c r="RVQ1" s="47"/>
      <c r="RVR1" s="47"/>
      <c r="RVS1" s="47"/>
      <c r="RVT1" s="47"/>
      <c r="RVU1" s="47"/>
      <c r="RVV1" s="47"/>
      <c r="RVW1" s="47"/>
      <c r="RVX1" s="47"/>
      <c r="RVY1" s="47"/>
      <c r="RVZ1" s="47"/>
      <c r="RWA1" s="47"/>
      <c r="RWB1" s="47"/>
      <c r="RWC1" s="47"/>
      <c r="RWD1" s="47"/>
      <c r="RWE1" s="47"/>
      <c r="RWF1" s="47"/>
      <c r="RWG1" s="47"/>
      <c r="RWH1" s="47"/>
      <c r="RWI1" s="47"/>
      <c r="RWJ1" s="47"/>
      <c r="RWK1" s="47"/>
      <c r="RWL1" s="47"/>
      <c r="RWM1" s="47"/>
      <c r="RWN1" s="47"/>
      <c r="RWO1" s="47"/>
      <c r="RWP1" s="47"/>
      <c r="RWQ1" s="47"/>
      <c r="RWR1" s="47"/>
      <c r="RWS1" s="47"/>
      <c r="RWT1" s="47"/>
      <c r="RWU1" s="47"/>
      <c r="RWV1" s="47"/>
      <c r="RWW1" s="47"/>
      <c r="RWX1" s="47"/>
      <c r="RWY1" s="47"/>
      <c r="RWZ1" s="47"/>
      <c r="RXA1" s="47"/>
      <c r="RXB1" s="47"/>
      <c r="RXC1" s="47"/>
      <c r="RXD1" s="47"/>
      <c r="RXE1" s="47"/>
      <c r="RXF1" s="47"/>
      <c r="RXG1" s="47"/>
      <c r="RXH1" s="47"/>
      <c r="RXI1" s="47"/>
      <c r="RXJ1" s="47"/>
      <c r="RXK1" s="47"/>
      <c r="RXL1" s="47"/>
      <c r="RXM1" s="47"/>
      <c r="RXN1" s="47"/>
      <c r="RXO1" s="47"/>
      <c r="RXP1" s="47"/>
      <c r="RXQ1" s="47"/>
      <c r="RXR1" s="47"/>
      <c r="RXS1" s="47"/>
      <c r="RXT1" s="47"/>
      <c r="RXU1" s="47"/>
      <c r="RXV1" s="47"/>
      <c r="RXW1" s="47"/>
      <c r="RXX1" s="47"/>
      <c r="RXY1" s="47"/>
      <c r="RXZ1" s="47"/>
      <c r="RYA1" s="47"/>
      <c r="RYB1" s="47"/>
      <c r="RYC1" s="47"/>
      <c r="RYD1" s="47"/>
      <c r="RYE1" s="47"/>
      <c r="RYF1" s="47"/>
      <c r="RYG1" s="47"/>
      <c r="RYH1" s="47"/>
      <c r="RYI1" s="47"/>
      <c r="RYJ1" s="47"/>
      <c r="RYK1" s="47"/>
      <c r="RYL1" s="47"/>
      <c r="RYM1" s="47"/>
      <c r="RYN1" s="47"/>
      <c r="RYO1" s="47"/>
      <c r="RYP1" s="47"/>
      <c r="RYQ1" s="47"/>
      <c r="RYR1" s="47"/>
      <c r="RYS1" s="47"/>
      <c r="RYT1" s="47"/>
      <c r="RYU1" s="47"/>
      <c r="RYV1" s="47"/>
      <c r="RYW1" s="47"/>
      <c r="RYX1" s="47"/>
      <c r="RYY1" s="47"/>
      <c r="RYZ1" s="47"/>
      <c r="RZA1" s="47"/>
      <c r="RZB1" s="47"/>
      <c r="RZC1" s="47"/>
      <c r="RZD1" s="47"/>
      <c r="RZE1" s="47"/>
      <c r="RZF1" s="47"/>
      <c r="RZG1" s="47"/>
      <c r="RZH1" s="47"/>
      <c r="RZI1" s="47"/>
      <c r="RZJ1" s="47"/>
      <c r="RZK1" s="47"/>
      <c r="RZL1" s="47"/>
      <c r="RZM1" s="47"/>
      <c r="RZN1" s="47"/>
      <c r="RZO1" s="47"/>
      <c r="RZP1" s="47"/>
      <c r="RZQ1" s="47"/>
      <c r="RZR1" s="47"/>
      <c r="RZS1" s="47"/>
      <c r="RZT1" s="47"/>
      <c r="RZU1" s="47"/>
      <c r="RZV1" s="47"/>
      <c r="RZW1" s="47"/>
      <c r="RZX1" s="47"/>
      <c r="RZY1" s="47"/>
      <c r="RZZ1" s="47"/>
      <c r="SAA1" s="47"/>
      <c r="SAB1" s="47"/>
      <c r="SAC1" s="47"/>
      <c r="SAD1" s="47"/>
      <c r="SAE1" s="47"/>
      <c r="SAF1" s="47"/>
      <c r="SAG1" s="47"/>
      <c r="SAH1" s="47"/>
      <c r="SAI1" s="47"/>
      <c r="SAJ1" s="47"/>
      <c r="SAK1" s="47"/>
      <c r="SAL1" s="47"/>
      <c r="SAM1" s="47"/>
      <c r="SAN1" s="47"/>
      <c r="SAO1" s="47"/>
      <c r="SAP1" s="47"/>
      <c r="SAQ1" s="47"/>
      <c r="SAR1" s="47"/>
      <c r="SAS1" s="47"/>
      <c r="SAT1" s="47"/>
      <c r="SAU1" s="47"/>
      <c r="SAV1" s="47"/>
      <c r="SAW1" s="47"/>
      <c r="SAX1" s="47"/>
      <c r="SAY1" s="47"/>
      <c r="SAZ1" s="47"/>
      <c r="SBA1" s="47"/>
      <c r="SBB1" s="47"/>
      <c r="SBC1" s="47"/>
      <c r="SBD1" s="47"/>
      <c r="SBE1" s="47"/>
      <c r="SBF1" s="47"/>
      <c r="SBG1" s="47"/>
      <c r="SBH1" s="47"/>
      <c r="SBI1" s="47"/>
      <c r="SBJ1" s="47"/>
      <c r="SBK1" s="47"/>
      <c r="SBL1" s="47"/>
      <c r="SBM1" s="47"/>
      <c r="SBN1" s="47"/>
      <c r="SBO1" s="47"/>
      <c r="SBP1" s="47"/>
      <c r="SBQ1" s="47"/>
      <c r="SBR1" s="47"/>
      <c r="SBS1" s="47"/>
      <c r="SBT1" s="47"/>
      <c r="SBU1" s="47"/>
      <c r="SBV1" s="47"/>
      <c r="SBW1" s="47"/>
      <c r="SBX1" s="47"/>
      <c r="SBY1" s="47"/>
      <c r="SBZ1" s="47"/>
      <c r="SCA1" s="47"/>
      <c r="SCB1" s="47"/>
      <c r="SCC1" s="47"/>
      <c r="SCD1" s="47"/>
      <c r="SCE1" s="47"/>
      <c r="SCF1" s="47"/>
      <c r="SCG1" s="47"/>
      <c r="SCH1" s="47"/>
      <c r="SCI1" s="47"/>
      <c r="SCJ1" s="47"/>
      <c r="SCK1" s="47"/>
      <c r="SCL1" s="47"/>
      <c r="SCM1" s="47"/>
      <c r="SCN1" s="47"/>
      <c r="SCO1" s="47"/>
      <c r="SCP1" s="47"/>
      <c r="SCQ1" s="47"/>
      <c r="SCR1" s="47"/>
      <c r="SCS1" s="47"/>
      <c r="SCT1" s="47"/>
      <c r="SCU1" s="47"/>
      <c r="SCV1" s="47"/>
      <c r="SCW1" s="47"/>
      <c r="SCX1" s="47"/>
      <c r="SCY1" s="47"/>
      <c r="SCZ1" s="47"/>
      <c r="SDA1" s="47"/>
      <c r="SDB1" s="47"/>
      <c r="SDC1" s="47"/>
      <c r="SDD1" s="47"/>
      <c r="SDE1" s="47"/>
      <c r="SDF1" s="47"/>
      <c r="SDG1" s="47"/>
      <c r="SDH1" s="47"/>
      <c r="SDI1" s="47"/>
      <c r="SDJ1" s="47"/>
      <c r="SDK1" s="47"/>
      <c r="SDL1" s="47"/>
      <c r="SDM1" s="47"/>
      <c r="SDN1" s="47"/>
      <c r="SDO1" s="47"/>
      <c r="SDP1" s="47"/>
      <c r="SDQ1" s="47"/>
      <c r="SDR1" s="47"/>
      <c r="SDS1" s="47"/>
      <c r="SDT1" s="47"/>
      <c r="SDU1" s="47"/>
      <c r="SDV1" s="47"/>
      <c r="SDW1" s="47"/>
      <c r="SDX1" s="47"/>
      <c r="SDY1" s="47"/>
      <c r="SDZ1" s="47"/>
      <c r="SEA1" s="47"/>
      <c r="SEB1" s="47"/>
      <c r="SEC1" s="47"/>
      <c r="SED1" s="47"/>
      <c r="SEE1" s="47"/>
      <c r="SEF1" s="47"/>
      <c r="SEG1" s="47"/>
      <c r="SEH1" s="47"/>
      <c r="SEI1" s="47"/>
      <c r="SEJ1" s="47"/>
      <c r="SEK1" s="47"/>
      <c r="SEL1" s="47"/>
      <c r="SEM1" s="47"/>
      <c r="SEN1" s="47"/>
      <c r="SEO1" s="47"/>
      <c r="SEP1" s="47"/>
      <c r="SEQ1" s="47"/>
      <c r="SER1" s="47"/>
      <c r="SES1" s="47"/>
      <c r="SET1" s="47"/>
      <c r="SEU1" s="47"/>
      <c r="SEV1" s="47"/>
      <c r="SEW1" s="47"/>
      <c r="SEX1" s="47"/>
      <c r="SEY1" s="47"/>
      <c r="SEZ1" s="47"/>
      <c r="SFA1" s="47"/>
      <c r="SFB1" s="47"/>
      <c r="SFC1" s="47"/>
      <c r="SFD1" s="47"/>
      <c r="SFE1" s="47"/>
      <c r="SFF1" s="47"/>
      <c r="SFG1" s="47"/>
      <c r="SFH1" s="47"/>
      <c r="SFI1" s="47"/>
      <c r="SFJ1" s="47"/>
      <c r="SFK1" s="47"/>
      <c r="SFL1" s="47"/>
      <c r="SFM1" s="47"/>
      <c r="SFN1" s="47"/>
      <c r="SFO1" s="47"/>
      <c r="SFP1" s="47"/>
      <c r="SFQ1" s="47"/>
      <c r="SFR1" s="47"/>
      <c r="SFS1" s="47"/>
      <c r="SFT1" s="47"/>
      <c r="SFU1" s="47"/>
      <c r="SFV1" s="47"/>
      <c r="SFW1" s="47"/>
      <c r="SFX1" s="47"/>
      <c r="SFY1" s="47"/>
      <c r="SFZ1" s="47"/>
      <c r="SGA1" s="47"/>
      <c r="SGB1" s="47"/>
      <c r="SGC1" s="47"/>
      <c r="SGD1" s="47"/>
      <c r="SGE1" s="47"/>
      <c r="SGF1" s="47"/>
      <c r="SGG1" s="47"/>
      <c r="SGH1" s="47"/>
      <c r="SGI1" s="47"/>
      <c r="SGJ1" s="47"/>
      <c r="SGK1" s="47"/>
      <c r="SGL1" s="47"/>
      <c r="SGM1" s="47"/>
      <c r="SGN1" s="47"/>
      <c r="SGO1" s="47"/>
      <c r="SGP1" s="47"/>
      <c r="SGQ1" s="47"/>
      <c r="SGR1" s="47"/>
      <c r="SGS1" s="47"/>
      <c r="SGT1" s="47"/>
      <c r="SGU1" s="47"/>
      <c r="SGV1" s="47"/>
      <c r="SGW1" s="47"/>
      <c r="SGX1" s="47"/>
      <c r="SGY1" s="47"/>
      <c r="SGZ1" s="47"/>
      <c r="SHA1" s="47"/>
      <c r="SHB1" s="47"/>
      <c r="SHC1" s="47"/>
      <c r="SHD1" s="47"/>
      <c r="SHE1" s="47"/>
      <c r="SHF1" s="47"/>
      <c r="SHG1" s="47"/>
      <c r="SHH1" s="47"/>
      <c r="SHI1" s="47"/>
      <c r="SHJ1" s="47"/>
      <c r="SHK1" s="47"/>
      <c r="SHL1" s="47"/>
      <c r="SHM1" s="47"/>
      <c r="SHN1" s="47"/>
      <c r="SHO1" s="47"/>
      <c r="SHP1" s="47"/>
      <c r="SHQ1" s="47"/>
      <c r="SHR1" s="47"/>
      <c r="SHS1" s="47"/>
      <c r="SHT1" s="47"/>
      <c r="SHU1" s="47"/>
      <c r="SHV1" s="47"/>
      <c r="SHW1" s="47"/>
      <c r="SHX1" s="47"/>
      <c r="SHY1" s="47"/>
      <c r="SHZ1" s="47"/>
      <c r="SIA1" s="47"/>
      <c r="SIB1" s="47"/>
      <c r="SIC1" s="47"/>
      <c r="SID1" s="47"/>
      <c r="SIE1" s="47"/>
      <c r="SIF1" s="47"/>
      <c r="SIG1" s="47"/>
      <c r="SIH1" s="47"/>
      <c r="SII1" s="47"/>
      <c r="SIJ1" s="47"/>
      <c r="SIK1" s="47"/>
      <c r="SIL1" s="47"/>
      <c r="SIM1" s="47"/>
      <c r="SIN1" s="47"/>
      <c r="SIO1" s="47"/>
      <c r="SIP1" s="47"/>
      <c r="SIQ1" s="47"/>
      <c r="SIR1" s="47"/>
      <c r="SIS1" s="47"/>
      <c r="SIT1" s="47"/>
      <c r="SIU1" s="47"/>
      <c r="SIV1" s="47"/>
      <c r="SIW1" s="47"/>
      <c r="SIX1" s="47"/>
      <c r="SIY1" s="47"/>
      <c r="SIZ1" s="47"/>
      <c r="SJA1" s="47"/>
      <c r="SJB1" s="47"/>
      <c r="SJC1" s="47"/>
      <c r="SJD1" s="47"/>
      <c r="SJE1" s="47"/>
      <c r="SJF1" s="47"/>
      <c r="SJG1" s="47"/>
      <c r="SJH1" s="47"/>
      <c r="SJI1" s="47"/>
      <c r="SJJ1" s="47"/>
      <c r="SJK1" s="47"/>
      <c r="SJL1" s="47"/>
      <c r="SJM1" s="47"/>
      <c r="SJN1" s="47"/>
      <c r="SJO1" s="47"/>
      <c r="SJP1" s="47"/>
      <c r="SJQ1" s="47"/>
      <c r="SJR1" s="47"/>
      <c r="SJS1" s="47"/>
      <c r="SJT1" s="47"/>
      <c r="SJU1" s="47"/>
      <c r="SJV1" s="47"/>
      <c r="SJW1" s="47"/>
      <c r="SJX1" s="47"/>
      <c r="SJY1" s="47"/>
      <c r="SJZ1" s="47"/>
      <c r="SKA1" s="47"/>
      <c r="SKB1" s="47"/>
      <c r="SKC1" s="47"/>
      <c r="SKD1" s="47"/>
      <c r="SKE1" s="47"/>
      <c r="SKF1" s="47"/>
      <c r="SKG1" s="47"/>
      <c r="SKH1" s="47"/>
      <c r="SKI1" s="47"/>
      <c r="SKJ1" s="47"/>
      <c r="SKK1" s="47"/>
      <c r="SKL1" s="47"/>
      <c r="SKM1" s="47"/>
      <c r="SKN1" s="47"/>
      <c r="SKO1" s="47"/>
      <c r="SKP1" s="47"/>
      <c r="SKQ1" s="47"/>
      <c r="SKR1" s="47"/>
      <c r="SKS1" s="47"/>
      <c r="SKT1" s="47"/>
      <c r="SKU1" s="47"/>
      <c r="SKV1" s="47"/>
      <c r="SKW1" s="47"/>
      <c r="SKX1" s="47"/>
      <c r="SKY1" s="47"/>
      <c r="SKZ1" s="47"/>
      <c r="SLA1" s="47"/>
      <c r="SLB1" s="47"/>
      <c r="SLC1" s="47"/>
      <c r="SLD1" s="47"/>
      <c r="SLE1" s="47"/>
      <c r="SLF1" s="47"/>
      <c r="SLG1" s="47"/>
      <c r="SLH1" s="47"/>
      <c r="SLI1" s="47"/>
      <c r="SLJ1" s="47"/>
      <c r="SLK1" s="47"/>
      <c r="SLL1" s="47"/>
      <c r="SLM1" s="47"/>
      <c r="SLN1" s="47"/>
      <c r="SLO1" s="47"/>
      <c r="SLP1" s="47"/>
      <c r="SLQ1" s="47"/>
      <c r="SLR1" s="47"/>
      <c r="SLS1" s="47"/>
      <c r="SLT1" s="47"/>
      <c r="SLU1" s="47"/>
      <c r="SLV1" s="47"/>
      <c r="SLW1" s="47"/>
      <c r="SLX1" s="47"/>
      <c r="SLY1" s="47"/>
      <c r="SLZ1" s="47"/>
      <c r="SMA1" s="47"/>
      <c r="SMB1" s="47"/>
      <c r="SMC1" s="47"/>
      <c r="SMD1" s="47"/>
      <c r="SME1" s="47"/>
      <c r="SMF1" s="47"/>
      <c r="SMG1" s="47"/>
      <c r="SMH1" s="47"/>
      <c r="SMI1" s="47"/>
      <c r="SMJ1" s="47"/>
      <c r="SMK1" s="47"/>
      <c r="SML1" s="47"/>
      <c r="SMM1" s="47"/>
      <c r="SMN1" s="47"/>
      <c r="SMO1" s="47"/>
      <c r="SMP1" s="47"/>
      <c r="SMQ1" s="47"/>
      <c r="SMR1" s="47"/>
      <c r="SMS1" s="47"/>
      <c r="SMT1" s="47"/>
      <c r="SMU1" s="47"/>
      <c r="SMV1" s="47"/>
      <c r="SMW1" s="47"/>
      <c r="SMX1" s="47"/>
      <c r="SMY1" s="47"/>
      <c r="SMZ1" s="47"/>
      <c r="SNA1" s="47"/>
      <c r="SNB1" s="47"/>
      <c r="SNC1" s="47"/>
      <c r="SND1" s="47"/>
      <c r="SNE1" s="47"/>
      <c r="SNF1" s="47"/>
      <c r="SNG1" s="47"/>
      <c r="SNH1" s="47"/>
      <c r="SNI1" s="47"/>
      <c r="SNJ1" s="47"/>
      <c r="SNK1" s="47"/>
      <c r="SNL1" s="47"/>
      <c r="SNM1" s="47"/>
      <c r="SNN1" s="47"/>
      <c r="SNO1" s="47"/>
      <c r="SNP1" s="47"/>
      <c r="SNQ1" s="47"/>
      <c r="SNR1" s="47"/>
      <c r="SNS1" s="47"/>
      <c r="SNT1" s="47"/>
      <c r="SNU1" s="47"/>
      <c r="SNV1" s="47"/>
      <c r="SNW1" s="47"/>
      <c r="SNX1" s="47"/>
      <c r="SNY1" s="47"/>
      <c r="SNZ1" s="47"/>
      <c r="SOA1" s="47"/>
      <c r="SOB1" s="47"/>
      <c r="SOC1" s="47"/>
      <c r="SOD1" s="47"/>
      <c r="SOE1" s="47"/>
      <c r="SOF1" s="47"/>
      <c r="SOG1" s="47"/>
      <c r="SOH1" s="47"/>
      <c r="SOI1" s="47"/>
      <c r="SOJ1" s="47"/>
      <c r="SOK1" s="47"/>
      <c r="SOL1" s="47"/>
      <c r="SOM1" s="47"/>
      <c r="SON1" s="47"/>
      <c r="SOO1" s="47"/>
      <c r="SOP1" s="47"/>
      <c r="SOQ1" s="47"/>
      <c r="SOR1" s="47"/>
      <c r="SOS1" s="47"/>
      <c r="SOT1" s="47"/>
      <c r="SOU1" s="47"/>
      <c r="SOV1" s="47"/>
      <c r="SOW1" s="47"/>
      <c r="SOX1" s="47"/>
      <c r="SOY1" s="47"/>
      <c r="SOZ1" s="47"/>
      <c r="SPA1" s="47"/>
      <c r="SPB1" s="47"/>
      <c r="SPC1" s="47"/>
      <c r="SPD1" s="47"/>
      <c r="SPE1" s="47"/>
      <c r="SPF1" s="47"/>
      <c r="SPG1" s="47"/>
      <c r="SPH1" s="47"/>
      <c r="SPI1" s="47"/>
      <c r="SPJ1" s="47"/>
      <c r="SPK1" s="47"/>
      <c r="SPL1" s="47"/>
      <c r="SPM1" s="47"/>
      <c r="SPN1" s="47"/>
      <c r="SPO1" s="47"/>
      <c r="SPP1" s="47"/>
      <c r="SPQ1" s="47"/>
      <c r="SPR1" s="47"/>
      <c r="SPS1" s="47"/>
      <c r="SPT1" s="47"/>
      <c r="SPU1" s="47"/>
      <c r="SPV1" s="47"/>
      <c r="SPW1" s="47"/>
      <c r="SPX1" s="47"/>
      <c r="SPY1" s="47"/>
      <c r="SPZ1" s="47"/>
      <c r="SQA1" s="47"/>
      <c r="SQB1" s="47"/>
      <c r="SQC1" s="47"/>
      <c r="SQD1" s="47"/>
      <c r="SQE1" s="47"/>
      <c r="SQF1" s="47"/>
      <c r="SQG1" s="47"/>
      <c r="SQH1" s="47"/>
      <c r="SQI1" s="47"/>
      <c r="SQJ1" s="47"/>
      <c r="SQK1" s="47"/>
      <c r="SQL1" s="47"/>
      <c r="SQM1" s="47"/>
      <c r="SQN1" s="47"/>
      <c r="SQO1" s="47"/>
      <c r="SQP1" s="47"/>
      <c r="SQQ1" s="47"/>
      <c r="SQR1" s="47"/>
      <c r="SQS1" s="47"/>
      <c r="SQT1" s="47"/>
      <c r="SQU1" s="47"/>
      <c r="SQV1" s="47"/>
      <c r="SQW1" s="47"/>
      <c r="SQX1" s="47"/>
      <c r="SQY1" s="47"/>
      <c r="SQZ1" s="47"/>
      <c r="SRA1" s="47"/>
      <c r="SRB1" s="47"/>
      <c r="SRC1" s="47"/>
      <c r="SRD1" s="47"/>
      <c r="SRE1" s="47"/>
      <c r="SRF1" s="47"/>
      <c r="SRG1" s="47"/>
      <c r="SRH1" s="47"/>
      <c r="SRI1" s="47"/>
      <c r="SRJ1" s="47"/>
      <c r="SRK1" s="47"/>
      <c r="SRL1" s="47"/>
      <c r="SRM1" s="47"/>
      <c r="SRN1" s="47"/>
      <c r="SRO1" s="47"/>
      <c r="SRP1" s="47"/>
      <c r="SRQ1" s="47"/>
      <c r="SRR1" s="47"/>
      <c r="SRS1" s="47"/>
      <c r="SRT1" s="47"/>
      <c r="SRU1" s="47"/>
      <c r="SRV1" s="47"/>
      <c r="SRW1" s="47"/>
      <c r="SRX1" s="47"/>
      <c r="SRY1" s="47"/>
      <c r="SRZ1" s="47"/>
      <c r="SSA1" s="47"/>
      <c r="SSB1" s="47"/>
      <c r="SSC1" s="47"/>
      <c r="SSD1" s="47"/>
      <c r="SSE1" s="47"/>
      <c r="SSF1" s="47"/>
      <c r="SSG1" s="47"/>
      <c r="SSH1" s="47"/>
      <c r="SSI1" s="47"/>
      <c r="SSJ1" s="47"/>
      <c r="SSK1" s="47"/>
      <c r="SSL1" s="47"/>
      <c r="SSM1" s="47"/>
      <c r="SSN1" s="47"/>
      <c r="SSO1" s="47"/>
      <c r="SSP1" s="47"/>
      <c r="SSQ1" s="47"/>
      <c r="SSR1" s="47"/>
      <c r="SSS1" s="47"/>
      <c r="SST1" s="47"/>
      <c r="SSU1" s="47"/>
      <c r="SSV1" s="47"/>
      <c r="SSW1" s="47"/>
      <c r="SSX1" s="47"/>
      <c r="SSY1" s="47"/>
      <c r="SSZ1" s="47"/>
      <c r="STA1" s="47"/>
      <c r="STB1" s="47"/>
      <c r="STC1" s="47"/>
      <c r="STD1" s="47"/>
      <c r="STE1" s="47"/>
      <c r="STF1" s="47"/>
      <c r="STG1" s="47"/>
      <c r="STH1" s="47"/>
      <c r="STI1" s="47"/>
      <c r="STJ1" s="47"/>
      <c r="STK1" s="47"/>
      <c r="STL1" s="47"/>
      <c r="STM1" s="47"/>
      <c r="STN1" s="47"/>
      <c r="STO1" s="47"/>
      <c r="STP1" s="47"/>
      <c r="STQ1" s="47"/>
      <c r="STR1" s="47"/>
      <c r="STS1" s="47"/>
      <c r="STT1" s="47"/>
      <c r="STU1" s="47"/>
      <c r="STV1" s="47"/>
      <c r="STW1" s="47"/>
      <c r="STX1" s="47"/>
      <c r="STY1" s="47"/>
      <c r="STZ1" s="47"/>
      <c r="SUA1" s="47"/>
      <c r="SUB1" s="47"/>
      <c r="SUC1" s="47"/>
      <c r="SUD1" s="47"/>
      <c r="SUE1" s="47"/>
      <c r="SUF1" s="47"/>
      <c r="SUG1" s="47"/>
      <c r="SUH1" s="47"/>
      <c r="SUI1" s="47"/>
      <c r="SUJ1" s="47"/>
      <c r="SUK1" s="47"/>
      <c r="SUL1" s="47"/>
      <c r="SUM1" s="47"/>
      <c r="SUN1" s="47"/>
      <c r="SUO1" s="47"/>
      <c r="SUP1" s="47"/>
      <c r="SUQ1" s="47"/>
      <c r="SUR1" s="47"/>
      <c r="SUS1" s="47"/>
      <c r="SUT1" s="47"/>
      <c r="SUU1" s="47"/>
      <c r="SUV1" s="47"/>
      <c r="SUW1" s="47"/>
      <c r="SUX1" s="47"/>
      <c r="SUY1" s="47"/>
      <c r="SUZ1" s="47"/>
      <c r="SVA1" s="47"/>
      <c r="SVB1" s="47"/>
      <c r="SVC1" s="47"/>
      <c r="SVD1" s="47"/>
      <c r="SVE1" s="47"/>
      <c r="SVF1" s="47"/>
      <c r="SVG1" s="47"/>
      <c r="SVH1" s="47"/>
      <c r="SVI1" s="47"/>
      <c r="SVJ1" s="47"/>
      <c r="SVK1" s="47"/>
      <c r="SVL1" s="47"/>
      <c r="SVM1" s="47"/>
      <c r="SVN1" s="47"/>
      <c r="SVO1" s="47"/>
      <c r="SVP1" s="47"/>
      <c r="SVQ1" s="47"/>
      <c r="SVR1" s="47"/>
      <c r="SVS1" s="47"/>
      <c r="SVT1" s="47"/>
      <c r="SVU1" s="47"/>
      <c r="SVV1" s="47"/>
      <c r="SVW1" s="47"/>
      <c r="SVX1" s="47"/>
      <c r="SVY1" s="47"/>
      <c r="SVZ1" s="47"/>
      <c r="SWA1" s="47"/>
      <c r="SWB1" s="47"/>
      <c r="SWC1" s="47"/>
      <c r="SWD1" s="47"/>
      <c r="SWE1" s="47"/>
      <c r="SWF1" s="47"/>
      <c r="SWG1" s="47"/>
      <c r="SWH1" s="47"/>
      <c r="SWI1" s="47"/>
      <c r="SWJ1" s="47"/>
      <c r="SWK1" s="47"/>
      <c r="SWL1" s="47"/>
      <c r="SWM1" s="47"/>
      <c r="SWN1" s="47"/>
      <c r="SWO1" s="47"/>
      <c r="SWP1" s="47"/>
      <c r="SWQ1" s="47"/>
      <c r="SWR1" s="47"/>
      <c r="SWS1" s="47"/>
      <c r="SWT1" s="47"/>
      <c r="SWU1" s="47"/>
      <c r="SWV1" s="47"/>
      <c r="SWW1" s="47"/>
      <c r="SWX1" s="47"/>
      <c r="SWY1" s="47"/>
      <c r="SWZ1" s="47"/>
      <c r="SXA1" s="47"/>
      <c r="SXB1" s="47"/>
      <c r="SXC1" s="47"/>
      <c r="SXD1" s="47"/>
      <c r="SXE1" s="47"/>
      <c r="SXF1" s="47"/>
      <c r="SXG1" s="47"/>
      <c r="SXH1" s="47"/>
      <c r="SXI1" s="47"/>
      <c r="SXJ1" s="47"/>
      <c r="SXK1" s="47"/>
      <c r="SXL1" s="47"/>
      <c r="SXM1" s="47"/>
      <c r="SXN1" s="47"/>
      <c r="SXO1" s="47"/>
      <c r="SXP1" s="47"/>
      <c r="SXQ1" s="47"/>
      <c r="SXR1" s="47"/>
      <c r="SXS1" s="47"/>
      <c r="SXT1" s="47"/>
      <c r="SXU1" s="47"/>
      <c r="SXV1" s="47"/>
      <c r="SXW1" s="47"/>
      <c r="SXX1" s="47"/>
      <c r="SXY1" s="47"/>
      <c r="SXZ1" s="47"/>
      <c r="SYA1" s="47"/>
      <c r="SYB1" s="47"/>
      <c r="SYC1" s="47"/>
      <c r="SYD1" s="47"/>
      <c r="SYE1" s="47"/>
      <c r="SYF1" s="47"/>
      <c r="SYG1" s="47"/>
      <c r="SYH1" s="47"/>
      <c r="SYI1" s="47"/>
      <c r="SYJ1" s="47"/>
      <c r="SYK1" s="47"/>
      <c r="SYL1" s="47"/>
      <c r="SYM1" s="47"/>
      <c r="SYN1" s="47"/>
      <c r="SYO1" s="47"/>
      <c r="SYP1" s="47"/>
      <c r="SYQ1" s="47"/>
      <c r="SYR1" s="47"/>
      <c r="SYS1" s="47"/>
      <c r="SYT1" s="47"/>
      <c r="SYU1" s="47"/>
      <c r="SYV1" s="47"/>
      <c r="SYW1" s="47"/>
      <c r="SYX1" s="47"/>
      <c r="SYY1" s="47"/>
      <c r="SYZ1" s="47"/>
      <c r="SZA1" s="47"/>
      <c r="SZB1" s="47"/>
      <c r="SZC1" s="47"/>
      <c r="SZD1" s="47"/>
      <c r="SZE1" s="47"/>
      <c r="SZF1" s="47"/>
      <c r="SZG1" s="47"/>
      <c r="SZH1" s="47"/>
      <c r="SZI1" s="47"/>
      <c r="SZJ1" s="47"/>
      <c r="SZK1" s="47"/>
      <c r="SZL1" s="47"/>
      <c r="SZM1" s="47"/>
      <c r="SZN1" s="47"/>
      <c r="SZO1" s="47"/>
      <c r="SZP1" s="47"/>
      <c r="SZQ1" s="47"/>
      <c r="SZR1" s="47"/>
      <c r="SZS1" s="47"/>
      <c r="SZT1" s="47"/>
      <c r="SZU1" s="47"/>
      <c r="SZV1" s="47"/>
      <c r="SZW1" s="47"/>
      <c r="SZX1" s="47"/>
      <c r="SZY1" s="47"/>
      <c r="SZZ1" s="47"/>
      <c r="TAA1" s="47"/>
      <c r="TAB1" s="47"/>
      <c r="TAC1" s="47"/>
      <c r="TAD1" s="47"/>
      <c r="TAE1" s="47"/>
      <c r="TAF1" s="47"/>
      <c r="TAG1" s="47"/>
      <c r="TAH1" s="47"/>
      <c r="TAI1" s="47"/>
      <c r="TAJ1" s="47"/>
      <c r="TAK1" s="47"/>
      <c r="TAL1" s="47"/>
      <c r="TAM1" s="47"/>
      <c r="TAN1" s="47"/>
      <c r="TAO1" s="47"/>
      <c r="TAP1" s="47"/>
      <c r="TAQ1" s="47"/>
      <c r="TAR1" s="47"/>
      <c r="TAS1" s="47"/>
      <c r="TAT1" s="47"/>
      <c r="TAU1" s="47"/>
      <c r="TAV1" s="47"/>
      <c r="TAW1" s="47"/>
      <c r="TAX1" s="47"/>
      <c r="TAY1" s="47"/>
      <c r="TAZ1" s="47"/>
      <c r="TBA1" s="47"/>
      <c r="TBB1" s="47"/>
      <c r="TBC1" s="47"/>
      <c r="TBD1" s="47"/>
      <c r="TBE1" s="47"/>
      <c r="TBF1" s="47"/>
      <c r="TBG1" s="47"/>
      <c r="TBH1" s="47"/>
      <c r="TBI1" s="47"/>
      <c r="TBJ1" s="47"/>
      <c r="TBK1" s="47"/>
      <c r="TBL1" s="47"/>
      <c r="TBM1" s="47"/>
      <c r="TBN1" s="47"/>
      <c r="TBO1" s="47"/>
      <c r="TBP1" s="47"/>
      <c r="TBQ1" s="47"/>
      <c r="TBR1" s="47"/>
      <c r="TBS1" s="47"/>
      <c r="TBT1" s="47"/>
      <c r="TBU1" s="47"/>
      <c r="TBV1" s="47"/>
      <c r="TBW1" s="47"/>
      <c r="TBX1" s="47"/>
      <c r="TBY1" s="47"/>
      <c r="TBZ1" s="47"/>
      <c r="TCA1" s="47"/>
      <c r="TCB1" s="47"/>
      <c r="TCC1" s="47"/>
      <c r="TCD1" s="47"/>
      <c r="TCE1" s="47"/>
      <c r="TCF1" s="47"/>
      <c r="TCG1" s="47"/>
      <c r="TCH1" s="47"/>
      <c r="TCI1" s="47"/>
      <c r="TCJ1" s="47"/>
      <c r="TCK1" s="47"/>
      <c r="TCL1" s="47"/>
      <c r="TCM1" s="47"/>
      <c r="TCN1" s="47"/>
      <c r="TCO1" s="47"/>
      <c r="TCP1" s="47"/>
      <c r="TCQ1" s="47"/>
      <c r="TCR1" s="47"/>
      <c r="TCS1" s="47"/>
      <c r="TCT1" s="47"/>
      <c r="TCU1" s="47"/>
      <c r="TCV1" s="47"/>
      <c r="TCW1" s="47"/>
      <c r="TCX1" s="47"/>
      <c r="TCY1" s="47"/>
      <c r="TCZ1" s="47"/>
      <c r="TDA1" s="47"/>
      <c r="TDB1" s="47"/>
      <c r="TDC1" s="47"/>
      <c r="TDD1" s="47"/>
      <c r="TDE1" s="47"/>
      <c r="TDF1" s="47"/>
      <c r="TDG1" s="47"/>
      <c r="TDH1" s="47"/>
      <c r="TDI1" s="47"/>
      <c r="TDJ1" s="47"/>
      <c r="TDK1" s="47"/>
      <c r="TDL1" s="47"/>
      <c r="TDM1" s="47"/>
      <c r="TDN1" s="47"/>
      <c r="TDO1" s="47"/>
      <c r="TDP1" s="47"/>
      <c r="TDQ1" s="47"/>
      <c r="TDR1" s="47"/>
      <c r="TDS1" s="47"/>
      <c r="TDT1" s="47"/>
      <c r="TDU1" s="47"/>
      <c r="TDV1" s="47"/>
      <c r="TDW1" s="47"/>
      <c r="TDX1" s="47"/>
      <c r="TDY1" s="47"/>
      <c r="TDZ1" s="47"/>
      <c r="TEA1" s="47"/>
      <c r="TEB1" s="47"/>
      <c r="TEC1" s="47"/>
      <c r="TED1" s="47"/>
      <c r="TEE1" s="47"/>
      <c r="TEF1" s="47"/>
      <c r="TEG1" s="47"/>
      <c r="TEH1" s="47"/>
      <c r="TEI1" s="47"/>
      <c r="TEJ1" s="47"/>
      <c r="TEK1" s="47"/>
      <c r="TEL1" s="47"/>
      <c r="TEM1" s="47"/>
      <c r="TEN1" s="47"/>
      <c r="TEO1" s="47"/>
      <c r="TEP1" s="47"/>
      <c r="TEQ1" s="47"/>
      <c r="TER1" s="47"/>
      <c r="TES1" s="47"/>
      <c r="TET1" s="47"/>
      <c r="TEU1" s="47"/>
      <c r="TEV1" s="47"/>
      <c r="TEW1" s="47"/>
      <c r="TEX1" s="47"/>
      <c r="TEY1" s="47"/>
      <c r="TEZ1" s="47"/>
      <c r="TFA1" s="47"/>
      <c r="TFB1" s="47"/>
      <c r="TFC1" s="47"/>
      <c r="TFD1" s="47"/>
      <c r="TFE1" s="47"/>
      <c r="TFF1" s="47"/>
      <c r="TFG1" s="47"/>
      <c r="TFH1" s="47"/>
      <c r="TFI1" s="47"/>
      <c r="TFJ1" s="47"/>
      <c r="TFK1" s="47"/>
      <c r="TFL1" s="47"/>
      <c r="TFM1" s="47"/>
      <c r="TFN1" s="47"/>
      <c r="TFO1" s="47"/>
      <c r="TFP1" s="47"/>
      <c r="TFQ1" s="47"/>
      <c r="TFR1" s="47"/>
      <c r="TFS1" s="47"/>
      <c r="TFT1" s="47"/>
      <c r="TFU1" s="47"/>
      <c r="TFV1" s="47"/>
      <c r="TFW1" s="47"/>
      <c r="TFX1" s="47"/>
      <c r="TFY1" s="47"/>
      <c r="TFZ1" s="47"/>
      <c r="TGA1" s="47"/>
      <c r="TGB1" s="47"/>
      <c r="TGC1" s="47"/>
      <c r="TGD1" s="47"/>
      <c r="TGE1" s="47"/>
      <c r="TGF1" s="47"/>
      <c r="TGG1" s="47"/>
      <c r="TGH1" s="47"/>
      <c r="TGI1" s="47"/>
      <c r="TGJ1" s="47"/>
      <c r="TGK1" s="47"/>
      <c r="TGL1" s="47"/>
      <c r="TGM1" s="47"/>
      <c r="TGN1" s="47"/>
      <c r="TGO1" s="47"/>
      <c r="TGP1" s="47"/>
      <c r="TGQ1" s="47"/>
      <c r="TGR1" s="47"/>
      <c r="TGS1" s="47"/>
      <c r="TGT1" s="47"/>
      <c r="TGU1" s="47"/>
      <c r="TGV1" s="47"/>
      <c r="TGW1" s="47"/>
      <c r="TGX1" s="47"/>
      <c r="TGY1" s="47"/>
      <c r="TGZ1" s="47"/>
      <c r="THA1" s="47"/>
      <c r="THB1" s="47"/>
      <c r="THC1" s="47"/>
      <c r="THD1" s="47"/>
      <c r="THE1" s="47"/>
      <c r="THF1" s="47"/>
      <c r="THG1" s="47"/>
      <c r="THH1" s="47"/>
      <c r="THI1" s="47"/>
      <c r="THJ1" s="47"/>
      <c r="THK1" s="47"/>
      <c r="THL1" s="47"/>
      <c r="THM1" s="47"/>
      <c r="THN1" s="47"/>
      <c r="THO1" s="47"/>
      <c r="THP1" s="47"/>
      <c r="THQ1" s="47"/>
      <c r="THR1" s="47"/>
      <c r="THS1" s="47"/>
      <c r="THT1" s="47"/>
      <c r="THU1" s="47"/>
      <c r="THV1" s="47"/>
      <c r="THW1" s="47"/>
      <c r="THX1" s="47"/>
      <c r="THY1" s="47"/>
      <c r="THZ1" s="47"/>
      <c r="TIA1" s="47"/>
      <c r="TIB1" s="47"/>
      <c r="TIC1" s="47"/>
      <c r="TID1" s="47"/>
      <c r="TIE1" s="47"/>
      <c r="TIF1" s="47"/>
      <c r="TIG1" s="47"/>
      <c r="TIH1" s="47"/>
      <c r="TII1" s="47"/>
      <c r="TIJ1" s="47"/>
      <c r="TIK1" s="47"/>
      <c r="TIL1" s="47"/>
      <c r="TIM1" s="47"/>
      <c r="TIN1" s="47"/>
      <c r="TIO1" s="47"/>
      <c r="TIP1" s="47"/>
      <c r="TIQ1" s="47"/>
      <c r="TIR1" s="47"/>
      <c r="TIS1" s="47"/>
      <c r="TIT1" s="47"/>
      <c r="TIU1" s="47"/>
      <c r="TIV1" s="47"/>
      <c r="TIW1" s="47"/>
      <c r="TIX1" s="47"/>
      <c r="TIY1" s="47"/>
      <c r="TIZ1" s="47"/>
      <c r="TJA1" s="47"/>
      <c r="TJB1" s="47"/>
      <c r="TJC1" s="47"/>
      <c r="TJD1" s="47"/>
      <c r="TJE1" s="47"/>
      <c r="TJF1" s="47"/>
      <c r="TJG1" s="47"/>
      <c r="TJH1" s="47"/>
      <c r="TJI1" s="47"/>
      <c r="TJJ1" s="47"/>
      <c r="TJK1" s="47"/>
      <c r="TJL1" s="47"/>
      <c r="TJM1" s="47"/>
      <c r="TJN1" s="47"/>
      <c r="TJO1" s="47"/>
      <c r="TJP1" s="47"/>
      <c r="TJQ1" s="47"/>
      <c r="TJR1" s="47"/>
      <c r="TJS1" s="47"/>
      <c r="TJT1" s="47"/>
      <c r="TJU1" s="47"/>
      <c r="TJV1" s="47"/>
      <c r="TJW1" s="47"/>
      <c r="TJX1" s="47"/>
      <c r="TJY1" s="47"/>
      <c r="TJZ1" s="47"/>
      <c r="TKA1" s="47"/>
      <c r="TKB1" s="47"/>
      <c r="TKC1" s="47"/>
      <c r="TKD1" s="47"/>
      <c r="TKE1" s="47"/>
      <c r="TKF1" s="47"/>
      <c r="TKG1" s="47"/>
      <c r="TKH1" s="47"/>
      <c r="TKI1" s="47"/>
      <c r="TKJ1" s="47"/>
      <c r="TKK1" s="47"/>
      <c r="TKL1" s="47"/>
      <c r="TKM1" s="47"/>
      <c r="TKN1" s="47"/>
      <c r="TKO1" s="47"/>
      <c r="TKP1" s="47"/>
      <c r="TKQ1" s="47"/>
      <c r="TKR1" s="47"/>
      <c r="TKS1" s="47"/>
      <c r="TKT1" s="47"/>
      <c r="TKU1" s="47"/>
      <c r="TKV1" s="47"/>
      <c r="TKW1" s="47"/>
      <c r="TKX1" s="47"/>
      <c r="TKY1" s="47"/>
      <c r="TKZ1" s="47"/>
      <c r="TLA1" s="47"/>
      <c r="TLB1" s="47"/>
      <c r="TLC1" s="47"/>
      <c r="TLD1" s="47"/>
      <c r="TLE1" s="47"/>
      <c r="TLF1" s="47"/>
      <c r="TLG1" s="47"/>
      <c r="TLH1" s="47"/>
      <c r="TLI1" s="47"/>
      <c r="TLJ1" s="47"/>
      <c r="TLK1" s="47"/>
      <c r="TLL1" s="47"/>
      <c r="TLM1" s="47"/>
      <c r="TLN1" s="47"/>
      <c r="TLO1" s="47"/>
      <c r="TLP1" s="47"/>
      <c r="TLQ1" s="47"/>
      <c r="TLR1" s="47"/>
      <c r="TLS1" s="47"/>
      <c r="TLT1" s="47"/>
      <c r="TLU1" s="47"/>
      <c r="TLV1" s="47"/>
      <c r="TLW1" s="47"/>
      <c r="TLX1" s="47"/>
      <c r="TLY1" s="47"/>
      <c r="TLZ1" s="47"/>
      <c r="TMA1" s="47"/>
      <c r="TMB1" s="47"/>
      <c r="TMC1" s="47"/>
      <c r="TMD1" s="47"/>
      <c r="TME1" s="47"/>
      <c r="TMF1" s="47"/>
      <c r="TMG1" s="47"/>
      <c r="TMH1" s="47"/>
      <c r="TMI1" s="47"/>
      <c r="TMJ1" s="47"/>
      <c r="TMK1" s="47"/>
      <c r="TML1" s="47"/>
      <c r="TMM1" s="47"/>
      <c r="TMN1" s="47"/>
      <c r="TMO1" s="47"/>
      <c r="TMP1" s="47"/>
      <c r="TMQ1" s="47"/>
      <c r="TMR1" s="47"/>
      <c r="TMS1" s="47"/>
      <c r="TMT1" s="47"/>
      <c r="TMU1" s="47"/>
      <c r="TMV1" s="47"/>
      <c r="TMW1" s="47"/>
      <c r="TMX1" s="47"/>
      <c r="TMY1" s="47"/>
      <c r="TMZ1" s="47"/>
      <c r="TNA1" s="47"/>
      <c r="TNB1" s="47"/>
      <c r="TNC1" s="47"/>
      <c r="TND1" s="47"/>
      <c r="TNE1" s="47"/>
      <c r="TNF1" s="47"/>
      <c r="TNG1" s="47"/>
      <c r="TNH1" s="47"/>
      <c r="TNI1" s="47"/>
      <c r="TNJ1" s="47"/>
      <c r="TNK1" s="47"/>
      <c r="TNL1" s="47"/>
      <c r="TNM1" s="47"/>
      <c r="TNN1" s="47"/>
      <c r="TNO1" s="47"/>
      <c r="TNP1" s="47"/>
      <c r="TNQ1" s="47"/>
      <c r="TNR1" s="47"/>
      <c r="TNS1" s="47"/>
      <c r="TNT1" s="47"/>
      <c r="TNU1" s="47"/>
      <c r="TNV1" s="47"/>
      <c r="TNW1" s="47"/>
      <c r="TNX1" s="47"/>
      <c r="TNY1" s="47"/>
      <c r="TNZ1" s="47"/>
      <c r="TOA1" s="47"/>
      <c r="TOB1" s="47"/>
      <c r="TOC1" s="47"/>
      <c r="TOD1" s="47"/>
      <c r="TOE1" s="47"/>
      <c r="TOF1" s="47"/>
      <c r="TOG1" s="47"/>
      <c r="TOH1" s="47"/>
      <c r="TOI1" s="47"/>
      <c r="TOJ1" s="47"/>
      <c r="TOK1" s="47"/>
      <c r="TOL1" s="47"/>
      <c r="TOM1" s="47"/>
      <c r="TON1" s="47"/>
      <c r="TOO1" s="47"/>
      <c r="TOP1" s="47"/>
      <c r="TOQ1" s="47"/>
      <c r="TOR1" s="47"/>
      <c r="TOS1" s="47"/>
      <c r="TOT1" s="47"/>
      <c r="TOU1" s="47"/>
      <c r="TOV1" s="47"/>
      <c r="TOW1" s="47"/>
      <c r="TOX1" s="47"/>
      <c r="TOY1" s="47"/>
      <c r="TOZ1" s="47"/>
      <c r="TPA1" s="47"/>
      <c r="TPB1" s="47"/>
      <c r="TPC1" s="47"/>
      <c r="TPD1" s="47"/>
      <c r="TPE1" s="47"/>
      <c r="TPF1" s="47"/>
      <c r="TPG1" s="47"/>
      <c r="TPH1" s="47"/>
      <c r="TPI1" s="47"/>
      <c r="TPJ1" s="47"/>
      <c r="TPK1" s="47"/>
      <c r="TPL1" s="47"/>
      <c r="TPM1" s="47"/>
      <c r="TPN1" s="47"/>
      <c r="TPO1" s="47"/>
      <c r="TPP1" s="47"/>
      <c r="TPQ1" s="47"/>
      <c r="TPR1" s="47"/>
      <c r="TPS1" s="47"/>
      <c r="TPT1" s="47"/>
      <c r="TPU1" s="47"/>
      <c r="TPV1" s="47"/>
      <c r="TPW1" s="47"/>
      <c r="TPX1" s="47"/>
      <c r="TPY1" s="47"/>
      <c r="TPZ1" s="47"/>
      <c r="TQA1" s="47"/>
      <c r="TQB1" s="47"/>
      <c r="TQC1" s="47"/>
      <c r="TQD1" s="47"/>
      <c r="TQE1" s="47"/>
      <c r="TQF1" s="47"/>
      <c r="TQG1" s="47"/>
      <c r="TQH1" s="47"/>
      <c r="TQI1" s="47"/>
      <c r="TQJ1" s="47"/>
      <c r="TQK1" s="47"/>
      <c r="TQL1" s="47"/>
      <c r="TQM1" s="47"/>
      <c r="TQN1" s="47"/>
      <c r="TQO1" s="47"/>
      <c r="TQP1" s="47"/>
      <c r="TQQ1" s="47"/>
      <c r="TQR1" s="47"/>
      <c r="TQS1" s="47"/>
      <c r="TQT1" s="47"/>
      <c r="TQU1" s="47"/>
      <c r="TQV1" s="47"/>
      <c r="TQW1" s="47"/>
      <c r="TQX1" s="47"/>
      <c r="TQY1" s="47"/>
      <c r="TQZ1" s="47"/>
      <c r="TRA1" s="47"/>
      <c r="TRB1" s="47"/>
      <c r="TRC1" s="47"/>
      <c r="TRD1" s="47"/>
      <c r="TRE1" s="47"/>
      <c r="TRF1" s="47"/>
      <c r="TRG1" s="47"/>
      <c r="TRH1" s="47"/>
      <c r="TRI1" s="47"/>
      <c r="TRJ1" s="47"/>
      <c r="TRK1" s="47"/>
      <c r="TRL1" s="47"/>
      <c r="TRM1" s="47"/>
      <c r="TRN1" s="47"/>
      <c r="TRO1" s="47"/>
      <c r="TRP1" s="47"/>
      <c r="TRQ1" s="47"/>
      <c r="TRR1" s="47"/>
      <c r="TRS1" s="47"/>
      <c r="TRT1" s="47"/>
      <c r="TRU1" s="47"/>
      <c r="TRV1" s="47"/>
      <c r="TRW1" s="47"/>
      <c r="TRX1" s="47"/>
      <c r="TRY1" s="47"/>
      <c r="TRZ1" s="47"/>
      <c r="TSA1" s="47"/>
      <c r="TSB1" s="47"/>
      <c r="TSC1" s="47"/>
      <c r="TSD1" s="47"/>
      <c r="TSE1" s="47"/>
      <c r="TSF1" s="47"/>
      <c r="TSG1" s="47"/>
      <c r="TSH1" s="47"/>
      <c r="TSI1" s="47"/>
      <c r="TSJ1" s="47"/>
      <c r="TSK1" s="47"/>
      <c r="TSL1" s="47"/>
      <c r="TSM1" s="47"/>
      <c r="TSN1" s="47"/>
      <c r="TSO1" s="47"/>
      <c r="TSP1" s="47"/>
      <c r="TSQ1" s="47"/>
      <c r="TSR1" s="47"/>
      <c r="TSS1" s="47"/>
      <c r="TST1" s="47"/>
      <c r="TSU1" s="47"/>
      <c r="TSV1" s="47"/>
      <c r="TSW1" s="47"/>
      <c r="TSX1" s="47"/>
      <c r="TSY1" s="47"/>
      <c r="TSZ1" s="47"/>
      <c r="TTA1" s="47"/>
      <c r="TTB1" s="47"/>
      <c r="TTC1" s="47"/>
      <c r="TTD1" s="47"/>
      <c r="TTE1" s="47"/>
      <c r="TTF1" s="47"/>
      <c r="TTG1" s="47"/>
      <c r="TTH1" s="47"/>
      <c r="TTI1" s="47"/>
      <c r="TTJ1" s="47"/>
      <c r="TTK1" s="47"/>
      <c r="TTL1" s="47"/>
      <c r="TTM1" s="47"/>
      <c r="TTN1" s="47"/>
      <c r="TTO1" s="47"/>
      <c r="TTP1" s="47"/>
      <c r="TTQ1" s="47"/>
      <c r="TTR1" s="47"/>
      <c r="TTS1" s="47"/>
      <c r="TTT1" s="47"/>
      <c r="TTU1" s="47"/>
      <c r="TTV1" s="47"/>
      <c r="TTW1" s="47"/>
      <c r="TTX1" s="47"/>
      <c r="TTY1" s="47"/>
      <c r="TTZ1" s="47"/>
      <c r="TUA1" s="47"/>
      <c r="TUB1" s="47"/>
      <c r="TUC1" s="47"/>
      <c r="TUD1" s="47"/>
      <c r="TUE1" s="47"/>
      <c r="TUF1" s="47"/>
      <c r="TUG1" s="47"/>
      <c r="TUH1" s="47"/>
      <c r="TUI1" s="47"/>
      <c r="TUJ1" s="47"/>
      <c r="TUK1" s="47"/>
      <c r="TUL1" s="47"/>
      <c r="TUM1" s="47"/>
      <c r="TUN1" s="47"/>
      <c r="TUO1" s="47"/>
      <c r="TUP1" s="47"/>
      <c r="TUQ1" s="47"/>
      <c r="TUR1" s="47"/>
      <c r="TUS1" s="47"/>
      <c r="TUT1" s="47"/>
      <c r="TUU1" s="47"/>
      <c r="TUV1" s="47"/>
      <c r="TUW1" s="47"/>
      <c r="TUX1" s="47"/>
      <c r="TUY1" s="47"/>
      <c r="TUZ1" s="47"/>
      <c r="TVA1" s="47"/>
      <c r="TVB1" s="47"/>
      <c r="TVC1" s="47"/>
      <c r="TVD1" s="47"/>
      <c r="TVE1" s="47"/>
      <c r="TVF1" s="47"/>
      <c r="TVG1" s="47"/>
      <c r="TVH1" s="47"/>
      <c r="TVI1" s="47"/>
      <c r="TVJ1" s="47"/>
      <c r="TVK1" s="47"/>
      <c r="TVL1" s="47"/>
      <c r="TVM1" s="47"/>
      <c r="TVN1" s="47"/>
      <c r="TVO1" s="47"/>
      <c r="TVP1" s="47"/>
      <c r="TVQ1" s="47"/>
      <c r="TVR1" s="47"/>
      <c r="TVS1" s="47"/>
      <c r="TVT1" s="47"/>
      <c r="TVU1" s="47"/>
      <c r="TVV1" s="47"/>
      <c r="TVW1" s="47"/>
      <c r="TVX1" s="47"/>
      <c r="TVY1" s="47"/>
      <c r="TVZ1" s="47"/>
      <c r="TWA1" s="47"/>
      <c r="TWB1" s="47"/>
      <c r="TWC1" s="47"/>
      <c r="TWD1" s="47"/>
      <c r="TWE1" s="47"/>
      <c r="TWF1" s="47"/>
      <c r="TWG1" s="47"/>
      <c r="TWH1" s="47"/>
      <c r="TWI1" s="47"/>
      <c r="TWJ1" s="47"/>
      <c r="TWK1" s="47"/>
      <c r="TWL1" s="47"/>
      <c r="TWM1" s="47"/>
      <c r="TWN1" s="47"/>
      <c r="TWO1" s="47"/>
      <c r="TWP1" s="47"/>
      <c r="TWQ1" s="47"/>
      <c r="TWR1" s="47"/>
      <c r="TWS1" s="47"/>
      <c r="TWT1" s="47"/>
      <c r="TWU1" s="47"/>
      <c r="TWV1" s="47"/>
      <c r="TWW1" s="47"/>
      <c r="TWX1" s="47"/>
      <c r="TWY1" s="47"/>
      <c r="TWZ1" s="47"/>
      <c r="TXA1" s="47"/>
      <c r="TXB1" s="47"/>
      <c r="TXC1" s="47"/>
      <c r="TXD1" s="47"/>
      <c r="TXE1" s="47"/>
      <c r="TXF1" s="47"/>
      <c r="TXG1" s="47"/>
      <c r="TXH1" s="47"/>
      <c r="TXI1" s="47"/>
      <c r="TXJ1" s="47"/>
      <c r="TXK1" s="47"/>
      <c r="TXL1" s="47"/>
      <c r="TXM1" s="47"/>
      <c r="TXN1" s="47"/>
      <c r="TXO1" s="47"/>
      <c r="TXP1" s="47"/>
      <c r="TXQ1" s="47"/>
      <c r="TXR1" s="47"/>
      <c r="TXS1" s="47"/>
      <c r="TXT1" s="47"/>
      <c r="TXU1" s="47"/>
      <c r="TXV1" s="47"/>
      <c r="TXW1" s="47"/>
      <c r="TXX1" s="47"/>
      <c r="TXY1" s="47"/>
      <c r="TXZ1" s="47"/>
      <c r="TYA1" s="47"/>
      <c r="TYB1" s="47"/>
      <c r="TYC1" s="47"/>
      <c r="TYD1" s="47"/>
      <c r="TYE1" s="47"/>
      <c r="TYF1" s="47"/>
      <c r="TYG1" s="47"/>
      <c r="TYH1" s="47"/>
      <c r="TYI1" s="47"/>
      <c r="TYJ1" s="47"/>
      <c r="TYK1" s="47"/>
      <c r="TYL1" s="47"/>
      <c r="TYM1" s="47"/>
      <c r="TYN1" s="47"/>
      <c r="TYO1" s="47"/>
      <c r="TYP1" s="47"/>
      <c r="TYQ1" s="47"/>
      <c r="TYR1" s="47"/>
      <c r="TYS1" s="47"/>
      <c r="TYT1" s="47"/>
      <c r="TYU1" s="47"/>
      <c r="TYV1" s="47"/>
      <c r="TYW1" s="47"/>
      <c r="TYX1" s="47"/>
      <c r="TYY1" s="47"/>
      <c r="TYZ1" s="47"/>
      <c r="TZA1" s="47"/>
      <c r="TZB1" s="47"/>
      <c r="TZC1" s="47"/>
      <c r="TZD1" s="47"/>
      <c r="TZE1" s="47"/>
      <c r="TZF1" s="47"/>
      <c r="TZG1" s="47"/>
      <c r="TZH1" s="47"/>
      <c r="TZI1" s="47"/>
      <c r="TZJ1" s="47"/>
      <c r="TZK1" s="47"/>
      <c r="TZL1" s="47"/>
      <c r="TZM1" s="47"/>
      <c r="TZN1" s="47"/>
      <c r="TZO1" s="47"/>
      <c r="TZP1" s="47"/>
      <c r="TZQ1" s="47"/>
      <c r="TZR1" s="47"/>
      <c r="TZS1" s="47"/>
      <c r="TZT1" s="47"/>
      <c r="TZU1" s="47"/>
      <c r="TZV1" s="47"/>
      <c r="TZW1" s="47"/>
      <c r="TZX1" s="47"/>
      <c r="TZY1" s="47"/>
      <c r="TZZ1" s="47"/>
      <c r="UAA1" s="47"/>
      <c r="UAB1" s="47"/>
      <c r="UAC1" s="47"/>
      <c r="UAD1" s="47"/>
      <c r="UAE1" s="47"/>
      <c r="UAF1" s="47"/>
      <c r="UAG1" s="47"/>
      <c r="UAH1" s="47"/>
      <c r="UAI1" s="47"/>
      <c r="UAJ1" s="47"/>
      <c r="UAK1" s="47"/>
      <c r="UAL1" s="47"/>
      <c r="UAM1" s="47"/>
      <c r="UAN1" s="47"/>
      <c r="UAO1" s="47"/>
      <c r="UAP1" s="47"/>
      <c r="UAQ1" s="47"/>
      <c r="UAR1" s="47"/>
      <c r="UAS1" s="47"/>
      <c r="UAT1" s="47"/>
      <c r="UAU1" s="47"/>
      <c r="UAV1" s="47"/>
      <c r="UAW1" s="47"/>
      <c r="UAX1" s="47"/>
      <c r="UAY1" s="47"/>
      <c r="UAZ1" s="47"/>
      <c r="UBA1" s="47"/>
      <c r="UBB1" s="47"/>
      <c r="UBC1" s="47"/>
      <c r="UBD1" s="47"/>
      <c r="UBE1" s="47"/>
      <c r="UBF1" s="47"/>
      <c r="UBG1" s="47"/>
      <c r="UBH1" s="47"/>
      <c r="UBI1" s="47"/>
      <c r="UBJ1" s="47"/>
      <c r="UBK1" s="47"/>
      <c r="UBL1" s="47"/>
      <c r="UBM1" s="47"/>
      <c r="UBN1" s="47"/>
      <c r="UBO1" s="47"/>
      <c r="UBP1" s="47"/>
      <c r="UBQ1" s="47"/>
      <c r="UBR1" s="47"/>
      <c r="UBS1" s="47"/>
      <c r="UBT1" s="47"/>
      <c r="UBU1" s="47"/>
      <c r="UBV1" s="47"/>
      <c r="UBW1" s="47"/>
      <c r="UBX1" s="47"/>
      <c r="UBY1" s="47"/>
      <c r="UBZ1" s="47"/>
      <c r="UCA1" s="47"/>
      <c r="UCB1" s="47"/>
      <c r="UCC1" s="47"/>
      <c r="UCD1" s="47"/>
      <c r="UCE1" s="47"/>
      <c r="UCF1" s="47"/>
      <c r="UCG1" s="47"/>
      <c r="UCH1" s="47"/>
      <c r="UCI1" s="47"/>
      <c r="UCJ1" s="47"/>
      <c r="UCK1" s="47"/>
      <c r="UCL1" s="47"/>
      <c r="UCM1" s="47"/>
      <c r="UCN1" s="47"/>
      <c r="UCO1" s="47"/>
      <c r="UCP1" s="47"/>
      <c r="UCQ1" s="47"/>
      <c r="UCR1" s="47"/>
      <c r="UCS1" s="47"/>
      <c r="UCT1" s="47"/>
      <c r="UCU1" s="47"/>
      <c r="UCV1" s="47"/>
      <c r="UCW1" s="47"/>
      <c r="UCX1" s="47"/>
      <c r="UCY1" s="47"/>
      <c r="UCZ1" s="47"/>
      <c r="UDA1" s="47"/>
      <c r="UDB1" s="47"/>
      <c r="UDC1" s="47"/>
      <c r="UDD1" s="47"/>
      <c r="UDE1" s="47"/>
      <c r="UDF1" s="47"/>
      <c r="UDG1" s="47"/>
      <c r="UDH1" s="47"/>
      <c r="UDI1" s="47"/>
      <c r="UDJ1" s="47"/>
      <c r="UDK1" s="47"/>
      <c r="UDL1" s="47"/>
      <c r="UDM1" s="47"/>
      <c r="UDN1" s="47"/>
      <c r="UDO1" s="47"/>
      <c r="UDP1" s="47"/>
      <c r="UDQ1" s="47"/>
      <c r="UDR1" s="47"/>
      <c r="UDS1" s="47"/>
      <c r="UDT1" s="47"/>
      <c r="UDU1" s="47"/>
      <c r="UDV1" s="47"/>
      <c r="UDW1" s="47"/>
      <c r="UDX1" s="47"/>
      <c r="UDY1" s="47"/>
      <c r="UDZ1" s="47"/>
      <c r="UEA1" s="47"/>
      <c r="UEB1" s="47"/>
      <c r="UEC1" s="47"/>
      <c r="UED1" s="47"/>
      <c r="UEE1" s="47"/>
      <c r="UEF1" s="47"/>
      <c r="UEG1" s="47"/>
      <c r="UEH1" s="47"/>
      <c r="UEI1" s="47"/>
      <c r="UEJ1" s="47"/>
      <c r="UEK1" s="47"/>
      <c r="UEL1" s="47"/>
      <c r="UEM1" s="47"/>
      <c r="UEN1" s="47"/>
      <c r="UEO1" s="47"/>
      <c r="UEP1" s="47"/>
      <c r="UEQ1" s="47"/>
      <c r="UER1" s="47"/>
      <c r="UES1" s="47"/>
      <c r="UET1" s="47"/>
      <c r="UEU1" s="47"/>
      <c r="UEV1" s="47"/>
      <c r="UEW1" s="47"/>
      <c r="UEX1" s="47"/>
      <c r="UEY1" s="47"/>
      <c r="UEZ1" s="47"/>
      <c r="UFA1" s="47"/>
      <c r="UFB1" s="47"/>
      <c r="UFC1" s="47"/>
      <c r="UFD1" s="47"/>
      <c r="UFE1" s="47"/>
      <c r="UFF1" s="47"/>
      <c r="UFG1" s="47"/>
      <c r="UFH1" s="47"/>
      <c r="UFI1" s="47"/>
      <c r="UFJ1" s="47"/>
      <c r="UFK1" s="47"/>
      <c r="UFL1" s="47"/>
      <c r="UFM1" s="47"/>
      <c r="UFN1" s="47"/>
      <c r="UFO1" s="47"/>
      <c r="UFP1" s="47"/>
      <c r="UFQ1" s="47"/>
      <c r="UFR1" s="47"/>
      <c r="UFS1" s="47"/>
      <c r="UFT1" s="47"/>
      <c r="UFU1" s="47"/>
      <c r="UFV1" s="47"/>
      <c r="UFW1" s="47"/>
      <c r="UFX1" s="47"/>
      <c r="UFY1" s="47"/>
      <c r="UFZ1" s="47"/>
      <c r="UGA1" s="47"/>
      <c r="UGB1" s="47"/>
      <c r="UGC1" s="47"/>
      <c r="UGD1" s="47"/>
      <c r="UGE1" s="47"/>
      <c r="UGF1" s="47"/>
      <c r="UGG1" s="47"/>
      <c r="UGH1" s="47"/>
      <c r="UGI1" s="47"/>
      <c r="UGJ1" s="47"/>
      <c r="UGK1" s="47"/>
      <c r="UGL1" s="47"/>
      <c r="UGM1" s="47"/>
      <c r="UGN1" s="47"/>
      <c r="UGO1" s="47"/>
      <c r="UGP1" s="47"/>
      <c r="UGQ1" s="47"/>
      <c r="UGR1" s="47"/>
      <c r="UGS1" s="47"/>
      <c r="UGT1" s="47"/>
      <c r="UGU1" s="47"/>
      <c r="UGV1" s="47"/>
      <c r="UGW1" s="47"/>
      <c r="UGX1" s="47"/>
      <c r="UGY1" s="47"/>
      <c r="UGZ1" s="47"/>
      <c r="UHA1" s="47"/>
      <c r="UHB1" s="47"/>
      <c r="UHC1" s="47"/>
      <c r="UHD1" s="47"/>
      <c r="UHE1" s="47"/>
      <c r="UHF1" s="47"/>
      <c r="UHG1" s="47"/>
      <c r="UHH1" s="47"/>
      <c r="UHI1" s="47"/>
      <c r="UHJ1" s="47"/>
      <c r="UHK1" s="47"/>
      <c r="UHL1" s="47"/>
      <c r="UHM1" s="47"/>
      <c r="UHN1" s="47"/>
      <c r="UHO1" s="47"/>
      <c r="UHP1" s="47"/>
      <c r="UHQ1" s="47"/>
      <c r="UHR1" s="47"/>
      <c r="UHS1" s="47"/>
      <c r="UHT1" s="47"/>
      <c r="UHU1" s="47"/>
      <c r="UHV1" s="47"/>
      <c r="UHW1" s="47"/>
      <c r="UHX1" s="47"/>
      <c r="UHY1" s="47"/>
      <c r="UHZ1" s="47"/>
      <c r="UIA1" s="47"/>
      <c r="UIB1" s="47"/>
      <c r="UIC1" s="47"/>
      <c r="UID1" s="47"/>
      <c r="UIE1" s="47"/>
      <c r="UIF1" s="47"/>
      <c r="UIG1" s="47"/>
      <c r="UIH1" s="47"/>
      <c r="UII1" s="47"/>
      <c r="UIJ1" s="47"/>
      <c r="UIK1" s="47"/>
      <c r="UIL1" s="47"/>
      <c r="UIM1" s="47"/>
      <c r="UIN1" s="47"/>
      <c r="UIO1" s="47"/>
      <c r="UIP1" s="47"/>
      <c r="UIQ1" s="47"/>
      <c r="UIR1" s="47"/>
      <c r="UIS1" s="47"/>
      <c r="UIT1" s="47"/>
      <c r="UIU1" s="47"/>
      <c r="UIV1" s="47"/>
      <c r="UIW1" s="47"/>
      <c r="UIX1" s="47"/>
      <c r="UIY1" s="47"/>
      <c r="UIZ1" s="47"/>
      <c r="UJA1" s="47"/>
      <c r="UJB1" s="47"/>
      <c r="UJC1" s="47"/>
      <c r="UJD1" s="47"/>
      <c r="UJE1" s="47"/>
      <c r="UJF1" s="47"/>
      <c r="UJG1" s="47"/>
      <c r="UJH1" s="47"/>
      <c r="UJI1" s="47"/>
      <c r="UJJ1" s="47"/>
      <c r="UJK1" s="47"/>
      <c r="UJL1" s="47"/>
      <c r="UJM1" s="47"/>
      <c r="UJN1" s="47"/>
      <c r="UJO1" s="47"/>
      <c r="UJP1" s="47"/>
      <c r="UJQ1" s="47"/>
      <c r="UJR1" s="47"/>
      <c r="UJS1" s="47"/>
      <c r="UJT1" s="47"/>
      <c r="UJU1" s="47"/>
      <c r="UJV1" s="47"/>
      <c r="UJW1" s="47"/>
      <c r="UJX1" s="47"/>
      <c r="UJY1" s="47"/>
      <c r="UJZ1" s="47"/>
      <c r="UKA1" s="47"/>
      <c r="UKB1" s="47"/>
      <c r="UKC1" s="47"/>
      <c r="UKD1" s="47"/>
      <c r="UKE1" s="47"/>
      <c r="UKF1" s="47"/>
      <c r="UKG1" s="47"/>
      <c r="UKH1" s="47"/>
      <c r="UKI1" s="47"/>
      <c r="UKJ1" s="47"/>
      <c r="UKK1" s="47"/>
      <c r="UKL1" s="47"/>
      <c r="UKM1" s="47"/>
      <c r="UKN1" s="47"/>
      <c r="UKO1" s="47"/>
      <c r="UKP1" s="47"/>
      <c r="UKQ1" s="47"/>
      <c r="UKR1" s="47"/>
      <c r="UKS1" s="47"/>
      <c r="UKT1" s="47"/>
      <c r="UKU1" s="47"/>
      <c r="UKV1" s="47"/>
      <c r="UKW1" s="47"/>
      <c r="UKX1" s="47"/>
      <c r="UKY1" s="47"/>
      <c r="UKZ1" s="47"/>
      <c r="ULA1" s="47"/>
      <c r="ULB1" s="47"/>
      <c r="ULC1" s="47"/>
      <c r="ULD1" s="47"/>
      <c r="ULE1" s="47"/>
      <c r="ULF1" s="47"/>
      <c r="ULG1" s="47"/>
      <c r="ULH1" s="47"/>
      <c r="ULI1" s="47"/>
      <c r="ULJ1" s="47"/>
      <c r="ULK1" s="47"/>
      <c r="ULL1" s="47"/>
      <c r="ULM1" s="47"/>
      <c r="ULN1" s="47"/>
      <c r="ULO1" s="47"/>
      <c r="ULP1" s="47"/>
      <c r="ULQ1" s="47"/>
      <c r="ULR1" s="47"/>
      <c r="ULS1" s="47"/>
      <c r="ULT1" s="47"/>
      <c r="ULU1" s="47"/>
      <c r="ULV1" s="47"/>
      <c r="ULW1" s="47"/>
      <c r="ULX1" s="47"/>
      <c r="ULY1" s="47"/>
      <c r="ULZ1" s="47"/>
      <c r="UMA1" s="47"/>
      <c r="UMB1" s="47"/>
      <c r="UMC1" s="47"/>
      <c r="UMD1" s="47"/>
      <c r="UME1" s="47"/>
      <c r="UMF1" s="47"/>
      <c r="UMG1" s="47"/>
      <c r="UMH1" s="47"/>
      <c r="UMI1" s="47"/>
      <c r="UMJ1" s="47"/>
      <c r="UMK1" s="47"/>
      <c r="UML1" s="47"/>
      <c r="UMM1" s="47"/>
      <c r="UMN1" s="47"/>
      <c r="UMO1" s="47"/>
      <c r="UMP1" s="47"/>
      <c r="UMQ1" s="47"/>
      <c r="UMR1" s="47"/>
      <c r="UMS1" s="47"/>
      <c r="UMT1" s="47"/>
      <c r="UMU1" s="47"/>
      <c r="UMV1" s="47"/>
      <c r="UMW1" s="47"/>
      <c r="UMX1" s="47"/>
      <c r="UMY1" s="47"/>
      <c r="UMZ1" s="47"/>
      <c r="UNA1" s="47"/>
      <c r="UNB1" s="47"/>
      <c r="UNC1" s="47"/>
      <c r="UND1" s="47"/>
      <c r="UNE1" s="47"/>
      <c r="UNF1" s="47"/>
      <c r="UNG1" s="47"/>
      <c r="UNH1" s="47"/>
      <c r="UNI1" s="47"/>
      <c r="UNJ1" s="47"/>
      <c r="UNK1" s="47"/>
      <c r="UNL1" s="47"/>
      <c r="UNM1" s="47"/>
      <c r="UNN1" s="47"/>
      <c r="UNO1" s="47"/>
      <c r="UNP1" s="47"/>
      <c r="UNQ1" s="47"/>
      <c r="UNR1" s="47"/>
      <c r="UNS1" s="47"/>
      <c r="UNT1" s="47"/>
      <c r="UNU1" s="47"/>
      <c r="UNV1" s="47"/>
      <c r="UNW1" s="47"/>
      <c r="UNX1" s="47"/>
      <c r="UNY1" s="47"/>
      <c r="UNZ1" s="47"/>
      <c r="UOA1" s="47"/>
      <c r="UOB1" s="47"/>
      <c r="UOC1" s="47"/>
      <c r="UOD1" s="47"/>
      <c r="UOE1" s="47"/>
      <c r="UOF1" s="47"/>
      <c r="UOG1" s="47"/>
      <c r="UOH1" s="47"/>
      <c r="UOI1" s="47"/>
      <c r="UOJ1" s="47"/>
      <c r="UOK1" s="47"/>
      <c r="UOL1" s="47"/>
      <c r="UOM1" s="47"/>
      <c r="UON1" s="47"/>
      <c r="UOO1" s="47"/>
      <c r="UOP1" s="47"/>
      <c r="UOQ1" s="47"/>
      <c r="UOR1" s="47"/>
      <c r="UOS1" s="47"/>
      <c r="UOT1" s="47"/>
      <c r="UOU1" s="47"/>
      <c r="UOV1" s="47"/>
      <c r="UOW1" s="47"/>
      <c r="UOX1" s="47"/>
      <c r="UOY1" s="47"/>
      <c r="UOZ1" s="47"/>
      <c r="UPA1" s="47"/>
      <c r="UPB1" s="47"/>
      <c r="UPC1" s="47"/>
      <c r="UPD1" s="47"/>
      <c r="UPE1" s="47"/>
      <c r="UPF1" s="47"/>
      <c r="UPG1" s="47"/>
      <c r="UPH1" s="47"/>
      <c r="UPI1" s="47"/>
      <c r="UPJ1" s="47"/>
      <c r="UPK1" s="47"/>
      <c r="UPL1" s="47"/>
      <c r="UPM1" s="47"/>
      <c r="UPN1" s="47"/>
      <c r="UPO1" s="47"/>
      <c r="UPP1" s="47"/>
      <c r="UPQ1" s="47"/>
      <c r="UPR1" s="47"/>
      <c r="UPS1" s="47"/>
      <c r="UPT1" s="47"/>
      <c r="UPU1" s="47"/>
      <c r="UPV1" s="47"/>
      <c r="UPW1" s="47"/>
      <c r="UPX1" s="47"/>
      <c r="UPY1" s="47"/>
      <c r="UPZ1" s="47"/>
      <c r="UQA1" s="47"/>
      <c r="UQB1" s="47"/>
      <c r="UQC1" s="47"/>
      <c r="UQD1" s="47"/>
      <c r="UQE1" s="47"/>
      <c r="UQF1" s="47"/>
      <c r="UQG1" s="47"/>
      <c r="UQH1" s="47"/>
      <c r="UQI1" s="47"/>
      <c r="UQJ1" s="47"/>
      <c r="UQK1" s="47"/>
      <c r="UQL1" s="47"/>
      <c r="UQM1" s="47"/>
      <c r="UQN1" s="47"/>
      <c r="UQO1" s="47"/>
      <c r="UQP1" s="47"/>
      <c r="UQQ1" s="47"/>
      <c r="UQR1" s="47"/>
      <c r="UQS1" s="47"/>
      <c r="UQT1" s="47"/>
      <c r="UQU1" s="47"/>
      <c r="UQV1" s="47"/>
      <c r="UQW1" s="47"/>
      <c r="UQX1" s="47"/>
      <c r="UQY1" s="47"/>
      <c r="UQZ1" s="47"/>
      <c r="URA1" s="47"/>
      <c r="URB1" s="47"/>
      <c r="URC1" s="47"/>
      <c r="URD1" s="47"/>
      <c r="URE1" s="47"/>
      <c r="URF1" s="47"/>
      <c r="URG1" s="47"/>
      <c r="URH1" s="47"/>
      <c r="URI1" s="47"/>
      <c r="URJ1" s="47"/>
      <c r="URK1" s="47"/>
      <c r="URL1" s="47"/>
      <c r="URM1" s="47"/>
      <c r="URN1" s="47"/>
      <c r="URO1" s="47"/>
      <c r="URP1" s="47"/>
      <c r="URQ1" s="47"/>
      <c r="URR1" s="47"/>
      <c r="URS1" s="47"/>
      <c r="URT1" s="47"/>
      <c r="URU1" s="47"/>
      <c r="URV1" s="47"/>
      <c r="URW1" s="47"/>
      <c r="URX1" s="47"/>
      <c r="URY1" s="47"/>
      <c r="URZ1" s="47"/>
      <c r="USA1" s="47"/>
      <c r="USB1" s="47"/>
      <c r="USC1" s="47"/>
      <c r="USD1" s="47"/>
      <c r="USE1" s="47"/>
      <c r="USF1" s="47"/>
      <c r="USG1" s="47"/>
      <c r="USH1" s="47"/>
      <c r="USI1" s="47"/>
      <c r="USJ1" s="47"/>
      <c r="USK1" s="47"/>
      <c r="USL1" s="47"/>
      <c r="USM1" s="47"/>
      <c r="USN1" s="47"/>
      <c r="USO1" s="47"/>
      <c r="USP1" s="47"/>
      <c r="USQ1" s="47"/>
      <c r="USR1" s="47"/>
      <c r="USS1" s="47"/>
      <c r="UST1" s="47"/>
      <c r="USU1" s="47"/>
      <c r="USV1" s="47"/>
      <c r="USW1" s="47"/>
      <c r="USX1" s="47"/>
      <c r="USY1" s="47"/>
      <c r="USZ1" s="47"/>
      <c r="UTA1" s="47"/>
      <c r="UTB1" s="47"/>
      <c r="UTC1" s="47"/>
      <c r="UTD1" s="47"/>
      <c r="UTE1" s="47"/>
      <c r="UTF1" s="47"/>
      <c r="UTG1" s="47"/>
      <c r="UTH1" s="47"/>
      <c r="UTI1" s="47"/>
      <c r="UTJ1" s="47"/>
      <c r="UTK1" s="47"/>
      <c r="UTL1" s="47"/>
      <c r="UTM1" s="47"/>
      <c r="UTN1" s="47"/>
      <c r="UTO1" s="47"/>
      <c r="UTP1" s="47"/>
      <c r="UTQ1" s="47"/>
      <c r="UTR1" s="47"/>
      <c r="UTS1" s="47"/>
      <c r="UTT1" s="47"/>
      <c r="UTU1" s="47"/>
      <c r="UTV1" s="47"/>
      <c r="UTW1" s="47"/>
      <c r="UTX1" s="47"/>
      <c r="UTY1" s="47"/>
      <c r="UTZ1" s="47"/>
      <c r="UUA1" s="47"/>
      <c r="UUB1" s="47"/>
      <c r="UUC1" s="47"/>
      <c r="UUD1" s="47"/>
      <c r="UUE1" s="47"/>
      <c r="UUF1" s="47"/>
      <c r="UUG1" s="47"/>
      <c r="UUH1" s="47"/>
      <c r="UUI1" s="47"/>
      <c r="UUJ1" s="47"/>
      <c r="UUK1" s="47"/>
      <c r="UUL1" s="47"/>
      <c r="UUM1" s="47"/>
      <c r="UUN1" s="47"/>
      <c r="UUO1" s="47"/>
      <c r="UUP1" s="47"/>
      <c r="UUQ1" s="47"/>
      <c r="UUR1" s="47"/>
      <c r="UUS1" s="47"/>
      <c r="UUT1" s="47"/>
      <c r="UUU1" s="47"/>
      <c r="UUV1" s="47"/>
      <c r="UUW1" s="47"/>
      <c r="UUX1" s="47"/>
      <c r="UUY1" s="47"/>
      <c r="UUZ1" s="47"/>
      <c r="UVA1" s="47"/>
      <c r="UVB1" s="47"/>
      <c r="UVC1" s="47"/>
      <c r="UVD1" s="47"/>
      <c r="UVE1" s="47"/>
      <c r="UVF1" s="47"/>
      <c r="UVG1" s="47"/>
      <c r="UVH1" s="47"/>
      <c r="UVI1" s="47"/>
      <c r="UVJ1" s="47"/>
      <c r="UVK1" s="47"/>
      <c r="UVL1" s="47"/>
      <c r="UVM1" s="47"/>
      <c r="UVN1" s="47"/>
      <c r="UVO1" s="47"/>
      <c r="UVP1" s="47"/>
      <c r="UVQ1" s="47"/>
      <c r="UVR1" s="47"/>
      <c r="UVS1" s="47"/>
      <c r="UVT1" s="47"/>
      <c r="UVU1" s="47"/>
      <c r="UVV1" s="47"/>
      <c r="UVW1" s="47"/>
      <c r="UVX1" s="47"/>
      <c r="UVY1" s="47"/>
      <c r="UVZ1" s="47"/>
      <c r="UWA1" s="47"/>
      <c r="UWB1" s="47"/>
      <c r="UWC1" s="47"/>
      <c r="UWD1" s="47"/>
      <c r="UWE1" s="47"/>
      <c r="UWF1" s="47"/>
      <c r="UWG1" s="47"/>
      <c r="UWH1" s="47"/>
      <c r="UWI1" s="47"/>
      <c r="UWJ1" s="47"/>
      <c r="UWK1" s="47"/>
      <c r="UWL1" s="47"/>
      <c r="UWM1" s="47"/>
      <c r="UWN1" s="47"/>
      <c r="UWO1" s="47"/>
      <c r="UWP1" s="47"/>
      <c r="UWQ1" s="47"/>
      <c r="UWR1" s="47"/>
      <c r="UWS1" s="47"/>
      <c r="UWT1" s="47"/>
      <c r="UWU1" s="47"/>
      <c r="UWV1" s="47"/>
      <c r="UWW1" s="47"/>
      <c r="UWX1" s="47"/>
      <c r="UWY1" s="47"/>
      <c r="UWZ1" s="47"/>
      <c r="UXA1" s="47"/>
      <c r="UXB1" s="47"/>
      <c r="UXC1" s="47"/>
      <c r="UXD1" s="47"/>
      <c r="UXE1" s="47"/>
      <c r="UXF1" s="47"/>
      <c r="UXG1" s="47"/>
      <c r="UXH1" s="47"/>
      <c r="UXI1" s="47"/>
      <c r="UXJ1" s="47"/>
      <c r="UXK1" s="47"/>
      <c r="UXL1" s="47"/>
      <c r="UXM1" s="47"/>
      <c r="UXN1" s="47"/>
      <c r="UXO1" s="47"/>
      <c r="UXP1" s="47"/>
      <c r="UXQ1" s="47"/>
      <c r="UXR1" s="47"/>
      <c r="UXS1" s="47"/>
      <c r="UXT1" s="47"/>
      <c r="UXU1" s="47"/>
      <c r="UXV1" s="47"/>
      <c r="UXW1" s="47"/>
      <c r="UXX1" s="47"/>
      <c r="UXY1" s="47"/>
      <c r="UXZ1" s="47"/>
      <c r="UYA1" s="47"/>
      <c r="UYB1" s="47"/>
      <c r="UYC1" s="47"/>
      <c r="UYD1" s="47"/>
      <c r="UYE1" s="47"/>
      <c r="UYF1" s="47"/>
      <c r="UYG1" s="47"/>
      <c r="UYH1" s="47"/>
      <c r="UYI1" s="47"/>
      <c r="UYJ1" s="47"/>
      <c r="UYK1" s="47"/>
      <c r="UYL1" s="47"/>
      <c r="UYM1" s="47"/>
      <c r="UYN1" s="47"/>
      <c r="UYO1" s="47"/>
      <c r="UYP1" s="47"/>
      <c r="UYQ1" s="47"/>
      <c r="UYR1" s="47"/>
      <c r="UYS1" s="47"/>
      <c r="UYT1" s="47"/>
      <c r="UYU1" s="47"/>
      <c r="UYV1" s="47"/>
      <c r="UYW1" s="47"/>
      <c r="UYX1" s="47"/>
      <c r="UYY1" s="47"/>
      <c r="UYZ1" s="47"/>
      <c r="UZA1" s="47"/>
      <c r="UZB1" s="47"/>
      <c r="UZC1" s="47"/>
      <c r="UZD1" s="47"/>
      <c r="UZE1" s="47"/>
      <c r="UZF1" s="47"/>
      <c r="UZG1" s="47"/>
      <c r="UZH1" s="47"/>
      <c r="UZI1" s="47"/>
      <c r="UZJ1" s="47"/>
      <c r="UZK1" s="47"/>
      <c r="UZL1" s="47"/>
      <c r="UZM1" s="47"/>
      <c r="UZN1" s="47"/>
      <c r="UZO1" s="47"/>
      <c r="UZP1" s="47"/>
      <c r="UZQ1" s="47"/>
      <c r="UZR1" s="47"/>
      <c r="UZS1" s="47"/>
      <c r="UZT1" s="47"/>
      <c r="UZU1" s="47"/>
      <c r="UZV1" s="47"/>
      <c r="UZW1" s="47"/>
      <c r="UZX1" s="47"/>
      <c r="UZY1" s="47"/>
      <c r="UZZ1" s="47"/>
      <c r="VAA1" s="47"/>
      <c r="VAB1" s="47"/>
      <c r="VAC1" s="47"/>
      <c r="VAD1" s="47"/>
      <c r="VAE1" s="47"/>
      <c r="VAF1" s="47"/>
      <c r="VAG1" s="47"/>
      <c r="VAH1" s="47"/>
      <c r="VAI1" s="47"/>
      <c r="VAJ1" s="47"/>
      <c r="VAK1" s="47"/>
      <c r="VAL1" s="47"/>
      <c r="VAM1" s="47"/>
      <c r="VAN1" s="47"/>
      <c r="VAO1" s="47"/>
      <c r="VAP1" s="47"/>
      <c r="VAQ1" s="47"/>
      <c r="VAR1" s="47"/>
      <c r="VAS1" s="47"/>
      <c r="VAT1" s="47"/>
      <c r="VAU1" s="47"/>
      <c r="VAV1" s="47"/>
      <c r="VAW1" s="47"/>
      <c r="VAX1" s="47"/>
      <c r="VAY1" s="47"/>
      <c r="VAZ1" s="47"/>
      <c r="VBA1" s="47"/>
      <c r="VBB1" s="47"/>
      <c r="VBC1" s="47"/>
      <c r="VBD1" s="47"/>
      <c r="VBE1" s="47"/>
      <c r="VBF1" s="47"/>
      <c r="VBG1" s="47"/>
      <c r="VBH1" s="47"/>
      <c r="VBI1" s="47"/>
      <c r="VBJ1" s="47"/>
      <c r="VBK1" s="47"/>
      <c r="VBL1" s="47"/>
      <c r="VBM1" s="47"/>
      <c r="VBN1" s="47"/>
      <c r="VBO1" s="47"/>
      <c r="VBP1" s="47"/>
      <c r="VBQ1" s="47"/>
      <c r="VBR1" s="47"/>
      <c r="VBS1" s="47"/>
      <c r="VBT1" s="47"/>
      <c r="VBU1" s="47"/>
      <c r="VBV1" s="47"/>
      <c r="VBW1" s="47"/>
      <c r="VBX1" s="47"/>
      <c r="VBY1" s="47"/>
      <c r="VBZ1" s="47"/>
      <c r="VCA1" s="47"/>
      <c r="VCB1" s="47"/>
      <c r="VCC1" s="47"/>
      <c r="VCD1" s="47"/>
      <c r="VCE1" s="47"/>
      <c r="VCF1" s="47"/>
      <c r="VCG1" s="47"/>
      <c r="VCH1" s="47"/>
      <c r="VCI1" s="47"/>
      <c r="VCJ1" s="47"/>
      <c r="VCK1" s="47"/>
      <c r="VCL1" s="47"/>
      <c r="VCM1" s="47"/>
      <c r="VCN1" s="47"/>
      <c r="VCO1" s="47"/>
      <c r="VCP1" s="47"/>
      <c r="VCQ1" s="47"/>
      <c r="VCR1" s="47"/>
      <c r="VCS1" s="47"/>
      <c r="VCT1" s="47"/>
      <c r="VCU1" s="47"/>
      <c r="VCV1" s="47"/>
      <c r="VCW1" s="47"/>
      <c r="VCX1" s="47"/>
      <c r="VCY1" s="47"/>
      <c r="VCZ1" s="47"/>
      <c r="VDA1" s="47"/>
      <c r="VDB1" s="47"/>
      <c r="VDC1" s="47"/>
      <c r="VDD1" s="47"/>
      <c r="VDE1" s="47"/>
      <c r="VDF1" s="47"/>
      <c r="VDG1" s="47"/>
      <c r="VDH1" s="47"/>
      <c r="VDI1" s="47"/>
      <c r="VDJ1" s="47"/>
      <c r="VDK1" s="47"/>
      <c r="VDL1" s="47"/>
      <c r="VDM1" s="47"/>
      <c r="VDN1" s="47"/>
      <c r="VDO1" s="47"/>
      <c r="VDP1" s="47"/>
      <c r="VDQ1" s="47"/>
      <c r="VDR1" s="47"/>
      <c r="VDS1" s="47"/>
      <c r="VDT1" s="47"/>
      <c r="VDU1" s="47"/>
      <c r="VDV1" s="47"/>
      <c r="VDW1" s="47"/>
      <c r="VDX1" s="47"/>
      <c r="VDY1" s="47"/>
      <c r="VDZ1" s="47"/>
      <c r="VEA1" s="47"/>
      <c r="VEB1" s="47"/>
      <c r="VEC1" s="47"/>
      <c r="VED1" s="47"/>
      <c r="VEE1" s="47"/>
      <c r="VEF1" s="47"/>
      <c r="VEG1" s="47"/>
      <c r="VEH1" s="47"/>
      <c r="VEI1" s="47"/>
      <c r="VEJ1" s="47"/>
      <c r="VEK1" s="47"/>
      <c r="VEL1" s="47"/>
      <c r="VEM1" s="47"/>
      <c r="VEN1" s="47"/>
      <c r="VEO1" s="47"/>
      <c r="VEP1" s="47"/>
      <c r="VEQ1" s="47"/>
      <c r="VER1" s="47"/>
      <c r="VES1" s="47"/>
      <c r="VET1" s="47"/>
      <c r="VEU1" s="47"/>
      <c r="VEV1" s="47"/>
      <c r="VEW1" s="47"/>
      <c r="VEX1" s="47"/>
      <c r="VEY1" s="47"/>
      <c r="VEZ1" s="47"/>
      <c r="VFA1" s="47"/>
      <c r="VFB1" s="47"/>
      <c r="VFC1" s="47"/>
      <c r="VFD1" s="47"/>
      <c r="VFE1" s="47"/>
      <c r="VFF1" s="47"/>
      <c r="VFG1" s="47"/>
      <c r="VFH1" s="47"/>
      <c r="VFI1" s="47"/>
      <c r="VFJ1" s="47"/>
      <c r="VFK1" s="47"/>
      <c r="VFL1" s="47"/>
      <c r="VFM1" s="47"/>
      <c r="VFN1" s="47"/>
      <c r="VFO1" s="47"/>
      <c r="VFP1" s="47"/>
      <c r="VFQ1" s="47"/>
      <c r="VFR1" s="47"/>
      <c r="VFS1" s="47"/>
      <c r="VFT1" s="47"/>
      <c r="VFU1" s="47"/>
      <c r="VFV1" s="47"/>
      <c r="VFW1" s="47"/>
      <c r="VFX1" s="47"/>
      <c r="VFY1" s="47"/>
      <c r="VFZ1" s="47"/>
      <c r="VGA1" s="47"/>
      <c r="VGB1" s="47"/>
      <c r="VGC1" s="47"/>
      <c r="VGD1" s="47"/>
      <c r="VGE1" s="47"/>
      <c r="VGF1" s="47"/>
      <c r="VGG1" s="47"/>
      <c r="VGH1" s="47"/>
      <c r="VGI1" s="47"/>
      <c r="VGJ1" s="47"/>
      <c r="VGK1" s="47"/>
      <c r="VGL1" s="47"/>
      <c r="VGM1" s="47"/>
      <c r="VGN1" s="47"/>
      <c r="VGO1" s="47"/>
      <c r="VGP1" s="47"/>
      <c r="VGQ1" s="47"/>
      <c r="VGR1" s="47"/>
      <c r="VGS1" s="47"/>
      <c r="VGT1" s="47"/>
      <c r="VGU1" s="47"/>
      <c r="VGV1" s="47"/>
      <c r="VGW1" s="47"/>
      <c r="VGX1" s="47"/>
      <c r="VGY1" s="47"/>
      <c r="VGZ1" s="47"/>
      <c r="VHA1" s="47"/>
      <c r="VHB1" s="47"/>
      <c r="VHC1" s="47"/>
      <c r="VHD1" s="47"/>
      <c r="VHE1" s="47"/>
      <c r="VHF1" s="47"/>
      <c r="VHG1" s="47"/>
      <c r="VHH1" s="47"/>
      <c r="VHI1" s="47"/>
      <c r="VHJ1" s="47"/>
      <c r="VHK1" s="47"/>
      <c r="VHL1" s="47"/>
      <c r="VHM1" s="47"/>
      <c r="VHN1" s="47"/>
      <c r="VHO1" s="47"/>
      <c r="VHP1" s="47"/>
      <c r="VHQ1" s="47"/>
      <c r="VHR1" s="47"/>
      <c r="VHS1" s="47"/>
      <c r="VHT1" s="47"/>
      <c r="VHU1" s="47"/>
      <c r="VHV1" s="47"/>
      <c r="VHW1" s="47"/>
      <c r="VHX1" s="47"/>
      <c r="VHY1" s="47"/>
      <c r="VHZ1" s="47"/>
      <c r="VIA1" s="47"/>
      <c r="VIB1" s="47"/>
      <c r="VIC1" s="47"/>
      <c r="VID1" s="47"/>
      <c r="VIE1" s="47"/>
      <c r="VIF1" s="47"/>
      <c r="VIG1" s="47"/>
      <c r="VIH1" s="47"/>
      <c r="VII1" s="47"/>
      <c r="VIJ1" s="47"/>
      <c r="VIK1" s="47"/>
      <c r="VIL1" s="47"/>
      <c r="VIM1" s="47"/>
      <c r="VIN1" s="47"/>
      <c r="VIO1" s="47"/>
      <c r="VIP1" s="47"/>
      <c r="VIQ1" s="47"/>
      <c r="VIR1" s="47"/>
      <c r="VIS1" s="47"/>
      <c r="VIT1" s="47"/>
      <c r="VIU1" s="47"/>
      <c r="VIV1" s="47"/>
      <c r="VIW1" s="47"/>
      <c r="VIX1" s="47"/>
      <c r="VIY1" s="47"/>
      <c r="VIZ1" s="47"/>
      <c r="VJA1" s="47"/>
      <c r="VJB1" s="47"/>
      <c r="VJC1" s="47"/>
      <c r="VJD1" s="47"/>
      <c r="VJE1" s="47"/>
      <c r="VJF1" s="47"/>
      <c r="VJG1" s="47"/>
      <c r="VJH1" s="47"/>
      <c r="VJI1" s="47"/>
      <c r="VJJ1" s="47"/>
      <c r="VJK1" s="47"/>
      <c r="VJL1" s="47"/>
      <c r="VJM1" s="47"/>
      <c r="VJN1" s="47"/>
      <c r="VJO1" s="47"/>
      <c r="VJP1" s="47"/>
      <c r="VJQ1" s="47"/>
      <c r="VJR1" s="47"/>
      <c r="VJS1" s="47"/>
      <c r="VJT1" s="47"/>
      <c r="VJU1" s="47"/>
      <c r="VJV1" s="47"/>
      <c r="VJW1" s="47"/>
      <c r="VJX1" s="47"/>
      <c r="VJY1" s="47"/>
      <c r="VJZ1" s="47"/>
      <c r="VKA1" s="47"/>
      <c r="VKB1" s="47"/>
      <c r="VKC1" s="47"/>
      <c r="VKD1" s="47"/>
      <c r="VKE1" s="47"/>
      <c r="VKF1" s="47"/>
      <c r="VKG1" s="47"/>
      <c r="VKH1" s="47"/>
      <c r="VKI1" s="47"/>
      <c r="VKJ1" s="47"/>
      <c r="VKK1" s="47"/>
      <c r="VKL1" s="47"/>
      <c r="VKM1" s="47"/>
      <c r="VKN1" s="47"/>
      <c r="VKO1" s="47"/>
      <c r="VKP1" s="47"/>
      <c r="VKQ1" s="47"/>
      <c r="VKR1" s="47"/>
      <c r="VKS1" s="47"/>
      <c r="VKT1" s="47"/>
      <c r="VKU1" s="47"/>
      <c r="VKV1" s="47"/>
      <c r="VKW1" s="47"/>
      <c r="VKX1" s="47"/>
      <c r="VKY1" s="47"/>
      <c r="VKZ1" s="47"/>
      <c r="VLA1" s="47"/>
      <c r="VLB1" s="47"/>
      <c r="VLC1" s="47"/>
      <c r="VLD1" s="47"/>
      <c r="VLE1" s="47"/>
      <c r="VLF1" s="47"/>
      <c r="VLG1" s="47"/>
      <c r="VLH1" s="47"/>
      <c r="VLI1" s="47"/>
      <c r="VLJ1" s="47"/>
      <c r="VLK1" s="47"/>
      <c r="VLL1" s="47"/>
      <c r="VLM1" s="47"/>
      <c r="VLN1" s="47"/>
      <c r="VLO1" s="47"/>
      <c r="VLP1" s="47"/>
      <c r="VLQ1" s="47"/>
      <c r="VLR1" s="47"/>
      <c r="VLS1" s="47"/>
      <c r="VLT1" s="47"/>
      <c r="VLU1" s="47"/>
      <c r="VLV1" s="47"/>
      <c r="VLW1" s="47"/>
      <c r="VLX1" s="47"/>
      <c r="VLY1" s="47"/>
      <c r="VLZ1" s="47"/>
      <c r="VMA1" s="47"/>
      <c r="VMB1" s="47"/>
      <c r="VMC1" s="47"/>
      <c r="VMD1" s="47"/>
      <c r="VME1" s="47"/>
      <c r="VMF1" s="47"/>
      <c r="VMG1" s="47"/>
      <c r="VMH1" s="47"/>
      <c r="VMI1" s="47"/>
      <c r="VMJ1" s="47"/>
      <c r="VMK1" s="47"/>
      <c r="VML1" s="47"/>
      <c r="VMM1" s="47"/>
      <c r="VMN1" s="47"/>
      <c r="VMO1" s="47"/>
      <c r="VMP1" s="47"/>
      <c r="VMQ1" s="47"/>
      <c r="VMR1" s="47"/>
      <c r="VMS1" s="47"/>
      <c r="VMT1" s="47"/>
      <c r="VMU1" s="47"/>
      <c r="VMV1" s="47"/>
      <c r="VMW1" s="47"/>
      <c r="VMX1" s="47"/>
      <c r="VMY1" s="47"/>
      <c r="VMZ1" s="47"/>
      <c r="VNA1" s="47"/>
      <c r="VNB1" s="47"/>
      <c r="VNC1" s="47"/>
      <c r="VND1" s="47"/>
      <c r="VNE1" s="47"/>
      <c r="VNF1" s="47"/>
      <c r="VNG1" s="47"/>
      <c r="VNH1" s="47"/>
      <c r="VNI1" s="47"/>
      <c r="VNJ1" s="47"/>
      <c r="VNK1" s="47"/>
      <c r="VNL1" s="47"/>
      <c r="VNM1" s="47"/>
      <c r="VNN1" s="47"/>
      <c r="VNO1" s="47"/>
      <c r="VNP1" s="47"/>
      <c r="VNQ1" s="47"/>
      <c r="VNR1" s="47"/>
      <c r="VNS1" s="47"/>
      <c r="VNT1" s="47"/>
      <c r="VNU1" s="47"/>
      <c r="VNV1" s="47"/>
      <c r="VNW1" s="47"/>
      <c r="VNX1" s="47"/>
      <c r="VNY1" s="47"/>
      <c r="VNZ1" s="47"/>
      <c r="VOA1" s="47"/>
      <c r="VOB1" s="47"/>
      <c r="VOC1" s="47"/>
      <c r="VOD1" s="47"/>
      <c r="VOE1" s="47"/>
      <c r="VOF1" s="47"/>
      <c r="VOG1" s="47"/>
      <c r="VOH1" s="47"/>
      <c r="VOI1" s="47"/>
      <c r="VOJ1" s="47"/>
      <c r="VOK1" s="47"/>
      <c r="VOL1" s="47"/>
      <c r="VOM1" s="47"/>
      <c r="VON1" s="47"/>
      <c r="VOO1" s="47"/>
      <c r="VOP1" s="47"/>
      <c r="VOQ1" s="47"/>
      <c r="VOR1" s="47"/>
      <c r="VOS1" s="47"/>
      <c r="VOT1" s="47"/>
      <c r="VOU1" s="47"/>
      <c r="VOV1" s="47"/>
      <c r="VOW1" s="47"/>
      <c r="VOX1" s="47"/>
      <c r="VOY1" s="47"/>
      <c r="VOZ1" s="47"/>
      <c r="VPA1" s="47"/>
      <c r="VPB1" s="47"/>
      <c r="VPC1" s="47"/>
      <c r="VPD1" s="47"/>
      <c r="VPE1" s="47"/>
      <c r="VPF1" s="47"/>
      <c r="VPG1" s="47"/>
      <c r="VPH1" s="47"/>
      <c r="VPI1" s="47"/>
      <c r="VPJ1" s="47"/>
      <c r="VPK1" s="47"/>
      <c r="VPL1" s="47"/>
      <c r="VPM1" s="47"/>
      <c r="VPN1" s="47"/>
      <c r="VPO1" s="47"/>
      <c r="VPP1" s="47"/>
      <c r="VPQ1" s="47"/>
      <c r="VPR1" s="47"/>
      <c r="VPS1" s="47"/>
      <c r="VPT1" s="47"/>
      <c r="VPU1" s="47"/>
      <c r="VPV1" s="47"/>
      <c r="VPW1" s="47"/>
      <c r="VPX1" s="47"/>
      <c r="VPY1" s="47"/>
      <c r="VPZ1" s="47"/>
      <c r="VQA1" s="47"/>
      <c r="VQB1" s="47"/>
      <c r="VQC1" s="47"/>
      <c r="VQD1" s="47"/>
      <c r="VQE1" s="47"/>
      <c r="VQF1" s="47"/>
      <c r="VQG1" s="47"/>
      <c r="VQH1" s="47"/>
      <c r="VQI1" s="47"/>
      <c r="VQJ1" s="47"/>
      <c r="VQK1" s="47"/>
      <c r="VQL1" s="47"/>
      <c r="VQM1" s="47"/>
      <c r="VQN1" s="47"/>
      <c r="VQO1" s="47"/>
      <c r="VQP1" s="47"/>
      <c r="VQQ1" s="47"/>
      <c r="VQR1" s="47"/>
      <c r="VQS1" s="47"/>
      <c r="VQT1" s="47"/>
      <c r="VQU1" s="47"/>
      <c r="VQV1" s="47"/>
      <c r="VQW1" s="47"/>
      <c r="VQX1" s="47"/>
      <c r="VQY1" s="47"/>
      <c r="VQZ1" s="47"/>
      <c r="VRA1" s="47"/>
      <c r="VRB1" s="47"/>
      <c r="VRC1" s="47"/>
      <c r="VRD1" s="47"/>
      <c r="VRE1" s="47"/>
      <c r="VRF1" s="47"/>
      <c r="VRG1" s="47"/>
      <c r="VRH1" s="47"/>
      <c r="VRI1" s="47"/>
      <c r="VRJ1" s="47"/>
      <c r="VRK1" s="47"/>
      <c r="VRL1" s="47"/>
      <c r="VRM1" s="47"/>
      <c r="VRN1" s="47"/>
      <c r="VRO1" s="47"/>
      <c r="VRP1" s="47"/>
      <c r="VRQ1" s="47"/>
      <c r="VRR1" s="47"/>
      <c r="VRS1" s="47"/>
      <c r="VRT1" s="47"/>
      <c r="VRU1" s="47"/>
      <c r="VRV1" s="47"/>
      <c r="VRW1" s="47"/>
      <c r="VRX1" s="47"/>
      <c r="VRY1" s="47"/>
      <c r="VRZ1" s="47"/>
      <c r="VSA1" s="47"/>
      <c r="VSB1" s="47"/>
      <c r="VSC1" s="47"/>
      <c r="VSD1" s="47"/>
      <c r="VSE1" s="47"/>
      <c r="VSF1" s="47"/>
      <c r="VSG1" s="47"/>
      <c r="VSH1" s="47"/>
      <c r="VSI1" s="47"/>
      <c r="VSJ1" s="47"/>
      <c r="VSK1" s="47"/>
      <c r="VSL1" s="47"/>
      <c r="VSM1" s="47"/>
      <c r="VSN1" s="47"/>
      <c r="VSO1" s="47"/>
      <c r="VSP1" s="47"/>
      <c r="VSQ1" s="47"/>
      <c r="VSR1" s="47"/>
      <c r="VSS1" s="47"/>
      <c r="VST1" s="47"/>
      <c r="VSU1" s="47"/>
      <c r="VSV1" s="47"/>
      <c r="VSW1" s="47"/>
      <c r="VSX1" s="47"/>
      <c r="VSY1" s="47"/>
      <c r="VSZ1" s="47"/>
      <c r="VTA1" s="47"/>
      <c r="VTB1" s="47"/>
      <c r="VTC1" s="47"/>
      <c r="VTD1" s="47"/>
      <c r="VTE1" s="47"/>
      <c r="VTF1" s="47"/>
      <c r="VTG1" s="47"/>
      <c r="VTH1" s="47"/>
      <c r="VTI1" s="47"/>
      <c r="VTJ1" s="47"/>
      <c r="VTK1" s="47"/>
      <c r="VTL1" s="47"/>
      <c r="VTM1" s="47"/>
      <c r="VTN1" s="47"/>
      <c r="VTO1" s="47"/>
      <c r="VTP1" s="47"/>
      <c r="VTQ1" s="47"/>
      <c r="VTR1" s="47"/>
      <c r="VTS1" s="47"/>
      <c r="VTT1" s="47"/>
      <c r="VTU1" s="47"/>
      <c r="VTV1" s="47"/>
      <c r="VTW1" s="47"/>
      <c r="VTX1" s="47"/>
      <c r="VTY1" s="47"/>
      <c r="VTZ1" s="47"/>
      <c r="VUA1" s="47"/>
      <c r="VUB1" s="47"/>
      <c r="VUC1" s="47"/>
      <c r="VUD1" s="47"/>
      <c r="VUE1" s="47"/>
      <c r="VUF1" s="47"/>
      <c r="VUG1" s="47"/>
      <c r="VUH1" s="47"/>
      <c r="VUI1" s="47"/>
      <c r="VUJ1" s="47"/>
      <c r="VUK1" s="47"/>
      <c r="VUL1" s="47"/>
      <c r="VUM1" s="47"/>
      <c r="VUN1" s="47"/>
      <c r="VUO1" s="47"/>
      <c r="VUP1" s="47"/>
      <c r="VUQ1" s="47"/>
      <c r="VUR1" s="47"/>
      <c r="VUS1" s="47"/>
      <c r="VUT1" s="47"/>
      <c r="VUU1" s="47"/>
      <c r="VUV1" s="47"/>
      <c r="VUW1" s="47"/>
      <c r="VUX1" s="47"/>
      <c r="VUY1" s="47"/>
      <c r="VUZ1" s="47"/>
      <c r="VVA1" s="47"/>
      <c r="VVB1" s="47"/>
      <c r="VVC1" s="47"/>
      <c r="VVD1" s="47"/>
      <c r="VVE1" s="47"/>
      <c r="VVF1" s="47"/>
      <c r="VVG1" s="47"/>
      <c r="VVH1" s="47"/>
      <c r="VVI1" s="47"/>
      <c r="VVJ1" s="47"/>
      <c r="VVK1" s="47"/>
      <c r="VVL1" s="47"/>
      <c r="VVM1" s="47"/>
      <c r="VVN1" s="47"/>
      <c r="VVO1" s="47"/>
      <c r="VVP1" s="47"/>
      <c r="VVQ1" s="47"/>
      <c r="VVR1" s="47"/>
      <c r="VVS1" s="47"/>
      <c r="VVT1" s="47"/>
      <c r="VVU1" s="47"/>
      <c r="VVV1" s="47"/>
      <c r="VVW1" s="47"/>
      <c r="VVX1" s="47"/>
      <c r="VVY1" s="47"/>
      <c r="VVZ1" s="47"/>
      <c r="VWA1" s="47"/>
      <c r="VWB1" s="47"/>
      <c r="VWC1" s="47"/>
      <c r="VWD1" s="47"/>
      <c r="VWE1" s="47"/>
      <c r="VWF1" s="47"/>
      <c r="VWG1" s="47"/>
      <c r="VWH1" s="47"/>
      <c r="VWI1" s="47"/>
      <c r="VWJ1" s="47"/>
      <c r="VWK1" s="47"/>
      <c r="VWL1" s="47"/>
      <c r="VWM1" s="47"/>
      <c r="VWN1" s="47"/>
      <c r="VWO1" s="47"/>
      <c r="VWP1" s="47"/>
      <c r="VWQ1" s="47"/>
      <c r="VWR1" s="47"/>
      <c r="VWS1" s="47"/>
      <c r="VWT1" s="47"/>
      <c r="VWU1" s="47"/>
      <c r="VWV1" s="47"/>
      <c r="VWW1" s="47"/>
      <c r="VWX1" s="47"/>
      <c r="VWY1" s="47"/>
      <c r="VWZ1" s="47"/>
      <c r="VXA1" s="47"/>
      <c r="VXB1" s="47"/>
      <c r="VXC1" s="47"/>
      <c r="VXD1" s="47"/>
      <c r="VXE1" s="47"/>
      <c r="VXF1" s="47"/>
      <c r="VXG1" s="47"/>
      <c r="VXH1" s="47"/>
      <c r="VXI1" s="47"/>
      <c r="VXJ1" s="47"/>
      <c r="VXK1" s="47"/>
      <c r="VXL1" s="47"/>
      <c r="VXM1" s="47"/>
      <c r="VXN1" s="47"/>
      <c r="VXO1" s="47"/>
      <c r="VXP1" s="47"/>
      <c r="VXQ1" s="47"/>
      <c r="VXR1" s="47"/>
      <c r="VXS1" s="47"/>
      <c r="VXT1" s="47"/>
      <c r="VXU1" s="47"/>
      <c r="VXV1" s="47"/>
      <c r="VXW1" s="47"/>
      <c r="VXX1" s="47"/>
      <c r="VXY1" s="47"/>
      <c r="VXZ1" s="47"/>
      <c r="VYA1" s="47"/>
      <c r="VYB1" s="47"/>
      <c r="VYC1" s="47"/>
      <c r="VYD1" s="47"/>
      <c r="VYE1" s="47"/>
      <c r="VYF1" s="47"/>
      <c r="VYG1" s="47"/>
      <c r="VYH1" s="47"/>
      <c r="VYI1" s="47"/>
      <c r="VYJ1" s="47"/>
      <c r="VYK1" s="47"/>
      <c r="VYL1" s="47"/>
      <c r="VYM1" s="47"/>
      <c r="VYN1" s="47"/>
      <c r="VYO1" s="47"/>
      <c r="VYP1" s="47"/>
      <c r="VYQ1" s="47"/>
      <c r="VYR1" s="47"/>
      <c r="VYS1" s="47"/>
      <c r="VYT1" s="47"/>
      <c r="VYU1" s="47"/>
      <c r="VYV1" s="47"/>
      <c r="VYW1" s="47"/>
      <c r="VYX1" s="47"/>
      <c r="VYY1" s="47"/>
      <c r="VYZ1" s="47"/>
      <c r="VZA1" s="47"/>
      <c r="VZB1" s="47"/>
      <c r="VZC1" s="47"/>
      <c r="VZD1" s="47"/>
      <c r="VZE1" s="47"/>
      <c r="VZF1" s="47"/>
      <c r="VZG1" s="47"/>
      <c r="VZH1" s="47"/>
      <c r="VZI1" s="47"/>
      <c r="VZJ1" s="47"/>
      <c r="VZK1" s="47"/>
      <c r="VZL1" s="47"/>
      <c r="VZM1" s="47"/>
      <c r="VZN1" s="47"/>
      <c r="VZO1" s="47"/>
      <c r="VZP1" s="47"/>
      <c r="VZQ1" s="47"/>
      <c r="VZR1" s="47"/>
      <c r="VZS1" s="47"/>
      <c r="VZT1" s="47"/>
      <c r="VZU1" s="47"/>
      <c r="VZV1" s="47"/>
      <c r="VZW1" s="47"/>
      <c r="VZX1" s="47"/>
      <c r="VZY1" s="47"/>
      <c r="VZZ1" s="47"/>
      <c r="WAA1" s="47"/>
      <c r="WAB1" s="47"/>
      <c r="WAC1" s="47"/>
      <c r="WAD1" s="47"/>
      <c r="WAE1" s="47"/>
      <c r="WAF1" s="47"/>
      <c r="WAG1" s="47"/>
      <c r="WAH1" s="47"/>
      <c r="WAI1" s="47"/>
      <c r="WAJ1" s="47"/>
      <c r="WAK1" s="47"/>
      <c r="WAL1" s="47"/>
      <c r="WAM1" s="47"/>
      <c r="WAN1" s="47"/>
      <c r="WAO1" s="47"/>
      <c r="WAP1" s="47"/>
      <c r="WAQ1" s="47"/>
      <c r="WAR1" s="47"/>
      <c r="WAS1" s="47"/>
      <c r="WAT1" s="47"/>
      <c r="WAU1" s="47"/>
      <c r="WAV1" s="47"/>
      <c r="WAW1" s="47"/>
      <c r="WAX1" s="47"/>
      <c r="WAY1" s="47"/>
      <c r="WAZ1" s="47"/>
      <c r="WBA1" s="47"/>
      <c r="WBB1" s="47"/>
      <c r="WBC1" s="47"/>
      <c r="WBD1" s="47"/>
      <c r="WBE1" s="47"/>
      <c r="WBF1" s="47"/>
      <c r="WBG1" s="47"/>
      <c r="WBH1" s="47"/>
      <c r="WBI1" s="47"/>
      <c r="WBJ1" s="47"/>
      <c r="WBK1" s="47"/>
      <c r="WBL1" s="47"/>
      <c r="WBM1" s="47"/>
      <c r="WBN1" s="47"/>
      <c r="WBO1" s="47"/>
      <c r="WBP1" s="47"/>
      <c r="WBQ1" s="47"/>
      <c r="WBR1" s="47"/>
      <c r="WBS1" s="47"/>
      <c r="WBT1" s="47"/>
      <c r="WBU1" s="47"/>
      <c r="WBV1" s="47"/>
      <c r="WBW1" s="47"/>
      <c r="WBX1" s="47"/>
      <c r="WBY1" s="47"/>
      <c r="WBZ1" s="47"/>
      <c r="WCA1" s="47"/>
      <c r="WCB1" s="47"/>
      <c r="WCC1" s="47"/>
      <c r="WCD1" s="47"/>
      <c r="WCE1" s="47"/>
      <c r="WCF1" s="47"/>
      <c r="WCG1" s="47"/>
      <c r="WCH1" s="47"/>
      <c r="WCI1" s="47"/>
      <c r="WCJ1" s="47"/>
      <c r="WCK1" s="47"/>
      <c r="WCL1" s="47"/>
      <c r="WCM1" s="47"/>
      <c r="WCN1" s="47"/>
      <c r="WCO1" s="47"/>
      <c r="WCP1" s="47"/>
      <c r="WCQ1" s="47"/>
      <c r="WCR1" s="47"/>
      <c r="WCS1" s="47"/>
      <c r="WCT1" s="47"/>
      <c r="WCU1" s="47"/>
      <c r="WCV1" s="47"/>
      <c r="WCW1" s="47"/>
      <c r="WCX1" s="47"/>
      <c r="WCY1" s="47"/>
      <c r="WCZ1" s="47"/>
      <c r="WDA1" s="47"/>
      <c r="WDB1" s="47"/>
      <c r="WDC1" s="47"/>
      <c r="WDD1" s="47"/>
      <c r="WDE1" s="47"/>
      <c r="WDF1" s="47"/>
      <c r="WDG1" s="47"/>
      <c r="WDH1" s="47"/>
      <c r="WDI1" s="47"/>
      <c r="WDJ1" s="47"/>
      <c r="WDK1" s="47"/>
      <c r="WDL1" s="47"/>
      <c r="WDM1" s="47"/>
      <c r="WDN1" s="47"/>
      <c r="WDO1" s="47"/>
      <c r="WDP1" s="47"/>
      <c r="WDQ1" s="47"/>
      <c r="WDR1" s="47"/>
      <c r="WDS1" s="47"/>
      <c r="WDT1" s="47"/>
      <c r="WDU1" s="47"/>
      <c r="WDV1" s="47"/>
      <c r="WDW1" s="47"/>
      <c r="WDX1" s="47"/>
      <c r="WDY1" s="47"/>
      <c r="WDZ1" s="47"/>
      <c r="WEA1" s="47"/>
      <c r="WEB1" s="47"/>
      <c r="WEC1" s="47"/>
      <c r="WED1" s="47"/>
      <c r="WEE1" s="47"/>
      <c r="WEF1" s="47"/>
      <c r="WEG1" s="47"/>
      <c r="WEH1" s="47"/>
      <c r="WEI1" s="47"/>
      <c r="WEJ1" s="47"/>
      <c r="WEK1" s="47"/>
      <c r="WEL1" s="47"/>
      <c r="WEM1" s="47"/>
      <c r="WEN1" s="47"/>
      <c r="WEO1" s="47"/>
      <c r="WEP1" s="47"/>
      <c r="WEQ1" s="47"/>
      <c r="WER1" s="47"/>
      <c r="WES1" s="47"/>
      <c r="WET1" s="47"/>
      <c r="WEU1" s="47"/>
      <c r="WEV1" s="47"/>
      <c r="WEW1" s="47"/>
      <c r="WEX1" s="47"/>
      <c r="WEY1" s="47"/>
      <c r="WEZ1" s="47"/>
      <c r="WFA1" s="47"/>
      <c r="WFB1" s="47"/>
      <c r="WFC1" s="47"/>
      <c r="WFD1" s="47"/>
      <c r="WFE1" s="47"/>
      <c r="WFF1" s="47"/>
      <c r="WFG1" s="47"/>
      <c r="WFH1" s="47"/>
      <c r="WFI1" s="47"/>
      <c r="WFJ1" s="47"/>
      <c r="WFK1" s="47"/>
      <c r="WFL1" s="47"/>
      <c r="WFM1" s="47"/>
      <c r="WFN1" s="47"/>
      <c r="WFO1" s="47"/>
      <c r="WFP1" s="47"/>
      <c r="WFQ1" s="47"/>
      <c r="WFR1" s="47"/>
      <c r="WFS1" s="47"/>
      <c r="WFT1" s="47"/>
      <c r="WFU1" s="47"/>
      <c r="WFV1" s="47"/>
      <c r="WFW1" s="47"/>
      <c r="WFX1" s="47"/>
      <c r="WFY1" s="47"/>
      <c r="WFZ1" s="47"/>
      <c r="WGA1" s="47"/>
      <c r="WGB1" s="47"/>
      <c r="WGC1" s="47"/>
      <c r="WGD1" s="47"/>
      <c r="WGE1" s="47"/>
      <c r="WGF1" s="47"/>
      <c r="WGG1" s="47"/>
      <c r="WGH1" s="47"/>
      <c r="WGI1" s="47"/>
      <c r="WGJ1" s="47"/>
      <c r="WGK1" s="47"/>
      <c r="WGL1" s="47"/>
      <c r="WGM1" s="47"/>
      <c r="WGN1" s="47"/>
      <c r="WGO1" s="47"/>
      <c r="WGP1" s="47"/>
      <c r="WGQ1" s="47"/>
      <c r="WGR1" s="47"/>
      <c r="WGS1" s="47"/>
      <c r="WGT1" s="47"/>
      <c r="WGU1" s="47"/>
      <c r="WGV1" s="47"/>
      <c r="WGW1" s="47"/>
      <c r="WGX1" s="47"/>
      <c r="WGY1" s="47"/>
      <c r="WGZ1" s="47"/>
      <c r="WHA1" s="47"/>
      <c r="WHB1" s="47"/>
      <c r="WHC1" s="47"/>
      <c r="WHD1" s="47"/>
      <c r="WHE1" s="47"/>
      <c r="WHF1" s="47"/>
      <c r="WHG1" s="47"/>
      <c r="WHH1" s="47"/>
      <c r="WHI1" s="47"/>
      <c r="WHJ1" s="47"/>
      <c r="WHK1" s="47"/>
      <c r="WHL1" s="47"/>
      <c r="WHM1" s="47"/>
      <c r="WHN1" s="47"/>
      <c r="WHO1" s="47"/>
      <c r="WHP1" s="47"/>
      <c r="WHQ1" s="47"/>
      <c r="WHR1" s="47"/>
      <c r="WHS1" s="47"/>
      <c r="WHT1" s="47"/>
      <c r="WHU1" s="47"/>
      <c r="WHV1" s="47"/>
      <c r="WHW1" s="47"/>
      <c r="WHX1" s="47"/>
      <c r="WHY1" s="47"/>
      <c r="WHZ1" s="47"/>
      <c r="WIA1" s="47"/>
      <c r="WIB1" s="47"/>
      <c r="WIC1" s="47"/>
      <c r="WID1" s="47"/>
      <c r="WIE1" s="47"/>
      <c r="WIF1" s="47"/>
      <c r="WIG1" s="47"/>
      <c r="WIH1" s="47"/>
      <c r="WII1" s="47"/>
      <c r="WIJ1" s="47"/>
      <c r="WIK1" s="47"/>
      <c r="WIL1" s="47"/>
      <c r="WIM1" s="47"/>
      <c r="WIN1" s="47"/>
      <c r="WIO1" s="47"/>
      <c r="WIP1" s="47"/>
      <c r="WIQ1" s="47"/>
      <c r="WIR1" s="47"/>
      <c r="WIS1" s="47"/>
      <c r="WIT1" s="47"/>
      <c r="WIU1" s="47"/>
      <c r="WIV1" s="47"/>
      <c r="WIW1" s="47"/>
      <c r="WIX1" s="47"/>
      <c r="WIY1" s="47"/>
      <c r="WIZ1" s="47"/>
      <c r="WJA1" s="47"/>
      <c r="WJB1" s="47"/>
      <c r="WJC1" s="47"/>
      <c r="WJD1" s="47"/>
      <c r="WJE1" s="47"/>
      <c r="WJF1" s="47"/>
      <c r="WJG1" s="47"/>
      <c r="WJH1" s="47"/>
      <c r="WJI1" s="47"/>
      <c r="WJJ1" s="47"/>
      <c r="WJK1" s="47"/>
      <c r="WJL1" s="47"/>
      <c r="WJM1" s="47"/>
      <c r="WJN1" s="47"/>
      <c r="WJO1" s="47"/>
      <c r="WJP1" s="47"/>
      <c r="WJQ1" s="47"/>
      <c r="WJR1" s="47"/>
      <c r="WJS1" s="47"/>
      <c r="WJT1" s="47"/>
      <c r="WJU1" s="47"/>
      <c r="WJV1" s="47"/>
      <c r="WJW1" s="47"/>
      <c r="WJX1" s="47"/>
      <c r="WJY1" s="47"/>
      <c r="WJZ1" s="47"/>
      <c r="WKA1" s="47"/>
      <c r="WKB1" s="47"/>
      <c r="WKC1" s="47"/>
      <c r="WKD1" s="47"/>
      <c r="WKE1" s="47"/>
      <c r="WKF1" s="47"/>
      <c r="WKG1" s="47"/>
      <c r="WKH1" s="47"/>
      <c r="WKI1" s="47"/>
      <c r="WKJ1" s="47"/>
      <c r="WKK1" s="47"/>
      <c r="WKL1" s="47"/>
      <c r="WKM1" s="47"/>
      <c r="WKN1" s="47"/>
      <c r="WKO1" s="47"/>
      <c r="WKP1" s="47"/>
      <c r="WKQ1" s="47"/>
      <c r="WKR1" s="47"/>
      <c r="WKS1" s="47"/>
      <c r="WKT1" s="47"/>
      <c r="WKU1" s="47"/>
      <c r="WKV1" s="47"/>
      <c r="WKW1" s="47"/>
      <c r="WKX1" s="47"/>
      <c r="WKY1" s="47"/>
      <c r="WKZ1" s="47"/>
      <c r="WLA1" s="47"/>
      <c r="WLB1" s="47"/>
      <c r="WLC1" s="47"/>
      <c r="WLD1" s="47"/>
      <c r="WLE1" s="47"/>
      <c r="WLF1" s="47"/>
      <c r="WLG1" s="47"/>
      <c r="WLH1" s="47"/>
      <c r="WLI1" s="47"/>
      <c r="WLJ1" s="47"/>
      <c r="WLK1" s="47"/>
      <c r="WLL1" s="47"/>
      <c r="WLM1" s="47"/>
      <c r="WLN1" s="47"/>
      <c r="WLO1" s="47"/>
      <c r="WLP1" s="47"/>
      <c r="WLQ1" s="47"/>
      <c r="WLR1" s="47"/>
      <c r="WLS1" s="47"/>
      <c r="WLT1" s="47"/>
      <c r="WLU1" s="47"/>
      <c r="WLV1" s="47"/>
      <c r="WLW1" s="47"/>
      <c r="WLX1" s="47"/>
      <c r="WLY1" s="47"/>
      <c r="WLZ1" s="47"/>
      <c r="WMA1" s="47"/>
      <c r="WMB1" s="47"/>
      <c r="WMC1" s="47"/>
      <c r="WMD1" s="47"/>
      <c r="WME1" s="47"/>
      <c r="WMF1" s="47"/>
      <c r="WMG1" s="47"/>
      <c r="WMH1" s="47"/>
      <c r="WMI1" s="47"/>
      <c r="WMJ1" s="47"/>
      <c r="WMK1" s="47"/>
      <c r="WML1" s="47"/>
      <c r="WMM1" s="47"/>
      <c r="WMN1" s="47"/>
      <c r="WMO1" s="47"/>
      <c r="WMP1" s="47"/>
      <c r="WMQ1" s="47"/>
      <c r="WMR1" s="47"/>
      <c r="WMS1" s="47"/>
      <c r="WMT1" s="47"/>
      <c r="WMU1" s="47"/>
      <c r="WMV1" s="47"/>
      <c r="WMW1" s="47"/>
      <c r="WMX1" s="47"/>
      <c r="WMY1" s="47"/>
      <c r="WMZ1" s="47"/>
      <c r="WNA1" s="47"/>
      <c r="WNB1" s="47"/>
      <c r="WNC1" s="47"/>
      <c r="WND1" s="47"/>
      <c r="WNE1" s="47"/>
      <c r="WNF1" s="47"/>
      <c r="WNG1" s="47"/>
      <c r="WNH1" s="47"/>
      <c r="WNI1" s="47"/>
      <c r="WNJ1" s="47"/>
      <c r="WNK1" s="47"/>
      <c r="WNL1" s="47"/>
      <c r="WNM1" s="47"/>
      <c r="WNN1" s="47"/>
      <c r="WNO1" s="47"/>
      <c r="WNP1" s="47"/>
      <c r="WNQ1" s="47"/>
      <c r="WNR1" s="47"/>
      <c r="WNS1" s="47"/>
      <c r="WNT1" s="47"/>
      <c r="WNU1" s="47"/>
      <c r="WNV1" s="47"/>
      <c r="WNW1" s="47"/>
      <c r="WNX1" s="47"/>
      <c r="WNY1" s="47"/>
      <c r="WNZ1" s="47"/>
      <c r="WOA1" s="47"/>
      <c r="WOB1" s="47"/>
      <c r="WOC1" s="47"/>
      <c r="WOD1" s="47"/>
      <c r="WOE1" s="47"/>
      <c r="WOF1" s="47"/>
      <c r="WOG1" s="47"/>
      <c r="WOH1" s="47"/>
      <c r="WOI1" s="47"/>
      <c r="WOJ1" s="47"/>
      <c r="WOK1" s="47"/>
      <c r="WOL1" s="47"/>
      <c r="WOM1" s="47"/>
      <c r="WON1" s="47"/>
      <c r="WOO1" s="47"/>
      <c r="WOP1" s="47"/>
      <c r="WOQ1" s="47"/>
      <c r="WOR1" s="47"/>
      <c r="WOS1" s="47"/>
      <c r="WOT1" s="47"/>
      <c r="WOU1" s="47"/>
      <c r="WOV1" s="47"/>
      <c r="WOW1" s="47"/>
      <c r="WOX1" s="47"/>
      <c r="WOY1" s="47"/>
      <c r="WOZ1" s="47"/>
      <c r="WPA1" s="47"/>
      <c r="WPB1" s="47"/>
      <c r="WPC1" s="47"/>
      <c r="WPD1" s="47"/>
      <c r="WPE1" s="47"/>
      <c r="WPF1" s="47"/>
      <c r="WPG1" s="47"/>
      <c r="WPH1" s="47"/>
      <c r="WPI1" s="47"/>
      <c r="WPJ1" s="47"/>
      <c r="WPK1" s="47"/>
      <c r="WPL1" s="47"/>
      <c r="WPM1" s="47"/>
      <c r="WPN1" s="47"/>
      <c r="WPO1" s="47"/>
      <c r="WPP1" s="47"/>
      <c r="WPQ1" s="47"/>
      <c r="WPR1" s="47"/>
      <c r="WPS1" s="47"/>
      <c r="WPT1" s="47"/>
      <c r="WPU1" s="47"/>
      <c r="WPV1" s="47"/>
      <c r="WPW1" s="47"/>
      <c r="WPX1" s="47"/>
      <c r="WPY1" s="47"/>
      <c r="WPZ1" s="47"/>
      <c r="WQA1" s="47"/>
      <c r="WQB1" s="47"/>
      <c r="WQC1" s="47"/>
      <c r="WQD1" s="47"/>
      <c r="WQE1" s="47"/>
      <c r="WQF1" s="47"/>
      <c r="WQG1" s="47"/>
      <c r="WQH1" s="47"/>
      <c r="WQI1" s="47"/>
      <c r="WQJ1" s="47"/>
      <c r="WQK1" s="47"/>
      <c r="WQL1" s="47"/>
      <c r="WQM1" s="47"/>
      <c r="WQN1" s="47"/>
      <c r="WQO1" s="47"/>
      <c r="WQP1" s="47"/>
      <c r="WQQ1" s="47"/>
      <c r="WQR1" s="47"/>
      <c r="WQS1" s="47"/>
      <c r="WQT1" s="47"/>
      <c r="WQU1" s="47"/>
      <c r="WQV1" s="47"/>
      <c r="WQW1" s="47"/>
      <c r="WQX1" s="47"/>
      <c r="WQY1" s="47"/>
      <c r="WQZ1" s="47"/>
      <c r="WRA1" s="47"/>
      <c r="WRB1" s="47"/>
      <c r="WRC1" s="47"/>
      <c r="WRD1" s="47"/>
      <c r="WRE1" s="47"/>
      <c r="WRF1" s="47"/>
      <c r="WRG1" s="47"/>
      <c r="WRH1" s="47"/>
      <c r="WRI1" s="47"/>
      <c r="WRJ1" s="47"/>
      <c r="WRK1" s="47"/>
      <c r="WRL1" s="47"/>
      <c r="WRM1" s="47"/>
      <c r="WRN1" s="47"/>
      <c r="WRO1" s="47"/>
      <c r="WRP1" s="47"/>
      <c r="WRQ1" s="47"/>
      <c r="WRR1" s="47"/>
      <c r="WRS1" s="47"/>
      <c r="WRT1" s="47"/>
      <c r="WRU1" s="47"/>
      <c r="WRV1" s="47"/>
      <c r="WRW1" s="47"/>
      <c r="WRX1" s="47"/>
      <c r="WRY1" s="47"/>
      <c r="WRZ1" s="47"/>
      <c r="WSA1" s="47"/>
      <c r="WSB1" s="47"/>
      <c r="WSC1" s="47"/>
      <c r="WSD1" s="47"/>
      <c r="WSE1" s="47"/>
      <c r="WSF1" s="47"/>
      <c r="WSG1" s="47"/>
      <c r="WSH1" s="47"/>
      <c r="WSI1" s="47"/>
      <c r="WSJ1" s="47"/>
      <c r="WSK1" s="47"/>
      <c r="WSL1" s="47"/>
      <c r="WSM1" s="47"/>
      <c r="WSN1" s="47"/>
      <c r="WSO1" s="47"/>
      <c r="WSP1" s="47"/>
      <c r="WSQ1" s="47"/>
      <c r="WSR1" s="47"/>
      <c r="WSS1" s="47"/>
      <c r="WST1" s="47"/>
      <c r="WSU1" s="47"/>
      <c r="WSV1" s="47"/>
      <c r="WSW1" s="47"/>
      <c r="WSX1" s="47"/>
      <c r="WSY1" s="47"/>
      <c r="WSZ1" s="47"/>
      <c r="WTA1" s="47"/>
      <c r="WTB1" s="47"/>
      <c r="WTC1" s="47"/>
      <c r="WTD1" s="47"/>
      <c r="WTE1" s="47"/>
      <c r="WTF1" s="47"/>
      <c r="WTG1" s="47"/>
      <c r="WTH1" s="47"/>
      <c r="WTI1" s="47"/>
      <c r="WTJ1" s="47"/>
      <c r="WTK1" s="47"/>
      <c r="WTL1" s="47"/>
      <c r="WTM1" s="47"/>
      <c r="WTN1" s="47"/>
      <c r="WTO1" s="47"/>
      <c r="WTP1" s="47"/>
      <c r="WTQ1" s="47"/>
      <c r="WTR1" s="47"/>
      <c r="WTS1" s="47"/>
      <c r="WTT1" s="47"/>
      <c r="WTU1" s="47"/>
      <c r="WTV1" s="47"/>
      <c r="WTW1" s="47"/>
      <c r="WTX1" s="47"/>
      <c r="WTY1" s="47"/>
      <c r="WTZ1" s="47"/>
      <c r="WUA1" s="47"/>
      <c r="WUB1" s="47"/>
      <c r="WUC1" s="47"/>
      <c r="WUD1" s="47"/>
      <c r="WUE1" s="47"/>
      <c r="WUF1" s="47"/>
      <c r="WUG1" s="47"/>
      <c r="WUH1" s="47"/>
      <c r="WUI1" s="47"/>
      <c r="WUJ1" s="47"/>
      <c r="WUK1" s="47"/>
      <c r="WUL1" s="47"/>
      <c r="WUM1" s="47"/>
      <c r="WUN1" s="47"/>
      <c r="WUO1" s="47"/>
      <c r="WUP1" s="47"/>
      <c r="WUQ1" s="47"/>
      <c r="WUR1" s="47"/>
      <c r="WUS1" s="47"/>
      <c r="WUT1" s="47"/>
      <c r="WUU1" s="47"/>
      <c r="WUV1" s="47"/>
      <c r="WUW1" s="47"/>
      <c r="WUX1" s="47"/>
      <c r="WUY1" s="47"/>
      <c r="WUZ1" s="47"/>
      <c r="WVA1" s="47"/>
      <c r="WVB1" s="47"/>
      <c r="WVC1" s="47"/>
      <c r="WVD1" s="47"/>
      <c r="WVE1" s="47"/>
      <c r="WVF1" s="47"/>
      <c r="WVG1" s="47"/>
      <c r="WVH1" s="47"/>
      <c r="WVI1" s="47"/>
      <c r="WVJ1" s="47"/>
      <c r="WVK1" s="47"/>
      <c r="WVL1" s="47"/>
      <c r="WVM1" s="47"/>
      <c r="WVN1" s="47"/>
      <c r="WVO1" s="47"/>
      <c r="WVP1" s="47"/>
      <c r="WVQ1" s="47"/>
      <c r="WVR1" s="47"/>
      <c r="WVS1" s="47"/>
      <c r="WVT1" s="47"/>
      <c r="WVU1" s="47"/>
      <c r="WVV1" s="47"/>
      <c r="WVW1" s="47"/>
      <c r="WVX1" s="47"/>
      <c r="WVY1" s="47"/>
      <c r="WVZ1" s="47"/>
      <c r="WWA1" s="47"/>
      <c r="WWB1" s="47"/>
      <c r="WWC1" s="47"/>
      <c r="WWD1" s="47"/>
      <c r="WWE1" s="47"/>
      <c r="WWF1" s="47"/>
      <c r="WWG1" s="47"/>
      <c r="WWH1" s="47"/>
      <c r="WWI1" s="47"/>
      <c r="WWJ1" s="47"/>
      <c r="WWK1" s="47"/>
      <c r="WWL1" s="47"/>
      <c r="WWM1" s="47"/>
      <c r="WWN1" s="47"/>
      <c r="WWO1" s="47"/>
      <c r="WWP1" s="47"/>
      <c r="WWQ1" s="47"/>
      <c r="WWR1" s="47"/>
      <c r="WWS1" s="47"/>
      <c r="WWT1" s="47"/>
      <c r="WWU1" s="47"/>
      <c r="WWV1" s="47"/>
      <c r="WWW1" s="47"/>
      <c r="WWX1" s="47"/>
      <c r="WWY1" s="47"/>
      <c r="WWZ1" s="47"/>
      <c r="WXA1" s="47"/>
      <c r="WXB1" s="47"/>
      <c r="WXC1" s="47"/>
      <c r="WXD1" s="47"/>
      <c r="WXE1" s="47"/>
      <c r="WXF1" s="47"/>
      <c r="WXG1" s="47"/>
      <c r="WXH1" s="47"/>
      <c r="WXI1" s="47"/>
      <c r="WXJ1" s="47"/>
      <c r="WXK1" s="47"/>
      <c r="WXL1" s="47"/>
      <c r="WXM1" s="47"/>
      <c r="WXN1" s="47"/>
      <c r="WXO1" s="47"/>
      <c r="WXP1" s="47"/>
      <c r="WXQ1" s="47"/>
      <c r="WXR1" s="47"/>
      <c r="WXS1" s="47"/>
      <c r="WXT1" s="47"/>
      <c r="WXU1" s="47"/>
      <c r="WXV1" s="47"/>
      <c r="WXW1" s="47"/>
      <c r="WXX1" s="47"/>
      <c r="WXY1" s="47"/>
      <c r="WXZ1" s="47"/>
      <c r="WYA1" s="47"/>
      <c r="WYB1" s="47"/>
      <c r="WYC1" s="47"/>
      <c r="WYD1" s="47"/>
      <c r="WYE1" s="47"/>
      <c r="WYF1" s="47"/>
      <c r="WYG1" s="47"/>
      <c r="WYH1" s="47"/>
      <c r="WYI1" s="47"/>
      <c r="WYJ1" s="47"/>
      <c r="WYK1" s="47"/>
      <c r="WYL1" s="47"/>
      <c r="WYM1" s="47"/>
      <c r="WYN1" s="47"/>
      <c r="WYO1" s="47"/>
      <c r="WYP1" s="47"/>
      <c r="WYQ1" s="47"/>
      <c r="WYR1" s="47"/>
      <c r="WYS1" s="47"/>
      <c r="WYT1" s="47"/>
      <c r="WYU1" s="47"/>
      <c r="WYV1" s="47"/>
      <c r="WYW1" s="47"/>
      <c r="WYX1" s="47"/>
      <c r="WYY1" s="47"/>
      <c r="WYZ1" s="47"/>
      <c r="WZA1" s="47"/>
      <c r="WZB1" s="47"/>
      <c r="WZC1" s="47"/>
      <c r="WZD1" s="47"/>
      <c r="WZE1" s="47"/>
      <c r="WZF1" s="47"/>
      <c r="WZG1" s="47"/>
      <c r="WZH1" s="47"/>
      <c r="WZI1" s="47"/>
      <c r="WZJ1" s="47"/>
      <c r="WZK1" s="47"/>
      <c r="WZL1" s="47"/>
      <c r="WZM1" s="47"/>
      <c r="WZN1" s="47"/>
      <c r="WZO1" s="47"/>
      <c r="WZP1" s="47"/>
      <c r="WZQ1" s="47"/>
      <c r="WZR1" s="47"/>
      <c r="WZS1" s="47"/>
      <c r="WZT1" s="47"/>
      <c r="WZU1" s="47"/>
      <c r="WZV1" s="47"/>
      <c r="WZW1" s="47"/>
      <c r="WZX1" s="47"/>
      <c r="WZY1" s="47"/>
      <c r="WZZ1" s="47"/>
      <c r="XAA1" s="47"/>
      <c r="XAB1" s="47"/>
      <c r="XAC1" s="47"/>
      <c r="XAD1" s="47"/>
      <c r="XAE1" s="47"/>
      <c r="XAF1" s="47"/>
      <c r="XAG1" s="47"/>
      <c r="XAH1" s="47"/>
      <c r="XAI1" s="47"/>
      <c r="XAJ1" s="47"/>
      <c r="XAK1" s="47"/>
      <c r="XAL1" s="47"/>
      <c r="XAM1" s="47"/>
      <c r="XAN1" s="47"/>
      <c r="XAO1" s="47"/>
      <c r="XAP1" s="47"/>
      <c r="XAQ1" s="47"/>
      <c r="XAR1" s="47"/>
      <c r="XAS1" s="47"/>
      <c r="XAT1" s="47"/>
      <c r="XAU1" s="47"/>
      <c r="XAV1" s="47"/>
      <c r="XAW1" s="47"/>
      <c r="XAX1" s="47"/>
      <c r="XAY1" s="47"/>
      <c r="XAZ1" s="47"/>
      <c r="XBA1" s="47"/>
      <c r="XBB1" s="47"/>
      <c r="XBC1" s="47"/>
      <c r="XBD1" s="47"/>
      <c r="XBE1" s="47"/>
      <c r="XBF1" s="47"/>
      <c r="XBG1" s="47"/>
      <c r="XBH1" s="47"/>
      <c r="XBI1" s="47"/>
      <c r="XBJ1" s="47"/>
      <c r="XBK1" s="47"/>
      <c r="XBL1" s="47"/>
      <c r="XBM1" s="47"/>
      <c r="XBN1" s="47"/>
      <c r="XBO1" s="47"/>
      <c r="XBP1" s="47"/>
      <c r="XBQ1" s="47"/>
      <c r="XBR1" s="47"/>
      <c r="XBS1" s="47"/>
      <c r="XBT1" s="47"/>
      <c r="XBU1" s="47"/>
      <c r="XBV1" s="47"/>
      <c r="XBW1" s="47"/>
      <c r="XBX1" s="47"/>
      <c r="XBY1" s="47"/>
      <c r="XBZ1" s="47"/>
      <c r="XCA1" s="47"/>
      <c r="XCB1" s="47"/>
      <c r="XCC1" s="47"/>
      <c r="XCD1" s="47"/>
      <c r="XCE1" s="47"/>
      <c r="XCF1" s="47"/>
      <c r="XCG1" s="47"/>
      <c r="XCH1" s="47"/>
      <c r="XCI1" s="47"/>
      <c r="XCJ1" s="47"/>
      <c r="XCK1" s="47"/>
      <c r="XCL1" s="47"/>
      <c r="XCM1" s="47"/>
      <c r="XCN1" s="47"/>
      <c r="XCO1" s="47"/>
      <c r="XCP1" s="47"/>
      <c r="XCQ1" s="47"/>
      <c r="XCR1" s="47"/>
      <c r="XCS1" s="47"/>
      <c r="XCT1" s="47"/>
      <c r="XCU1" s="47"/>
      <c r="XCV1" s="47"/>
      <c r="XCW1" s="47"/>
      <c r="XCX1" s="47"/>
      <c r="XCY1" s="47"/>
      <c r="XCZ1" s="47"/>
      <c r="XDA1" s="47"/>
      <c r="XDB1" s="47"/>
      <c r="XDC1" s="47"/>
      <c r="XDD1" s="47"/>
      <c r="XDE1" s="47"/>
      <c r="XDF1" s="47"/>
      <c r="XDG1" s="47"/>
      <c r="XDH1" s="47"/>
      <c r="XDI1" s="47"/>
      <c r="XDJ1" s="47"/>
      <c r="XDK1" s="47"/>
      <c r="XDL1" s="47"/>
      <c r="XDM1" s="47"/>
      <c r="XDN1" s="47"/>
      <c r="XDO1" s="47"/>
      <c r="XDP1" s="47"/>
      <c r="XDQ1" s="47"/>
      <c r="XDR1" s="47"/>
      <c r="XDS1" s="47"/>
      <c r="XDT1" s="47"/>
      <c r="XDU1" s="47"/>
      <c r="XDV1" s="47"/>
      <c r="XDW1" s="47"/>
      <c r="XDX1" s="47"/>
      <c r="XDY1" s="47"/>
      <c r="XDZ1" s="47"/>
      <c r="XEA1" s="47"/>
      <c r="XEB1" s="47"/>
      <c r="XEC1" s="47"/>
      <c r="XED1" s="47"/>
      <c r="XEE1" s="47"/>
      <c r="XEF1" s="47"/>
      <c r="XEG1" s="47"/>
      <c r="XEH1" s="47"/>
      <c r="XEI1" s="47"/>
      <c r="XEJ1" s="47"/>
      <c r="XEK1" s="47"/>
      <c r="XEL1" s="47"/>
      <c r="XEM1" s="47"/>
      <c r="XEN1" s="47"/>
      <c r="XEO1" s="47"/>
      <c r="XEP1" s="47"/>
      <c r="XEQ1" s="47"/>
      <c r="XER1" s="47"/>
      <c r="XES1" s="47"/>
      <c r="XET1" s="47"/>
      <c r="XEU1" s="47"/>
      <c r="XEV1" s="47"/>
      <c r="XEW1" s="47"/>
      <c r="XEX1" s="47"/>
      <c r="XEY1" s="47"/>
      <c r="XEZ1" s="47"/>
      <c r="XFA1" s="47"/>
      <c r="XFB1" s="47"/>
      <c r="XFC1" s="47"/>
      <c r="XFD1" s="47"/>
    </row>
    <row r="2" spans="1:16384" ht="15.75" x14ac:dyDescent="0.25">
      <c r="A2" s="17" t="s">
        <v>5154</v>
      </c>
      <c r="B2" s="18"/>
      <c r="C2" s="18"/>
      <c r="D2" s="58"/>
      <c r="E2" s="58"/>
      <c r="F2" s="58"/>
      <c r="G2" s="58"/>
      <c r="H2" s="58"/>
    </row>
    <row r="3" spans="1:16384" x14ac:dyDescent="0.2">
      <c r="A3" s="4"/>
    </row>
    <row r="4" spans="1:16384" ht="15" x14ac:dyDescent="0.25">
      <c r="A4" s="5" t="s">
        <v>1253</v>
      </c>
      <c r="B4" s="5"/>
      <c r="C4" s="20"/>
    </row>
    <row r="5" spans="1:16384" ht="25.5" x14ac:dyDescent="0.2">
      <c r="A5" s="21" t="s">
        <v>1254</v>
      </c>
      <c r="B5" s="21" t="s">
        <v>1255</v>
      </c>
      <c r="C5" s="22" t="s">
        <v>1256</v>
      </c>
    </row>
    <row r="6" spans="1:16384" x14ac:dyDescent="0.2">
      <c r="A6" s="47" t="s">
        <v>26</v>
      </c>
      <c r="B6" s="47">
        <v>382</v>
      </c>
      <c r="C6" s="8">
        <v>8802</v>
      </c>
    </row>
    <row r="7" spans="1:16384" x14ac:dyDescent="0.2">
      <c r="A7" s="47" t="s">
        <v>1257</v>
      </c>
      <c r="B7" s="47">
        <v>5</v>
      </c>
      <c r="C7" s="8">
        <v>5293</v>
      </c>
    </row>
    <row r="8" spans="1:16384" x14ac:dyDescent="0.2">
      <c r="A8" s="47" t="s">
        <v>20</v>
      </c>
      <c r="B8" s="47">
        <v>46</v>
      </c>
      <c r="C8" s="8">
        <v>2120</v>
      </c>
    </row>
    <row r="9" spans="1:16384" x14ac:dyDescent="0.2">
      <c r="A9" s="47" t="s">
        <v>42</v>
      </c>
      <c r="B9" s="47">
        <v>21</v>
      </c>
      <c r="C9" s="8">
        <v>449</v>
      </c>
    </row>
    <row r="10" spans="1:16384" x14ac:dyDescent="0.2">
      <c r="A10" s="47" t="s">
        <v>1258</v>
      </c>
      <c r="B10" s="3">
        <v>443</v>
      </c>
      <c r="C10" s="8">
        <v>2792</v>
      </c>
    </row>
    <row r="11" spans="1:16384" x14ac:dyDescent="0.2">
      <c r="A11" s="47" t="s">
        <v>351</v>
      </c>
      <c r="B11" s="12">
        <v>69</v>
      </c>
      <c r="C11" s="13">
        <v>6973</v>
      </c>
    </row>
    <row r="12" spans="1:16384" x14ac:dyDescent="0.2">
      <c r="A12" s="47" t="s">
        <v>1259</v>
      </c>
      <c r="B12" s="3">
        <v>966</v>
      </c>
      <c r="C12" s="8">
        <v>26429</v>
      </c>
    </row>
    <row r="13" spans="1:16384" x14ac:dyDescent="0.2">
      <c r="C13" s="2"/>
    </row>
    <row r="14" spans="1:16384" x14ac:dyDescent="0.2">
      <c r="A14" s="47" t="s">
        <v>1260</v>
      </c>
      <c r="B14" s="23">
        <v>15725</v>
      </c>
      <c r="C14" s="9"/>
    </row>
    <row r="15" spans="1:16384" ht="13.5" thickBot="1" x14ac:dyDescent="0.25">
      <c r="A15" s="10" t="s">
        <v>1261</v>
      </c>
      <c r="B15" s="24">
        <v>18309</v>
      </c>
      <c r="C15" s="11"/>
    </row>
    <row r="16" spans="1:16384" ht="13.5" thickTop="1" x14ac:dyDescent="0.2"/>
    <row r="17" spans="1:3" ht="15" x14ac:dyDescent="0.25">
      <c r="A17" s="5" t="s">
        <v>152</v>
      </c>
      <c r="B17" s="5"/>
      <c r="C17" s="20"/>
    </row>
    <row r="18" spans="1:3" ht="25.5" x14ac:dyDescent="0.2">
      <c r="A18" s="21" t="s">
        <v>1254</v>
      </c>
      <c r="B18" s="21" t="s">
        <v>1255</v>
      </c>
      <c r="C18" s="22" t="s">
        <v>1256</v>
      </c>
    </row>
    <row r="19" spans="1:3" x14ac:dyDescent="0.2">
      <c r="A19" s="47" t="s">
        <v>26</v>
      </c>
      <c r="B19" s="47">
        <v>49</v>
      </c>
      <c r="C19" s="8">
        <v>429</v>
      </c>
    </row>
    <row r="20" spans="1:3" x14ac:dyDescent="0.2">
      <c r="A20" s="47" t="s">
        <v>156</v>
      </c>
      <c r="B20" s="47">
        <v>1</v>
      </c>
      <c r="C20" s="8">
        <v>31</v>
      </c>
    </row>
    <row r="21" spans="1:3" x14ac:dyDescent="0.2">
      <c r="A21" s="47" t="s">
        <v>20</v>
      </c>
      <c r="B21" s="47">
        <v>3</v>
      </c>
      <c r="C21" s="8">
        <v>176</v>
      </c>
    </row>
    <row r="22" spans="1:3" x14ac:dyDescent="0.2">
      <c r="A22" s="47" t="s">
        <v>1262</v>
      </c>
      <c r="B22" s="47">
        <v>2</v>
      </c>
      <c r="C22" s="2">
        <v>118</v>
      </c>
    </row>
    <row r="23" spans="1:3" x14ac:dyDescent="0.2">
      <c r="A23" s="47" t="s">
        <v>1258</v>
      </c>
      <c r="B23" s="47">
        <v>21</v>
      </c>
      <c r="C23" s="8">
        <v>101</v>
      </c>
    </row>
    <row r="24" spans="1:3" x14ac:dyDescent="0.2">
      <c r="A24" s="47" t="s">
        <v>351</v>
      </c>
      <c r="B24" s="1">
        <v>38</v>
      </c>
      <c r="C24" s="14">
        <v>2150</v>
      </c>
    </row>
    <row r="25" spans="1:3" x14ac:dyDescent="0.2">
      <c r="A25" s="47" t="s">
        <v>1259</v>
      </c>
      <c r="B25" s="47">
        <v>114</v>
      </c>
      <c r="C25" s="8">
        <v>3005</v>
      </c>
    </row>
    <row r="26" spans="1:3" x14ac:dyDescent="0.2">
      <c r="C26" s="2"/>
    </row>
    <row r="27" spans="1:3" x14ac:dyDescent="0.2">
      <c r="A27" s="47" t="s">
        <v>1263</v>
      </c>
      <c r="B27" s="23">
        <v>1252</v>
      </c>
      <c r="C27" s="9"/>
    </row>
    <row r="28" spans="1:3" ht="13.5" thickBot="1" x14ac:dyDescent="0.25">
      <c r="A28" s="10" t="s">
        <v>1264</v>
      </c>
      <c r="B28" s="24">
        <v>2558</v>
      </c>
      <c r="C28" s="11"/>
    </row>
    <row r="29" spans="1:3" ht="13.5" thickTop="1" x14ac:dyDescent="0.2"/>
    <row r="30" spans="1:3" ht="15" x14ac:dyDescent="0.25">
      <c r="A30" s="5" t="s">
        <v>16</v>
      </c>
      <c r="B30" s="5"/>
      <c r="C30" s="20"/>
    </row>
    <row r="31" spans="1:3" ht="25.5" x14ac:dyDescent="0.2">
      <c r="A31" s="21" t="s">
        <v>1254</v>
      </c>
      <c r="B31" s="21" t="s">
        <v>1255</v>
      </c>
      <c r="C31" s="22" t="s">
        <v>1256</v>
      </c>
    </row>
    <row r="32" spans="1:3" x14ac:dyDescent="0.2">
      <c r="A32" s="47" t="s">
        <v>26</v>
      </c>
      <c r="B32" s="47">
        <v>185</v>
      </c>
      <c r="C32" s="8">
        <v>1982</v>
      </c>
    </row>
    <row r="33" spans="1:3" x14ac:dyDescent="0.2">
      <c r="A33" s="47" t="s">
        <v>156</v>
      </c>
      <c r="B33" s="47">
        <v>4</v>
      </c>
      <c r="C33" s="8">
        <v>5262</v>
      </c>
    </row>
    <row r="34" spans="1:3" x14ac:dyDescent="0.2">
      <c r="A34" s="47" t="s">
        <v>20</v>
      </c>
      <c r="B34" s="47">
        <v>14</v>
      </c>
      <c r="C34" s="8">
        <v>1009</v>
      </c>
    </row>
    <row r="35" spans="1:3" x14ac:dyDescent="0.2">
      <c r="A35" s="47" t="s">
        <v>1262</v>
      </c>
      <c r="B35" s="47">
        <v>12</v>
      </c>
      <c r="C35" s="2">
        <v>218</v>
      </c>
    </row>
    <row r="36" spans="1:3" x14ac:dyDescent="0.2">
      <c r="A36" s="47" t="s">
        <v>1258</v>
      </c>
      <c r="B36" s="47">
        <v>2</v>
      </c>
      <c r="C36" s="2">
        <v>67</v>
      </c>
    </row>
    <row r="37" spans="1:3" x14ac:dyDescent="0.2">
      <c r="A37" s="47" t="s">
        <v>351</v>
      </c>
      <c r="B37" s="1">
        <v>30</v>
      </c>
      <c r="C37" s="14">
        <v>4773</v>
      </c>
    </row>
    <row r="38" spans="1:3" x14ac:dyDescent="0.2">
      <c r="A38" s="47" t="s">
        <v>1259</v>
      </c>
      <c r="B38" s="47">
        <v>247</v>
      </c>
      <c r="C38" s="8">
        <v>13311</v>
      </c>
    </row>
    <row r="39" spans="1:3" x14ac:dyDescent="0.2">
      <c r="C39" s="2"/>
    </row>
    <row r="40" spans="1:3" x14ac:dyDescent="0.2">
      <c r="A40" s="47" t="s">
        <v>1265</v>
      </c>
      <c r="B40" s="23">
        <v>6702</v>
      </c>
      <c r="C40" s="9"/>
    </row>
    <row r="41" spans="1:3" ht="13.5" thickBot="1" x14ac:dyDescent="0.25">
      <c r="A41" s="10" t="s">
        <v>1266</v>
      </c>
      <c r="B41" s="24">
        <v>6875</v>
      </c>
      <c r="C41" s="11"/>
    </row>
    <row r="42" spans="1:3" ht="13.5" thickTop="1" x14ac:dyDescent="0.2">
      <c r="C42" s="2"/>
    </row>
    <row r="43" spans="1:3" ht="15" x14ac:dyDescent="0.25">
      <c r="A43" s="5" t="s">
        <v>38</v>
      </c>
      <c r="B43" s="5"/>
      <c r="C43" s="20"/>
    </row>
    <row r="44" spans="1:3" ht="25.5" x14ac:dyDescent="0.2">
      <c r="A44" s="21" t="s">
        <v>1254</v>
      </c>
      <c r="B44" s="21" t="s">
        <v>1255</v>
      </c>
      <c r="C44" s="22" t="s">
        <v>1256</v>
      </c>
    </row>
    <row r="45" spans="1:3" x14ac:dyDescent="0.2">
      <c r="A45" s="47" t="s">
        <v>26</v>
      </c>
      <c r="B45" s="47">
        <v>147</v>
      </c>
      <c r="C45" s="8">
        <v>1391</v>
      </c>
    </row>
    <row r="46" spans="1:3" x14ac:dyDescent="0.2">
      <c r="A46" s="47" t="s">
        <v>156</v>
      </c>
      <c r="B46" s="47">
        <v>0</v>
      </c>
      <c r="C46" s="59">
        <v>0</v>
      </c>
    </row>
    <row r="47" spans="1:3" x14ac:dyDescent="0.2">
      <c r="A47" s="47" t="s">
        <v>20</v>
      </c>
      <c r="B47" s="47">
        <v>29</v>
      </c>
      <c r="C47" s="8">
        <v>935</v>
      </c>
    </row>
    <row r="48" spans="1:3" x14ac:dyDescent="0.2">
      <c r="A48" s="47" t="s">
        <v>42</v>
      </c>
      <c r="B48" s="47">
        <v>7</v>
      </c>
      <c r="C48" s="2">
        <v>113</v>
      </c>
    </row>
    <row r="49" spans="1:3" x14ac:dyDescent="0.2">
      <c r="A49" s="47" t="s">
        <v>1267</v>
      </c>
      <c r="B49" s="47">
        <v>420</v>
      </c>
      <c r="C49" s="8">
        <v>2624</v>
      </c>
    </row>
    <row r="50" spans="1:3" x14ac:dyDescent="0.2">
      <c r="A50" s="47" t="s">
        <v>351</v>
      </c>
      <c r="B50" s="1">
        <v>1</v>
      </c>
      <c r="C50" s="15">
        <v>50</v>
      </c>
    </row>
    <row r="51" spans="1:3" x14ac:dyDescent="0.2">
      <c r="A51" s="47" t="s">
        <v>1268</v>
      </c>
      <c r="B51" s="47">
        <v>604</v>
      </c>
      <c r="C51" s="8">
        <v>5113</v>
      </c>
    </row>
    <row r="52" spans="1:3" x14ac:dyDescent="0.2">
      <c r="C52" s="2"/>
    </row>
    <row r="53" spans="1:3" x14ac:dyDescent="0.2">
      <c r="A53" s="47" t="s">
        <v>1269</v>
      </c>
      <c r="B53" s="23">
        <v>7771</v>
      </c>
      <c r="C53" s="9"/>
    </row>
    <row r="54" spans="1:3" ht="13.5" thickBot="1" x14ac:dyDescent="0.25">
      <c r="A54" s="10" t="s">
        <v>1270</v>
      </c>
      <c r="B54" s="24">
        <v>8876</v>
      </c>
      <c r="C54" s="11"/>
    </row>
    <row r="55" spans="1:3" ht="13.5" thickTop="1" x14ac:dyDescent="0.2"/>
  </sheetData>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5"/>
  <sheetViews>
    <sheetView topLeftCell="A3" workbookViewId="0">
      <selection activeCell="D27" sqref="D27"/>
    </sheetView>
  </sheetViews>
  <sheetFormatPr defaultColWidth="8.85546875" defaultRowHeight="12.75" x14ac:dyDescent="0.2"/>
  <cols>
    <col min="1" max="1" width="45.42578125" style="47" customWidth="1"/>
    <col min="2" max="2" width="11.28515625" style="47" customWidth="1"/>
    <col min="3" max="3" width="11.42578125" style="47" customWidth="1"/>
  </cols>
  <sheetData>
    <row r="2" spans="1:3" ht="15.75" x14ac:dyDescent="0.25">
      <c r="A2" s="17" t="s">
        <v>4537</v>
      </c>
      <c r="B2" s="18"/>
      <c r="C2" s="18"/>
    </row>
    <row r="3" spans="1:3" x14ac:dyDescent="0.2">
      <c r="A3" s="4"/>
    </row>
    <row r="4" spans="1:3" ht="15" x14ac:dyDescent="0.25">
      <c r="A4" s="5" t="s">
        <v>1253</v>
      </c>
      <c r="B4" s="5"/>
      <c r="C4" s="20"/>
    </row>
    <row r="5" spans="1:3" ht="25.5" x14ac:dyDescent="0.2">
      <c r="A5" s="21" t="s">
        <v>1254</v>
      </c>
      <c r="B5" s="21" t="s">
        <v>1255</v>
      </c>
      <c r="C5" s="22" t="s">
        <v>1256</v>
      </c>
    </row>
    <row r="6" spans="1:3" x14ac:dyDescent="0.2">
      <c r="A6" s="47" t="s">
        <v>26</v>
      </c>
      <c r="B6" s="47">
        <v>314</v>
      </c>
      <c r="C6" s="8">
        <v>2609</v>
      </c>
    </row>
    <row r="7" spans="1:3" x14ac:dyDescent="0.2">
      <c r="A7" s="47" t="s">
        <v>1257</v>
      </c>
      <c r="B7" s="47">
        <v>3</v>
      </c>
      <c r="C7" s="8">
        <v>607</v>
      </c>
    </row>
    <row r="8" spans="1:3" x14ac:dyDescent="0.2">
      <c r="A8" s="47" t="s">
        <v>20</v>
      </c>
      <c r="B8" s="47">
        <v>16</v>
      </c>
      <c r="C8" s="8">
        <v>702</v>
      </c>
    </row>
    <row r="9" spans="1:3" x14ac:dyDescent="0.2">
      <c r="A9" s="47" t="s">
        <v>42</v>
      </c>
      <c r="B9" s="47">
        <v>24</v>
      </c>
      <c r="C9" s="8">
        <v>765</v>
      </c>
    </row>
    <row r="10" spans="1:3" x14ac:dyDescent="0.2">
      <c r="A10" s="47" t="s">
        <v>1258</v>
      </c>
      <c r="B10" s="3">
        <v>504</v>
      </c>
      <c r="C10" s="8">
        <v>1861</v>
      </c>
    </row>
    <row r="11" spans="1:3" x14ac:dyDescent="0.2">
      <c r="A11" s="47" t="s">
        <v>351</v>
      </c>
      <c r="B11" s="12">
        <v>22</v>
      </c>
      <c r="C11" s="13">
        <v>1482</v>
      </c>
    </row>
    <row r="12" spans="1:3" x14ac:dyDescent="0.2">
      <c r="A12" s="47" t="s">
        <v>1259</v>
      </c>
      <c r="B12" s="3">
        <v>883</v>
      </c>
      <c r="C12" s="8">
        <v>8026</v>
      </c>
    </row>
    <row r="13" spans="1:3" x14ac:dyDescent="0.2">
      <c r="C13" s="2"/>
    </row>
    <row r="14" spans="1:3" x14ac:dyDescent="0.2">
      <c r="A14" s="47" t="s">
        <v>1260</v>
      </c>
      <c r="B14" s="23">
        <v>12685</v>
      </c>
      <c r="C14" s="9"/>
    </row>
    <row r="15" spans="1:3" ht="13.5" thickBot="1" x14ac:dyDescent="0.25">
      <c r="A15" s="10" t="s">
        <v>1261</v>
      </c>
      <c r="B15" s="24">
        <v>17740</v>
      </c>
      <c r="C15" s="11"/>
    </row>
    <row r="16" spans="1:3" ht="13.5" thickTop="1" x14ac:dyDescent="0.2"/>
    <row r="17" spans="1:3" ht="15" x14ac:dyDescent="0.25">
      <c r="A17" s="5" t="s">
        <v>152</v>
      </c>
      <c r="B17" s="5"/>
      <c r="C17" s="20"/>
    </row>
    <row r="18" spans="1:3" ht="25.5" x14ac:dyDescent="0.2">
      <c r="A18" s="21" t="s">
        <v>1254</v>
      </c>
      <c r="B18" s="21" t="s">
        <v>1255</v>
      </c>
      <c r="C18" s="22" t="s">
        <v>1256</v>
      </c>
    </row>
    <row r="19" spans="1:3" x14ac:dyDescent="0.2">
      <c r="A19" s="47" t="s">
        <v>26</v>
      </c>
      <c r="B19" s="47">
        <v>30</v>
      </c>
      <c r="C19" s="8">
        <v>477</v>
      </c>
    </row>
    <row r="20" spans="1:3" x14ac:dyDescent="0.2">
      <c r="A20" s="47" t="s">
        <v>156</v>
      </c>
      <c r="B20" s="47">
        <v>1</v>
      </c>
      <c r="C20" s="8">
        <v>123</v>
      </c>
    </row>
    <row r="21" spans="1:3" x14ac:dyDescent="0.2">
      <c r="A21" s="47" t="s">
        <v>20</v>
      </c>
      <c r="B21" s="47">
        <v>2</v>
      </c>
      <c r="C21" s="8">
        <v>53</v>
      </c>
    </row>
    <row r="22" spans="1:3" x14ac:dyDescent="0.2">
      <c r="A22" s="47" t="s">
        <v>1262</v>
      </c>
      <c r="B22" s="47">
        <v>8</v>
      </c>
      <c r="C22" s="2">
        <v>446</v>
      </c>
    </row>
    <row r="23" spans="1:3" x14ac:dyDescent="0.2">
      <c r="A23" s="47" t="s">
        <v>1258</v>
      </c>
      <c r="B23" s="47">
        <v>38</v>
      </c>
      <c r="C23" s="8">
        <v>215</v>
      </c>
    </row>
    <row r="24" spans="1:3" x14ac:dyDescent="0.2">
      <c r="A24" s="47" t="s">
        <v>351</v>
      </c>
      <c r="B24" s="1">
        <v>17</v>
      </c>
      <c r="C24" s="14">
        <v>1317</v>
      </c>
    </row>
    <row r="25" spans="1:3" x14ac:dyDescent="0.2">
      <c r="A25" s="47" t="s">
        <v>1259</v>
      </c>
      <c r="B25" s="47">
        <v>96</v>
      </c>
      <c r="C25" s="8">
        <v>2631</v>
      </c>
    </row>
    <row r="26" spans="1:3" x14ac:dyDescent="0.2">
      <c r="C26" s="2"/>
    </row>
    <row r="27" spans="1:3" x14ac:dyDescent="0.2">
      <c r="A27" s="47" t="s">
        <v>1263</v>
      </c>
      <c r="B27" s="23">
        <v>2972</v>
      </c>
      <c r="C27" s="9"/>
    </row>
    <row r="28" spans="1:3" ht="13.5" thickBot="1" x14ac:dyDescent="0.25">
      <c r="A28" s="10" t="s">
        <v>1264</v>
      </c>
      <c r="B28" s="24">
        <v>2861</v>
      </c>
      <c r="C28" s="11"/>
    </row>
    <row r="29" spans="1:3" ht="13.5" thickTop="1" x14ac:dyDescent="0.2"/>
    <row r="30" spans="1:3" ht="15" x14ac:dyDescent="0.25">
      <c r="A30" s="5" t="s">
        <v>16</v>
      </c>
      <c r="B30" s="5"/>
      <c r="C30" s="20"/>
    </row>
    <row r="31" spans="1:3" ht="25.5" x14ac:dyDescent="0.2">
      <c r="A31" s="21" t="s">
        <v>1254</v>
      </c>
      <c r="B31" s="21" t="s">
        <v>1255</v>
      </c>
      <c r="C31" s="22" t="s">
        <v>1256</v>
      </c>
    </row>
    <row r="32" spans="1:3" x14ac:dyDescent="0.2">
      <c r="A32" s="47" t="s">
        <v>26</v>
      </c>
      <c r="B32" s="47">
        <v>189</v>
      </c>
      <c r="C32" s="8">
        <v>1171</v>
      </c>
    </row>
    <row r="33" spans="1:3" x14ac:dyDescent="0.2">
      <c r="A33" s="47" t="s">
        <v>156</v>
      </c>
      <c r="B33" s="47">
        <v>2</v>
      </c>
      <c r="C33" s="8">
        <v>484</v>
      </c>
    </row>
    <row r="34" spans="1:3" x14ac:dyDescent="0.2">
      <c r="A34" s="47" t="s">
        <v>20</v>
      </c>
      <c r="B34" s="47">
        <v>5</v>
      </c>
      <c r="C34" s="8">
        <v>107</v>
      </c>
    </row>
    <row r="35" spans="1:3" x14ac:dyDescent="0.2">
      <c r="A35" s="47" t="s">
        <v>1262</v>
      </c>
      <c r="B35" s="47">
        <v>11</v>
      </c>
      <c r="C35" s="2">
        <v>242</v>
      </c>
    </row>
    <row r="36" spans="1:3" x14ac:dyDescent="0.2">
      <c r="A36" s="47" t="s">
        <v>1258</v>
      </c>
      <c r="B36" s="47">
        <v>1</v>
      </c>
      <c r="C36" s="2">
        <v>249</v>
      </c>
    </row>
    <row r="37" spans="1:3" x14ac:dyDescent="0.2">
      <c r="A37" s="47" t="s">
        <v>351</v>
      </c>
      <c r="B37" s="1">
        <v>4</v>
      </c>
      <c r="C37" s="14">
        <v>140</v>
      </c>
    </row>
    <row r="38" spans="1:3" x14ac:dyDescent="0.2">
      <c r="A38" s="47" t="s">
        <v>1259</v>
      </c>
      <c r="B38" s="47">
        <v>212</v>
      </c>
      <c r="C38" s="8">
        <v>2393</v>
      </c>
    </row>
    <row r="39" spans="1:3" x14ac:dyDescent="0.2">
      <c r="C39" s="2"/>
    </row>
    <row r="40" spans="1:3" x14ac:dyDescent="0.2">
      <c r="A40" s="47" t="s">
        <v>1265</v>
      </c>
      <c r="B40" s="23">
        <v>5661</v>
      </c>
      <c r="C40" s="9"/>
    </row>
    <row r="41" spans="1:3" ht="13.5" thickBot="1" x14ac:dyDescent="0.25">
      <c r="A41" s="10" t="s">
        <v>1266</v>
      </c>
      <c r="B41" s="24">
        <v>12961</v>
      </c>
      <c r="C41" s="11"/>
    </row>
    <row r="42" spans="1:3" ht="13.5" thickTop="1" x14ac:dyDescent="0.2">
      <c r="C42" s="2"/>
    </row>
    <row r="43" spans="1:3" ht="15" x14ac:dyDescent="0.25">
      <c r="A43" s="5" t="s">
        <v>38</v>
      </c>
      <c r="B43" s="5"/>
      <c r="C43" s="20"/>
    </row>
    <row r="44" spans="1:3" ht="25.5" x14ac:dyDescent="0.2">
      <c r="A44" s="21" t="s">
        <v>1254</v>
      </c>
      <c r="B44" s="21" t="s">
        <v>1255</v>
      </c>
      <c r="C44" s="22" t="s">
        <v>1256</v>
      </c>
    </row>
    <row r="45" spans="1:3" x14ac:dyDescent="0.2">
      <c r="A45" s="47" t="s">
        <v>26</v>
      </c>
      <c r="B45" s="47">
        <v>95</v>
      </c>
      <c r="C45" s="8">
        <v>961</v>
      </c>
    </row>
    <row r="46" spans="1:3" x14ac:dyDescent="0.2">
      <c r="A46" s="47" t="s">
        <v>156</v>
      </c>
      <c r="B46" s="47">
        <v>0</v>
      </c>
      <c r="C46" s="8">
        <v>0</v>
      </c>
    </row>
    <row r="47" spans="1:3" x14ac:dyDescent="0.2">
      <c r="A47" s="47" t="s">
        <v>20</v>
      </c>
      <c r="B47" s="47">
        <v>9</v>
      </c>
      <c r="C47" s="8">
        <v>542</v>
      </c>
    </row>
    <row r="48" spans="1:3" x14ac:dyDescent="0.2">
      <c r="A48" s="47" t="s">
        <v>42</v>
      </c>
      <c r="B48" s="47">
        <v>5</v>
      </c>
      <c r="C48" s="2">
        <v>77</v>
      </c>
    </row>
    <row r="49" spans="1:4" x14ac:dyDescent="0.2">
      <c r="A49" s="47" t="s">
        <v>1267</v>
      </c>
      <c r="B49" s="47">
        <v>465</v>
      </c>
      <c r="C49" s="8">
        <v>1397</v>
      </c>
      <c r="D49" s="4" t="s">
        <v>4538</v>
      </c>
    </row>
    <row r="50" spans="1:4" x14ac:dyDescent="0.2">
      <c r="A50" s="47" t="s">
        <v>351</v>
      </c>
      <c r="B50" s="1">
        <v>1</v>
      </c>
      <c r="C50" s="15">
        <v>25</v>
      </c>
    </row>
    <row r="51" spans="1:4" x14ac:dyDescent="0.2">
      <c r="A51" s="47" t="s">
        <v>1268</v>
      </c>
      <c r="B51" s="47">
        <v>575</v>
      </c>
      <c r="C51" s="8">
        <v>3002</v>
      </c>
    </row>
    <row r="52" spans="1:4" x14ac:dyDescent="0.2">
      <c r="C52" s="2"/>
    </row>
    <row r="53" spans="1:4" x14ac:dyDescent="0.2">
      <c r="A53" s="47" t="s">
        <v>1269</v>
      </c>
      <c r="B53" s="23">
        <v>4052</v>
      </c>
      <c r="C53" s="9"/>
    </row>
    <row r="54" spans="1:4" ht="13.5" thickBot="1" x14ac:dyDescent="0.25">
      <c r="A54" s="10" t="s">
        <v>1270</v>
      </c>
      <c r="B54" s="24">
        <v>1918</v>
      </c>
      <c r="C54" s="11"/>
    </row>
    <row r="55" spans="1:4" ht="13.5" thickTop="1" x14ac:dyDescent="0.2"/>
  </sheetData>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5"/>
  <sheetViews>
    <sheetView workbookViewId="0">
      <selection activeCell="E26" sqref="E26"/>
    </sheetView>
  </sheetViews>
  <sheetFormatPr defaultColWidth="8.85546875" defaultRowHeight="12.75" x14ac:dyDescent="0.2"/>
  <cols>
    <col min="1" max="1" width="45.42578125" style="47" customWidth="1"/>
    <col min="2" max="2" width="11.28515625" style="47" customWidth="1"/>
    <col min="3" max="3" width="11.42578125" style="47" customWidth="1"/>
    <col min="4" max="16384" width="8.85546875" style="47"/>
  </cols>
  <sheetData>
    <row r="2" spans="1:9" s="16" customFormat="1" ht="15.75" x14ac:dyDescent="0.25">
      <c r="A2" s="17" t="s">
        <v>4118</v>
      </c>
      <c r="B2" s="18"/>
      <c r="C2" s="18"/>
      <c r="D2" s="18"/>
      <c r="E2" s="18"/>
      <c r="F2" s="18"/>
      <c r="G2" s="18"/>
      <c r="H2" s="18"/>
      <c r="I2" s="18"/>
    </row>
    <row r="3" spans="1:9" x14ac:dyDescent="0.2">
      <c r="A3" s="4"/>
    </row>
    <row r="4" spans="1:9" s="7" customFormat="1" ht="15" x14ac:dyDescent="0.25">
      <c r="A4" s="5" t="s">
        <v>1253</v>
      </c>
      <c r="B4" s="5"/>
      <c r="C4" s="20"/>
    </row>
    <row r="5" spans="1:9" ht="25.5" x14ac:dyDescent="0.2">
      <c r="A5" s="21" t="s">
        <v>1254</v>
      </c>
      <c r="B5" s="21" t="s">
        <v>1255</v>
      </c>
      <c r="C5" s="22" t="s">
        <v>1256</v>
      </c>
    </row>
    <row r="6" spans="1:9" x14ac:dyDescent="0.2">
      <c r="A6" s="47" t="s">
        <v>26</v>
      </c>
      <c r="B6" s="47">
        <v>303</v>
      </c>
      <c r="C6" s="8">
        <v>1954</v>
      </c>
    </row>
    <row r="7" spans="1:9" x14ac:dyDescent="0.2">
      <c r="A7" s="47" t="s">
        <v>1257</v>
      </c>
      <c r="B7" s="47">
        <v>36</v>
      </c>
      <c r="C7" s="8">
        <v>3882</v>
      </c>
    </row>
    <row r="8" spans="1:9" x14ac:dyDescent="0.2">
      <c r="A8" s="47" t="s">
        <v>20</v>
      </c>
      <c r="B8" s="47">
        <v>43</v>
      </c>
      <c r="C8" s="8">
        <v>2993</v>
      </c>
    </row>
    <row r="9" spans="1:9" x14ac:dyDescent="0.2">
      <c r="A9" s="47" t="s">
        <v>42</v>
      </c>
      <c r="B9" s="47">
        <v>31</v>
      </c>
      <c r="C9" s="8">
        <v>844</v>
      </c>
    </row>
    <row r="10" spans="1:9" x14ac:dyDescent="0.2">
      <c r="A10" s="47" t="s">
        <v>1258</v>
      </c>
      <c r="B10" s="3">
        <v>519</v>
      </c>
      <c r="C10" s="8">
        <v>5039</v>
      </c>
    </row>
    <row r="11" spans="1:9" x14ac:dyDescent="0.2">
      <c r="A11" s="47" t="s">
        <v>351</v>
      </c>
      <c r="B11" s="12">
        <v>10</v>
      </c>
      <c r="C11" s="13">
        <v>5037</v>
      </c>
    </row>
    <row r="12" spans="1:9" x14ac:dyDescent="0.2">
      <c r="A12" s="47" t="s">
        <v>1259</v>
      </c>
      <c r="B12" s="3">
        <v>942</v>
      </c>
      <c r="C12" s="8">
        <v>19749</v>
      </c>
    </row>
    <row r="13" spans="1:9" x14ac:dyDescent="0.2">
      <c r="C13" s="2"/>
    </row>
    <row r="14" spans="1:9" x14ac:dyDescent="0.2">
      <c r="A14" s="47" t="s">
        <v>1260</v>
      </c>
      <c r="B14" s="23">
        <v>22486</v>
      </c>
      <c r="C14" s="9"/>
    </row>
    <row r="15" spans="1:9" ht="13.5" thickBot="1" x14ac:dyDescent="0.25">
      <c r="A15" s="10" t="s">
        <v>1261</v>
      </c>
      <c r="B15" s="24">
        <v>42948</v>
      </c>
      <c r="C15" s="11"/>
    </row>
    <row r="16" spans="1:9" ht="13.5" thickTop="1" x14ac:dyDescent="0.2">
      <c r="H16" s="19"/>
    </row>
    <row r="17" spans="1:3" s="6" customFormat="1" ht="15" x14ac:dyDescent="0.25">
      <c r="A17" s="5" t="s">
        <v>152</v>
      </c>
      <c r="B17" s="5"/>
      <c r="C17" s="20"/>
    </row>
    <row r="18" spans="1:3" ht="25.5" x14ac:dyDescent="0.2">
      <c r="A18" s="21" t="s">
        <v>1254</v>
      </c>
      <c r="B18" s="21" t="s">
        <v>1255</v>
      </c>
      <c r="C18" s="22" t="s">
        <v>1256</v>
      </c>
    </row>
    <row r="19" spans="1:3" x14ac:dyDescent="0.2">
      <c r="A19" s="47" t="s">
        <v>26</v>
      </c>
      <c r="B19" s="47">
        <v>19</v>
      </c>
      <c r="C19" s="8">
        <v>473</v>
      </c>
    </row>
    <row r="20" spans="1:3" x14ac:dyDescent="0.2">
      <c r="A20" s="47" t="s">
        <v>156</v>
      </c>
      <c r="B20" s="47">
        <v>6</v>
      </c>
      <c r="C20" s="8">
        <v>2085</v>
      </c>
    </row>
    <row r="21" spans="1:3" x14ac:dyDescent="0.2">
      <c r="A21" s="47" t="s">
        <v>20</v>
      </c>
      <c r="B21" s="47">
        <v>18</v>
      </c>
      <c r="C21" s="8">
        <v>1660</v>
      </c>
    </row>
    <row r="22" spans="1:3" x14ac:dyDescent="0.2">
      <c r="A22" s="47" t="s">
        <v>1262</v>
      </c>
      <c r="B22" s="47">
        <v>1</v>
      </c>
      <c r="C22" s="2">
        <v>18</v>
      </c>
    </row>
    <row r="23" spans="1:3" x14ac:dyDescent="0.2">
      <c r="A23" s="47" t="s">
        <v>1258</v>
      </c>
      <c r="B23" s="47">
        <v>20</v>
      </c>
      <c r="C23" s="8">
        <v>72</v>
      </c>
    </row>
    <row r="24" spans="1:3" x14ac:dyDescent="0.2">
      <c r="A24" s="47" t="s">
        <v>351</v>
      </c>
      <c r="B24" s="1">
        <v>1</v>
      </c>
      <c r="C24" s="14">
        <v>37</v>
      </c>
    </row>
    <row r="25" spans="1:3" x14ac:dyDescent="0.2">
      <c r="A25" s="47" t="s">
        <v>1259</v>
      </c>
      <c r="B25" s="47">
        <v>65</v>
      </c>
      <c r="C25" s="8">
        <v>4345</v>
      </c>
    </row>
    <row r="26" spans="1:3" x14ac:dyDescent="0.2">
      <c r="C26" s="2"/>
    </row>
    <row r="27" spans="1:3" x14ac:dyDescent="0.2">
      <c r="A27" s="47" t="s">
        <v>1263</v>
      </c>
      <c r="B27" s="23">
        <v>1691</v>
      </c>
      <c r="C27" s="9"/>
    </row>
    <row r="28" spans="1:3" ht="13.5" thickBot="1" x14ac:dyDescent="0.25">
      <c r="A28" s="10" t="s">
        <v>1264</v>
      </c>
      <c r="B28" s="24">
        <v>10123</v>
      </c>
      <c r="C28" s="11"/>
    </row>
    <row r="29" spans="1:3" ht="13.5" thickTop="1" x14ac:dyDescent="0.2"/>
    <row r="30" spans="1:3" ht="15" x14ac:dyDescent="0.25">
      <c r="A30" s="5" t="s">
        <v>16</v>
      </c>
      <c r="B30" s="5"/>
      <c r="C30" s="20"/>
    </row>
    <row r="31" spans="1:3" ht="25.5" x14ac:dyDescent="0.2">
      <c r="A31" s="21" t="s">
        <v>1254</v>
      </c>
      <c r="B31" s="21" t="s">
        <v>1255</v>
      </c>
      <c r="C31" s="22" t="s">
        <v>1256</v>
      </c>
    </row>
    <row r="32" spans="1:3" x14ac:dyDescent="0.2">
      <c r="A32" s="47" t="s">
        <v>26</v>
      </c>
      <c r="B32" s="47">
        <v>199</v>
      </c>
      <c r="C32" s="8">
        <v>943</v>
      </c>
    </row>
    <row r="33" spans="1:3" x14ac:dyDescent="0.2">
      <c r="A33" s="47" t="s">
        <v>156</v>
      </c>
      <c r="B33" s="47">
        <v>21</v>
      </c>
      <c r="C33" s="8">
        <v>1065</v>
      </c>
    </row>
    <row r="34" spans="1:3" x14ac:dyDescent="0.2">
      <c r="A34" s="47" t="s">
        <v>20</v>
      </c>
      <c r="B34" s="47">
        <v>11</v>
      </c>
      <c r="C34" s="8">
        <v>611</v>
      </c>
    </row>
    <row r="35" spans="1:3" x14ac:dyDescent="0.2">
      <c r="A35" s="47" t="s">
        <v>1262</v>
      </c>
      <c r="B35" s="47">
        <v>9</v>
      </c>
      <c r="C35" s="2">
        <v>169</v>
      </c>
    </row>
    <row r="36" spans="1:3" x14ac:dyDescent="0.2">
      <c r="A36" s="47" t="s">
        <v>1258</v>
      </c>
      <c r="B36" s="47">
        <v>1</v>
      </c>
      <c r="C36" s="2">
        <v>127</v>
      </c>
    </row>
    <row r="37" spans="1:3" x14ac:dyDescent="0.2">
      <c r="A37" s="47" t="s">
        <v>351</v>
      </c>
      <c r="B37" s="1">
        <v>9</v>
      </c>
      <c r="C37" s="14">
        <v>5000</v>
      </c>
    </row>
    <row r="38" spans="1:3" x14ac:dyDescent="0.2">
      <c r="A38" s="47" t="s">
        <v>1259</v>
      </c>
      <c r="B38" s="47">
        <v>250</v>
      </c>
      <c r="C38" s="8">
        <v>7915</v>
      </c>
    </row>
    <row r="39" spans="1:3" x14ac:dyDescent="0.2">
      <c r="C39" s="2"/>
    </row>
    <row r="40" spans="1:3" x14ac:dyDescent="0.2">
      <c r="A40" s="47" t="s">
        <v>1265</v>
      </c>
      <c r="B40" s="23">
        <v>19101</v>
      </c>
      <c r="C40" s="9"/>
    </row>
    <row r="41" spans="1:3" ht="13.5" thickBot="1" x14ac:dyDescent="0.25">
      <c r="A41" s="10" t="s">
        <v>1266</v>
      </c>
      <c r="B41" s="24">
        <v>1663</v>
      </c>
      <c r="C41" s="11"/>
    </row>
    <row r="42" spans="1:3" ht="13.5" thickTop="1" x14ac:dyDescent="0.2">
      <c r="C42" s="2"/>
    </row>
    <row r="43" spans="1:3" ht="15" x14ac:dyDescent="0.25">
      <c r="A43" s="5" t="s">
        <v>38</v>
      </c>
      <c r="B43" s="5"/>
      <c r="C43" s="20"/>
    </row>
    <row r="44" spans="1:3" ht="25.5" x14ac:dyDescent="0.2">
      <c r="A44" s="21" t="s">
        <v>1254</v>
      </c>
      <c r="B44" s="21" t="s">
        <v>1255</v>
      </c>
      <c r="C44" s="22" t="s">
        <v>1256</v>
      </c>
    </row>
    <row r="45" spans="1:3" x14ac:dyDescent="0.2">
      <c r="A45" s="47" t="s">
        <v>26</v>
      </c>
      <c r="B45" s="47">
        <v>85</v>
      </c>
      <c r="C45" s="8">
        <v>538</v>
      </c>
    </row>
    <row r="46" spans="1:3" x14ac:dyDescent="0.2">
      <c r="A46" s="47" t="s">
        <v>156</v>
      </c>
      <c r="B46" s="47">
        <v>9</v>
      </c>
      <c r="C46" s="8">
        <v>732</v>
      </c>
    </row>
    <row r="47" spans="1:3" x14ac:dyDescent="0.2">
      <c r="A47" s="47" t="s">
        <v>20</v>
      </c>
      <c r="B47" s="47">
        <v>14</v>
      </c>
      <c r="C47" s="8">
        <v>722</v>
      </c>
    </row>
    <row r="48" spans="1:3" x14ac:dyDescent="0.2">
      <c r="A48" s="47" t="s">
        <v>42</v>
      </c>
      <c r="B48" s="47">
        <v>21</v>
      </c>
      <c r="C48" s="2">
        <v>657</v>
      </c>
    </row>
    <row r="49" spans="1:4" x14ac:dyDescent="0.2">
      <c r="A49" s="47" t="s">
        <v>1267</v>
      </c>
      <c r="B49" s="47">
        <v>498</v>
      </c>
      <c r="C49" s="8">
        <v>4840</v>
      </c>
    </row>
    <row r="50" spans="1:4" x14ac:dyDescent="0.2">
      <c r="A50" s="47" t="s">
        <v>351</v>
      </c>
      <c r="B50" s="1">
        <v>0</v>
      </c>
      <c r="C50" s="15">
        <v>0</v>
      </c>
    </row>
    <row r="51" spans="1:4" x14ac:dyDescent="0.2">
      <c r="A51" s="47" t="s">
        <v>1268</v>
      </c>
      <c r="B51" s="47">
        <v>627</v>
      </c>
      <c r="C51" s="8">
        <v>7489</v>
      </c>
    </row>
    <row r="52" spans="1:4" x14ac:dyDescent="0.2">
      <c r="C52" s="2"/>
    </row>
    <row r="53" spans="1:4" x14ac:dyDescent="0.2">
      <c r="A53" s="47" t="s">
        <v>1269</v>
      </c>
      <c r="B53" s="23">
        <v>1695</v>
      </c>
      <c r="C53" s="9"/>
      <c r="D53" s="4"/>
    </row>
    <row r="54" spans="1:4" ht="13.5" thickBot="1" x14ac:dyDescent="0.25">
      <c r="A54" s="10" t="s">
        <v>1270</v>
      </c>
      <c r="B54" s="24">
        <v>31162</v>
      </c>
      <c r="C54" s="11"/>
    </row>
    <row r="55" spans="1:4" ht="13.5" thickTop="1" x14ac:dyDescent="0.2"/>
  </sheetData>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workbookViewId="0">
      <selection sqref="A1:XFD1048576"/>
    </sheetView>
  </sheetViews>
  <sheetFormatPr defaultColWidth="8.85546875" defaultRowHeight="12.75" x14ac:dyDescent="0.2"/>
  <cols>
    <col min="1" max="1" width="39" customWidth="1"/>
    <col min="2" max="2" width="11.28515625" customWidth="1"/>
    <col min="3" max="3" width="9.140625" customWidth="1"/>
  </cols>
  <sheetData>
    <row r="1" spans="1:9" s="47" customFormat="1" x14ac:dyDescent="0.2"/>
    <row r="2" spans="1:9" s="16" customFormat="1" ht="15" customHeight="1" x14ac:dyDescent="0.25">
      <c r="A2" s="17" t="s">
        <v>3701</v>
      </c>
      <c r="B2" s="18"/>
      <c r="C2" s="18"/>
      <c r="D2" s="18"/>
      <c r="E2" s="18"/>
      <c r="F2" s="18"/>
      <c r="G2" s="18"/>
      <c r="H2" s="18"/>
      <c r="I2" s="18"/>
    </row>
    <row r="3" spans="1:9" s="47" customFormat="1" ht="15" customHeight="1" x14ac:dyDescent="0.2">
      <c r="A3" s="4"/>
    </row>
    <row r="4" spans="1:9" s="7" customFormat="1" ht="15" customHeight="1" x14ac:dyDescent="0.25">
      <c r="A4" s="5" t="s">
        <v>1253</v>
      </c>
      <c r="B4" s="5"/>
      <c r="C4" s="20"/>
    </row>
    <row r="5" spans="1:9" s="47" customFormat="1" ht="24.95" customHeight="1" x14ac:dyDescent="0.2">
      <c r="A5" s="21" t="s">
        <v>1254</v>
      </c>
      <c r="B5" s="21" t="s">
        <v>1255</v>
      </c>
      <c r="C5" s="22" t="s">
        <v>1256</v>
      </c>
    </row>
    <row r="6" spans="1:9" s="47" customFormat="1" ht="12.75" customHeight="1" x14ac:dyDescent="0.2">
      <c r="A6" s="47" t="s">
        <v>26</v>
      </c>
      <c r="B6" s="47">
        <v>390</v>
      </c>
      <c r="C6" s="8">
        <v>4857</v>
      </c>
    </row>
    <row r="7" spans="1:9" s="47" customFormat="1" ht="12.75" customHeight="1" x14ac:dyDescent="0.2">
      <c r="A7" s="47" t="s">
        <v>1257</v>
      </c>
      <c r="B7" s="47">
        <v>12</v>
      </c>
      <c r="C7" s="8">
        <v>5183</v>
      </c>
    </row>
    <row r="8" spans="1:9" s="47" customFormat="1" ht="12.75" customHeight="1" x14ac:dyDescent="0.2">
      <c r="A8" s="47" t="s">
        <v>20</v>
      </c>
      <c r="B8" s="47">
        <v>183</v>
      </c>
      <c r="C8" s="8">
        <v>8272</v>
      </c>
    </row>
    <row r="9" spans="1:9" s="47" customFormat="1" ht="12.75" customHeight="1" x14ac:dyDescent="0.2">
      <c r="A9" s="47" t="s">
        <v>42</v>
      </c>
      <c r="B9" s="47">
        <v>47</v>
      </c>
      <c r="C9" s="8">
        <v>973</v>
      </c>
    </row>
    <row r="10" spans="1:9" s="47" customFormat="1" ht="12.75" customHeight="1" x14ac:dyDescent="0.2">
      <c r="A10" s="47" t="s">
        <v>1258</v>
      </c>
      <c r="B10" s="3">
        <v>600</v>
      </c>
      <c r="C10" s="8">
        <v>4885</v>
      </c>
    </row>
    <row r="11" spans="1:9" s="47" customFormat="1" ht="12.75" customHeight="1" x14ac:dyDescent="0.2">
      <c r="A11" s="47" t="s">
        <v>351</v>
      </c>
      <c r="B11" s="12">
        <v>41</v>
      </c>
      <c r="C11" s="13">
        <v>3296</v>
      </c>
    </row>
    <row r="12" spans="1:9" s="47" customFormat="1" ht="12.75" customHeight="1" x14ac:dyDescent="0.2">
      <c r="A12" s="47" t="s">
        <v>1259</v>
      </c>
      <c r="B12" s="3">
        <v>1273</v>
      </c>
      <c r="C12" s="8">
        <v>27466</v>
      </c>
    </row>
    <row r="13" spans="1:9" s="47" customFormat="1" ht="12.75" customHeight="1" x14ac:dyDescent="0.2">
      <c r="C13" s="2"/>
    </row>
    <row r="14" spans="1:9" s="47" customFormat="1" ht="12.75" customHeight="1" x14ac:dyDescent="0.2">
      <c r="A14" s="47" t="s">
        <v>1260</v>
      </c>
      <c r="B14" s="23">
        <v>33635</v>
      </c>
      <c r="C14" s="9"/>
    </row>
    <row r="15" spans="1:9" s="47" customFormat="1" ht="12.75" customHeight="1" thickBot="1" x14ac:dyDescent="0.25">
      <c r="A15" s="10" t="s">
        <v>1261</v>
      </c>
      <c r="B15" s="24">
        <v>45687</v>
      </c>
      <c r="C15" s="11"/>
    </row>
    <row r="16" spans="1:9" s="47" customFormat="1" ht="12.75" customHeight="1" thickTop="1" x14ac:dyDescent="0.2">
      <c r="H16" s="19"/>
    </row>
    <row r="17" spans="1:3" s="6" customFormat="1" ht="15" customHeight="1" x14ac:dyDescent="0.25">
      <c r="A17" s="5" t="s">
        <v>152</v>
      </c>
      <c r="B17" s="5"/>
      <c r="C17" s="20"/>
    </row>
    <row r="18" spans="1:3" s="47" customFormat="1" ht="24.95" customHeight="1" x14ac:dyDescent="0.2">
      <c r="A18" s="21" t="s">
        <v>1254</v>
      </c>
      <c r="B18" s="21" t="s">
        <v>1255</v>
      </c>
      <c r="C18" s="22" t="s">
        <v>1256</v>
      </c>
    </row>
    <row r="19" spans="1:3" s="47" customFormat="1" ht="12.75" customHeight="1" x14ac:dyDescent="0.2">
      <c r="A19" s="47" t="s">
        <v>26</v>
      </c>
      <c r="B19" s="47">
        <v>97</v>
      </c>
      <c r="C19" s="8">
        <v>1500</v>
      </c>
    </row>
    <row r="20" spans="1:3" s="47" customFormat="1" ht="12.75" customHeight="1" x14ac:dyDescent="0.2">
      <c r="A20" s="47" t="s">
        <v>156</v>
      </c>
      <c r="B20" s="47">
        <v>3</v>
      </c>
      <c r="C20" s="8">
        <v>3000</v>
      </c>
    </row>
    <row r="21" spans="1:3" s="47" customFormat="1" ht="12.75" customHeight="1" x14ac:dyDescent="0.2">
      <c r="A21" s="47" t="s">
        <v>20</v>
      </c>
      <c r="B21" s="47">
        <v>64</v>
      </c>
      <c r="C21" s="8">
        <v>2341</v>
      </c>
    </row>
    <row r="22" spans="1:3" s="47" customFormat="1" ht="12.75" customHeight="1" x14ac:dyDescent="0.2">
      <c r="A22" s="47" t="s">
        <v>1262</v>
      </c>
      <c r="B22" s="47">
        <v>9</v>
      </c>
      <c r="C22" s="2">
        <v>71</v>
      </c>
    </row>
    <row r="23" spans="1:3" s="47" customFormat="1" ht="12.75" customHeight="1" x14ac:dyDescent="0.2">
      <c r="A23" s="47" t="s">
        <v>1258</v>
      </c>
      <c r="B23" s="47">
        <v>3</v>
      </c>
      <c r="C23" s="8">
        <v>52</v>
      </c>
    </row>
    <row r="24" spans="1:3" s="47" customFormat="1" ht="12.75" customHeight="1" x14ac:dyDescent="0.2">
      <c r="A24" s="47" t="s">
        <v>351</v>
      </c>
      <c r="B24" s="1">
        <v>37</v>
      </c>
      <c r="C24" s="14">
        <v>2764</v>
      </c>
    </row>
    <row r="25" spans="1:3" s="47" customFormat="1" ht="12.75" customHeight="1" x14ac:dyDescent="0.2">
      <c r="A25" s="47" t="s">
        <v>1259</v>
      </c>
      <c r="B25" s="47">
        <v>213</v>
      </c>
      <c r="C25" s="8">
        <v>9728</v>
      </c>
    </row>
    <row r="26" spans="1:3" s="47" customFormat="1" ht="12.75" customHeight="1" x14ac:dyDescent="0.2">
      <c r="C26" s="2"/>
    </row>
    <row r="27" spans="1:3" s="47" customFormat="1" ht="12.75" customHeight="1" x14ac:dyDescent="0.2">
      <c r="A27" s="47" t="s">
        <v>1263</v>
      </c>
      <c r="B27" s="23">
        <v>5997</v>
      </c>
      <c r="C27" s="9"/>
    </row>
    <row r="28" spans="1:3" s="47" customFormat="1" ht="12.75" customHeight="1" thickBot="1" x14ac:dyDescent="0.25">
      <c r="A28" s="10" t="s">
        <v>1264</v>
      </c>
      <c r="B28" s="24">
        <v>12224</v>
      </c>
      <c r="C28" s="11"/>
    </row>
    <row r="29" spans="1:3" s="47" customFormat="1" ht="12.75" customHeight="1" thickTop="1" x14ac:dyDescent="0.2"/>
    <row r="30" spans="1:3" s="47" customFormat="1" ht="15" customHeight="1" x14ac:dyDescent="0.25">
      <c r="A30" s="5" t="s">
        <v>16</v>
      </c>
      <c r="B30" s="5"/>
      <c r="C30" s="20"/>
    </row>
    <row r="31" spans="1:3" s="47" customFormat="1" ht="24.95" customHeight="1" x14ac:dyDescent="0.2">
      <c r="A31" s="21" t="s">
        <v>1254</v>
      </c>
      <c r="B31" s="21" t="s">
        <v>1255</v>
      </c>
      <c r="C31" s="22" t="s">
        <v>1256</v>
      </c>
    </row>
    <row r="32" spans="1:3" s="47" customFormat="1" ht="12.75" customHeight="1" x14ac:dyDescent="0.2">
      <c r="A32" s="47" t="s">
        <v>26</v>
      </c>
      <c r="B32" s="47">
        <v>190</v>
      </c>
      <c r="C32" s="8">
        <v>2071</v>
      </c>
    </row>
    <row r="33" spans="1:3" s="47" customFormat="1" ht="12.75" customHeight="1" x14ac:dyDescent="0.2">
      <c r="A33" s="47" t="s">
        <v>156</v>
      </c>
      <c r="B33" s="47">
        <v>4</v>
      </c>
      <c r="C33" s="2">
        <v>1433</v>
      </c>
    </row>
    <row r="34" spans="1:3" s="47" customFormat="1" ht="12.75" customHeight="1" x14ac:dyDescent="0.2">
      <c r="A34" s="47" t="s">
        <v>20</v>
      </c>
      <c r="B34" s="47">
        <v>85</v>
      </c>
      <c r="C34" s="8">
        <v>4040</v>
      </c>
    </row>
    <row r="35" spans="1:3" s="47" customFormat="1" ht="12.75" customHeight="1" x14ac:dyDescent="0.2">
      <c r="A35" s="47" t="s">
        <v>1262</v>
      </c>
      <c r="B35" s="47">
        <v>24</v>
      </c>
      <c r="C35" s="2">
        <v>404</v>
      </c>
    </row>
    <row r="36" spans="1:3" s="47" customFormat="1" ht="12.75" customHeight="1" x14ac:dyDescent="0.2">
      <c r="A36" s="47" t="s">
        <v>1258</v>
      </c>
      <c r="B36" s="47">
        <v>1</v>
      </c>
      <c r="C36" s="2">
        <v>215</v>
      </c>
    </row>
    <row r="37" spans="1:3" s="47" customFormat="1" ht="12.75" customHeight="1" x14ac:dyDescent="0.2">
      <c r="A37" s="47" t="s">
        <v>351</v>
      </c>
      <c r="B37" s="1">
        <v>2</v>
      </c>
      <c r="C37" s="15">
        <v>360</v>
      </c>
    </row>
    <row r="38" spans="1:3" s="47" customFormat="1" ht="12.75" customHeight="1" x14ac:dyDescent="0.2">
      <c r="A38" s="47" t="s">
        <v>1259</v>
      </c>
      <c r="B38" s="47">
        <v>306</v>
      </c>
      <c r="C38" s="8">
        <v>8523</v>
      </c>
    </row>
    <row r="39" spans="1:3" s="47" customFormat="1" ht="12.75" customHeight="1" x14ac:dyDescent="0.2">
      <c r="C39" s="2"/>
    </row>
    <row r="40" spans="1:3" s="47" customFormat="1" ht="12.75" customHeight="1" x14ac:dyDescent="0.2">
      <c r="A40" s="47" t="s">
        <v>1265</v>
      </c>
      <c r="B40" s="23">
        <v>21637</v>
      </c>
      <c r="C40" s="9"/>
    </row>
    <row r="41" spans="1:3" s="47" customFormat="1" ht="12.75" customHeight="1" thickBot="1" x14ac:dyDescent="0.25">
      <c r="A41" s="10" t="s">
        <v>1266</v>
      </c>
      <c r="B41" s="24">
        <v>14285</v>
      </c>
      <c r="C41" s="11"/>
    </row>
    <row r="42" spans="1:3" s="47" customFormat="1" ht="12.75" customHeight="1" thickTop="1" x14ac:dyDescent="0.2">
      <c r="C42" s="2"/>
    </row>
    <row r="43" spans="1:3" s="47" customFormat="1" ht="15" customHeight="1" x14ac:dyDescent="0.25">
      <c r="A43" s="5" t="s">
        <v>38</v>
      </c>
      <c r="B43" s="5"/>
      <c r="C43" s="20"/>
    </row>
    <row r="44" spans="1:3" s="47" customFormat="1" ht="24.95" customHeight="1" x14ac:dyDescent="0.2">
      <c r="A44" s="21" t="s">
        <v>1254</v>
      </c>
      <c r="B44" s="21" t="s">
        <v>1255</v>
      </c>
      <c r="C44" s="22" t="s">
        <v>1256</v>
      </c>
    </row>
    <row r="45" spans="1:3" s="47" customFormat="1" ht="12.75" customHeight="1" x14ac:dyDescent="0.2">
      <c r="A45" s="47" t="s">
        <v>26</v>
      </c>
      <c r="B45" s="47">
        <v>103</v>
      </c>
      <c r="C45" s="8">
        <v>1286</v>
      </c>
    </row>
    <row r="46" spans="1:3" s="47" customFormat="1" ht="12.75" customHeight="1" x14ac:dyDescent="0.2">
      <c r="A46" s="47" t="s">
        <v>156</v>
      </c>
      <c r="B46" s="47">
        <v>5</v>
      </c>
      <c r="C46" s="8">
        <v>750</v>
      </c>
    </row>
    <row r="47" spans="1:3" s="47" customFormat="1" ht="12.75" customHeight="1" x14ac:dyDescent="0.2">
      <c r="A47" s="47" t="s">
        <v>20</v>
      </c>
      <c r="B47" s="47">
        <v>34</v>
      </c>
      <c r="C47" s="8">
        <v>1891</v>
      </c>
    </row>
    <row r="48" spans="1:3" s="47" customFormat="1" ht="12.75" customHeight="1" x14ac:dyDescent="0.2">
      <c r="A48" s="47" t="s">
        <v>42</v>
      </c>
      <c r="B48" s="47">
        <v>14</v>
      </c>
      <c r="C48" s="2">
        <v>498</v>
      </c>
    </row>
    <row r="49" spans="1:4" s="47" customFormat="1" ht="12.75" customHeight="1" x14ac:dyDescent="0.2">
      <c r="A49" s="47" t="s">
        <v>1267</v>
      </c>
      <c r="B49" s="47">
        <v>596</v>
      </c>
      <c r="C49" s="8">
        <v>4618</v>
      </c>
    </row>
    <row r="50" spans="1:4" s="47" customFormat="1" ht="12.75" customHeight="1" x14ac:dyDescent="0.2">
      <c r="A50" s="47" t="s">
        <v>351</v>
      </c>
      <c r="B50" s="1">
        <v>2</v>
      </c>
      <c r="C50" s="15">
        <v>172</v>
      </c>
    </row>
    <row r="51" spans="1:4" s="47" customFormat="1" ht="12.75" customHeight="1" x14ac:dyDescent="0.2">
      <c r="A51" s="47" t="s">
        <v>1268</v>
      </c>
      <c r="B51" s="47">
        <v>754</v>
      </c>
      <c r="C51" s="8">
        <v>9215</v>
      </c>
    </row>
    <row r="52" spans="1:4" s="47" customFormat="1" ht="12.75" customHeight="1" x14ac:dyDescent="0.2">
      <c r="C52" s="2"/>
    </row>
    <row r="53" spans="1:4" s="47" customFormat="1" ht="12.75" customHeight="1" x14ac:dyDescent="0.2">
      <c r="A53" s="47" t="s">
        <v>1269</v>
      </c>
      <c r="B53" s="23">
        <v>6001</v>
      </c>
      <c r="C53" s="9"/>
      <c r="D53" s="4"/>
    </row>
    <row r="54" spans="1:4" s="47" customFormat="1" ht="12.75" customHeight="1" thickBot="1" x14ac:dyDescent="0.25">
      <c r="A54" s="10" t="s">
        <v>1270</v>
      </c>
      <c r="B54" s="24">
        <v>19178</v>
      </c>
      <c r="C54" s="11"/>
    </row>
    <row r="55" spans="1:4" s="47" customFormat="1" ht="15" customHeight="1" thickTop="1" x14ac:dyDescent="0.2"/>
  </sheetData>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5"/>
  <sheetViews>
    <sheetView workbookViewId="0">
      <selection activeCell="E26" sqref="E26"/>
    </sheetView>
  </sheetViews>
  <sheetFormatPr defaultColWidth="8.85546875" defaultRowHeight="12.75" x14ac:dyDescent="0.2"/>
  <cols>
    <col min="1" max="1" width="40.42578125" style="45" customWidth="1"/>
    <col min="2" max="2" width="10.42578125" style="45" customWidth="1"/>
    <col min="3" max="3" width="11.140625" style="45" customWidth="1"/>
    <col min="4" max="16384" width="8.85546875" style="45"/>
  </cols>
  <sheetData>
    <row r="2" spans="1:9" s="16" customFormat="1" ht="15" customHeight="1" x14ac:dyDescent="0.25">
      <c r="A2" s="17" t="s">
        <v>2927</v>
      </c>
      <c r="B2" s="18"/>
      <c r="C2" s="18"/>
      <c r="D2" s="18"/>
      <c r="E2" s="18"/>
      <c r="F2" s="18"/>
      <c r="G2" s="18"/>
      <c r="H2" s="18"/>
      <c r="I2" s="18"/>
    </row>
    <row r="3" spans="1:9" ht="15" customHeight="1" x14ac:dyDescent="0.2">
      <c r="A3" s="4"/>
    </row>
    <row r="4" spans="1:9" s="7" customFormat="1" ht="15" customHeight="1" x14ac:dyDescent="0.25">
      <c r="A4" s="5" t="s">
        <v>1253</v>
      </c>
      <c r="B4" s="5"/>
      <c r="C4" s="20"/>
    </row>
    <row r="5" spans="1:9" ht="24.95" customHeight="1" x14ac:dyDescent="0.2">
      <c r="A5" s="21" t="s">
        <v>1254</v>
      </c>
      <c r="B5" s="21" t="s">
        <v>1255</v>
      </c>
      <c r="C5" s="22" t="s">
        <v>1256</v>
      </c>
    </row>
    <row r="6" spans="1:9" ht="12.75" customHeight="1" x14ac:dyDescent="0.2">
      <c r="A6" s="45" t="s">
        <v>26</v>
      </c>
      <c r="B6" s="45">
        <v>452</v>
      </c>
      <c r="C6" s="8">
        <v>8334</v>
      </c>
    </row>
    <row r="7" spans="1:9" ht="12.75" customHeight="1" x14ac:dyDescent="0.2">
      <c r="A7" s="45" t="s">
        <v>1257</v>
      </c>
      <c r="B7" s="45">
        <v>32</v>
      </c>
      <c r="C7" s="8">
        <v>12945</v>
      </c>
    </row>
    <row r="8" spans="1:9" ht="12.75" customHeight="1" x14ac:dyDescent="0.2">
      <c r="A8" s="45" t="s">
        <v>20</v>
      </c>
      <c r="B8" s="45">
        <v>168</v>
      </c>
      <c r="C8" s="8">
        <v>7309</v>
      </c>
    </row>
    <row r="9" spans="1:9" ht="12.75" customHeight="1" x14ac:dyDescent="0.2">
      <c r="A9" s="45" t="s">
        <v>42</v>
      </c>
      <c r="B9" s="45">
        <v>50</v>
      </c>
      <c r="C9" s="8">
        <v>1279</v>
      </c>
    </row>
    <row r="10" spans="1:9" ht="12.75" customHeight="1" x14ac:dyDescent="0.2">
      <c r="A10" s="45" t="s">
        <v>1258</v>
      </c>
      <c r="B10" s="3">
        <v>153</v>
      </c>
      <c r="C10" s="8">
        <v>627</v>
      </c>
    </row>
    <row r="11" spans="1:9" ht="12.75" customHeight="1" x14ac:dyDescent="0.2">
      <c r="A11" s="45" t="s">
        <v>351</v>
      </c>
      <c r="B11" s="12">
        <v>75</v>
      </c>
      <c r="C11" s="13">
        <v>17803</v>
      </c>
    </row>
    <row r="12" spans="1:9" ht="12.75" customHeight="1" x14ac:dyDescent="0.2">
      <c r="A12" s="45" t="s">
        <v>1259</v>
      </c>
      <c r="B12" s="3">
        <v>930</v>
      </c>
      <c r="C12" s="8">
        <v>48297</v>
      </c>
    </row>
    <row r="13" spans="1:9" ht="12.75" customHeight="1" x14ac:dyDescent="0.2">
      <c r="C13" s="2"/>
    </row>
    <row r="14" spans="1:9" ht="12.75" customHeight="1" x14ac:dyDescent="0.2">
      <c r="A14" s="45" t="s">
        <v>1260</v>
      </c>
      <c r="B14" s="23">
        <v>36362</v>
      </c>
      <c r="C14" s="9"/>
    </row>
    <row r="15" spans="1:9" ht="12.75" customHeight="1" thickBot="1" x14ac:dyDescent="0.25">
      <c r="A15" s="10" t="s">
        <v>1261</v>
      </c>
      <c r="B15" s="24">
        <v>149780</v>
      </c>
      <c r="C15" s="11"/>
    </row>
    <row r="16" spans="1:9" ht="12.75" customHeight="1" thickTop="1" x14ac:dyDescent="0.2">
      <c r="H16" s="19"/>
    </row>
    <row r="17" spans="1:3" s="6" customFormat="1" ht="15" x14ac:dyDescent="0.25">
      <c r="A17" s="5" t="s">
        <v>152</v>
      </c>
      <c r="B17" s="5"/>
      <c r="C17" s="20"/>
    </row>
    <row r="18" spans="1:3" ht="38.25" x14ac:dyDescent="0.2">
      <c r="A18" s="21" t="s">
        <v>1254</v>
      </c>
      <c r="B18" s="21" t="s">
        <v>1255</v>
      </c>
      <c r="C18" s="22" t="s">
        <v>1256</v>
      </c>
    </row>
    <row r="19" spans="1:3" x14ac:dyDescent="0.2">
      <c r="A19" s="45" t="s">
        <v>26</v>
      </c>
      <c r="B19" s="45">
        <v>165</v>
      </c>
      <c r="C19" s="8">
        <v>3330</v>
      </c>
    </row>
    <row r="20" spans="1:3" x14ac:dyDescent="0.2">
      <c r="A20" s="45" t="s">
        <v>156</v>
      </c>
      <c r="B20" s="45">
        <v>13</v>
      </c>
      <c r="C20" s="8">
        <v>4554</v>
      </c>
    </row>
    <row r="21" spans="1:3" x14ac:dyDescent="0.2">
      <c r="A21" s="45" t="s">
        <v>20</v>
      </c>
      <c r="B21" s="45">
        <v>104</v>
      </c>
      <c r="C21" s="8">
        <v>3648</v>
      </c>
    </row>
    <row r="22" spans="1:3" x14ac:dyDescent="0.2">
      <c r="A22" s="45" t="s">
        <v>1262</v>
      </c>
      <c r="B22" s="45">
        <v>13</v>
      </c>
      <c r="C22" s="2">
        <v>214</v>
      </c>
    </row>
    <row r="23" spans="1:3" x14ac:dyDescent="0.2">
      <c r="A23" s="45" t="s">
        <v>1258</v>
      </c>
      <c r="B23" s="45">
        <v>1</v>
      </c>
      <c r="C23" s="8">
        <v>12</v>
      </c>
    </row>
    <row r="24" spans="1:3" x14ac:dyDescent="0.2">
      <c r="A24" s="45" t="s">
        <v>351</v>
      </c>
      <c r="B24" s="1">
        <v>61</v>
      </c>
      <c r="C24" s="14">
        <v>3319</v>
      </c>
    </row>
    <row r="25" spans="1:3" x14ac:dyDescent="0.2">
      <c r="A25" s="45" t="s">
        <v>1259</v>
      </c>
      <c r="B25" s="45">
        <v>357</v>
      </c>
      <c r="C25" s="8">
        <v>15077</v>
      </c>
    </row>
    <row r="26" spans="1:3" x14ac:dyDescent="0.2">
      <c r="C26" s="2"/>
    </row>
    <row r="27" spans="1:3" x14ac:dyDescent="0.2">
      <c r="A27" s="45" t="s">
        <v>1263</v>
      </c>
      <c r="B27" s="23">
        <v>10637</v>
      </c>
      <c r="C27" s="9"/>
    </row>
    <row r="28" spans="1:3" ht="13.5" thickBot="1" x14ac:dyDescent="0.25">
      <c r="A28" s="10" t="s">
        <v>1264</v>
      </c>
      <c r="B28" s="24">
        <v>62963</v>
      </c>
      <c r="C28" s="11"/>
    </row>
    <row r="29" spans="1:3" ht="13.5" thickTop="1" x14ac:dyDescent="0.2"/>
    <row r="30" spans="1:3" ht="15" x14ac:dyDescent="0.25">
      <c r="A30" s="5" t="s">
        <v>16</v>
      </c>
      <c r="B30" s="5"/>
      <c r="C30" s="20"/>
    </row>
    <row r="31" spans="1:3" ht="38.25" x14ac:dyDescent="0.2">
      <c r="A31" s="21" t="s">
        <v>1254</v>
      </c>
      <c r="B31" s="21" t="s">
        <v>1255</v>
      </c>
      <c r="C31" s="22" t="s">
        <v>1256</v>
      </c>
    </row>
    <row r="32" spans="1:3" x14ac:dyDescent="0.2">
      <c r="A32" s="45" t="s">
        <v>26</v>
      </c>
      <c r="B32" s="45">
        <v>214</v>
      </c>
      <c r="C32" s="8">
        <v>2932</v>
      </c>
    </row>
    <row r="33" spans="1:3" x14ac:dyDescent="0.2">
      <c r="A33" s="45" t="s">
        <v>156</v>
      </c>
      <c r="B33" s="45">
        <v>9</v>
      </c>
      <c r="C33" s="8">
        <v>3003</v>
      </c>
    </row>
    <row r="34" spans="1:3" x14ac:dyDescent="0.2">
      <c r="A34" s="45" t="s">
        <v>20</v>
      </c>
      <c r="B34" s="45">
        <v>36</v>
      </c>
      <c r="C34" s="8">
        <v>1549</v>
      </c>
    </row>
    <row r="35" spans="1:3" x14ac:dyDescent="0.2">
      <c r="A35" s="45" t="s">
        <v>1262</v>
      </c>
      <c r="B35" s="45">
        <v>23</v>
      </c>
      <c r="C35" s="2">
        <v>483</v>
      </c>
    </row>
    <row r="36" spans="1:3" x14ac:dyDescent="0.2">
      <c r="A36" s="45" t="s">
        <v>1258</v>
      </c>
      <c r="B36" s="45">
        <v>1</v>
      </c>
      <c r="C36" s="2">
        <v>85</v>
      </c>
    </row>
    <row r="37" spans="1:3" x14ac:dyDescent="0.2">
      <c r="A37" s="45" t="s">
        <v>351</v>
      </c>
      <c r="B37" s="1">
        <v>9</v>
      </c>
      <c r="C37" s="14">
        <v>11324</v>
      </c>
    </row>
    <row r="38" spans="1:3" x14ac:dyDescent="0.2">
      <c r="A38" s="45" t="s">
        <v>1259</v>
      </c>
      <c r="B38" s="45">
        <v>292</v>
      </c>
      <c r="C38" s="8">
        <v>19376</v>
      </c>
    </row>
    <row r="39" spans="1:3" x14ac:dyDescent="0.2">
      <c r="C39" s="2"/>
    </row>
    <row r="40" spans="1:3" x14ac:dyDescent="0.2">
      <c r="A40" s="45" t="s">
        <v>1265</v>
      </c>
      <c r="B40" s="23">
        <v>15587</v>
      </c>
      <c r="C40" s="9"/>
    </row>
    <row r="41" spans="1:3" ht="13.5" thickBot="1" x14ac:dyDescent="0.25">
      <c r="A41" s="10" t="s">
        <v>1266</v>
      </c>
      <c r="B41" s="24">
        <v>22937</v>
      </c>
      <c r="C41" s="11"/>
    </row>
    <row r="42" spans="1:3" ht="13.5" thickTop="1" x14ac:dyDescent="0.2">
      <c r="C42" s="2"/>
    </row>
    <row r="43" spans="1:3" ht="15" x14ac:dyDescent="0.25">
      <c r="A43" s="5" t="s">
        <v>38</v>
      </c>
      <c r="B43" s="5"/>
      <c r="C43" s="20"/>
    </row>
    <row r="44" spans="1:3" ht="38.25" x14ac:dyDescent="0.2">
      <c r="A44" s="21" t="s">
        <v>1254</v>
      </c>
      <c r="B44" s="21" t="s">
        <v>1255</v>
      </c>
      <c r="C44" s="22" t="s">
        <v>1256</v>
      </c>
    </row>
    <row r="45" spans="1:3" x14ac:dyDescent="0.2">
      <c r="A45" s="45" t="s">
        <v>26</v>
      </c>
      <c r="B45" s="45">
        <v>73</v>
      </c>
      <c r="C45" s="8">
        <v>2072</v>
      </c>
    </row>
    <row r="46" spans="1:3" x14ac:dyDescent="0.2">
      <c r="A46" s="45" t="s">
        <v>156</v>
      </c>
      <c r="B46" s="45">
        <v>10</v>
      </c>
      <c r="C46" s="8">
        <v>5388</v>
      </c>
    </row>
    <row r="47" spans="1:3" x14ac:dyDescent="0.2">
      <c r="A47" s="45" t="s">
        <v>20</v>
      </c>
      <c r="B47" s="45">
        <v>28</v>
      </c>
      <c r="C47" s="8">
        <v>2112</v>
      </c>
    </row>
    <row r="48" spans="1:3" x14ac:dyDescent="0.2">
      <c r="A48" s="45" t="s">
        <v>42</v>
      </c>
      <c r="B48" s="45">
        <v>14</v>
      </c>
      <c r="C48" s="8">
        <v>582</v>
      </c>
    </row>
    <row r="49" spans="1:4" x14ac:dyDescent="0.2">
      <c r="A49" s="45" t="s">
        <v>1267</v>
      </c>
      <c r="B49" s="45">
        <v>151</v>
      </c>
      <c r="C49" s="8">
        <v>530</v>
      </c>
    </row>
    <row r="50" spans="1:4" x14ac:dyDescent="0.2">
      <c r="A50" s="45" t="s">
        <v>351</v>
      </c>
      <c r="B50" s="1">
        <v>5</v>
      </c>
      <c r="C50" s="14">
        <v>3160</v>
      </c>
    </row>
    <row r="51" spans="1:4" x14ac:dyDescent="0.2">
      <c r="A51" s="45" t="s">
        <v>1268</v>
      </c>
      <c r="B51" s="45">
        <v>281</v>
      </c>
      <c r="C51" s="8">
        <v>13844</v>
      </c>
    </row>
    <row r="52" spans="1:4" x14ac:dyDescent="0.2">
      <c r="C52" s="2"/>
    </row>
    <row r="53" spans="1:4" x14ac:dyDescent="0.2">
      <c r="A53" s="45" t="s">
        <v>1269</v>
      </c>
      <c r="B53" s="23">
        <v>10138</v>
      </c>
      <c r="C53" s="9"/>
      <c r="D53" s="4"/>
    </row>
    <row r="54" spans="1:4" ht="13.5" thickBot="1" x14ac:dyDescent="0.25">
      <c r="A54" s="10" t="s">
        <v>1270</v>
      </c>
      <c r="B54" s="24">
        <v>63880</v>
      </c>
      <c r="C54" s="11"/>
    </row>
    <row r="55" spans="1:4" ht="13.5" thickTop="1" x14ac:dyDescent="0.2"/>
  </sheetData>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5"/>
  <sheetViews>
    <sheetView workbookViewId="0">
      <selection sqref="A1:XFD55"/>
    </sheetView>
  </sheetViews>
  <sheetFormatPr defaultColWidth="8.85546875" defaultRowHeight="12.75" x14ac:dyDescent="0.2"/>
  <cols>
    <col min="1" max="1" width="40.42578125" customWidth="1"/>
    <col min="2" max="2" width="10.42578125" customWidth="1"/>
    <col min="3" max="3" width="11.140625" customWidth="1"/>
  </cols>
  <sheetData>
    <row r="2" spans="1:9" s="16" customFormat="1" ht="15" customHeight="1" x14ac:dyDescent="0.25">
      <c r="A2" s="17" t="s">
        <v>2797</v>
      </c>
      <c r="B2" s="18"/>
      <c r="C2" s="18"/>
      <c r="D2" s="18"/>
      <c r="E2" s="18"/>
      <c r="F2" s="18"/>
      <c r="G2" s="18"/>
      <c r="H2" s="18"/>
      <c r="I2" s="18"/>
    </row>
    <row r="3" spans="1:9" ht="15" customHeight="1" x14ac:dyDescent="0.2">
      <c r="A3" s="4"/>
    </row>
    <row r="4" spans="1:9" s="7" customFormat="1" ht="15" customHeight="1" x14ac:dyDescent="0.25">
      <c r="A4" s="5" t="s">
        <v>1253</v>
      </c>
      <c r="B4" s="5"/>
      <c r="C4" s="20"/>
    </row>
    <row r="5" spans="1:9" ht="24.95" customHeight="1" x14ac:dyDescent="0.2">
      <c r="A5" s="21" t="s">
        <v>1254</v>
      </c>
      <c r="B5" s="21" t="s">
        <v>1255</v>
      </c>
      <c r="C5" s="22" t="s">
        <v>1256</v>
      </c>
    </row>
    <row r="6" spans="1:9" ht="12.75" customHeight="1" x14ac:dyDescent="0.2">
      <c r="A6" t="s">
        <v>26</v>
      </c>
      <c r="B6">
        <v>548</v>
      </c>
      <c r="C6" s="8">
        <v>5832</v>
      </c>
    </row>
    <row r="7" spans="1:9" ht="12.75" customHeight="1" x14ac:dyDescent="0.2">
      <c r="A7" t="s">
        <v>1257</v>
      </c>
      <c r="B7">
        <v>33</v>
      </c>
      <c r="C7" s="8">
        <v>7018</v>
      </c>
    </row>
    <row r="8" spans="1:9" ht="12.75" customHeight="1" x14ac:dyDescent="0.2">
      <c r="A8" t="s">
        <v>20</v>
      </c>
      <c r="B8">
        <v>65</v>
      </c>
      <c r="C8" s="8">
        <v>2103</v>
      </c>
    </row>
    <row r="9" spans="1:9" ht="12.75" customHeight="1" x14ac:dyDescent="0.2">
      <c r="A9" t="s">
        <v>42</v>
      </c>
      <c r="B9">
        <v>55</v>
      </c>
      <c r="C9" s="8">
        <v>1270</v>
      </c>
    </row>
    <row r="10" spans="1:9" ht="12.75" customHeight="1" x14ac:dyDescent="0.2">
      <c r="A10" t="s">
        <v>1258</v>
      </c>
      <c r="B10" s="3">
        <v>116</v>
      </c>
      <c r="C10" s="8">
        <v>392</v>
      </c>
    </row>
    <row r="11" spans="1:9" ht="12.75" customHeight="1" x14ac:dyDescent="0.2">
      <c r="A11" t="s">
        <v>351</v>
      </c>
      <c r="B11" s="12">
        <v>54</v>
      </c>
      <c r="C11" s="13">
        <v>3958</v>
      </c>
    </row>
    <row r="12" spans="1:9" ht="12.75" customHeight="1" x14ac:dyDescent="0.2">
      <c r="A12" t="s">
        <v>1259</v>
      </c>
      <c r="B12" s="3">
        <v>871</v>
      </c>
      <c r="C12" s="8">
        <v>20573</v>
      </c>
    </row>
    <row r="13" spans="1:9" ht="12.75" customHeight="1" x14ac:dyDescent="0.2">
      <c r="C13" s="2"/>
    </row>
    <row r="14" spans="1:9" ht="12.75" customHeight="1" x14ac:dyDescent="0.2">
      <c r="A14" t="s">
        <v>1260</v>
      </c>
      <c r="B14" s="23">
        <v>26545</v>
      </c>
      <c r="C14" s="9"/>
    </row>
    <row r="15" spans="1:9" ht="12.75" customHeight="1" thickBot="1" x14ac:dyDescent="0.25">
      <c r="A15" s="10" t="s">
        <v>1261</v>
      </c>
      <c r="B15" s="24">
        <v>44025</v>
      </c>
      <c r="C15" s="11"/>
    </row>
    <row r="16" spans="1:9" ht="12.75" customHeight="1" thickTop="1" x14ac:dyDescent="0.2">
      <c r="H16" s="19"/>
    </row>
    <row r="17" spans="1:3" s="6" customFormat="1" ht="15" customHeight="1" x14ac:dyDescent="0.25">
      <c r="A17" s="5" t="s">
        <v>152</v>
      </c>
      <c r="B17" s="5"/>
      <c r="C17" s="20"/>
    </row>
    <row r="18" spans="1:3" ht="24.95" customHeight="1" x14ac:dyDescent="0.2">
      <c r="A18" s="21" t="s">
        <v>1254</v>
      </c>
      <c r="B18" s="21" t="s">
        <v>1255</v>
      </c>
      <c r="C18" s="22" t="s">
        <v>1256</v>
      </c>
    </row>
    <row r="19" spans="1:3" ht="12.75" customHeight="1" x14ac:dyDescent="0.2">
      <c r="A19" t="s">
        <v>26</v>
      </c>
      <c r="B19">
        <v>117</v>
      </c>
      <c r="C19" s="8">
        <v>1877</v>
      </c>
    </row>
    <row r="20" spans="1:3" ht="12.75" customHeight="1" x14ac:dyDescent="0.2">
      <c r="A20" t="s">
        <v>156</v>
      </c>
      <c r="B20">
        <v>13</v>
      </c>
      <c r="C20" s="8">
        <v>1415</v>
      </c>
    </row>
    <row r="21" spans="1:3" ht="12.75" customHeight="1" x14ac:dyDescent="0.2">
      <c r="A21" t="s">
        <v>20</v>
      </c>
      <c r="B21">
        <v>46</v>
      </c>
      <c r="C21" s="8">
        <v>1357</v>
      </c>
    </row>
    <row r="22" spans="1:3" ht="12.75" customHeight="1" x14ac:dyDescent="0.2">
      <c r="A22" t="s">
        <v>1262</v>
      </c>
      <c r="B22">
        <v>12</v>
      </c>
      <c r="C22" s="2">
        <v>216</v>
      </c>
    </row>
    <row r="23" spans="1:3" ht="12.75" customHeight="1" x14ac:dyDescent="0.2">
      <c r="A23" t="s">
        <v>1258</v>
      </c>
      <c r="B23">
        <v>5</v>
      </c>
      <c r="C23" s="8">
        <v>59</v>
      </c>
    </row>
    <row r="24" spans="1:3" ht="12.75" customHeight="1" x14ac:dyDescent="0.2">
      <c r="A24" t="s">
        <v>351</v>
      </c>
      <c r="B24" s="1">
        <v>44</v>
      </c>
      <c r="C24" s="14">
        <v>2845</v>
      </c>
    </row>
    <row r="25" spans="1:3" ht="12.75" customHeight="1" x14ac:dyDescent="0.2">
      <c r="A25" t="s">
        <v>1259</v>
      </c>
      <c r="B25">
        <v>237</v>
      </c>
      <c r="C25" s="8">
        <v>7769</v>
      </c>
    </row>
    <row r="26" spans="1:3" ht="12.75" customHeight="1" x14ac:dyDescent="0.2">
      <c r="C26" s="2"/>
    </row>
    <row r="27" spans="1:3" ht="12.75" customHeight="1" x14ac:dyDescent="0.2">
      <c r="A27" t="s">
        <v>1263</v>
      </c>
      <c r="B27" s="23">
        <v>6892</v>
      </c>
      <c r="C27" s="9"/>
    </row>
    <row r="28" spans="1:3" ht="12.75" customHeight="1" thickBot="1" x14ac:dyDescent="0.25">
      <c r="A28" s="10" t="s">
        <v>1264</v>
      </c>
      <c r="B28" s="24">
        <v>17647</v>
      </c>
      <c r="C28" s="11"/>
    </row>
    <row r="29" spans="1:3" ht="12.75" customHeight="1" thickTop="1" x14ac:dyDescent="0.2"/>
    <row r="30" spans="1:3" ht="15" customHeight="1" x14ac:dyDescent="0.25">
      <c r="A30" s="5" t="s">
        <v>16</v>
      </c>
      <c r="B30" s="5"/>
      <c r="C30" s="20"/>
    </row>
    <row r="31" spans="1:3" ht="24.95" customHeight="1" x14ac:dyDescent="0.2">
      <c r="A31" s="21" t="s">
        <v>1254</v>
      </c>
      <c r="B31" s="21" t="s">
        <v>1255</v>
      </c>
      <c r="C31" s="22" t="s">
        <v>1256</v>
      </c>
    </row>
    <row r="32" spans="1:3" ht="12.75" customHeight="1" x14ac:dyDescent="0.2">
      <c r="A32" t="s">
        <v>26</v>
      </c>
      <c r="B32">
        <v>331</v>
      </c>
      <c r="C32" s="8">
        <v>2945</v>
      </c>
    </row>
    <row r="33" spans="1:3" ht="12.75" customHeight="1" x14ac:dyDescent="0.2">
      <c r="A33" t="s">
        <v>156</v>
      </c>
      <c r="B33">
        <v>10</v>
      </c>
      <c r="C33" s="2">
        <v>1506</v>
      </c>
    </row>
    <row r="34" spans="1:3" ht="12.75" customHeight="1" x14ac:dyDescent="0.2">
      <c r="A34" t="s">
        <v>20</v>
      </c>
      <c r="B34">
        <v>8</v>
      </c>
      <c r="C34" s="2">
        <v>342</v>
      </c>
    </row>
    <row r="35" spans="1:3" ht="12.75" customHeight="1" x14ac:dyDescent="0.2">
      <c r="A35" t="s">
        <v>1262</v>
      </c>
      <c r="B35">
        <v>24</v>
      </c>
      <c r="C35" s="2">
        <v>393</v>
      </c>
    </row>
    <row r="36" spans="1:3" ht="12.75" customHeight="1" x14ac:dyDescent="0.2">
      <c r="A36" t="s">
        <v>1258</v>
      </c>
      <c r="B36">
        <v>0</v>
      </c>
      <c r="C36" s="2">
        <v>0</v>
      </c>
    </row>
    <row r="37" spans="1:3" ht="12.75" customHeight="1" x14ac:dyDescent="0.2">
      <c r="A37" t="s">
        <v>351</v>
      </c>
      <c r="B37" s="1">
        <v>5</v>
      </c>
      <c r="C37" s="15">
        <v>886</v>
      </c>
    </row>
    <row r="38" spans="1:3" ht="12.75" customHeight="1" x14ac:dyDescent="0.2">
      <c r="A38" t="s">
        <v>1259</v>
      </c>
      <c r="B38">
        <v>378</v>
      </c>
      <c r="C38" s="8">
        <v>6072</v>
      </c>
    </row>
    <row r="39" spans="1:3" ht="12.75" customHeight="1" x14ac:dyDescent="0.2">
      <c r="C39" s="2"/>
    </row>
    <row r="40" spans="1:3" ht="12.75" customHeight="1" x14ac:dyDescent="0.2">
      <c r="A40" t="s">
        <v>1265</v>
      </c>
      <c r="B40" s="23">
        <v>6277</v>
      </c>
      <c r="C40" s="9"/>
    </row>
    <row r="41" spans="1:3" ht="12.75" customHeight="1" thickBot="1" x14ac:dyDescent="0.25">
      <c r="A41" s="10" t="s">
        <v>1266</v>
      </c>
      <c r="B41" s="24">
        <v>10512</v>
      </c>
      <c r="C41" s="11"/>
    </row>
    <row r="42" spans="1:3" ht="12.75" customHeight="1" thickTop="1" x14ac:dyDescent="0.2">
      <c r="C42" s="2"/>
    </row>
    <row r="43" spans="1:3" ht="15" customHeight="1" x14ac:dyDescent="0.25">
      <c r="A43" s="5" t="s">
        <v>38</v>
      </c>
      <c r="B43" s="5"/>
      <c r="C43" s="20"/>
    </row>
    <row r="44" spans="1:3" ht="24.95" customHeight="1" x14ac:dyDescent="0.2">
      <c r="A44" s="21" t="s">
        <v>1254</v>
      </c>
      <c r="B44" s="21" t="s">
        <v>1255</v>
      </c>
      <c r="C44" s="22" t="s">
        <v>1256</v>
      </c>
    </row>
    <row r="45" spans="1:3" ht="12.75" customHeight="1" x14ac:dyDescent="0.2">
      <c r="A45" t="s">
        <v>26</v>
      </c>
      <c r="B45">
        <v>100</v>
      </c>
      <c r="C45" s="8">
        <v>1010</v>
      </c>
    </row>
    <row r="46" spans="1:3" ht="12.75" customHeight="1" x14ac:dyDescent="0.2">
      <c r="A46" t="s">
        <v>156</v>
      </c>
      <c r="B46">
        <v>10</v>
      </c>
      <c r="C46" s="8">
        <v>4097</v>
      </c>
    </row>
    <row r="47" spans="1:3" ht="12.75" customHeight="1" x14ac:dyDescent="0.2">
      <c r="A47" t="s">
        <v>20</v>
      </c>
      <c r="B47">
        <v>11</v>
      </c>
      <c r="C47" s="2">
        <v>404</v>
      </c>
    </row>
    <row r="48" spans="1:3" ht="12.75" customHeight="1" x14ac:dyDescent="0.2">
      <c r="A48" t="s">
        <v>42</v>
      </c>
      <c r="B48">
        <v>19</v>
      </c>
      <c r="C48" s="2">
        <v>661</v>
      </c>
    </row>
    <row r="49" spans="1:4" ht="12.75" customHeight="1" x14ac:dyDescent="0.2">
      <c r="A49" t="s">
        <v>1267</v>
      </c>
      <c r="B49">
        <v>111</v>
      </c>
      <c r="C49" s="8">
        <v>334</v>
      </c>
    </row>
    <row r="50" spans="1:4" ht="12.75" customHeight="1" x14ac:dyDescent="0.2">
      <c r="A50" t="s">
        <v>351</v>
      </c>
      <c r="B50" s="1">
        <v>5</v>
      </c>
      <c r="C50" s="15">
        <v>227</v>
      </c>
    </row>
    <row r="51" spans="1:4" ht="12.75" customHeight="1" x14ac:dyDescent="0.2">
      <c r="A51" t="s">
        <v>1268</v>
      </c>
      <c r="B51">
        <v>256</v>
      </c>
      <c r="C51" s="8">
        <v>6733</v>
      </c>
    </row>
    <row r="52" spans="1:4" ht="12.75" customHeight="1" x14ac:dyDescent="0.2">
      <c r="C52" s="2"/>
    </row>
    <row r="53" spans="1:4" ht="12.75" customHeight="1" x14ac:dyDescent="0.2">
      <c r="A53" t="s">
        <v>1269</v>
      </c>
      <c r="B53" s="23">
        <v>13376</v>
      </c>
      <c r="C53" s="9"/>
      <c r="D53" s="4"/>
    </row>
    <row r="54" spans="1:4" ht="12.75" customHeight="1" thickBot="1" x14ac:dyDescent="0.25">
      <c r="A54" s="10" t="s">
        <v>1270</v>
      </c>
      <c r="B54" s="24">
        <v>15866</v>
      </c>
      <c r="C54" s="11"/>
    </row>
    <row r="55" spans="1:4" ht="15" customHeight="1" thickTop="1" x14ac:dyDescent="0.2"/>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I54"/>
  <sheetViews>
    <sheetView workbookViewId="0">
      <selection sqref="A1:XFD54"/>
    </sheetView>
  </sheetViews>
  <sheetFormatPr defaultColWidth="8.85546875" defaultRowHeight="15" customHeight="1" x14ac:dyDescent="0.2"/>
  <cols>
    <col min="1" max="1" width="46.85546875" customWidth="1"/>
    <col min="2" max="3" width="11.42578125" customWidth="1"/>
    <col min="4" max="4" width="43.7109375" customWidth="1"/>
  </cols>
  <sheetData>
    <row r="1" spans="1:9" s="16" customFormat="1" ht="15" customHeight="1" x14ac:dyDescent="0.25">
      <c r="A1" s="17" t="s">
        <v>2000</v>
      </c>
      <c r="B1" s="18"/>
      <c r="C1" s="18"/>
      <c r="D1" s="18"/>
      <c r="E1" s="18"/>
      <c r="F1" s="18"/>
      <c r="G1" s="18"/>
      <c r="H1" s="18"/>
      <c r="I1" s="25"/>
    </row>
    <row r="2" spans="1:9" ht="15" customHeight="1" x14ac:dyDescent="0.2">
      <c r="A2" s="4"/>
    </row>
    <row r="3" spans="1:9" s="7" customFormat="1" ht="15" customHeight="1" x14ac:dyDescent="0.25">
      <c r="A3" s="5" t="s">
        <v>1253</v>
      </c>
      <c r="B3" s="5"/>
      <c r="C3" s="20"/>
    </row>
    <row r="4" spans="1:9" ht="24.95" customHeight="1" x14ac:dyDescent="0.2">
      <c r="A4" s="21" t="s">
        <v>1254</v>
      </c>
      <c r="B4" s="21" t="s">
        <v>1255</v>
      </c>
      <c r="C4" s="22" t="s">
        <v>1256</v>
      </c>
    </row>
    <row r="5" spans="1:9" ht="12.75" customHeight="1" x14ac:dyDescent="0.2">
      <c r="A5" t="s">
        <v>26</v>
      </c>
      <c r="B5">
        <v>612</v>
      </c>
      <c r="C5" s="8">
        <v>9144</v>
      </c>
    </row>
    <row r="6" spans="1:9" ht="12.75" customHeight="1" x14ac:dyDescent="0.2">
      <c r="A6" t="s">
        <v>1257</v>
      </c>
      <c r="B6">
        <v>9</v>
      </c>
      <c r="C6" s="8">
        <v>2179</v>
      </c>
    </row>
    <row r="7" spans="1:9" ht="12.75" customHeight="1" x14ac:dyDescent="0.2">
      <c r="A7" t="s">
        <v>20</v>
      </c>
      <c r="B7">
        <v>96</v>
      </c>
      <c r="C7" s="2">
        <v>1346</v>
      </c>
    </row>
    <row r="8" spans="1:9" ht="12.75" customHeight="1" x14ac:dyDescent="0.2">
      <c r="A8" t="s">
        <v>42</v>
      </c>
      <c r="B8">
        <v>47</v>
      </c>
      <c r="C8" s="8">
        <v>931</v>
      </c>
    </row>
    <row r="9" spans="1:9" ht="12.75" customHeight="1" x14ac:dyDescent="0.2">
      <c r="A9" t="s">
        <v>1258</v>
      </c>
      <c r="B9" s="3">
        <v>108</v>
      </c>
      <c r="C9" s="8">
        <v>361</v>
      </c>
    </row>
    <row r="10" spans="1:9" ht="12.75" customHeight="1" x14ac:dyDescent="0.2">
      <c r="A10" t="s">
        <v>351</v>
      </c>
      <c r="B10" s="12">
        <v>2</v>
      </c>
      <c r="C10" s="13">
        <v>128</v>
      </c>
    </row>
    <row r="11" spans="1:9" ht="12.75" customHeight="1" x14ac:dyDescent="0.2">
      <c r="A11" t="s">
        <v>1259</v>
      </c>
      <c r="B11" s="3">
        <v>874</v>
      </c>
      <c r="C11" s="8">
        <v>14089</v>
      </c>
    </row>
    <row r="12" spans="1:9" ht="12.75" customHeight="1" x14ac:dyDescent="0.2">
      <c r="C12" s="2"/>
    </row>
    <row r="13" spans="1:9" ht="12.75" customHeight="1" x14ac:dyDescent="0.2">
      <c r="A13" t="s">
        <v>1260</v>
      </c>
      <c r="B13" s="23">
        <v>34978</v>
      </c>
      <c r="C13" s="9"/>
    </row>
    <row r="14" spans="1:9" ht="12.75" customHeight="1" thickBot="1" x14ac:dyDescent="0.25">
      <c r="A14" s="10" t="s">
        <v>1261</v>
      </c>
      <c r="B14" s="24">
        <v>18792</v>
      </c>
      <c r="C14" s="11"/>
    </row>
    <row r="15" spans="1:9" ht="12.75" customHeight="1" thickTop="1" x14ac:dyDescent="0.2">
      <c r="H15" s="19"/>
    </row>
    <row r="16" spans="1:9" s="6" customFormat="1" ht="15" customHeight="1" x14ac:dyDescent="0.25">
      <c r="A16" s="5" t="s">
        <v>152</v>
      </c>
      <c r="B16" s="5"/>
      <c r="C16" s="20"/>
    </row>
    <row r="17" spans="1:3" ht="24.95" customHeight="1" x14ac:dyDescent="0.2">
      <c r="A17" s="21" t="s">
        <v>1254</v>
      </c>
      <c r="B17" s="21" t="s">
        <v>1255</v>
      </c>
      <c r="C17" s="22" t="s">
        <v>1256</v>
      </c>
    </row>
    <row r="18" spans="1:3" ht="12.75" customHeight="1" x14ac:dyDescent="0.2">
      <c r="A18" t="s">
        <v>26</v>
      </c>
      <c r="B18">
        <v>245</v>
      </c>
      <c r="C18" s="8">
        <v>5160</v>
      </c>
    </row>
    <row r="19" spans="1:3" ht="12.75" customHeight="1" x14ac:dyDescent="0.2">
      <c r="A19" t="s">
        <v>156</v>
      </c>
      <c r="B19">
        <v>2</v>
      </c>
      <c r="C19" s="8">
        <v>174</v>
      </c>
    </row>
    <row r="20" spans="1:3" ht="12.75" customHeight="1" x14ac:dyDescent="0.2">
      <c r="A20" t="s">
        <v>20</v>
      </c>
      <c r="B20">
        <v>88</v>
      </c>
      <c r="C20" s="2">
        <v>1155</v>
      </c>
    </row>
    <row r="21" spans="1:3" ht="12.75" customHeight="1" x14ac:dyDescent="0.2">
      <c r="A21" t="s">
        <v>1262</v>
      </c>
      <c r="B21">
        <v>19</v>
      </c>
      <c r="C21" s="2">
        <v>421</v>
      </c>
    </row>
    <row r="22" spans="1:3" ht="12.75" customHeight="1" x14ac:dyDescent="0.2">
      <c r="A22" t="s">
        <v>1258</v>
      </c>
      <c r="B22">
        <v>7</v>
      </c>
      <c r="C22" s="8">
        <v>18</v>
      </c>
    </row>
    <row r="23" spans="1:3" ht="12.75" customHeight="1" x14ac:dyDescent="0.2">
      <c r="A23" t="s">
        <v>351</v>
      </c>
      <c r="B23" s="1">
        <v>0</v>
      </c>
      <c r="C23" s="14">
        <v>0</v>
      </c>
    </row>
    <row r="24" spans="1:3" ht="12.75" customHeight="1" x14ac:dyDescent="0.2">
      <c r="A24" t="s">
        <v>1259</v>
      </c>
      <c r="B24">
        <v>361</v>
      </c>
      <c r="C24" s="8">
        <v>6928</v>
      </c>
    </row>
    <row r="25" spans="1:3" ht="12.75" customHeight="1" x14ac:dyDescent="0.2">
      <c r="C25" s="2"/>
    </row>
    <row r="26" spans="1:3" ht="12.75" customHeight="1" x14ac:dyDescent="0.2">
      <c r="A26" t="s">
        <v>1263</v>
      </c>
      <c r="B26" s="23">
        <v>6191</v>
      </c>
      <c r="C26" s="9"/>
    </row>
    <row r="27" spans="1:3" ht="12.75" customHeight="1" thickBot="1" x14ac:dyDescent="0.25">
      <c r="A27" s="10" t="s">
        <v>1264</v>
      </c>
      <c r="B27" s="24">
        <v>5030</v>
      </c>
      <c r="C27" s="11"/>
    </row>
    <row r="28" spans="1:3" ht="12.75" customHeight="1" thickTop="1" x14ac:dyDescent="0.2"/>
    <row r="29" spans="1:3" ht="15" customHeight="1" x14ac:dyDescent="0.25">
      <c r="A29" s="5" t="s">
        <v>16</v>
      </c>
      <c r="B29" s="5"/>
      <c r="C29" s="20"/>
    </row>
    <row r="30" spans="1:3" ht="24.95" customHeight="1" x14ac:dyDescent="0.2">
      <c r="A30" s="21" t="s">
        <v>1254</v>
      </c>
      <c r="B30" s="21" t="s">
        <v>1255</v>
      </c>
      <c r="C30" s="22" t="s">
        <v>1256</v>
      </c>
    </row>
    <row r="31" spans="1:3" ht="12.75" customHeight="1" x14ac:dyDescent="0.2">
      <c r="A31" t="s">
        <v>26</v>
      </c>
      <c r="B31">
        <v>270</v>
      </c>
      <c r="C31" s="8">
        <v>2717</v>
      </c>
    </row>
    <row r="32" spans="1:3" ht="12.75" customHeight="1" x14ac:dyDescent="0.2">
      <c r="A32" t="s">
        <v>156</v>
      </c>
      <c r="B32">
        <v>3</v>
      </c>
      <c r="C32" s="2">
        <v>429</v>
      </c>
    </row>
    <row r="33" spans="1:3" ht="12.75" customHeight="1" x14ac:dyDescent="0.2">
      <c r="A33" t="s">
        <v>20</v>
      </c>
      <c r="B33">
        <v>0</v>
      </c>
      <c r="C33" s="2">
        <v>0</v>
      </c>
    </row>
    <row r="34" spans="1:3" ht="12.75" customHeight="1" x14ac:dyDescent="0.2">
      <c r="A34" t="s">
        <v>1262</v>
      </c>
      <c r="B34">
        <v>19</v>
      </c>
      <c r="C34" s="2">
        <v>255</v>
      </c>
    </row>
    <row r="35" spans="1:3" ht="12.75" customHeight="1" x14ac:dyDescent="0.2">
      <c r="A35" t="s">
        <v>1258</v>
      </c>
      <c r="B35">
        <v>0</v>
      </c>
      <c r="C35" s="2">
        <v>0</v>
      </c>
    </row>
    <row r="36" spans="1:3" ht="12.75" customHeight="1" x14ac:dyDescent="0.2">
      <c r="A36" t="s">
        <v>351</v>
      </c>
      <c r="B36" s="1">
        <v>1</v>
      </c>
      <c r="C36" s="15">
        <v>50</v>
      </c>
    </row>
    <row r="37" spans="1:3" ht="12.75" customHeight="1" x14ac:dyDescent="0.2">
      <c r="A37" t="s">
        <v>1259</v>
      </c>
      <c r="B37">
        <v>293</v>
      </c>
      <c r="C37" s="8">
        <v>3451</v>
      </c>
    </row>
    <row r="38" spans="1:3" ht="12.75" customHeight="1" x14ac:dyDescent="0.2">
      <c r="C38" s="2"/>
    </row>
    <row r="39" spans="1:3" ht="12.75" customHeight="1" x14ac:dyDescent="0.2">
      <c r="A39" t="s">
        <v>1265</v>
      </c>
      <c r="B39" s="23">
        <v>4892</v>
      </c>
      <c r="C39" s="9"/>
    </row>
    <row r="40" spans="1:3" ht="12.75" customHeight="1" thickBot="1" x14ac:dyDescent="0.25">
      <c r="A40" s="10" t="s">
        <v>1266</v>
      </c>
      <c r="B40" s="24">
        <v>5738</v>
      </c>
      <c r="C40" s="11"/>
    </row>
    <row r="41" spans="1:3" ht="12.75" customHeight="1" thickTop="1" x14ac:dyDescent="0.2">
      <c r="C41" s="2"/>
    </row>
    <row r="42" spans="1:3" ht="15" customHeight="1" x14ac:dyDescent="0.25">
      <c r="A42" s="5" t="s">
        <v>38</v>
      </c>
      <c r="B42" s="5"/>
      <c r="C42" s="20"/>
    </row>
    <row r="43" spans="1:3" ht="24.95" customHeight="1" x14ac:dyDescent="0.2">
      <c r="A43" s="21" t="s">
        <v>1254</v>
      </c>
      <c r="B43" s="21" t="s">
        <v>1255</v>
      </c>
      <c r="C43" s="22" t="s">
        <v>1256</v>
      </c>
    </row>
    <row r="44" spans="1:3" ht="12.75" customHeight="1" x14ac:dyDescent="0.2">
      <c r="A44" t="s">
        <v>26</v>
      </c>
      <c r="B44">
        <v>95</v>
      </c>
      <c r="C44" s="8">
        <v>1256</v>
      </c>
    </row>
    <row r="45" spans="1:3" ht="12.75" customHeight="1" x14ac:dyDescent="0.2">
      <c r="A45" t="s">
        <v>156</v>
      </c>
      <c r="B45">
        <v>3</v>
      </c>
      <c r="C45" s="2">
        <v>1276</v>
      </c>
    </row>
    <row r="46" spans="1:3" ht="12.75" customHeight="1" x14ac:dyDescent="0.2">
      <c r="A46" t="s">
        <v>20</v>
      </c>
      <c r="B46">
        <v>8</v>
      </c>
      <c r="C46" s="2">
        <v>191</v>
      </c>
    </row>
    <row r="47" spans="1:3" ht="12.75" customHeight="1" x14ac:dyDescent="0.2">
      <c r="A47" t="s">
        <v>42</v>
      </c>
      <c r="B47">
        <v>9</v>
      </c>
      <c r="C47" s="2">
        <v>255</v>
      </c>
    </row>
    <row r="48" spans="1:3" ht="12.75" customHeight="1" x14ac:dyDescent="0.2">
      <c r="A48" t="s">
        <v>1267</v>
      </c>
      <c r="B48">
        <v>101</v>
      </c>
      <c r="C48" s="8">
        <v>343</v>
      </c>
    </row>
    <row r="49" spans="1:4" ht="12.75" customHeight="1" x14ac:dyDescent="0.2">
      <c r="A49" t="s">
        <v>351</v>
      </c>
      <c r="B49" s="1">
        <v>1</v>
      </c>
      <c r="C49" s="15">
        <v>78</v>
      </c>
    </row>
    <row r="50" spans="1:4" ht="12.75" customHeight="1" x14ac:dyDescent="0.2">
      <c r="A50" t="s">
        <v>1268</v>
      </c>
      <c r="B50">
        <v>217</v>
      </c>
      <c r="C50" s="8">
        <v>3399</v>
      </c>
    </row>
    <row r="51" spans="1:4" ht="12.75" customHeight="1" x14ac:dyDescent="0.2">
      <c r="C51" s="2"/>
    </row>
    <row r="52" spans="1:4" ht="12.75" customHeight="1" x14ac:dyDescent="0.2">
      <c r="A52" t="s">
        <v>1269</v>
      </c>
      <c r="B52" s="23">
        <v>23896</v>
      </c>
      <c r="C52" s="9"/>
      <c r="D52" s="4" t="s">
        <v>2006</v>
      </c>
    </row>
    <row r="53" spans="1:4" ht="12.75" customHeight="1" thickBot="1" x14ac:dyDescent="0.25">
      <c r="A53" s="10" t="s">
        <v>1270</v>
      </c>
      <c r="B53" s="24">
        <v>8023</v>
      </c>
      <c r="C53" s="11"/>
    </row>
    <row r="54" spans="1:4" ht="15" customHeight="1" thickTop="1" x14ac:dyDescent="0.2"/>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I54"/>
  <sheetViews>
    <sheetView workbookViewId="0">
      <selection activeCell="D23" sqref="D23"/>
    </sheetView>
  </sheetViews>
  <sheetFormatPr defaultColWidth="8.85546875" defaultRowHeight="12.75" x14ac:dyDescent="0.2"/>
  <cols>
    <col min="1" max="1" width="37.28515625" customWidth="1"/>
    <col min="2" max="2" width="10.85546875" customWidth="1"/>
    <col min="3" max="3" width="11.42578125" customWidth="1"/>
  </cols>
  <sheetData>
    <row r="1" spans="1:9" s="16" customFormat="1" ht="15.75" x14ac:dyDescent="0.25">
      <c r="A1" s="17" t="s">
        <v>1271</v>
      </c>
      <c r="B1" s="18"/>
      <c r="C1" s="18"/>
      <c r="D1" s="18"/>
      <c r="E1" s="18"/>
      <c r="F1" s="18"/>
      <c r="G1" s="18"/>
      <c r="H1" s="18"/>
      <c r="I1" s="25"/>
    </row>
    <row r="2" spans="1:9" x14ac:dyDescent="0.2">
      <c r="A2" s="4"/>
    </row>
    <row r="3" spans="1:9" s="7" customFormat="1" ht="15" x14ac:dyDescent="0.25">
      <c r="A3" s="5" t="s">
        <v>1253</v>
      </c>
      <c r="B3" s="5"/>
      <c r="C3" s="20"/>
    </row>
    <row r="4" spans="1:9" ht="25.5" x14ac:dyDescent="0.2">
      <c r="A4" s="21" t="s">
        <v>1254</v>
      </c>
      <c r="B4" s="21" t="s">
        <v>1255</v>
      </c>
      <c r="C4" s="22" t="s">
        <v>1256</v>
      </c>
    </row>
    <row r="5" spans="1:9" x14ac:dyDescent="0.2">
      <c r="A5" t="s">
        <v>26</v>
      </c>
      <c r="B5">
        <v>667</v>
      </c>
      <c r="C5" s="8">
        <v>9700</v>
      </c>
    </row>
    <row r="6" spans="1:9" x14ac:dyDescent="0.2">
      <c r="A6" t="s">
        <v>1257</v>
      </c>
      <c r="B6">
        <v>13</v>
      </c>
      <c r="C6" s="8">
        <v>4374</v>
      </c>
    </row>
    <row r="7" spans="1:9" x14ac:dyDescent="0.2">
      <c r="A7" t="s">
        <v>20</v>
      </c>
      <c r="B7">
        <v>15</v>
      </c>
      <c r="C7" s="2">
        <v>285</v>
      </c>
    </row>
    <row r="8" spans="1:9" x14ac:dyDescent="0.2">
      <c r="A8" t="s">
        <v>42</v>
      </c>
      <c r="B8">
        <v>91</v>
      </c>
      <c r="C8" s="8">
        <v>1881</v>
      </c>
    </row>
    <row r="9" spans="1:9" x14ac:dyDescent="0.2">
      <c r="A9" t="s">
        <v>1258</v>
      </c>
      <c r="B9" s="3">
        <v>930</v>
      </c>
      <c r="C9" s="8">
        <v>7286</v>
      </c>
    </row>
    <row r="10" spans="1:9" x14ac:dyDescent="0.2">
      <c r="A10" t="s">
        <v>351</v>
      </c>
      <c r="B10" s="12">
        <v>15</v>
      </c>
      <c r="C10" s="13">
        <v>623</v>
      </c>
    </row>
    <row r="11" spans="1:9" x14ac:dyDescent="0.2">
      <c r="A11" t="s">
        <v>1259</v>
      </c>
      <c r="B11" s="3">
        <v>1731</v>
      </c>
      <c r="C11" s="8">
        <v>24149</v>
      </c>
    </row>
    <row r="12" spans="1:9" x14ac:dyDescent="0.2">
      <c r="C12" s="2"/>
    </row>
    <row r="13" spans="1:9" ht="12.75" customHeight="1" x14ac:dyDescent="0.2">
      <c r="A13" t="s">
        <v>1260</v>
      </c>
      <c r="B13" s="23">
        <v>29634</v>
      </c>
      <c r="C13" s="9"/>
    </row>
    <row r="14" spans="1:9" ht="12.75" customHeight="1" thickBot="1" x14ac:dyDescent="0.25">
      <c r="A14" s="10" t="s">
        <v>1261</v>
      </c>
      <c r="B14" s="24">
        <v>21012</v>
      </c>
      <c r="C14" s="11"/>
    </row>
    <row r="15" spans="1:9" ht="13.5" thickTop="1" x14ac:dyDescent="0.2">
      <c r="H15" s="19"/>
    </row>
    <row r="16" spans="1:9" s="6" customFormat="1" ht="15" x14ac:dyDescent="0.25">
      <c r="A16" s="5" t="s">
        <v>152</v>
      </c>
      <c r="B16" s="5"/>
      <c r="C16" s="20"/>
    </row>
    <row r="17" spans="1:3" ht="25.5" x14ac:dyDescent="0.2">
      <c r="A17" s="21" t="s">
        <v>1254</v>
      </c>
      <c r="B17" s="21" t="s">
        <v>1255</v>
      </c>
      <c r="C17" s="22" t="s">
        <v>1256</v>
      </c>
    </row>
    <row r="18" spans="1:3" x14ac:dyDescent="0.2">
      <c r="A18" t="s">
        <v>26</v>
      </c>
      <c r="B18">
        <v>281</v>
      </c>
      <c r="C18" s="8">
        <v>4693</v>
      </c>
    </row>
    <row r="19" spans="1:3" x14ac:dyDescent="0.2">
      <c r="A19" t="s">
        <v>156</v>
      </c>
      <c r="B19">
        <v>8</v>
      </c>
      <c r="C19" s="8">
        <v>1995</v>
      </c>
    </row>
    <row r="20" spans="1:3" x14ac:dyDescent="0.2">
      <c r="A20" t="s">
        <v>20</v>
      </c>
      <c r="B20">
        <v>5</v>
      </c>
      <c r="C20" s="2">
        <v>97</v>
      </c>
    </row>
    <row r="21" spans="1:3" x14ac:dyDescent="0.2">
      <c r="A21" t="s">
        <v>1262</v>
      </c>
      <c r="B21">
        <v>41</v>
      </c>
      <c r="C21" s="2">
        <v>971</v>
      </c>
    </row>
    <row r="22" spans="1:3" x14ac:dyDescent="0.2">
      <c r="A22" t="s">
        <v>1258</v>
      </c>
      <c r="B22">
        <v>133</v>
      </c>
      <c r="C22" s="8">
        <v>959</v>
      </c>
    </row>
    <row r="23" spans="1:3" x14ac:dyDescent="0.2">
      <c r="A23" t="s">
        <v>351</v>
      </c>
      <c r="B23" s="1">
        <v>8</v>
      </c>
      <c r="C23" s="14">
        <v>308</v>
      </c>
    </row>
    <row r="24" spans="1:3" x14ac:dyDescent="0.2">
      <c r="A24" t="s">
        <v>1259</v>
      </c>
      <c r="B24">
        <v>476</v>
      </c>
      <c r="C24" s="8">
        <v>9023</v>
      </c>
    </row>
    <row r="25" spans="1:3" x14ac:dyDescent="0.2">
      <c r="C25" s="2"/>
    </row>
    <row r="26" spans="1:3" x14ac:dyDescent="0.2">
      <c r="A26" t="s">
        <v>1263</v>
      </c>
      <c r="B26" s="23">
        <v>7338</v>
      </c>
      <c r="C26" s="9"/>
    </row>
    <row r="27" spans="1:3" ht="13.5" thickBot="1" x14ac:dyDescent="0.25">
      <c r="A27" s="10" t="s">
        <v>1264</v>
      </c>
      <c r="B27" s="24">
        <v>9289</v>
      </c>
      <c r="C27" s="11"/>
    </row>
    <row r="28" spans="1:3" ht="13.5" thickTop="1" x14ac:dyDescent="0.2"/>
    <row r="29" spans="1:3" ht="15" x14ac:dyDescent="0.25">
      <c r="A29" s="5" t="s">
        <v>16</v>
      </c>
      <c r="B29" s="5"/>
      <c r="C29" s="20"/>
    </row>
    <row r="30" spans="1:3" ht="25.5" x14ac:dyDescent="0.2">
      <c r="A30" s="21" t="s">
        <v>1254</v>
      </c>
      <c r="B30" s="21" t="s">
        <v>1255</v>
      </c>
      <c r="C30" s="22" t="s">
        <v>1256</v>
      </c>
    </row>
    <row r="31" spans="1:3" x14ac:dyDescent="0.2">
      <c r="A31" t="s">
        <v>26</v>
      </c>
      <c r="B31">
        <v>287</v>
      </c>
      <c r="C31" s="8">
        <v>3786</v>
      </c>
    </row>
    <row r="32" spans="1:3" x14ac:dyDescent="0.2">
      <c r="A32" t="s">
        <v>156</v>
      </c>
      <c r="B32">
        <v>3</v>
      </c>
      <c r="C32" s="2">
        <v>996</v>
      </c>
    </row>
    <row r="33" spans="1:3" x14ac:dyDescent="0.2">
      <c r="A33" t="s">
        <v>20</v>
      </c>
      <c r="B33">
        <v>1</v>
      </c>
      <c r="C33" s="2">
        <v>15</v>
      </c>
    </row>
    <row r="34" spans="1:3" x14ac:dyDescent="0.2">
      <c r="A34" t="s">
        <v>1262</v>
      </c>
      <c r="B34">
        <v>30</v>
      </c>
      <c r="C34" s="2">
        <v>445</v>
      </c>
    </row>
    <row r="35" spans="1:3" x14ac:dyDescent="0.2">
      <c r="A35" t="s">
        <v>1258</v>
      </c>
      <c r="B35">
        <v>0</v>
      </c>
      <c r="C35" s="2">
        <v>0</v>
      </c>
    </row>
    <row r="36" spans="1:3" x14ac:dyDescent="0.2">
      <c r="A36" t="s">
        <v>351</v>
      </c>
      <c r="B36" s="1">
        <v>6</v>
      </c>
      <c r="C36" s="15">
        <v>165</v>
      </c>
    </row>
    <row r="37" spans="1:3" x14ac:dyDescent="0.2">
      <c r="A37" t="s">
        <v>1259</v>
      </c>
      <c r="B37">
        <v>327</v>
      </c>
      <c r="C37" s="8">
        <v>5407</v>
      </c>
    </row>
    <row r="38" spans="1:3" x14ac:dyDescent="0.2">
      <c r="C38" s="2"/>
    </row>
    <row r="39" spans="1:3" x14ac:dyDescent="0.2">
      <c r="A39" t="s">
        <v>1265</v>
      </c>
      <c r="B39" s="23">
        <v>14712</v>
      </c>
      <c r="C39" s="9"/>
    </row>
    <row r="40" spans="1:3" ht="13.5" thickBot="1" x14ac:dyDescent="0.25">
      <c r="A40" s="10" t="s">
        <v>1266</v>
      </c>
      <c r="B40" s="24">
        <v>4186</v>
      </c>
      <c r="C40" s="11"/>
    </row>
    <row r="41" spans="1:3" ht="13.5" thickTop="1" x14ac:dyDescent="0.2">
      <c r="C41" s="2"/>
    </row>
    <row r="42" spans="1:3" ht="15" x14ac:dyDescent="0.25">
      <c r="A42" s="5" t="s">
        <v>38</v>
      </c>
      <c r="B42" s="5"/>
      <c r="C42" s="20"/>
    </row>
    <row r="43" spans="1:3" ht="25.5" x14ac:dyDescent="0.2">
      <c r="A43" s="21" t="s">
        <v>1254</v>
      </c>
      <c r="B43" s="21" t="s">
        <v>1255</v>
      </c>
      <c r="C43" s="22" t="s">
        <v>1256</v>
      </c>
    </row>
    <row r="44" spans="1:3" x14ac:dyDescent="0.2">
      <c r="A44" t="s">
        <v>26</v>
      </c>
      <c r="B44">
        <v>99</v>
      </c>
      <c r="C44" s="8">
        <v>1221</v>
      </c>
    </row>
    <row r="45" spans="1:3" x14ac:dyDescent="0.2">
      <c r="A45" t="s">
        <v>156</v>
      </c>
      <c r="B45">
        <v>2</v>
      </c>
      <c r="C45" s="2">
        <v>1383</v>
      </c>
    </row>
    <row r="46" spans="1:3" x14ac:dyDescent="0.2">
      <c r="A46" t="s">
        <v>20</v>
      </c>
      <c r="B46">
        <v>9</v>
      </c>
      <c r="C46" s="2">
        <v>173</v>
      </c>
    </row>
    <row r="47" spans="1:3" x14ac:dyDescent="0.2">
      <c r="A47" t="s">
        <v>42</v>
      </c>
      <c r="B47">
        <v>20</v>
      </c>
      <c r="C47" s="2">
        <v>465</v>
      </c>
    </row>
    <row r="48" spans="1:3" x14ac:dyDescent="0.2">
      <c r="A48" t="s">
        <v>1267</v>
      </c>
      <c r="B48">
        <v>797</v>
      </c>
      <c r="C48" s="8">
        <v>6327</v>
      </c>
    </row>
    <row r="49" spans="1:3" x14ac:dyDescent="0.2">
      <c r="A49" t="s">
        <v>351</v>
      </c>
      <c r="B49" s="1">
        <v>1</v>
      </c>
      <c r="C49" s="15">
        <v>150</v>
      </c>
    </row>
    <row r="50" spans="1:3" x14ac:dyDescent="0.2">
      <c r="A50" t="s">
        <v>1268</v>
      </c>
      <c r="B50">
        <v>928</v>
      </c>
      <c r="C50" s="8">
        <v>9719</v>
      </c>
    </row>
    <row r="51" spans="1:3" x14ac:dyDescent="0.2">
      <c r="C51" s="2"/>
    </row>
    <row r="52" spans="1:3" x14ac:dyDescent="0.2">
      <c r="A52" t="s">
        <v>1269</v>
      </c>
      <c r="B52" s="23">
        <v>7584</v>
      </c>
      <c r="C52" s="9"/>
    </row>
    <row r="53" spans="1:3" ht="13.5" thickBot="1" x14ac:dyDescent="0.25">
      <c r="A53" s="10" t="s">
        <v>1270</v>
      </c>
      <c r="B53" s="24">
        <v>7537</v>
      </c>
      <c r="C53" s="11"/>
    </row>
    <row r="54" spans="1:3" ht="13.5" thickTop="1" x14ac:dyDescent="0.2"/>
  </sheetData>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Master List ALL Programs</vt:lpstr>
      <vt:lpstr>YTD FY2014</vt:lpstr>
      <vt:lpstr>June 2014</vt:lpstr>
      <vt:lpstr>May 2014</vt:lpstr>
      <vt:lpstr>April 2014</vt:lpstr>
      <vt:lpstr>March 2014</vt:lpstr>
      <vt:lpstr>February 2014</vt:lpstr>
      <vt:lpstr>January 2014</vt:lpstr>
      <vt:lpstr>December 2013</vt:lpstr>
      <vt:lpstr>November 2013</vt:lpstr>
      <vt:lpstr>October 2013</vt:lpstr>
      <vt:lpstr>September 2013</vt:lpstr>
      <vt:lpstr>August 2013</vt:lpstr>
      <vt:lpstr>July 2013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EGraham</dc:creator>
  <cp:lastModifiedBy>EGraham</cp:lastModifiedBy>
  <dcterms:created xsi:type="dcterms:W3CDTF">2013-08-16T13:43:56Z</dcterms:created>
  <dcterms:modified xsi:type="dcterms:W3CDTF">2014-07-17T15:58:13Z</dcterms:modified>
</cp:coreProperties>
</file>