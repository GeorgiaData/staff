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n\Documents\My Documents\ACN\NRT\interim\2016\"/>
    </mc:Choice>
  </mc:AlternateContent>
  <bookViews>
    <workbookView xWindow="0" yWindow="0" windowWidth="19200" windowHeight="5856" tabRatio="527" activeTab="1"/>
  </bookViews>
  <sheets>
    <sheet name="Main 2015" sheetId="21" r:id="rId1"/>
    <sheet name="Sheet1" sheetId="23" r:id="rId2"/>
    <sheet name="Summary" sheetId="22" r:id="rId3"/>
  </sheets>
  <definedNames>
    <definedName name="_xlnm._FilterDatabase" localSheetId="0" hidden="1">'Main 2015'!$A$1:$L$59</definedName>
    <definedName name="_xlnm._FilterDatabase" localSheetId="2" hidden="1">Summary!#REF!</definedName>
    <definedName name="_xlnm.Print_Area" localSheetId="0">'Main 2015'!$B$1:$I$64</definedName>
    <definedName name="_xlnm.Print_Area" localSheetId="2">Summary!#REF!</definedName>
    <definedName name="_xlnm.Print_Titles" localSheetId="0">'Main 2015'!$C:$C,'Main 2015'!$1:$1</definedName>
    <definedName name="_xlnm.Print_Titles" localSheetId="2">Summary!$D:$D,Summary!#REF!</definedName>
  </definedNames>
  <calcPr calcId="152511"/>
</workbook>
</file>

<file path=xl/calcChain.xml><?xml version="1.0" encoding="utf-8"?>
<calcChain xmlns="http://schemas.openxmlformats.org/spreadsheetml/2006/main">
  <c r="B1" i="23" l="1"/>
  <c r="A1" i="23"/>
  <c r="E11" i="23"/>
  <c r="F11" i="23"/>
  <c r="E12" i="23"/>
  <c r="F12" i="23"/>
  <c r="E13" i="23"/>
  <c r="F13" i="23"/>
  <c r="E1" i="23"/>
  <c r="F1" i="23"/>
  <c r="E2" i="23"/>
  <c r="F2" i="23"/>
  <c r="E3" i="23"/>
  <c r="F3" i="23"/>
  <c r="E4" i="23"/>
  <c r="F4" i="23"/>
  <c r="E5" i="23"/>
  <c r="F5" i="23"/>
  <c r="E6" i="23"/>
  <c r="F6" i="23"/>
  <c r="E7" i="23"/>
  <c r="F7" i="23"/>
  <c r="E8" i="23"/>
  <c r="F8" i="23"/>
  <c r="E9" i="23"/>
  <c r="F9" i="23"/>
  <c r="E10" i="23"/>
  <c r="F10" i="23"/>
  <c r="D11" i="23"/>
  <c r="D12" i="23"/>
  <c r="D13" i="23"/>
  <c r="D1" i="23"/>
  <c r="D2" i="23"/>
  <c r="D3" i="23"/>
  <c r="D4" i="23"/>
  <c r="D5" i="23"/>
  <c r="D6" i="23"/>
  <c r="D7" i="23"/>
  <c r="D8" i="23"/>
  <c r="D9" i="23"/>
  <c r="D10" i="23"/>
  <c r="C11" i="23"/>
  <c r="C12" i="23"/>
  <c r="C13" i="23"/>
  <c r="C1" i="23"/>
  <c r="C2" i="23"/>
  <c r="C3" i="23"/>
  <c r="C4" i="23"/>
  <c r="C5" i="23"/>
  <c r="C6" i="23"/>
  <c r="C7" i="23"/>
  <c r="C8" i="23"/>
  <c r="C9" i="23"/>
  <c r="C10" i="23"/>
  <c r="A11" i="23"/>
  <c r="B11" i="23"/>
  <c r="A12" i="23"/>
  <c r="B12" i="23"/>
  <c r="A13" i="23"/>
  <c r="B13" i="23"/>
  <c r="A2" i="23"/>
  <c r="B2" i="23"/>
  <c r="A3" i="23"/>
  <c r="B3" i="23"/>
  <c r="A4" i="23"/>
  <c r="B4" i="23"/>
  <c r="A5" i="23"/>
  <c r="B5" i="23"/>
  <c r="A6" i="23"/>
  <c r="B6" i="23"/>
  <c r="A7" i="23"/>
  <c r="B7" i="23"/>
  <c r="A8" i="23"/>
  <c r="B8" i="23"/>
  <c r="A9" i="23"/>
  <c r="B9" i="23"/>
  <c r="A10" i="23"/>
  <c r="B10" i="23"/>
  <c r="B8" i="22" l="1"/>
  <c r="C17" i="22"/>
  <c r="G10" i="21"/>
  <c r="G9" i="21"/>
  <c r="G8" i="21"/>
  <c r="C37" i="22"/>
  <c r="D13" i="22" s="1"/>
  <c r="B7" i="22"/>
  <c r="D17" i="22" l="1"/>
  <c r="G63" i="21"/>
  <c r="B9" i="22"/>
  <c r="E9" i="22" s="1"/>
  <c r="E11" i="22" s="1"/>
  <c r="E15" i="22" s="1"/>
  <c r="E20" i="22" s="1"/>
  <c r="D9" i="22" l="1"/>
  <c r="D11" i="22" s="1"/>
  <c r="D15" i="22" s="1"/>
  <c r="D20" i="22" s="1"/>
  <c r="C9" i="22"/>
  <c r="C11" i="22" s="1"/>
  <c r="C15" i="22" s="1"/>
  <c r="C20" i="22" s="1"/>
  <c r="D48" i="21"/>
  <c r="G62" i="21"/>
  <c r="D63" i="21" l="1"/>
  <c r="D61" i="21"/>
</calcChain>
</file>

<file path=xl/sharedStrings.xml><?xml version="1.0" encoding="utf-8"?>
<sst xmlns="http://schemas.openxmlformats.org/spreadsheetml/2006/main" count="317" uniqueCount="235">
  <si>
    <t>Project Sponsor</t>
  </si>
  <si>
    <t>Project Name</t>
  </si>
  <si>
    <t>Amt Request</t>
  </si>
  <si>
    <t>Total Score</t>
  </si>
  <si>
    <t>Amt Awarded</t>
  </si>
  <si>
    <t>Category</t>
  </si>
  <si>
    <t>Comments</t>
  </si>
  <si>
    <t>District</t>
  </si>
  <si>
    <t>County</t>
  </si>
  <si>
    <t>Total Requested</t>
  </si>
  <si>
    <t>Total Awarded</t>
  </si>
  <si>
    <t>Number of Applications/Awards</t>
  </si>
  <si>
    <t>Motorized</t>
  </si>
  <si>
    <t>Available</t>
  </si>
  <si>
    <t>Augusta Canal Authority</t>
  </si>
  <si>
    <t>DeKalb County</t>
  </si>
  <si>
    <t>Bartow</t>
  </si>
  <si>
    <t>Fulton</t>
  </si>
  <si>
    <t>Richmond</t>
  </si>
  <si>
    <t>Cherokee</t>
  </si>
  <si>
    <t>DeKalb</t>
  </si>
  <si>
    <t>Glynn</t>
  </si>
  <si>
    <t>Clayton</t>
  </si>
  <si>
    <t>Dawsonville, City of</t>
  </si>
  <si>
    <t>Dawson</t>
  </si>
  <si>
    <t>Watkinsville, City of</t>
  </si>
  <si>
    <t>Trion, Town of</t>
  </si>
  <si>
    <t>Ringgold, City of</t>
  </si>
  <si>
    <t>Hall</t>
  </si>
  <si>
    <t>Gwinnett</t>
  </si>
  <si>
    <t>Columbia</t>
  </si>
  <si>
    <t>Lula, City of</t>
  </si>
  <si>
    <t>Nature Trails at Rafe Banks Park</t>
  </si>
  <si>
    <t>Lumpkin</t>
  </si>
  <si>
    <t>Chattooga</t>
  </si>
  <si>
    <t>Oconee</t>
  </si>
  <si>
    <t>Newton</t>
  </si>
  <si>
    <t>Catoosa</t>
  </si>
  <si>
    <t>Fayette</t>
  </si>
  <si>
    <t>Whitfield</t>
  </si>
  <si>
    <t>Comb Non</t>
  </si>
  <si>
    <t>Single Non</t>
  </si>
  <si>
    <t>Oxford, City of</t>
  </si>
  <si>
    <t>Chattahoochee Hills, City of</t>
  </si>
  <si>
    <t>Main Street Park Trail</t>
  </si>
  <si>
    <t>Pickens</t>
  </si>
  <si>
    <t>Trails of Chattahoochee Hills</t>
  </si>
  <si>
    <t>Haralson County</t>
  </si>
  <si>
    <t>Camden</t>
  </si>
  <si>
    <t>Fayetteville, City of</t>
  </si>
  <si>
    <t>Rockdale County</t>
  </si>
  <si>
    <t>Rockdale</t>
  </si>
  <si>
    <t>Hogansville, City of</t>
  </si>
  <si>
    <t>Troup</t>
  </si>
  <si>
    <t>Polk</t>
  </si>
  <si>
    <t>Putnam County</t>
  </si>
  <si>
    <t>Putnam</t>
  </si>
  <si>
    <t>Milledgeville, City of</t>
  </si>
  <si>
    <t>Baldwin</t>
  </si>
  <si>
    <t>Long County</t>
  </si>
  <si>
    <t>Long</t>
  </si>
  <si>
    <t>Perry, City of</t>
  </si>
  <si>
    <t>Houston</t>
  </si>
  <si>
    <t>Chatham County</t>
  </si>
  <si>
    <t>Raw Water Pumping Station Trailhead</t>
  </si>
  <si>
    <t>Atlanta, City of</t>
  </si>
  <si>
    <t>Eatonton, City of</t>
  </si>
  <si>
    <t>Briar Patch Trail Phase II</t>
  </si>
  <si>
    <t>Brunswick, City of</t>
  </si>
  <si>
    <t>White County</t>
  </si>
  <si>
    <t>White</t>
  </si>
  <si>
    <t>Warner Robins, City of</t>
  </si>
  <si>
    <t>Healthy Community Trail #1</t>
  </si>
  <si>
    <t>Murray County</t>
  </si>
  <si>
    <t>Veterans Memorial Park Multi-Purpose Trail</t>
  </si>
  <si>
    <t>Murray</t>
  </si>
  <si>
    <t>Union County</t>
  </si>
  <si>
    <t>Source</t>
  </si>
  <si>
    <t># of Projects awarded</t>
  </si>
  <si>
    <t>Towns</t>
  </si>
  <si>
    <t>The Etowah River Water Trail at Hardin Bridge</t>
  </si>
  <si>
    <t>Amerson Water Works and Ocmulgee Heritage Trail Connector</t>
  </si>
  <si>
    <t>Martin Luther King Jr. Boulevard Trail Phase II</t>
  </si>
  <si>
    <t>St. Mary's Tabby Trail - Sugar Mill Trailhead</t>
  </si>
  <si>
    <t>Cedartown, City of</t>
  </si>
  <si>
    <t>Blankets Creek Mountain Bike Trails</t>
  </si>
  <si>
    <t>Dalton, City of</t>
  </si>
  <si>
    <t>Mill Creek Trail in the Civitan Riverwalk Park</t>
  </si>
  <si>
    <t>South River Walk Trail</t>
  </si>
  <si>
    <t>Echols</t>
  </si>
  <si>
    <t>Rock Dam Trail Bridge Construction &amp; Replace Existing Footbridges</t>
  </si>
  <si>
    <t>Effingham County Recreation Complex Trail</t>
  </si>
  <si>
    <t>Effingham</t>
  </si>
  <si>
    <t>Ellijay, City of</t>
  </si>
  <si>
    <t>Harrison Park Trailhead</t>
  </si>
  <si>
    <t>Gilmer</t>
  </si>
  <si>
    <t>Eagles Beak Park &amp; Etowah River Trail Canoe Launch</t>
  </si>
  <si>
    <t>Forsyth</t>
  </si>
  <si>
    <t>Gainesville, City of</t>
  </si>
  <si>
    <t>Georgia College &amp; State University</t>
  </si>
  <si>
    <t>Fishing Creek Community Trail: Campus Connector</t>
  </si>
  <si>
    <t>Sweetwater Creek Greenway Trailhead</t>
  </si>
  <si>
    <t>Hiawassee, City of</t>
  </si>
  <si>
    <t>Mayor's Park Trail</t>
  </si>
  <si>
    <t>Jasper, City of</t>
  </si>
  <si>
    <t>The North Railroad Trail Project</t>
  </si>
  <si>
    <t>Highway 49 Recreational Trail</t>
  </si>
  <si>
    <t>Jones</t>
  </si>
  <si>
    <t>Lamar County</t>
  </si>
  <si>
    <t>North Lamar County Recreation Park Trail</t>
  </si>
  <si>
    <t>Lamar</t>
  </si>
  <si>
    <t>Lee County</t>
  </si>
  <si>
    <t>Lee</t>
  </si>
  <si>
    <t>A Tile to Remember Trail</t>
  </si>
  <si>
    <t>Lovejoy, City of</t>
  </si>
  <si>
    <t>Lyons, City of</t>
  </si>
  <si>
    <t>Lyons Environmental Education Trail</t>
  </si>
  <si>
    <t>Toombs</t>
  </si>
  <si>
    <t>Maxeys, City of</t>
  </si>
  <si>
    <t>Oglethorpe</t>
  </si>
  <si>
    <t>Fishing Creek Community Trail Downtown Connector Maintenance Access</t>
  </si>
  <si>
    <t>Pearson, City of</t>
  </si>
  <si>
    <t>Pearson Recreational Trail</t>
  </si>
  <si>
    <t>Atkinson</t>
  </si>
  <si>
    <t>Lumpkin County</t>
  </si>
  <si>
    <t>Yahoola Creek Trail System Maintenance</t>
  </si>
  <si>
    <t>Big Indian Creek Waterway Trail Phase IV</t>
  </si>
  <si>
    <t>Polk County</t>
  </si>
  <si>
    <t>Silver Comet Trail Maintenance Improvement</t>
  </si>
  <si>
    <t>Rock Hawk Recreational &amp; Educational Trailhead Pavillion</t>
  </si>
  <si>
    <t>Trail of Tears Phase II</t>
  </si>
  <si>
    <t>Mountain Bike Trails at South Rockdale Community Park</t>
  </si>
  <si>
    <t>Thomasville, City of</t>
  </si>
  <si>
    <t>Thomasville Community Landmarks Trail</t>
  </si>
  <si>
    <t>Thomas</t>
  </si>
  <si>
    <t>Toccoa, City of</t>
  </si>
  <si>
    <t xml:space="preserve">Lake Toccoa Recreational Trail </t>
  </si>
  <si>
    <t>Stephens</t>
  </si>
  <si>
    <t>Park Avenue Trail Phase II</t>
  </si>
  <si>
    <t>Troup County</t>
  </si>
  <si>
    <t>Eastside Park Trail</t>
  </si>
  <si>
    <t>Union City, City of</t>
  </si>
  <si>
    <t>Helton Creek Falls Trail Rehabilitation</t>
  </si>
  <si>
    <t>Union</t>
  </si>
  <si>
    <t>University of North Georgia</t>
  </si>
  <si>
    <t>Tumbling Creek Trail Restoration</t>
  </si>
  <si>
    <t>Watkinsville Woods Trail</t>
  </si>
  <si>
    <t>Yonah Preserve Multi-Use Trail Phase II</t>
  </si>
  <si>
    <t>Amt Approved</t>
  </si>
  <si>
    <t>FY 2015 grant funds available</t>
  </si>
  <si>
    <t>Carroll County</t>
  </si>
  <si>
    <t>Vidalia</t>
  </si>
  <si>
    <t>Euharlee, City of</t>
  </si>
  <si>
    <t>Ineligible - did not meet 20% match</t>
  </si>
  <si>
    <t>Ineligible - trail is a sidewalk</t>
  </si>
  <si>
    <t xml:space="preserve">Bartow County </t>
  </si>
  <si>
    <t xml:space="preserve">Camden County </t>
  </si>
  <si>
    <t>Canton, City of</t>
  </si>
  <si>
    <t>Cherokee County</t>
  </si>
  <si>
    <t xml:space="preserve">Dawson County </t>
  </si>
  <si>
    <t>DNR - Mistletoe State Park</t>
  </si>
  <si>
    <t>Unresolved grant violations from 2012 award</t>
  </si>
  <si>
    <t>DNR - Hard Labor Creek State Park</t>
  </si>
  <si>
    <t>Echols County</t>
  </si>
  <si>
    <t>Entire project is ineligible for funding</t>
  </si>
  <si>
    <t xml:space="preserve">Effingham County </t>
  </si>
  <si>
    <t>Forsyth County</t>
  </si>
  <si>
    <t>Concerns about public being able to access campus trail</t>
  </si>
  <si>
    <t xml:space="preserve">Gwinnett County </t>
  </si>
  <si>
    <t>Concerns that project is for trailhead parking when ample parking exists</t>
  </si>
  <si>
    <t>City does not own land, in long-term agreement with TVA</t>
  </si>
  <si>
    <t>Jones County</t>
  </si>
  <si>
    <t>If funded, applicant needs to show proof that this project connects to existing rails to trails project</t>
  </si>
  <si>
    <t>Concerns about excessive size of proposed parking lot, seems to be creating parking for Comm Ctr</t>
  </si>
  <si>
    <t>Concerns about trailhead parking in grocery store lot</t>
  </si>
  <si>
    <t>Local citizens have voiced concerns about trail in their backyard</t>
  </si>
  <si>
    <t>Questions about school's contribution to project, not clearly outlined</t>
  </si>
  <si>
    <t>Still need to adopt Comp Plan w GA DCA</t>
  </si>
  <si>
    <t>Oxford Connections Trail</t>
  </si>
  <si>
    <t>Firefly Trail</t>
  </si>
  <si>
    <t>Rails to Trails - Lee County Trailheads</t>
  </si>
  <si>
    <t>Hogansville Water Tower Trail Phase IV</t>
  </si>
  <si>
    <t>The Ridge Nature Area Trails</t>
  </si>
  <si>
    <t>Alapaha River Canoe and Kayak Float Trail</t>
  </si>
  <si>
    <t>Equestrian, Mountain Bike, and Hiking Trail Safety and Environmental Amendments</t>
  </si>
  <si>
    <t>Morgan/Walton</t>
  </si>
  <si>
    <t>Rock Creek Multi-Use Trail</t>
  </si>
  <si>
    <t>Midtown Greenway Airport Multi-Use Trail</t>
  </si>
  <si>
    <t>Big Spring Cherokee Heritage Trail</t>
  </si>
  <si>
    <t>Canoe/Kayak Launch</t>
  </si>
  <si>
    <t>Bibb County/City of Macon</t>
  </si>
  <si>
    <t>Macon/Bibb</t>
  </si>
  <si>
    <t>Atlanta BeltLine Trailhead at 1385 Raplh David Abernathy Blvd</t>
  </si>
  <si>
    <t>Project Number</t>
  </si>
  <si>
    <t>09(04)</t>
  </si>
  <si>
    <t>L940</t>
  </si>
  <si>
    <t>10(10)</t>
  </si>
  <si>
    <t>09(08)</t>
  </si>
  <si>
    <t>09(14)</t>
  </si>
  <si>
    <t>12(14)</t>
  </si>
  <si>
    <t>L94R</t>
  </si>
  <si>
    <t>L940R</t>
  </si>
  <si>
    <t>L94E</t>
  </si>
  <si>
    <t>Total Funds Available</t>
  </si>
  <si>
    <t>FY 2015 Balance for Projects</t>
  </si>
  <si>
    <t>30%</t>
  </si>
  <si>
    <t>40%</t>
  </si>
  <si>
    <t>PY plus CY Funds</t>
  </si>
  <si>
    <t>Funds available from reverted projects (See below)</t>
  </si>
  <si>
    <t>Total Allocated to Nonmotorized - Diversified</t>
  </si>
  <si>
    <t>Unobligated Funds</t>
  </si>
  <si>
    <t>Total Number of Projects Funded</t>
  </si>
  <si>
    <t>Not eligible - Application was bound. Concerns that trailhead pavillion is actually large outdoor classroom</t>
  </si>
  <si>
    <t xml:space="preserve">Not eligible - Application was bound.  </t>
  </si>
  <si>
    <t>NE (130)</t>
  </si>
  <si>
    <t xml:space="preserve">NE </t>
  </si>
  <si>
    <t>Not eligible - Application received after deadline</t>
  </si>
  <si>
    <t>NE (115)</t>
  </si>
  <si>
    <t>NE (95)</t>
  </si>
  <si>
    <t>NE (70)</t>
  </si>
  <si>
    <t>NE (55)</t>
  </si>
  <si>
    <t>NE (50)</t>
  </si>
  <si>
    <t>NE</t>
  </si>
  <si>
    <t>Applicant received 2014 funds - substantial delays to signing contract</t>
  </si>
  <si>
    <t>Nonmotorized - Diversified</t>
  </si>
  <si>
    <t>Funds available from De and Re-obligated projects</t>
  </si>
  <si>
    <t>Total Funds Awarded 2015</t>
  </si>
  <si>
    <t>Rollover funds from PY</t>
  </si>
  <si>
    <t>Nonmotorized - Single Use</t>
  </si>
  <si>
    <t>Ineligible - did not meet 20% match. Concerns about public access to university trails</t>
  </si>
  <si>
    <t xml:space="preserve">Abbeville, City of </t>
  </si>
  <si>
    <t>Half Moon Walking Trails</t>
  </si>
  <si>
    <t>Wilcox</t>
  </si>
  <si>
    <t xml:space="preserve"> 7% Admin draw</t>
  </si>
  <si>
    <t xml:space="preserve"> 5% Education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</si>
</sst>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2" xfId="0" applyFont="1" applyFill="1" applyBorder="1"/>
    <xf numFmtId="164" fontId="3" fillId="0" borderId="2" xfId="0" applyNumberFormat="1" applyFont="1" applyFill="1" applyBorder="1" applyAlignment="1">
      <alignment horizontal="right"/>
    </xf>
    <xf numFmtId="14" fontId="3" fillId="0" borderId="2" xfId="0" applyNumberFormat="1" applyFont="1" applyFill="1" applyBorder="1"/>
    <xf numFmtId="44" fontId="3" fillId="0" borderId="2" xfId="1" applyFont="1" applyFill="1" applyBorder="1" applyAlignment="1">
      <alignment horizontal="center"/>
    </xf>
    <xf numFmtId="164" fontId="3" fillId="0" borderId="2" xfId="0" applyNumberFormat="1" applyFont="1" applyFill="1" applyBorder="1"/>
    <xf numFmtId="0" fontId="0" fillId="0" borderId="0" xfId="0" applyFill="1"/>
    <xf numFmtId="0" fontId="0" fillId="2" borderId="0" xfId="0" applyFill="1"/>
    <xf numFmtId="0" fontId="3" fillId="0" borderId="2" xfId="0" applyFont="1" applyFill="1" applyBorder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44" fontId="3" fillId="0" borderId="0" xfId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1" applyNumberFormat="1" applyFont="1"/>
    <xf numFmtId="0" fontId="3" fillId="0" borderId="0" xfId="0" applyFont="1" applyFill="1" applyAlignment="1">
      <alignment horizontal="right"/>
    </xf>
    <xf numFmtId="0" fontId="3" fillId="0" borderId="0" xfId="0" applyFont="1" applyBorder="1"/>
    <xf numFmtId="0" fontId="3" fillId="0" borderId="0" xfId="0" applyFont="1" applyAlignment="1">
      <alignment horizontal="left"/>
    </xf>
    <xf numFmtId="0" fontId="3" fillId="0" borderId="2" xfId="0" applyFont="1" applyFill="1" applyBorder="1" applyAlignment="1">
      <alignment horizontal="left"/>
    </xf>
    <xf numFmtId="164" fontId="3" fillId="0" borderId="3" xfId="1" applyNumberFormat="1" applyFont="1" applyFill="1" applyBorder="1"/>
    <xf numFmtId="164" fontId="3" fillId="0" borderId="0" xfId="1" applyNumberFormat="1" applyFont="1" applyBorder="1"/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Fill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44" fontId="1" fillId="0" borderId="0" xfId="1" applyFill="1" applyBorder="1"/>
    <xf numFmtId="0" fontId="0" fillId="0" borderId="0" xfId="0" applyAlignment="1">
      <alignment horizontal="left"/>
    </xf>
    <xf numFmtId="1" fontId="3" fillId="0" borderId="0" xfId="0" applyNumberFormat="1" applyFont="1" applyFill="1"/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0" xfId="0" applyFont="1" applyAlignment="1">
      <alignment horizontal="left"/>
    </xf>
    <xf numFmtId="164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/>
    <xf numFmtId="164" fontId="3" fillId="0" borderId="6" xfId="0" applyNumberFormat="1" applyFont="1" applyFill="1" applyBorder="1" applyAlignment="1">
      <alignment horizontal="right"/>
    </xf>
    <xf numFmtId="0" fontId="3" fillId="0" borderId="6" xfId="0" applyFont="1" applyFill="1" applyBorder="1" applyAlignment="1">
      <alignment horizontal="center"/>
    </xf>
    <xf numFmtId="44" fontId="3" fillId="0" borderId="6" xfId="1" applyFont="1" applyFill="1" applyBorder="1" applyAlignment="1">
      <alignment horizont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64" fontId="3" fillId="0" borderId="0" xfId="1" applyNumberFormat="1" applyFont="1" applyFill="1" applyBorder="1"/>
    <xf numFmtId="164" fontId="3" fillId="0" borderId="2" xfId="1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right"/>
    </xf>
    <xf numFmtId="44" fontId="3" fillId="3" borderId="2" xfId="1" applyFont="1" applyFill="1" applyBorder="1" applyAlignment="1">
      <alignment horizontal="center"/>
    </xf>
    <xf numFmtId="0" fontId="3" fillId="3" borderId="2" xfId="1" applyNumberFormat="1" applyFont="1" applyFill="1" applyBorder="1" applyAlignment="1">
      <alignment horizontal="center"/>
    </xf>
    <xf numFmtId="44" fontId="3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NumberFormat="1" applyFont="1" applyFill="1" applyBorder="1" applyAlignment="1">
      <alignment horizontal="center"/>
    </xf>
    <xf numFmtId="1" fontId="3" fillId="0" borderId="2" xfId="0" applyNumberFormat="1" applyFont="1" applyFill="1" applyBorder="1"/>
    <xf numFmtId="1" fontId="0" fillId="0" borderId="0" xfId="0" applyNumberFormat="1"/>
    <xf numFmtId="1" fontId="0" fillId="0" borderId="0" xfId="0" applyNumberFormat="1" applyFill="1" applyBorder="1"/>
    <xf numFmtId="0" fontId="2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44" fontId="3" fillId="0" borderId="2" xfId="1" applyFont="1" applyFill="1" applyBorder="1" applyAlignment="1">
      <alignment horizontal="left"/>
    </xf>
    <xf numFmtId="2" fontId="3" fillId="0" borderId="2" xfId="1" applyNumberFormat="1" applyFont="1" applyFill="1" applyBorder="1" applyAlignment="1">
      <alignment horizontal="center"/>
    </xf>
    <xf numFmtId="164" fontId="3" fillId="0" borderId="2" xfId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44" fontId="3" fillId="3" borderId="2" xfId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center"/>
    </xf>
    <xf numFmtId="0" fontId="0" fillId="3" borderId="0" xfId="0" applyFill="1"/>
    <xf numFmtId="0" fontId="6" fillId="0" borderId="1" xfId="0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64" fontId="3" fillId="0" borderId="6" xfId="1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44" fontId="3" fillId="0" borderId="0" xfId="1" applyFont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left" wrapText="1"/>
    </xf>
    <xf numFmtId="0" fontId="3" fillId="3" borderId="2" xfId="0" applyNumberFormat="1" applyFont="1" applyFill="1" applyBorder="1" applyAlignment="1">
      <alignment horizontal="left" wrapText="1"/>
    </xf>
    <xf numFmtId="0" fontId="0" fillId="3" borderId="2" xfId="0" applyNumberFormat="1" applyFill="1" applyBorder="1" applyAlignment="1">
      <alignment horizontal="left" wrapText="1"/>
    </xf>
    <xf numFmtId="0" fontId="0" fillId="0" borderId="2" xfId="0" applyNumberFormat="1" applyFill="1" applyBorder="1" applyAlignment="1">
      <alignment horizontal="left" wrapText="1"/>
    </xf>
    <xf numFmtId="0" fontId="3" fillId="0" borderId="1" xfId="0" applyNumberFormat="1" applyFont="1" applyFill="1" applyBorder="1" applyAlignment="1">
      <alignment horizontal="left" wrapText="1"/>
    </xf>
    <xf numFmtId="0" fontId="3" fillId="0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/>
    <xf numFmtId="0" fontId="3" fillId="3" borderId="2" xfId="0" applyNumberFormat="1" applyFont="1" applyFill="1" applyBorder="1" applyAlignment="1">
      <alignment horizontal="center"/>
    </xf>
    <xf numFmtId="164" fontId="2" fillId="0" borderId="0" xfId="1" applyNumberFormat="1" applyFont="1"/>
    <xf numFmtId="0" fontId="3" fillId="0" borderId="3" xfId="1" quotePrefix="1" applyNumberFormat="1" applyFont="1" applyFill="1" applyBorder="1" applyAlignment="1">
      <alignment horizontal="center"/>
    </xf>
    <xf numFmtId="0" fontId="3" fillId="0" borderId="8" xfId="0" applyFont="1" applyBorder="1"/>
    <xf numFmtId="0" fontId="2" fillId="0" borderId="9" xfId="0" applyFont="1" applyBorder="1" applyAlignment="1">
      <alignment horizontal="right"/>
    </xf>
    <xf numFmtId="164" fontId="3" fillId="0" borderId="9" xfId="0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44" fontId="3" fillId="0" borderId="0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4" fontId="3" fillId="0" borderId="0" xfId="0" applyNumberFormat="1" applyFont="1" applyBorder="1"/>
    <xf numFmtId="0" fontId="3" fillId="0" borderId="13" xfId="0" applyFont="1" applyBorder="1"/>
    <xf numFmtId="0" fontId="2" fillId="0" borderId="0" xfId="0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164" fontId="3" fillId="0" borderId="7" xfId="1" applyNumberFormat="1" applyFont="1" applyBorder="1"/>
    <xf numFmtId="164" fontId="3" fillId="0" borderId="4" xfId="0" applyNumberFormat="1" applyFont="1" applyBorder="1"/>
    <xf numFmtId="0" fontId="0" fillId="0" borderId="0" xfId="0" applyBorder="1"/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center"/>
    </xf>
    <xf numFmtId="164" fontId="3" fillId="0" borderId="0" xfId="0" applyNumberFormat="1" applyFont="1" applyBorder="1"/>
    <xf numFmtId="1" fontId="3" fillId="0" borderId="0" xfId="0" applyNumberFormat="1" applyFont="1"/>
    <xf numFmtId="0" fontId="3" fillId="3" borderId="1" xfId="0" applyFont="1" applyFill="1" applyBorder="1"/>
    <xf numFmtId="0" fontId="3" fillId="0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44" fontId="3" fillId="3" borderId="1" xfId="1" applyFont="1" applyFill="1" applyBorder="1" applyAlignment="1">
      <alignment horizontal="left"/>
    </xf>
    <xf numFmtId="0" fontId="0" fillId="3" borderId="1" xfId="0" applyNumberFormat="1" applyFill="1" applyBorder="1" applyAlignment="1">
      <alignment horizontal="left" wrapText="1"/>
    </xf>
    <xf numFmtId="1" fontId="3" fillId="3" borderId="1" xfId="0" applyNumberFormat="1" applyFont="1" applyFill="1" applyBorder="1" applyAlignment="1">
      <alignment horizontal="center"/>
    </xf>
    <xf numFmtId="164" fontId="3" fillId="0" borderId="16" xfId="0" applyNumberFormat="1" applyFont="1" applyFill="1" applyBorder="1" applyAlignment="1">
      <alignment horizontal="right"/>
    </xf>
    <xf numFmtId="0" fontId="3" fillId="0" borderId="16" xfId="0" applyFont="1" applyFill="1" applyBorder="1" applyAlignment="1">
      <alignment horizontal="center"/>
    </xf>
    <xf numFmtId="44" fontId="3" fillId="0" borderId="16" xfId="1" applyFont="1" applyFill="1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6" xfId="0" applyFont="1" applyFill="1" applyBorder="1"/>
    <xf numFmtId="0" fontId="3" fillId="0" borderId="1" xfId="0" applyFont="1" applyFill="1" applyBorder="1"/>
    <xf numFmtId="164" fontId="3" fillId="0" borderId="16" xfId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6" xfId="0" applyNumberForma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4" fontId="3" fillId="0" borderId="6" xfId="1" applyFont="1" applyFill="1" applyBorder="1" applyAlignment="1">
      <alignment horizontal="center" wrapText="1"/>
    </xf>
    <xf numFmtId="0" fontId="3" fillId="0" borderId="6" xfId="0" applyNumberFormat="1" applyFont="1" applyFill="1" applyBorder="1" applyAlignment="1">
      <alignment horizontal="left" wrapText="1"/>
    </xf>
    <xf numFmtId="0" fontId="5" fillId="0" borderId="0" xfId="0" applyFont="1" applyFill="1"/>
    <xf numFmtId="0" fontId="1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164" fontId="3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1" applyNumberFormat="1" applyFont="1" applyFill="1" applyBorder="1" applyAlignment="1">
      <alignment horizontal="center" wrapText="1"/>
    </xf>
    <xf numFmtId="44" fontId="3" fillId="3" borderId="1" xfId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left" wrapText="1"/>
    </xf>
    <xf numFmtId="1" fontId="3" fillId="3" borderId="1" xfId="0" applyNumberFormat="1" applyFont="1" applyFill="1" applyBorder="1" applyAlignment="1">
      <alignment horizontal="center" wrapText="1"/>
    </xf>
    <xf numFmtId="44" fontId="0" fillId="0" borderId="0" xfId="1" applyFont="1"/>
    <xf numFmtId="0" fontId="5" fillId="0" borderId="3" xfId="0" applyFont="1" applyBorder="1" applyAlignment="1">
      <alignment horizontal="center"/>
    </xf>
    <xf numFmtId="44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B1" zoomScale="80" zoomScaleNormal="80" workbookViewId="0">
      <pane ySplit="1" topLeftCell="A7" activePane="bottomLeft" state="frozen"/>
      <selection activeCell="D22" sqref="D22"/>
      <selection pane="bottomLeft" activeCell="C1" sqref="C1"/>
    </sheetView>
  </sheetViews>
  <sheetFormatPr defaultColWidth="9.109375" defaultRowHeight="13.2" x14ac:dyDescent="0.25"/>
  <cols>
    <col min="1" max="1" width="6.6640625" hidden="1" customWidth="1"/>
    <col min="2" max="2" width="51.33203125" customWidth="1"/>
    <col min="3" max="3" width="89.6640625" bestFit="1" customWidth="1"/>
    <col min="4" max="4" width="17.5546875" style="10" bestFit="1" customWidth="1"/>
    <col min="5" max="5" width="17.5546875" style="10" customWidth="1"/>
    <col min="6" max="6" width="26.6640625" customWidth="1"/>
    <col min="7" max="7" width="34.5546875" customWidth="1"/>
    <col min="8" max="8" width="27" customWidth="1"/>
    <col min="9" max="9" width="46.44140625" customWidth="1"/>
    <col min="10" max="10" width="51.88671875" customWidth="1"/>
    <col min="11" max="11" width="9.5546875" style="55" bestFit="1" customWidth="1"/>
    <col min="12" max="12" width="24.5546875" style="52" customWidth="1"/>
    <col min="13" max="16384" width="9.109375" style="6"/>
  </cols>
  <sheetData>
    <row r="1" spans="1:12" ht="15.6" x14ac:dyDescent="0.3">
      <c r="A1" s="52"/>
      <c r="B1" s="60" t="s">
        <v>0</v>
      </c>
      <c r="C1" s="60" t="s">
        <v>1</v>
      </c>
      <c r="D1" s="61" t="s">
        <v>2</v>
      </c>
      <c r="E1" s="61" t="s">
        <v>148</v>
      </c>
      <c r="F1" s="60" t="s">
        <v>3</v>
      </c>
      <c r="G1" s="57" t="s">
        <v>4</v>
      </c>
      <c r="H1" s="57" t="s">
        <v>77</v>
      </c>
      <c r="I1" s="57" t="s">
        <v>5</v>
      </c>
      <c r="J1" s="79" t="s">
        <v>6</v>
      </c>
      <c r="K1" s="62" t="s">
        <v>7</v>
      </c>
      <c r="L1" s="57" t="s">
        <v>8</v>
      </c>
    </row>
    <row r="2" spans="1:12" s="66" customFormat="1" ht="15" x14ac:dyDescent="0.25">
      <c r="A2" s="21"/>
      <c r="B2" s="41" t="s">
        <v>43</v>
      </c>
      <c r="C2" s="41" t="s">
        <v>46</v>
      </c>
      <c r="D2" s="48">
        <v>100000</v>
      </c>
      <c r="E2" s="48">
        <v>100000</v>
      </c>
      <c r="F2" s="78">
        <v>165</v>
      </c>
      <c r="G2" s="48">
        <v>100000</v>
      </c>
      <c r="H2" s="49"/>
      <c r="I2" s="49" t="s">
        <v>40</v>
      </c>
      <c r="J2" s="81"/>
      <c r="K2" s="70">
        <v>13</v>
      </c>
      <c r="L2" s="42" t="s">
        <v>17</v>
      </c>
    </row>
    <row r="3" spans="1:12" s="134" customFormat="1" ht="30" x14ac:dyDescent="0.25">
      <c r="B3" s="140" t="s">
        <v>99</v>
      </c>
      <c r="C3" s="140" t="s">
        <v>100</v>
      </c>
      <c r="D3" s="141">
        <v>100000</v>
      </c>
      <c r="E3" s="141">
        <v>100000</v>
      </c>
      <c r="F3" s="142">
        <v>160</v>
      </c>
      <c r="G3" s="48">
        <v>100000</v>
      </c>
      <c r="H3" s="143"/>
      <c r="I3" s="144" t="s">
        <v>40</v>
      </c>
      <c r="J3" s="145" t="s">
        <v>167</v>
      </c>
      <c r="K3" s="146">
        <v>10</v>
      </c>
      <c r="L3" s="142" t="s">
        <v>58</v>
      </c>
    </row>
    <row r="4" spans="1:12" s="66" customFormat="1" ht="15" x14ac:dyDescent="0.25">
      <c r="A4" s="21"/>
      <c r="B4" s="41" t="s">
        <v>61</v>
      </c>
      <c r="C4" s="41" t="s">
        <v>126</v>
      </c>
      <c r="D4" s="48">
        <v>100000</v>
      </c>
      <c r="E4" s="48">
        <v>100000</v>
      </c>
      <c r="F4" s="42">
        <v>155</v>
      </c>
      <c r="G4" s="48">
        <v>100000</v>
      </c>
      <c r="H4" s="50"/>
      <c r="I4" s="49" t="s">
        <v>40</v>
      </c>
      <c r="J4" s="82"/>
      <c r="K4" s="70">
        <v>8</v>
      </c>
      <c r="L4" s="42" t="s">
        <v>62</v>
      </c>
    </row>
    <row r="5" spans="1:12" s="66" customFormat="1" ht="15" x14ac:dyDescent="0.25">
      <c r="A5" s="27"/>
      <c r="B5" s="41" t="s">
        <v>27</v>
      </c>
      <c r="C5" s="41" t="s">
        <v>130</v>
      </c>
      <c r="D5" s="48">
        <v>100000</v>
      </c>
      <c r="E5" s="48">
        <v>100000</v>
      </c>
      <c r="F5" s="42">
        <v>155</v>
      </c>
      <c r="G5" s="48">
        <v>100000</v>
      </c>
      <c r="H5" s="43"/>
      <c r="I5" s="49" t="s">
        <v>40</v>
      </c>
      <c r="J5" s="82"/>
      <c r="K5" s="70">
        <v>9</v>
      </c>
      <c r="L5" s="42" t="s">
        <v>37</v>
      </c>
    </row>
    <row r="6" spans="1:12" s="66" customFormat="1" ht="15" x14ac:dyDescent="0.25">
      <c r="A6" s="7"/>
      <c r="B6" s="43" t="s">
        <v>23</v>
      </c>
      <c r="C6" s="43" t="s">
        <v>44</v>
      </c>
      <c r="D6" s="48">
        <v>100000</v>
      </c>
      <c r="E6" s="48">
        <v>100000</v>
      </c>
      <c r="F6" s="78">
        <v>145</v>
      </c>
      <c r="G6" s="48">
        <v>100000</v>
      </c>
      <c r="H6" s="49"/>
      <c r="I6" s="49" t="s">
        <v>40</v>
      </c>
      <c r="J6" s="81"/>
      <c r="K6" s="70">
        <v>9</v>
      </c>
      <c r="L6" s="42" t="s">
        <v>24</v>
      </c>
    </row>
    <row r="7" spans="1:12" s="66" customFormat="1" ht="15" x14ac:dyDescent="0.25">
      <c r="A7" s="21"/>
      <c r="B7" s="43" t="s">
        <v>118</v>
      </c>
      <c r="C7" s="43" t="s">
        <v>179</v>
      </c>
      <c r="D7" s="48">
        <v>100000</v>
      </c>
      <c r="E7" s="48">
        <v>100000</v>
      </c>
      <c r="F7" s="42">
        <v>145</v>
      </c>
      <c r="G7" s="48">
        <v>100000</v>
      </c>
      <c r="H7" s="42"/>
      <c r="I7" s="49" t="s">
        <v>40</v>
      </c>
      <c r="J7" s="81"/>
      <c r="K7" s="70">
        <v>10</v>
      </c>
      <c r="L7" s="42" t="s">
        <v>119</v>
      </c>
    </row>
    <row r="8" spans="1:12" s="66" customFormat="1" ht="30" x14ac:dyDescent="0.25">
      <c r="A8" s="7"/>
      <c r="B8" s="43" t="s">
        <v>111</v>
      </c>
      <c r="C8" s="43" t="s">
        <v>180</v>
      </c>
      <c r="D8" s="48">
        <v>100000</v>
      </c>
      <c r="E8" s="48">
        <v>100000</v>
      </c>
      <c r="F8" s="42">
        <v>140</v>
      </c>
      <c r="G8" s="48">
        <f>E8</f>
        <v>100000</v>
      </c>
      <c r="H8" s="42"/>
      <c r="I8" s="49" t="s">
        <v>40</v>
      </c>
      <c r="J8" s="81" t="s">
        <v>172</v>
      </c>
      <c r="K8" s="70">
        <v>2</v>
      </c>
      <c r="L8" s="42" t="s">
        <v>112</v>
      </c>
    </row>
    <row r="9" spans="1:12" s="66" customFormat="1" ht="15" x14ac:dyDescent="0.25">
      <c r="A9" s="6"/>
      <c r="B9" s="41" t="s">
        <v>69</v>
      </c>
      <c r="C9" s="41" t="s">
        <v>147</v>
      </c>
      <c r="D9" s="86">
        <v>100000</v>
      </c>
      <c r="E9" s="86">
        <v>100000</v>
      </c>
      <c r="F9" s="87">
        <v>140</v>
      </c>
      <c r="G9" s="48">
        <f>E9</f>
        <v>100000</v>
      </c>
      <c r="H9" s="86"/>
      <c r="I9" s="42" t="s">
        <v>40</v>
      </c>
      <c r="J9" s="81"/>
      <c r="K9" s="70">
        <v>9</v>
      </c>
      <c r="L9" s="42" t="s">
        <v>70</v>
      </c>
    </row>
    <row r="10" spans="1:12" s="66" customFormat="1" ht="15" x14ac:dyDescent="0.25">
      <c r="A10" s="11"/>
      <c r="B10" s="41" t="s">
        <v>190</v>
      </c>
      <c r="C10" s="41" t="s">
        <v>81</v>
      </c>
      <c r="D10" s="48">
        <v>100000</v>
      </c>
      <c r="E10" s="48">
        <v>92000</v>
      </c>
      <c r="F10" s="42">
        <v>130</v>
      </c>
      <c r="G10" s="48">
        <f>E10</f>
        <v>92000</v>
      </c>
      <c r="H10" s="69"/>
      <c r="I10" s="49" t="s">
        <v>40</v>
      </c>
      <c r="J10" s="82"/>
      <c r="K10" s="70">
        <v>2</v>
      </c>
      <c r="L10" s="42" t="s">
        <v>191</v>
      </c>
    </row>
    <row r="11" spans="1:12" s="66" customFormat="1" ht="15" x14ac:dyDescent="0.25">
      <c r="A11" s="21"/>
      <c r="B11" s="1" t="s">
        <v>66</v>
      </c>
      <c r="C11" s="1" t="s">
        <v>67</v>
      </c>
      <c r="D11" s="2">
        <v>99748.67</v>
      </c>
      <c r="E11" s="2">
        <v>99748.67</v>
      </c>
      <c r="F11" s="67">
        <v>125</v>
      </c>
      <c r="G11" s="64"/>
      <c r="H11" s="4"/>
      <c r="I11" s="4" t="s">
        <v>40</v>
      </c>
      <c r="J11" s="80"/>
      <c r="K11" s="47">
        <v>10</v>
      </c>
      <c r="L11" s="8" t="s">
        <v>56</v>
      </c>
    </row>
    <row r="12" spans="1:12" s="66" customFormat="1" ht="15" x14ac:dyDescent="0.25">
      <c r="A12" s="6"/>
      <c r="B12" s="22" t="s">
        <v>49</v>
      </c>
      <c r="C12" s="22" t="s">
        <v>182</v>
      </c>
      <c r="D12" s="2">
        <v>99740</v>
      </c>
      <c r="E12" s="2">
        <v>97240</v>
      </c>
      <c r="F12" s="8">
        <v>125</v>
      </c>
      <c r="G12" s="45"/>
      <c r="H12" s="4"/>
      <c r="I12" s="4" t="s">
        <v>40</v>
      </c>
      <c r="J12" s="80"/>
      <c r="K12" s="47">
        <v>8</v>
      </c>
      <c r="L12" s="8" t="s">
        <v>38</v>
      </c>
    </row>
    <row r="13" spans="1:12" ht="15" x14ac:dyDescent="0.25">
      <c r="A13" s="6"/>
      <c r="B13" s="1" t="s">
        <v>98</v>
      </c>
      <c r="C13" s="1" t="s">
        <v>187</v>
      </c>
      <c r="D13" s="2">
        <v>100000</v>
      </c>
      <c r="E13" s="2">
        <v>100000</v>
      </c>
      <c r="F13" s="8">
        <v>125</v>
      </c>
      <c r="G13" s="45"/>
      <c r="H13" s="4"/>
      <c r="I13" s="4" t="s">
        <v>40</v>
      </c>
      <c r="J13" s="83"/>
      <c r="K13" s="47">
        <v>9</v>
      </c>
      <c r="L13" s="8" t="s">
        <v>28</v>
      </c>
    </row>
    <row r="14" spans="1:12" ht="30" x14ac:dyDescent="0.25">
      <c r="A14" s="66"/>
      <c r="B14" s="22" t="s">
        <v>102</v>
      </c>
      <c r="C14" s="22" t="s">
        <v>103</v>
      </c>
      <c r="D14" s="2">
        <v>50000</v>
      </c>
      <c r="E14" s="2">
        <v>50000</v>
      </c>
      <c r="F14" s="8">
        <v>125</v>
      </c>
      <c r="G14" s="45"/>
      <c r="H14" s="4"/>
      <c r="I14" s="4" t="s">
        <v>40</v>
      </c>
      <c r="J14" s="80" t="s">
        <v>170</v>
      </c>
      <c r="K14" s="47">
        <v>9</v>
      </c>
      <c r="L14" s="8" t="s">
        <v>79</v>
      </c>
    </row>
    <row r="15" spans="1:12" ht="15" x14ac:dyDescent="0.25">
      <c r="A15" s="66"/>
      <c r="B15" s="1" t="s">
        <v>104</v>
      </c>
      <c r="C15" s="1" t="s">
        <v>105</v>
      </c>
      <c r="D15" s="2">
        <v>100000</v>
      </c>
      <c r="E15" s="2">
        <v>100000</v>
      </c>
      <c r="F15" s="8">
        <v>125</v>
      </c>
      <c r="G15" s="45"/>
      <c r="H15" s="4"/>
      <c r="I15" s="4" t="s">
        <v>40</v>
      </c>
      <c r="J15" s="80"/>
      <c r="K15" s="47">
        <v>9</v>
      </c>
      <c r="L15" s="8" t="s">
        <v>45</v>
      </c>
    </row>
    <row r="16" spans="1:12" ht="15" x14ac:dyDescent="0.25">
      <c r="A16" s="66"/>
      <c r="B16" s="1" t="s">
        <v>14</v>
      </c>
      <c r="C16" s="1" t="s">
        <v>64</v>
      </c>
      <c r="D16" s="2">
        <v>100000</v>
      </c>
      <c r="E16" s="2">
        <v>100000</v>
      </c>
      <c r="F16" s="8">
        <v>120</v>
      </c>
      <c r="G16" s="45"/>
      <c r="H16" s="63"/>
      <c r="I16" s="4" t="s">
        <v>40</v>
      </c>
      <c r="J16" s="83"/>
      <c r="K16" s="47">
        <v>12</v>
      </c>
      <c r="L16" s="8" t="s">
        <v>18</v>
      </c>
    </row>
    <row r="17" spans="1:12" ht="15" x14ac:dyDescent="0.25">
      <c r="A17" s="66"/>
      <c r="B17" s="1" t="s">
        <v>139</v>
      </c>
      <c r="C17" s="1" t="s">
        <v>140</v>
      </c>
      <c r="D17" s="2">
        <v>100000</v>
      </c>
      <c r="E17" s="2">
        <v>100000</v>
      </c>
      <c r="F17" s="8">
        <v>120</v>
      </c>
      <c r="G17" s="45"/>
      <c r="H17" s="46"/>
      <c r="I17" s="4" t="s">
        <v>40</v>
      </c>
      <c r="J17" s="80"/>
      <c r="K17" s="47">
        <v>3</v>
      </c>
      <c r="L17" s="8" t="s">
        <v>53</v>
      </c>
    </row>
    <row r="18" spans="1:12" ht="15" customHeight="1" x14ac:dyDescent="0.25">
      <c r="A18" s="66"/>
      <c r="B18" s="1" t="s">
        <v>57</v>
      </c>
      <c r="C18" s="1" t="s">
        <v>120</v>
      </c>
      <c r="D18" s="2">
        <v>94820</v>
      </c>
      <c r="E18" s="2">
        <v>94820</v>
      </c>
      <c r="F18" s="8">
        <v>115</v>
      </c>
      <c r="G18" s="4"/>
      <c r="H18" s="4"/>
      <c r="I18" s="4" t="s">
        <v>40</v>
      </c>
      <c r="J18" s="80" t="s">
        <v>174</v>
      </c>
      <c r="K18" s="47">
        <v>10</v>
      </c>
      <c r="L18" s="8" t="s">
        <v>58</v>
      </c>
    </row>
    <row r="19" spans="1:12" ht="15" x14ac:dyDescent="0.25">
      <c r="A19" s="66"/>
      <c r="B19" s="22" t="s">
        <v>132</v>
      </c>
      <c r="C19" s="22" t="s">
        <v>133</v>
      </c>
      <c r="D19" s="2">
        <v>100000</v>
      </c>
      <c r="E19" s="2">
        <v>100000</v>
      </c>
      <c r="F19" s="8">
        <v>115</v>
      </c>
      <c r="G19" s="45"/>
      <c r="H19" s="46"/>
      <c r="I19" s="8" t="s">
        <v>40</v>
      </c>
      <c r="J19" s="80"/>
      <c r="K19" s="47">
        <v>8</v>
      </c>
      <c r="L19" s="8" t="s">
        <v>134</v>
      </c>
    </row>
    <row r="20" spans="1:12" ht="15" x14ac:dyDescent="0.25">
      <c r="A20" s="6"/>
      <c r="B20" s="22" t="s">
        <v>65</v>
      </c>
      <c r="C20" s="22" t="s">
        <v>192</v>
      </c>
      <c r="D20" s="2">
        <v>100000</v>
      </c>
      <c r="E20" s="2">
        <v>100000</v>
      </c>
      <c r="F20" s="67">
        <v>110</v>
      </c>
      <c r="G20" s="8"/>
      <c r="H20" s="8"/>
      <c r="I20" s="4" t="s">
        <v>40</v>
      </c>
      <c r="J20" s="80"/>
      <c r="K20" s="47">
        <v>5</v>
      </c>
      <c r="L20" s="8" t="s">
        <v>17</v>
      </c>
    </row>
    <row r="21" spans="1:12" ht="15" x14ac:dyDescent="0.25">
      <c r="A21" s="6"/>
      <c r="B21" s="1" t="s">
        <v>171</v>
      </c>
      <c r="C21" s="1" t="s">
        <v>106</v>
      </c>
      <c r="D21" s="2">
        <v>92728</v>
      </c>
      <c r="E21" s="2">
        <v>92728</v>
      </c>
      <c r="F21" s="8">
        <v>110</v>
      </c>
      <c r="G21" s="45"/>
      <c r="H21" s="4"/>
      <c r="I21" s="4" t="s">
        <v>40</v>
      </c>
      <c r="J21" s="83"/>
      <c r="K21" s="47">
        <v>8</v>
      </c>
      <c r="L21" s="8" t="s">
        <v>107</v>
      </c>
    </row>
    <row r="22" spans="1:12" ht="15" x14ac:dyDescent="0.25">
      <c r="A22" s="6"/>
      <c r="B22" s="1" t="s">
        <v>135</v>
      </c>
      <c r="C22" s="1" t="s">
        <v>136</v>
      </c>
      <c r="D22" s="2">
        <v>100000</v>
      </c>
      <c r="E22" s="2">
        <v>100000</v>
      </c>
      <c r="F22" s="8">
        <v>100</v>
      </c>
      <c r="G22" s="45"/>
      <c r="H22" s="46"/>
      <c r="I22" s="4" t="s">
        <v>40</v>
      </c>
      <c r="J22" s="83"/>
      <c r="K22" s="47">
        <v>9</v>
      </c>
      <c r="L22" s="8" t="s">
        <v>137</v>
      </c>
    </row>
    <row r="23" spans="1:12" ht="30" x14ac:dyDescent="0.25">
      <c r="A23" s="6"/>
      <c r="B23" s="22" t="s">
        <v>26</v>
      </c>
      <c r="C23" s="22" t="s">
        <v>138</v>
      </c>
      <c r="D23" s="2">
        <v>100000</v>
      </c>
      <c r="E23" s="2">
        <v>100000</v>
      </c>
      <c r="F23" s="8">
        <v>100</v>
      </c>
      <c r="G23" s="45"/>
      <c r="H23" s="46"/>
      <c r="I23" s="8" t="s">
        <v>40</v>
      </c>
      <c r="J23" s="80" t="s">
        <v>176</v>
      </c>
      <c r="K23" s="47">
        <v>11</v>
      </c>
      <c r="L23" s="8" t="s">
        <v>34</v>
      </c>
    </row>
    <row r="24" spans="1:12" ht="15" x14ac:dyDescent="0.25">
      <c r="A24" s="66"/>
      <c r="B24" s="1" t="s">
        <v>84</v>
      </c>
      <c r="C24" s="1" t="s">
        <v>188</v>
      </c>
      <c r="D24" s="2">
        <v>100000</v>
      </c>
      <c r="E24" s="2">
        <v>100000</v>
      </c>
      <c r="F24" s="67">
        <v>90</v>
      </c>
      <c r="G24" s="64"/>
      <c r="H24" s="4"/>
      <c r="I24" s="4" t="s">
        <v>40</v>
      </c>
      <c r="J24" s="80"/>
      <c r="K24" s="47">
        <v>14</v>
      </c>
      <c r="L24" s="8" t="s">
        <v>54</v>
      </c>
    </row>
    <row r="25" spans="1:12" ht="30" x14ac:dyDescent="0.25">
      <c r="A25" s="6"/>
      <c r="B25" s="1" t="s">
        <v>168</v>
      </c>
      <c r="C25" s="1" t="s">
        <v>101</v>
      </c>
      <c r="D25" s="2">
        <v>100000</v>
      </c>
      <c r="E25" s="2">
        <v>100000</v>
      </c>
      <c r="F25" s="8">
        <v>90</v>
      </c>
      <c r="G25" s="45"/>
      <c r="H25" s="4"/>
      <c r="I25" s="4" t="s">
        <v>40</v>
      </c>
      <c r="J25" s="80" t="s">
        <v>169</v>
      </c>
      <c r="K25" s="47">
        <v>7</v>
      </c>
      <c r="L25" s="8" t="s">
        <v>29</v>
      </c>
    </row>
    <row r="26" spans="1:12" ht="33" customHeight="1" x14ac:dyDescent="0.25">
      <c r="A26" s="66"/>
      <c r="B26" s="1" t="s">
        <v>52</v>
      </c>
      <c r="C26" s="1" t="s">
        <v>181</v>
      </c>
      <c r="D26" s="2">
        <v>100000</v>
      </c>
      <c r="E26" s="2">
        <v>100000</v>
      </c>
      <c r="F26" s="8">
        <v>85</v>
      </c>
      <c r="G26" s="45"/>
      <c r="H26" s="4"/>
      <c r="I26" s="4" t="s">
        <v>40</v>
      </c>
      <c r="J26" s="83"/>
      <c r="K26" s="47">
        <v>3</v>
      </c>
      <c r="L26" s="8" t="s">
        <v>53</v>
      </c>
    </row>
    <row r="27" spans="1:12" ht="32.25" customHeight="1" x14ac:dyDescent="0.25">
      <c r="A27" s="6"/>
      <c r="B27" s="130" t="s">
        <v>166</v>
      </c>
      <c r="C27" s="130" t="s">
        <v>96</v>
      </c>
      <c r="D27" s="35">
        <v>100000</v>
      </c>
      <c r="E27" s="35">
        <v>100000</v>
      </c>
      <c r="F27" s="36">
        <v>80</v>
      </c>
      <c r="G27" s="120"/>
      <c r="H27" s="51"/>
      <c r="I27" s="51" t="s">
        <v>40</v>
      </c>
      <c r="J27" s="84"/>
      <c r="K27" s="74">
        <v>9</v>
      </c>
      <c r="L27" s="36" t="s">
        <v>97</v>
      </c>
    </row>
    <row r="28" spans="1:12" s="137" customFormat="1" ht="15" customHeight="1" x14ac:dyDescent="0.25">
      <c r="A28" s="6"/>
      <c r="B28" s="1" t="s">
        <v>31</v>
      </c>
      <c r="C28" s="1" t="s">
        <v>32</v>
      </c>
      <c r="D28" s="2">
        <v>100000</v>
      </c>
      <c r="E28" s="2">
        <v>91000</v>
      </c>
      <c r="F28" s="8">
        <v>80</v>
      </c>
      <c r="G28" s="4"/>
      <c r="H28" s="4"/>
      <c r="I28" s="4" t="s">
        <v>40</v>
      </c>
      <c r="J28" s="83"/>
      <c r="K28" s="47">
        <v>9</v>
      </c>
      <c r="L28" s="8" t="s">
        <v>28</v>
      </c>
    </row>
    <row r="29" spans="1:12" s="138" customFormat="1" ht="15" x14ac:dyDescent="0.25">
      <c r="A29" s="6"/>
      <c r="B29" s="1" t="s">
        <v>156</v>
      </c>
      <c r="C29" s="1" t="s">
        <v>83</v>
      </c>
      <c r="D29" s="2">
        <v>97275.28</v>
      </c>
      <c r="E29" s="2">
        <v>97275.28</v>
      </c>
      <c r="F29" s="67">
        <v>75</v>
      </c>
      <c r="G29" s="64"/>
      <c r="H29" s="4"/>
      <c r="I29" s="4" t="s">
        <v>40</v>
      </c>
      <c r="J29" s="80"/>
      <c r="K29" s="47">
        <v>1</v>
      </c>
      <c r="L29" s="8" t="s">
        <v>48</v>
      </c>
    </row>
    <row r="30" spans="1:12" s="66" customFormat="1" ht="15" x14ac:dyDescent="0.25">
      <c r="B30" s="22" t="s">
        <v>108</v>
      </c>
      <c r="C30" s="22" t="s">
        <v>109</v>
      </c>
      <c r="D30" s="2">
        <v>100000</v>
      </c>
      <c r="E30" s="2">
        <v>100000</v>
      </c>
      <c r="F30" s="8">
        <v>75</v>
      </c>
      <c r="G30" s="8"/>
      <c r="H30" s="8"/>
      <c r="I30" s="4" t="s">
        <v>40</v>
      </c>
      <c r="J30" s="80"/>
      <c r="K30" s="47">
        <v>3</v>
      </c>
      <c r="L30" s="8" t="s">
        <v>110</v>
      </c>
    </row>
    <row r="31" spans="1:12" s="66" customFormat="1" ht="30" x14ac:dyDescent="0.25">
      <c r="B31" s="22" t="s">
        <v>42</v>
      </c>
      <c r="C31" s="22" t="s">
        <v>178</v>
      </c>
      <c r="D31" s="2">
        <v>100000</v>
      </c>
      <c r="E31" s="2">
        <v>100000</v>
      </c>
      <c r="F31" s="8">
        <v>75</v>
      </c>
      <c r="G31" s="8"/>
      <c r="H31" s="132"/>
      <c r="I31" s="4" t="s">
        <v>40</v>
      </c>
      <c r="J31" s="80" t="s">
        <v>175</v>
      </c>
      <c r="K31" s="47">
        <v>4</v>
      </c>
      <c r="L31" s="8" t="s">
        <v>36</v>
      </c>
    </row>
    <row r="32" spans="1:12" s="66" customFormat="1" ht="15" x14ac:dyDescent="0.25">
      <c r="A32" s="6"/>
      <c r="B32" s="1" t="s">
        <v>73</v>
      </c>
      <c r="C32" s="1" t="s">
        <v>74</v>
      </c>
      <c r="D32" s="2">
        <v>100000</v>
      </c>
      <c r="E32" s="2">
        <v>100000</v>
      </c>
      <c r="F32" s="8">
        <v>60</v>
      </c>
      <c r="G32" s="4"/>
      <c r="H32" s="4"/>
      <c r="I32" s="4" t="s">
        <v>40</v>
      </c>
      <c r="J32" s="83"/>
      <c r="K32" s="47">
        <v>14</v>
      </c>
      <c r="L32" s="8" t="s">
        <v>75</v>
      </c>
    </row>
    <row r="33" spans="1:12" s="66" customFormat="1" ht="15" x14ac:dyDescent="0.25">
      <c r="B33" s="1" t="s">
        <v>127</v>
      </c>
      <c r="C33" s="1" t="s">
        <v>128</v>
      </c>
      <c r="D33" s="2">
        <v>70362.66</v>
      </c>
      <c r="E33" s="2">
        <v>54362.66</v>
      </c>
      <c r="F33" s="8">
        <v>60</v>
      </c>
      <c r="G33" s="45"/>
      <c r="H33" s="53"/>
      <c r="I33" s="4" t="s">
        <v>40</v>
      </c>
      <c r="J33" s="83"/>
      <c r="K33" s="47">
        <v>14</v>
      </c>
      <c r="L33" s="8" t="s">
        <v>54</v>
      </c>
    </row>
    <row r="34" spans="1:12" s="66" customFormat="1" ht="15" x14ac:dyDescent="0.25">
      <c r="A34" s="6"/>
      <c r="B34" s="22" t="s">
        <v>71</v>
      </c>
      <c r="C34" s="22" t="s">
        <v>72</v>
      </c>
      <c r="D34" s="2">
        <v>80000</v>
      </c>
      <c r="E34" s="2">
        <v>80000</v>
      </c>
      <c r="F34" s="8">
        <v>60</v>
      </c>
      <c r="G34" s="8"/>
      <c r="H34" s="8"/>
      <c r="I34" s="8" t="s">
        <v>40</v>
      </c>
      <c r="J34" s="80"/>
      <c r="K34" s="47">
        <v>8</v>
      </c>
      <c r="L34" s="8" t="s">
        <v>62</v>
      </c>
    </row>
    <row r="35" spans="1:12" s="66" customFormat="1" ht="15" x14ac:dyDescent="0.25">
      <c r="B35" s="129" t="s">
        <v>165</v>
      </c>
      <c r="C35" s="129" t="s">
        <v>91</v>
      </c>
      <c r="D35" s="124">
        <v>100000</v>
      </c>
      <c r="E35" s="124">
        <v>100000</v>
      </c>
      <c r="F35" s="125">
        <v>55</v>
      </c>
      <c r="G35" s="131"/>
      <c r="H35" s="126"/>
      <c r="I35" s="126" t="s">
        <v>40</v>
      </c>
      <c r="J35" s="133"/>
      <c r="K35" s="127">
        <v>12</v>
      </c>
      <c r="L35" s="125" t="s">
        <v>92</v>
      </c>
    </row>
    <row r="36" spans="1:12" s="139" customFormat="1" ht="15" x14ac:dyDescent="0.25">
      <c r="A36" s="128"/>
      <c r="B36" s="1" t="s">
        <v>59</v>
      </c>
      <c r="C36" s="1" t="s">
        <v>113</v>
      </c>
      <c r="D36" s="2">
        <v>100000</v>
      </c>
      <c r="E36" s="2">
        <v>100000</v>
      </c>
      <c r="F36" s="8">
        <v>55</v>
      </c>
      <c r="G36" s="4"/>
      <c r="H36" s="4"/>
      <c r="I36" s="4" t="s">
        <v>40</v>
      </c>
      <c r="J36" s="83"/>
      <c r="K36" s="47">
        <v>1</v>
      </c>
      <c r="L36" s="8" t="s">
        <v>60</v>
      </c>
    </row>
    <row r="37" spans="1:12" s="66" customFormat="1" ht="15" x14ac:dyDescent="0.25">
      <c r="A37" s="21"/>
      <c r="B37" s="1" t="s">
        <v>160</v>
      </c>
      <c r="C37" s="1" t="s">
        <v>90</v>
      </c>
      <c r="D37" s="2">
        <v>71200</v>
      </c>
      <c r="E37" s="2">
        <v>71200</v>
      </c>
      <c r="F37" s="8">
        <v>50</v>
      </c>
      <c r="G37" s="45"/>
      <c r="H37" s="4"/>
      <c r="I37" s="4" t="s">
        <v>40</v>
      </c>
      <c r="J37" s="83"/>
      <c r="K37" s="47">
        <v>12</v>
      </c>
      <c r="L37" s="8" t="s">
        <v>30</v>
      </c>
    </row>
    <row r="38" spans="1:12" s="66" customFormat="1" ht="45" x14ac:dyDescent="0.25">
      <c r="A38" s="21"/>
      <c r="B38" s="1" t="s">
        <v>55</v>
      </c>
      <c r="C38" s="1" t="s">
        <v>129</v>
      </c>
      <c r="D38" s="2">
        <v>33287.68</v>
      </c>
      <c r="E38" s="2">
        <v>33287.68</v>
      </c>
      <c r="F38" s="8" t="s">
        <v>214</v>
      </c>
      <c r="G38" s="2"/>
      <c r="H38" s="53"/>
      <c r="I38" s="4" t="s">
        <v>40</v>
      </c>
      <c r="J38" s="80" t="s">
        <v>212</v>
      </c>
      <c r="K38" s="47">
        <v>10</v>
      </c>
      <c r="L38" s="8" t="s">
        <v>56</v>
      </c>
    </row>
    <row r="39" spans="1:12" s="66" customFormat="1" ht="15" x14ac:dyDescent="0.25">
      <c r="A39" s="21"/>
      <c r="B39" s="22" t="s">
        <v>50</v>
      </c>
      <c r="C39" s="22" t="s">
        <v>131</v>
      </c>
      <c r="D39" s="2">
        <v>100000</v>
      </c>
      <c r="E39" s="2">
        <v>100000</v>
      </c>
      <c r="F39" s="8" t="s">
        <v>217</v>
      </c>
      <c r="G39" s="45"/>
      <c r="H39" s="46"/>
      <c r="I39" s="8" t="s">
        <v>40</v>
      </c>
      <c r="J39" s="80" t="s">
        <v>213</v>
      </c>
      <c r="K39" s="47">
        <v>4</v>
      </c>
      <c r="L39" s="8" t="s">
        <v>51</v>
      </c>
    </row>
    <row r="40" spans="1:12" s="66" customFormat="1" ht="30" x14ac:dyDescent="0.25">
      <c r="A40" s="21"/>
      <c r="B40" s="22" t="s">
        <v>144</v>
      </c>
      <c r="C40" s="22" t="s">
        <v>145</v>
      </c>
      <c r="D40" s="2">
        <v>75000</v>
      </c>
      <c r="E40" s="2">
        <v>75000</v>
      </c>
      <c r="F40" s="8" t="s">
        <v>217</v>
      </c>
      <c r="G40" s="45"/>
      <c r="H40" s="46"/>
      <c r="I40" s="8" t="s">
        <v>40</v>
      </c>
      <c r="J40" s="80" t="s">
        <v>229</v>
      </c>
      <c r="K40" s="47">
        <v>9</v>
      </c>
      <c r="L40" s="8" t="s">
        <v>28</v>
      </c>
    </row>
    <row r="41" spans="1:12" s="66" customFormat="1" ht="15" x14ac:dyDescent="0.25">
      <c r="A41" s="68"/>
      <c r="B41" s="22" t="s">
        <v>86</v>
      </c>
      <c r="C41" s="22" t="s">
        <v>87</v>
      </c>
      <c r="D41" s="2">
        <v>100000</v>
      </c>
      <c r="E41" s="2">
        <v>100000</v>
      </c>
      <c r="F41" s="67" t="s">
        <v>218</v>
      </c>
      <c r="G41" s="64"/>
      <c r="H41" s="4"/>
      <c r="I41" s="4" t="s">
        <v>40</v>
      </c>
      <c r="J41" s="80" t="s">
        <v>153</v>
      </c>
      <c r="K41" s="47">
        <v>9</v>
      </c>
      <c r="L41" s="8" t="s">
        <v>39</v>
      </c>
    </row>
    <row r="42" spans="1:12" s="66" customFormat="1" ht="15" x14ac:dyDescent="0.25">
      <c r="A42" s="71"/>
      <c r="B42" s="22" t="s">
        <v>93</v>
      </c>
      <c r="C42" s="22" t="s">
        <v>94</v>
      </c>
      <c r="D42" s="2">
        <v>100000</v>
      </c>
      <c r="E42" s="2">
        <v>100000</v>
      </c>
      <c r="F42" s="8" t="s">
        <v>218</v>
      </c>
      <c r="G42" s="45"/>
      <c r="H42" s="4"/>
      <c r="I42" s="4" t="s">
        <v>40</v>
      </c>
      <c r="J42" s="80" t="s">
        <v>153</v>
      </c>
      <c r="K42" s="47">
        <v>9</v>
      </c>
      <c r="L42" s="8" t="s">
        <v>95</v>
      </c>
    </row>
    <row r="43" spans="1:12" s="66" customFormat="1" ht="15" x14ac:dyDescent="0.25">
      <c r="A43" s="71"/>
      <c r="B43" s="1" t="s">
        <v>230</v>
      </c>
      <c r="C43" s="1" t="s">
        <v>231</v>
      </c>
      <c r="D43" s="2">
        <v>99990</v>
      </c>
      <c r="E43" s="2">
        <v>99990</v>
      </c>
      <c r="F43" s="67" t="s">
        <v>219</v>
      </c>
      <c r="G43" s="8"/>
      <c r="H43" s="8"/>
      <c r="I43" s="4" t="s">
        <v>40</v>
      </c>
      <c r="J43" s="80" t="s">
        <v>153</v>
      </c>
      <c r="K43" s="47">
        <v>8</v>
      </c>
      <c r="L43" s="8" t="s">
        <v>232</v>
      </c>
    </row>
    <row r="44" spans="1:12" s="66" customFormat="1" ht="15" x14ac:dyDescent="0.25">
      <c r="A44" s="68"/>
      <c r="B44" s="1" t="s">
        <v>158</v>
      </c>
      <c r="C44" s="1" t="s">
        <v>85</v>
      </c>
      <c r="D44" s="2">
        <v>97600</v>
      </c>
      <c r="E44" s="2">
        <v>97600</v>
      </c>
      <c r="F44" s="67" t="s">
        <v>219</v>
      </c>
      <c r="G44" s="64"/>
      <c r="H44" s="4"/>
      <c r="I44" s="4" t="s">
        <v>40</v>
      </c>
      <c r="J44" s="80" t="s">
        <v>153</v>
      </c>
      <c r="K44" s="47">
        <v>11</v>
      </c>
      <c r="L44" s="8" t="s">
        <v>19</v>
      </c>
    </row>
    <row r="45" spans="1:12" s="66" customFormat="1" ht="15" x14ac:dyDescent="0.25">
      <c r="A45" s="71"/>
      <c r="B45" s="22" t="s">
        <v>121</v>
      </c>
      <c r="C45" s="22" t="s">
        <v>122</v>
      </c>
      <c r="D45" s="2">
        <v>80000</v>
      </c>
      <c r="E45" s="2">
        <v>80000</v>
      </c>
      <c r="F45" s="67" t="s">
        <v>219</v>
      </c>
      <c r="G45" s="8"/>
      <c r="H45" s="8"/>
      <c r="I45" s="4" t="s">
        <v>40</v>
      </c>
      <c r="J45" s="80" t="s">
        <v>153</v>
      </c>
      <c r="K45" s="47">
        <v>8</v>
      </c>
      <c r="L45" s="8" t="s">
        <v>123</v>
      </c>
    </row>
    <row r="46" spans="1:12" s="66" customFormat="1" ht="15" x14ac:dyDescent="0.25">
      <c r="A46" s="21"/>
      <c r="B46" s="22" t="s">
        <v>159</v>
      </c>
      <c r="C46" s="22" t="s">
        <v>186</v>
      </c>
      <c r="D46" s="2">
        <v>100000</v>
      </c>
      <c r="E46" s="2">
        <v>80000</v>
      </c>
      <c r="F46" s="67" t="s">
        <v>220</v>
      </c>
      <c r="G46" s="64"/>
      <c r="H46" s="4"/>
      <c r="I46" s="4" t="s">
        <v>40</v>
      </c>
      <c r="J46" s="80" t="s">
        <v>153</v>
      </c>
      <c r="K46" s="47">
        <v>9</v>
      </c>
      <c r="L46" s="8" t="s">
        <v>24</v>
      </c>
    </row>
    <row r="47" spans="1:12" s="66" customFormat="1" ht="18.600000000000001" customHeight="1" x14ac:dyDescent="0.25">
      <c r="A47" s="7"/>
      <c r="B47" s="1" t="s">
        <v>68</v>
      </c>
      <c r="C47" s="1" t="s">
        <v>82</v>
      </c>
      <c r="D47" s="2">
        <v>100000</v>
      </c>
      <c r="E47" s="2">
        <v>100000</v>
      </c>
      <c r="F47" s="67" t="s">
        <v>221</v>
      </c>
      <c r="G47" s="64"/>
      <c r="H47" s="4"/>
      <c r="I47" s="4" t="s">
        <v>40</v>
      </c>
      <c r="J47" s="80" t="s">
        <v>154</v>
      </c>
      <c r="K47" s="47">
        <v>1</v>
      </c>
      <c r="L47" s="8" t="s">
        <v>21</v>
      </c>
    </row>
    <row r="48" spans="1:12" s="66" customFormat="1" ht="15.6" thickBot="1" x14ac:dyDescent="0.3">
      <c r="A48" s="21"/>
      <c r="B48" s="37" t="s">
        <v>162</v>
      </c>
      <c r="C48" s="37" t="s">
        <v>184</v>
      </c>
      <c r="D48" s="38">
        <f>11775+31650+60000+1575+2500+2500</f>
        <v>110000</v>
      </c>
      <c r="E48" s="38">
        <v>100000</v>
      </c>
      <c r="F48" s="39" t="s">
        <v>215</v>
      </c>
      <c r="G48" s="75"/>
      <c r="H48" s="135"/>
      <c r="I48" s="40" t="s">
        <v>40</v>
      </c>
      <c r="J48" s="136" t="s">
        <v>216</v>
      </c>
      <c r="K48" s="76">
        <v>10</v>
      </c>
      <c r="L48" s="39" t="s">
        <v>185</v>
      </c>
    </row>
    <row r="49" spans="1:12" ht="15" x14ac:dyDescent="0.25">
      <c r="A49" s="68"/>
      <c r="B49" s="116" t="s">
        <v>155</v>
      </c>
      <c r="C49" s="116" t="s">
        <v>80</v>
      </c>
      <c r="D49" s="118">
        <v>100000</v>
      </c>
      <c r="E49" s="118">
        <v>100000</v>
      </c>
      <c r="F49" s="119">
        <v>120</v>
      </c>
      <c r="G49" s="118">
        <v>100000</v>
      </c>
      <c r="H49" s="121"/>
      <c r="I49" s="119" t="s">
        <v>41</v>
      </c>
      <c r="J49" s="122"/>
      <c r="K49" s="123">
        <v>11</v>
      </c>
      <c r="L49" s="119" t="s">
        <v>16</v>
      </c>
    </row>
    <row r="50" spans="1:12" ht="35.4" customHeight="1" x14ac:dyDescent="0.25">
      <c r="A50" s="71"/>
      <c r="B50" s="41" t="s">
        <v>114</v>
      </c>
      <c r="C50" s="41" t="s">
        <v>103</v>
      </c>
      <c r="D50" s="48">
        <v>95040</v>
      </c>
      <c r="E50" s="48">
        <v>95040</v>
      </c>
      <c r="F50" s="42">
        <v>120</v>
      </c>
      <c r="G50" s="48">
        <v>95040</v>
      </c>
      <c r="H50" s="49"/>
      <c r="I50" s="42" t="s">
        <v>41</v>
      </c>
      <c r="J50" s="81" t="s">
        <v>173</v>
      </c>
      <c r="K50" s="70">
        <v>13</v>
      </c>
      <c r="L50" s="42" t="s">
        <v>22</v>
      </c>
    </row>
    <row r="51" spans="1:12" ht="15" x14ac:dyDescent="0.25">
      <c r="A51" s="71"/>
      <c r="B51" s="43" t="s">
        <v>115</v>
      </c>
      <c r="C51" s="43" t="s">
        <v>116</v>
      </c>
      <c r="D51" s="48">
        <v>99982</v>
      </c>
      <c r="E51" s="48">
        <v>56450</v>
      </c>
      <c r="F51" s="42">
        <v>85</v>
      </c>
      <c r="G51" s="48">
        <v>56450</v>
      </c>
      <c r="H51" s="42"/>
      <c r="I51" s="49" t="s">
        <v>41</v>
      </c>
      <c r="J51" s="81"/>
      <c r="K51" s="70">
        <v>12</v>
      </c>
      <c r="L51" s="42" t="s">
        <v>117</v>
      </c>
    </row>
    <row r="52" spans="1:12" ht="15" x14ac:dyDescent="0.25">
      <c r="A52" s="7"/>
      <c r="B52" s="1" t="s">
        <v>25</v>
      </c>
      <c r="C52" s="1" t="s">
        <v>146</v>
      </c>
      <c r="D52" s="65">
        <v>44500</v>
      </c>
      <c r="E52" s="65">
        <v>44500</v>
      </c>
      <c r="F52" s="8">
        <v>60</v>
      </c>
      <c r="G52" s="59"/>
      <c r="H52" s="59"/>
      <c r="I52" s="4" t="s">
        <v>41</v>
      </c>
      <c r="J52" s="80"/>
      <c r="K52" s="47">
        <v>10</v>
      </c>
      <c r="L52" s="8" t="s">
        <v>35</v>
      </c>
    </row>
    <row r="53" spans="1:12" ht="15" x14ac:dyDescent="0.25">
      <c r="A53" s="7"/>
      <c r="B53" s="1" t="s">
        <v>141</v>
      </c>
      <c r="C53" s="1" t="s">
        <v>103</v>
      </c>
      <c r="D53" s="2">
        <v>100000</v>
      </c>
      <c r="E53" s="2">
        <v>100000</v>
      </c>
      <c r="F53" s="8">
        <v>50</v>
      </c>
      <c r="G53" s="4"/>
      <c r="H53" s="4"/>
      <c r="I53" s="4" t="s">
        <v>41</v>
      </c>
      <c r="J53" s="80" t="s">
        <v>177</v>
      </c>
      <c r="K53" s="47">
        <v>13</v>
      </c>
      <c r="L53" s="8" t="s">
        <v>17</v>
      </c>
    </row>
    <row r="54" spans="1:12" ht="15" x14ac:dyDescent="0.25">
      <c r="A54" s="7"/>
      <c r="B54" s="22" t="s">
        <v>124</v>
      </c>
      <c r="C54" s="22" t="s">
        <v>125</v>
      </c>
      <c r="D54" s="2">
        <v>25000</v>
      </c>
      <c r="E54" s="2">
        <v>25000</v>
      </c>
      <c r="F54" s="8">
        <v>45</v>
      </c>
      <c r="G54" s="45"/>
      <c r="H54" s="46"/>
      <c r="I54" s="8" t="s">
        <v>41</v>
      </c>
      <c r="J54" s="80"/>
      <c r="K54" s="47">
        <v>9</v>
      </c>
      <c r="L54" s="8" t="s">
        <v>33</v>
      </c>
    </row>
    <row r="55" spans="1:12" ht="15" x14ac:dyDescent="0.25">
      <c r="A55" s="21"/>
      <c r="B55" s="1" t="s">
        <v>15</v>
      </c>
      <c r="C55" s="1" t="s">
        <v>88</v>
      </c>
      <c r="D55" s="2">
        <v>98000</v>
      </c>
      <c r="E55" s="2">
        <v>98000</v>
      </c>
      <c r="F55" s="67">
        <v>40</v>
      </c>
      <c r="G55" s="64"/>
      <c r="H55" s="4"/>
      <c r="I55" s="8" t="s">
        <v>41</v>
      </c>
      <c r="J55" s="80" t="s">
        <v>161</v>
      </c>
      <c r="K55" s="47">
        <v>4</v>
      </c>
      <c r="L55" s="8" t="s">
        <v>20</v>
      </c>
    </row>
    <row r="56" spans="1:12" ht="30" x14ac:dyDescent="0.25">
      <c r="A56" s="6"/>
      <c r="B56" s="22" t="s">
        <v>76</v>
      </c>
      <c r="C56" s="22" t="s">
        <v>142</v>
      </c>
      <c r="D56" s="2">
        <v>100000</v>
      </c>
      <c r="E56" s="2">
        <v>100000</v>
      </c>
      <c r="F56" s="8">
        <v>35</v>
      </c>
      <c r="G56" s="2"/>
      <c r="H56" s="8"/>
      <c r="I56" s="8" t="s">
        <v>41</v>
      </c>
      <c r="J56" s="80" t="s">
        <v>223</v>
      </c>
      <c r="K56" s="47">
        <v>9</v>
      </c>
      <c r="L56" s="8" t="s">
        <v>143</v>
      </c>
    </row>
    <row r="57" spans="1:12" ht="15" customHeight="1" x14ac:dyDescent="0.25">
      <c r="A57" s="21"/>
      <c r="B57" s="117" t="s">
        <v>157</v>
      </c>
      <c r="C57" s="117" t="s">
        <v>189</v>
      </c>
      <c r="D57" s="35">
        <v>125000</v>
      </c>
      <c r="E57" s="35">
        <v>100000</v>
      </c>
      <c r="F57" s="72" t="s">
        <v>221</v>
      </c>
      <c r="G57" s="73"/>
      <c r="H57" s="51"/>
      <c r="I57" s="36" t="s">
        <v>41</v>
      </c>
      <c r="J57" s="84" t="s">
        <v>153</v>
      </c>
      <c r="K57" s="74">
        <v>11</v>
      </c>
      <c r="L57" s="36" t="s">
        <v>19</v>
      </c>
    </row>
    <row r="58" spans="1:12" ht="15" x14ac:dyDescent="0.25">
      <c r="A58" s="21"/>
      <c r="B58" s="1" t="s">
        <v>163</v>
      </c>
      <c r="C58" s="1" t="s">
        <v>183</v>
      </c>
      <c r="D58" s="2">
        <v>30755</v>
      </c>
      <c r="E58" s="2">
        <v>30755</v>
      </c>
      <c r="F58" s="67" t="s">
        <v>222</v>
      </c>
      <c r="G58" s="64"/>
      <c r="H58" s="4"/>
      <c r="I58" s="8" t="s">
        <v>41</v>
      </c>
      <c r="J58" s="80" t="s">
        <v>164</v>
      </c>
      <c r="K58" s="47">
        <v>1</v>
      </c>
      <c r="L58" s="8" t="s">
        <v>89</v>
      </c>
    </row>
    <row r="59" spans="1:12" ht="15" x14ac:dyDescent="0.25">
      <c r="B59" s="1"/>
      <c r="C59" s="1"/>
      <c r="D59" s="5"/>
      <c r="E59" s="5"/>
      <c r="F59" s="3"/>
      <c r="G59" s="5"/>
      <c r="H59" s="5"/>
      <c r="I59" s="8"/>
      <c r="J59" s="85"/>
      <c r="K59" s="54"/>
      <c r="L59" s="8"/>
    </row>
    <row r="60" spans="1:12" x14ac:dyDescent="0.25">
      <c r="D60" s="9"/>
      <c r="E60" s="9"/>
      <c r="G60" s="10"/>
    </row>
    <row r="61" spans="1:12" ht="15.6" x14ac:dyDescent="0.3">
      <c r="B61" s="12"/>
      <c r="C61" s="13" t="s">
        <v>9</v>
      </c>
      <c r="D61" s="26">
        <f>SUM(D2:D59)</f>
        <v>5270029.29</v>
      </c>
      <c r="E61" s="26"/>
      <c r="F61" s="12"/>
      <c r="G61" s="16"/>
      <c r="H61" s="12"/>
      <c r="I61" s="12"/>
    </row>
    <row r="62" spans="1:12" ht="15.6" x14ac:dyDescent="0.3">
      <c r="B62" s="12"/>
      <c r="C62" s="12"/>
      <c r="D62" s="16"/>
      <c r="E62" s="16"/>
      <c r="F62" s="12"/>
      <c r="G62" s="77">
        <f>SUM(G2:G59)</f>
        <v>1143490</v>
      </c>
      <c r="H62" s="34" t="s">
        <v>10</v>
      </c>
      <c r="I62" s="27"/>
      <c r="J62" s="29"/>
    </row>
    <row r="63" spans="1:12" ht="15.6" x14ac:dyDescent="0.3">
      <c r="B63" s="12"/>
      <c r="C63" s="13" t="s">
        <v>11</v>
      </c>
      <c r="D63" s="31">
        <f>COUNT(D2:D59)</f>
        <v>57</v>
      </c>
      <c r="E63" s="31"/>
      <c r="F63" s="15"/>
      <c r="G63" s="12">
        <f>COUNT(G2:G59)</f>
        <v>12</v>
      </c>
      <c r="H63" s="34" t="s">
        <v>78</v>
      </c>
      <c r="I63" s="30"/>
      <c r="J63" s="29"/>
      <c r="K63" s="56"/>
      <c r="L63" s="58"/>
    </row>
    <row r="64" spans="1:12" ht="15" x14ac:dyDescent="0.25">
      <c r="B64" s="12"/>
      <c r="C64" s="12"/>
      <c r="D64" s="16"/>
      <c r="E64" s="16"/>
      <c r="F64" s="14"/>
      <c r="G64" s="12"/>
      <c r="H64" s="12"/>
      <c r="I64" s="12"/>
    </row>
  </sheetData>
  <sortState ref="B2:L49">
    <sortCondition ref="I2:I49"/>
    <sortCondition descending="1" ref="F2:F49"/>
  </sortState>
  <pageMargins left="0.25" right="0.25" top="0.75" bottom="0.5" header="0.3" footer="0.3"/>
  <pageSetup paperSize="17" scale="70" orientation="landscape" r:id="rId1"/>
  <headerFooter alignWithMargins="0">
    <oddHeader>&amp;C&amp;"Arial,Bold"&amp;14Recreational Trails Program--Alphabetical listing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5" sqref="A15"/>
    </sheetView>
  </sheetViews>
  <sheetFormatPr defaultRowHeight="13.2" x14ac:dyDescent="0.25"/>
  <cols>
    <col min="1" max="1" width="30.33203125" bestFit="1" customWidth="1"/>
    <col min="2" max="2" width="54.5546875" bestFit="1" customWidth="1"/>
    <col min="3" max="3" width="13.88671875" bestFit="1" customWidth="1"/>
    <col min="4" max="4" width="9.6640625" bestFit="1" customWidth="1"/>
    <col min="6" max="6" width="10.88671875" bestFit="1" customWidth="1"/>
  </cols>
  <sheetData>
    <row r="1" spans="1:6" x14ac:dyDescent="0.25">
      <c r="A1" s="148" t="str">
        <f>'Main 2015'!$B$1</f>
        <v>Project Sponsor</v>
      </c>
      <c r="B1" s="148" t="str">
        <f>'Main 2015'!$C$1</f>
        <v>Project Name</v>
      </c>
      <c r="C1" s="149" t="str">
        <f>'Main 2015'!E1</f>
        <v>Amt Approved</v>
      </c>
      <c r="D1" s="148" t="str">
        <f>'Main 2015'!I1</f>
        <v>Category</v>
      </c>
      <c r="E1" s="150" t="str">
        <f>'Main 2015'!K1</f>
        <v>District</v>
      </c>
      <c r="F1" s="150" t="str">
        <f>'Main 2015'!L1</f>
        <v>County</v>
      </c>
    </row>
    <row r="2" spans="1:6" x14ac:dyDescent="0.25">
      <c r="A2" t="str">
        <f>'Main 2015'!B2</f>
        <v>Chattahoochee Hills, City of</v>
      </c>
      <c r="B2" t="str">
        <f>'Main 2015'!C2</f>
        <v>Trails of Chattahoochee Hills</v>
      </c>
      <c r="C2" s="147">
        <f>'Main 2015'!E2</f>
        <v>100000</v>
      </c>
      <c r="D2" t="str">
        <f>'Main 2015'!I2</f>
        <v>Comb Non</v>
      </c>
      <c r="E2" s="55">
        <f>'Main 2015'!K2</f>
        <v>13</v>
      </c>
      <c r="F2" s="55" t="str">
        <f>'Main 2015'!L2</f>
        <v>Fulton</v>
      </c>
    </row>
    <row r="3" spans="1:6" x14ac:dyDescent="0.25">
      <c r="A3" t="str">
        <f>'Main 2015'!B3</f>
        <v>Georgia College &amp; State University</v>
      </c>
      <c r="B3" t="str">
        <f>'Main 2015'!C3</f>
        <v>Fishing Creek Community Trail: Campus Connector</v>
      </c>
      <c r="C3" s="147">
        <f>'Main 2015'!E3</f>
        <v>100000</v>
      </c>
      <c r="D3" t="str">
        <f>'Main 2015'!I3</f>
        <v>Comb Non</v>
      </c>
      <c r="E3" s="55">
        <f>'Main 2015'!K3</f>
        <v>10</v>
      </c>
      <c r="F3" s="55" t="str">
        <f>'Main 2015'!L3</f>
        <v>Baldwin</v>
      </c>
    </row>
    <row r="4" spans="1:6" x14ac:dyDescent="0.25">
      <c r="A4" t="str">
        <f>'Main 2015'!B4</f>
        <v>Perry, City of</v>
      </c>
      <c r="B4" t="str">
        <f>'Main 2015'!C4</f>
        <v>Big Indian Creek Waterway Trail Phase IV</v>
      </c>
      <c r="C4" s="147">
        <f>'Main 2015'!E4</f>
        <v>100000</v>
      </c>
      <c r="D4" t="str">
        <f>'Main 2015'!I4</f>
        <v>Comb Non</v>
      </c>
      <c r="E4" s="55">
        <f>'Main 2015'!K4</f>
        <v>8</v>
      </c>
      <c r="F4" s="55" t="str">
        <f>'Main 2015'!L4</f>
        <v>Houston</v>
      </c>
    </row>
    <row r="5" spans="1:6" x14ac:dyDescent="0.25">
      <c r="A5" t="str">
        <f>'Main 2015'!B5</f>
        <v>Ringgold, City of</v>
      </c>
      <c r="B5" t="str">
        <f>'Main 2015'!C5</f>
        <v>Trail of Tears Phase II</v>
      </c>
      <c r="C5" s="147">
        <f>'Main 2015'!E5</f>
        <v>100000</v>
      </c>
      <c r="D5" t="str">
        <f>'Main 2015'!I5</f>
        <v>Comb Non</v>
      </c>
      <c r="E5" s="55">
        <f>'Main 2015'!K5</f>
        <v>9</v>
      </c>
      <c r="F5" s="55" t="str">
        <f>'Main 2015'!L5</f>
        <v>Catoosa</v>
      </c>
    </row>
    <row r="6" spans="1:6" x14ac:dyDescent="0.25">
      <c r="A6" t="str">
        <f>'Main 2015'!B6</f>
        <v>Dawsonville, City of</v>
      </c>
      <c r="B6" t="str">
        <f>'Main 2015'!C6</f>
        <v>Main Street Park Trail</v>
      </c>
      <c r="C6" s="147">
        <f>'Main 2015'!E6</f>
        <v>100000</v>
      </c>
      <c r="D6" t="str">
        <f>'Main 2015'!I6</f>
        <v>Comb Non</v>
      </c>
      <c r="E6" s="55">
        <f>'Main 2015'!K6</f>
        <v>9</v>
      </c>
      <c r="F6" s="55" t="str">
        <f>'Main 2015'!L6</f>
        <v>Dawson</v>
      </c>
    </row>
    <row r="7" spans="1:6" x14ac:dyDescent="0.25">
      <c r="A7" t="str">
        <f>'Main 2015'!B7</f>
        <v>Maxeys, City of</v>
      </c>
      <c r="B7" t="str">
        <f>'Main 2015'!C7</f>
        <v>Firefly Trail</v>
      </c>
      <c r="C7" s="147">
        <f>'Main 2015'!E7</f>
        <v>100000</v>
      </c>
      <c r="D7" t="str">
        <f>'Main 2015'!I7</f>
        <v>Comb Non</v>
      </c>
      <c r="E7" s="55">
        <f>'Main 2015'!K7</f>
        <v>10</v>
      </c>
      <c r="F7" s="55" t="str">
        <f>'Main 2015'!L7</f>
        <v>Oglethorpe</v>
      </c>
    </row>
    <row r="8" spans="1:6" x14ac:dyDescent="0.25">
      <c r="A8" t="str">
        <f>'Main 2015'!B8</f>
        <v>Lee County</v>
      </c>
      <c r="B8" t="str">
        <f>'Main 2015'!C8</f>
        <v>Rails to Trails - Lee County Trailheads</v>
      </c>
      <c r="C8" s="147">
        <f>'Main 2015'!E8</f>
        <v>100000</v>
      </c>
      <c r="D8" t="str">
        <f>'Main 2015'!I8</f>
        <v>Comb Non</v>
      </c>
      <c r="E8" s="55">
        <f>'Main 2015'!K8</f>
        <v>2</v>
      </c>
      <c r="F8" s="55" t="str">
        <f>'Main 2015'!L8</f>
        <v>Lee</v>
      </c>
    </row>
    <row r="9" spans="1:6" x14ac:dyDescent="0.25">
      <c r="A9" t="str">
        <f>'Main 2015'!B9</f>
        <v>White County</v>
      </c>
      <c r="B9" t="str">
        <f>'Main 2015'!C9</f>
        <v>Yonah Preserve Multi-Use Trail Phase II</v>
      </c>
      <c r="C9" s="147">
        <f>'Main 2015'!E9</f>
        <v>100000</v>
      </c>
      <c r="D9" t="str">
        <f>'Main 2015'!I9</f>
        <v>Comb Non</v>
      </c>
      <c r="E9" s="55">
        <f>'Main 2015'!K9</f>
        <v>9</v>
      </c>
      <c r="F9" s="55" t="str">
        <f>'Main 2015'!L9</f>
        <v>White</v>
      </c>
    </row>
    <row r="10" spans="1:6" x14ac:dyDescent="0.25">
      <c r="A10" t="str">
        <f>'Main 2015'!B10</f>
        <v>Bibb County/City of Macon</v>
      </c>
      <c r="B10" t="str">
        <f>'Main 2015'!C10</f>
        <v>Amerson Water Works and Ocmulgee Heritage Trail Connector</v>
      </c>
      <c r="C10" s="147">
        <f>'Main 2015'!E10</f>
        <v>92000</v>
      </c>
      <c r="D10" t="str">
        <f>'Main 2015'!I10</f>
        <v>Comb Non</v>
      </c>
      <c r="E10" s="55">
        <f>'Main 2015'!K10</f>
        <v>2</v>
      </c>
      <c r="F10" s="55" t="str">
        <f>'Main 2015'!L10</f>
        <v>Macon/Bibb</v>
      </c>
    </row>
    <row r="11" spans="1:6" x14ac:dyDescent="0.25">
      <c r="A11" t="str">
        <f>'Main 2015'!B49</f>
        <v xml:space="preserve">Bartow County </v>
      </c>
      <c r="B11" t="str">
        <f>'Main 2015'!C49</f>
        <v>The Etowah River Water Trail at Hardin Bridge</v>
      </c>
      <c r="C11" s="147">
        <f>'Main 2015'!E49</f>
        <v>100000</v>
      </c>
      <c r="D11" t="str">
        <f>'Main 2015'!I49</f>
        <v>Single Non</v>
      </c>
      <c r="E11" s="55">
        <f>'Main 2015'!K49</f>
        <v>11</v>
      </c>
      <c r="F11" s="55" t="str">
        <f>'Main 2015'!L49</f>
        <v>Bartow</v>
      </c>
    </row>
    <row r="12" spans="1:6" x14ac:dyDescent="0.25">
      <c r="A12" t="str">
        <f>'Main 2015'!B50</f>
        <v>Lovejoy, City of</v>
      </c>
      <c r="B12" t="str">
        <f>'Main 2015'!C50</f>
        <v>Mayor's Park Trail</v>
      </c>
      <c r="C12" s="147">
        <f>'Main 2015'!E50</f>
        <v>95040</v>
      </c>
      <c r="D12" t="str">
        <f>'Main 2015'!I50</f>
        <v>Single Non</v>
      </c>
      <c r="E12" s="55">
        <f>'Main 2015'!K50</f>
        <v>13</v>
      </c>
      <c r="F12" s="55" t="str">
        <f>'Main 2015'!L50</f>
        <v>Clayton</v>
      </c>
    </row>
    <row r="13" spans="1:6" x14ac:dyDescent="0.25">
      <c r="A13" t="str">
        <f>'Main 2015'!B51</f>
        <v>Lyons, City of</v>
      </c>
      <c r="B13" t="str">
        <f>'Main 2015'!C51</f>
        <v>Lyons Environmental Education Trail</v>
      </c>
      <c r="C13" s="147">
        <f>'Main 2015'!E51</f>
        <v>56450</v>
      </c>
      <c r="D13" t="str">
        <f>'Main 2015'!I51</f>
        <v>Single Non</v>
      </c>
      <c r="E13" s="55">
        <f>'Main 2015'!K51</f>
        <v>12</v>
      </c>
      <c r="F13" s="55" t="str">
        <f>'Main 2015'!L51</f>
        <v>Toombs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3"/>
  <sheetViews>
    <sheetView zoomScale="80" zoomScaleNormal="80" workbookViewId="0">
      <pane ySplit="1" topLeftCell="A2" activePane="bottomLeft" state="frozen"/>
      <selection activeCell="B1" sqref="B1"/>
      <selection pane="bottomLeft" activeCell="C1" sqref="C1"/>
    </sheetView>
  </sheetViews>
  <sheetFormatPr defaultRowHeight="13.2" x14ac:dyDescent="0.25"/>
  <cols>
    <col min="1" max="1" width="34.6640625" customWidth="1"/>
    <col min="2" max="2" width="25.88671875" customWidth="1"/>
    <col min="3" max="3" width="35.6640625" customWidth="1"/>
    <col min="4" max="4" width="34.44140625" customWidth="1"/>
    <col min="5" max="5" width="22.6640625" style="10" customWidth="1"/>
    <col min="6" max="6" width="26.109375" style="10" customWidth="1"/>
    <col min="7" max="7" width="26.6640625" customWidth="1"/>
    <col min="8" max="8" width="34.5546875" customWidth="1"/>
    <col min="9" max="9" width="27" customWidth="1"/>
    <col min="10" max="10" width="31.6640625" customWidth="1"/>
    <col min="11" max="11" width="51.88671875" customWidth="1"/>
    <col min="12" max="12" width="9.5546875" style="55" bestFit="1" customWidth="1"/>
    <col min="13" max="13" width="24.5546875" style="52" customWidth="1"/>
  </cols>
  <sheetData>
    <row r="1" spans="1:13" s="109" customFormat="1" ht="15.6" x14ac:dyDescent="0.3">
      <c r="C1" s="110" t="s">
        <v>228</v>
      </c>
      <c r="D1" s="110" t="s">
        <v>224</v>
      </c>
      <c r="E1" s="110" t="s">
        <v>12</v>
      </c>
      <c r="F1" s="111"/>
      <c r="L1" s="112"/>
      <c r="M1" s="113"/>
    </row>
    <row r="3" spans="1:13" ht="15.6" x14ac:dyDescent="0.3">
      <c r="B3" s="13" t="s">
        <v>227</v>
      </c>
      <c r="C3" s="18">
        <v>271820.06599999999</v>
      </c>
      <c r="D3" s="18">
        <v>105787.98800000036</v>
      </c>
      <c r="E3" s="18">
        <v>1668233.7759999998</v>
      </c>
    </row>
    <row r="5" spans="1:13" ht="15.6" x14ac:dyDescent="0.3">
      <c r="A5" s="13"/>
      <c r="B5" s="13"/>
      <c r="C5" s="18"/>
    </row>
    <row r="6" spans="1:13" ht="15.6" x14ac:dyDescent="0.3">
      <c r="A6" s="13" t="s">
        <v>149</v>
      </c>
      <c r="B6" s="18">
        <v>1722736</v>
      </c>
      <c r="C6" s="10"/>
      <c r="D6" s="10"/>
    </row>
    <row r="7" spans="1:13" ht="15" x14ac:dyDescent="0.25">
      <c r="A7" s="17" t="s">
        <v>234</v>
      </c>
      <c r="B7" s="44">
        <f>B6*0.05</f>
        <v>86136.8</v>
      </c>
      <c r="C7" s="44"/>
    </row>
    <row r="8" spans="1:13" ht="15" x14ac:dyDescent="0.25">
      <c r="A8" s="19" t="s">
        <v>233</v>
      </c>
      <c r="B8" s="23">
        <f>B6*0.07</f>
        <v>120591.52000000002</v>
      </c>
      <c r="C8" s="89" t="s">
        <v>205</v>
      </c>
      <c r="D8" s="89" t="s">
        <v>206</v>
      </c>
      <c r="E8" s="89" t="s">
        <v>205</v>
      </c>
    </row>
    <row r="9" spans="1:13" ht="15.6" x14ac:dyDescent="0.3">
      <c r="A9" s="13" t="s">
        <v>204</v>
      </c>
      <c r="B9" s="88">
        <f>B6-B7-B8</f>
        <v>1516007.68</v>
      </c>
      <c r="C9" s="18">
        <f>B9*0.3</f>
        <v>454802.30399999995</v>
      </c>
      <c r="D9" s="18">
        <f>B9*0.4</f>
        <v>606403.07200000004</v>
      </c>
      <c r="E9" s="18">
        <f>B9*0.3</f>
        <v>454802.30399999995</v>
      </c>
    </row>
    <row r="10" spans="1:13" ht="15" x14ac:dyDescent="0.25">
      <c r="A10" s="19"/>
      <c r="C10" s="18"/>
      <c r="D10" s="18"/>
      <c r="E10" s="18"/>
    </row>
    <row r="11" spans="1:13" ht="15.6" x14ac:dyDescent="0.3">
      <c r="B11" s="32" t="s">
        <v>207</v>
      </c>
      <c r="C11" s="107">
        <f>C3+C9</f>
        <v>726622.36999999988</v>
      </c>
      <c r="D11" s="107">
        <f>D3+D9</f>
        <v>712191.06000000041</v>
      </c>
      <c r="E11" s="107">
        <f>E3+E9</f>
        <v>2123036.0799999996</v>
      </c>
    </row>
    <row r="12" spans="1:13" ht="15" x14ac:dyDescent="0.25">
      <c r="C12" s="18"/>
      <c r="D12" s="18"/>
      <c r="E12" s="18"/>
    </row>
    <row r="13" spans="1:13" ht="15.6" x14ac:dyDescent="0.3">
      <c r="B13" s="13" t="s">
        <v>208</v>
      </c>
      <c r="C13" s="18">
        <v>0</v>
      </c>
      <c r="D13" s="18">
        <f>C37</f>
        <v>209043.94999999998</v>
      </c>
      <c r="E13" s="18">
        <v>0</v>
      </c>
    </row>
    <row r="15" spans="1:13" ht="16.2" thickBot="1" x14ac:dyDescent="0.35">
      <c r="B15" s="32" t="s">
        <v>203</v>
      </c>
      <c r="C15" s="108">
        <f>C11+C13</f>
        <v>726622.36999999988</v>
      </c>
      <c r="D15" s="108">
        <f>D11+D13</f>
        <v>921235.01000000036</v>
      </c>
      <c r="E15" s="108">
        <f>E11+E13</f>
        <v>2123036.0799999996</v>
      </c>
    </row>
    <row r="16" spans="1:13" ht="13.8" thickTop="1" x14ac:dyDescent="0.25"/>
    <row r="17" spans="1:74" ht="15.6" x14ac:dyDescent="0.3">
      <c r="B17" s="13" t="s">
        <v>226</v>
      </c>
      <c r="C17" s="18">
        <f>SUM('Main 2015'!G49:G51)</f>
        <v>251490</v>
      </c>
      <c r="D17" s="18">
        <f>SUM('Main 2015'!G2:G10)</f>
        <v>892000</v>
      </c>
      <c r="E17" s="16">
        <v>0</v>
      </c>
    </row>
    <row r="18" spans="1:74" ht="15.6" x14ac:dyDescent="0.3">
      <c r="B18" s="13" t="s">
        <v>211</v>
      </c>
      <c r="C18" s="115">
        <v>3</v>
      </c>
      <c r="D18" s="115">
        <v>9</v>
      </c>
      <c r="E18" s="115">
        <v>0</v>
      </c>
    </row>
    <row r="20" spans="1:74" ht="15.6" x14ac:dyDescent="0.3">
      <c r="B20" s="32" t="s">
        <v>210</v>
      </c>
      <c r="C20" s="18">
        <f>C15-C17</f>
        <v>475132.36999999988</v>
      </c>
      <c r="D20" s="18">
        <f>D15-D17</f>
        <v>29235.010000000359</v>
      </c>
      <c r="E20" s="16">
        <f>E15-E17</f>
        <v>2123036.0799999996</v>
      </c>
    </row>
    <row r="26" spans="1:74" x14ac:dyDescent="0.25">
      <c r="D26" s="109"/>
    </row>
    <row r="27" spans="1:74" ht="15" x14ac:dyDescent="0.25">
      <c r="D27" s="114"/>
    </row>
    <row r="28" spans="1:74" ht="13.8" thickBot="1" x14ac:dyDescent="0.3">
      <c r="E28"/>
      <c r="F28"/>
      <c r="I28" s="55"/>
      <c r="J28" s="52"/>
      <c r="L28"/>
      <c r="M28"/>
    </row>
    <row r="29" spans="1:74" s="55" customFormat="1" ht="15.6" x14ac:dyDescent="0.3">
      <c r="A29" s="90"/>
      <c r="B29" s="91" t="s">
        <v>225</v>
      </c>
      <c r="C29" s="92"/>
      <c r="D29" s="93"/>
      <c r="E29" s="94"/>
      <c r="F29"/>
      <c r="H29" s="5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s="55" customFormat="1" ht="15" x14ac:dyDescent="0.25">
      <c r="A30" s="95"/>
      <c r="B30" s="20"/>
      <c r="C30" s="25" t="s">
        <v>13</v>
      </c>
      <c r="D30" s="28" t="s">
        <v>193</v>
      </c>
      <c r="E30" s="96" t="s">
        <v>77</v>
      </c>
      <c r="F30"/>
      <c r="H30" s="5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</row>
    <row r="31" spans="1:74" s="55" customFormat="1" ht="15" x14ac:dyDescent="0.25">
      <c r="A31" s="95"/>
      <c r="B31" s="97" t="s">
        <v>63</v>
      </c>
      <c r="C31" s="98">
        <v>68259.899999999994</v>
      </c>
      <c r="D31" s="99" t="s">
        <v>194</v>
      </c>
      <c r="E31" s="100" t="s">
        <v>195</v>
      </c>
      <c r="F31"/>
      <c r="H31" s="5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s="55" customFormat="1" ht="15" x14ac:dyDescent="0.25">
      <c r="A32" s="95"/>
      <c r="B32" s="97" t="s">
        <v>150</v>
      </c>
      <c r="C32" s="98">
        <v>30996.65</v>
      </c>
      <c r="D32" s="99" t="s">
        <v>196</v>
      </c>
      <c r="E32" s="100" t="s">
        <v>200</v>
      </c>
      <c r="F32"/>
      <c r="H32" s="5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1:74" s="55" customFormat="1" ht="15" x14ac:dyDescent="0.25">
      <c r="A33" s="95"/>
      <c r="B33" s="97" t="s">
        <v>47</v>
      </c>
      <c r="C33" s="98">
        <v>11439.37</v>
      </c>
      <c r="D33" s="99" t="s">
        <v>197</v>
      </c>
      <c r="E33" s="100" t="s">
        <v>201</v>
      </c>
      <c r="F33"/>
      <c r="H33" s="5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</row>
    <row r="34" spans="1:74" s="55" customFormat="1" ht="15" x14ac:dyDescent="0.25">
      <c r="A34" s="95"/>
      <c r="B34" s="97" t="s">
        <v>151</v>
      </c>
      <c r="C34" s="98">
        <v>748.03</v>
      </c>
      <c r="D34" s="99" t="s">
        <v>198</v>
      </c>
      <c r="E34" s="100" t="s">
        <v>195</v>
      </c>
      <c r="F34"/>
      <c r="H34" s="5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spans="1:74" s="55" customFormat="1" ht="15" x14ac:dyDescent="0.25">
      <c r="A35" s="95"/>
      <c r="B35" s="97" t="s">
        <v>152</v>
      </c>
      <c r="C35" s="98">
        <v>97600</v>
      </c>
      <c r="D35" s="99" t="s">
        <v>199</v>
      </c>
      <c r="E35" s="100" t="s">
        <v>202</v>
      </c>
      <c r="F35"/>
      <c r="H35" s="52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</row>
    <row r="36" spans="1:74" s="55" customFormat="1" ht="15" x14ac:dyDescent="0.25">
      <c r="A36" s="95"/>
      <c r="B36" s="101"/>
      <c r="C36" s="23"/>
      <c r="D36" s="102"/>
      <c r="E36" s="103"/>
      <c r="F36"/>
      <c r="H36" s="52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</row>
    <row r="37" spans="1:74" s="55" customFormat="1" ht="15.6" x14ac:dyDescent="0.3">
      <c r="A37" s="95"/>
      <c r="B37" s="104" t="s">
        <v>209</v>
      </c>
      <c r="C37" s="24">
        <f>SUM(C31:C36)</f>
        <v>209043.94999999998</v>
      </c>
      <c r="D37" s="102"/>
      <c r="E37" s="103"/>
      <c r="F37"/>
      <c r="H37" s="52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</row>
    <row r="38" spans="1:74" ht="13.8" thickBot="1" x14ac:dyDescent="0.3">
      <c r="A38" s="105"/>
      <c r="B38" s="33"/>
      <c r="C38" s="33"/>
      <c r="D38" s="33"/>
      <c r="E38" s="106"/>
      <c r="F38"/>
      <c r="I38" s="55"/>
      <c r="J38" s="52"/>
      <c r="L38"/>
      <c r="M38"/>
    </row>
    <row r="39" spans="1:74" x14ac:dyDescent="0.25">
      <c r="E39"/>
      <c r="F39"/>
      <c r="I39" s="55"/>
      <c r="J39" s="52"/>
      <c r="L39"/>
      <c r="M39"/>
    </row>
    <row r="40" spans="1:74" x14ac:dyDescent="0.25">
      <c r="E40"/>
      <c r="F40"/>
      <c r="I40" s="55"/>
      <c r="J40" s="52"/>
      <c r="L40"/>
      <c r="M40"/>
    </row>
    <row r="41" spans="1:74" x14ac:dyDescent="0.25">
      <c r="D41" s="10"/>
      <c r="E41"/>
      <c r="F41"/>
      <c r="J41" s="55"/>
      <c r="K41" s="52"/>
      <c r="L41"/>
      <c r="M41"/>
    </row>
    <row r="42" spans="1:74" x14ac:dyDescent="0.25">
      <c r="D42" s="10"/>
      <c r="E42"/>
      <c r="F42"/>
      <c r="J42" s="55"/>
      <c r="K42" s="52"/>
      <c r="L42"/>
      <c r="M42"/>
    </row>
    <row r="43" spans="1:74" x14ac:dyDescent="0.25">
      <c r="D43" s="10"/>
      <c r="E43"/>
      <c r="F43"/>
      <c r="J43" s="55"/>
      <c r="K43" s="52"/>
      <c r="L43"/>
      <c r="M43"/>
    </row>
  </sheetData>
  <pageMargins left="0.25" right="0.25" top="0.75" bottom="0.5" header="0.3" footer="0.3"/>
  <pageSetup paperSize="17" scale="67" orientation="landscape" r:id="rId1"/>
  <headerFooter alignWithMargins="0">
    <oddHeader>&amp;C&amp;"Arial,Bold"&amp;14Recreational Trails Program--Alphabetical listing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Main 2015</vt:lpstr>
      <vt:lpstr>Sheet1</vt:lpstr>
      <vt:lpstr>Summary</vt:lpstr>
      <vt:lpstr>'Main 2015'!Print_Area</vt:lpstr>
      <vt:lpstr>'Main 2015'!Print_Titles</vt:lpstr>
    </vt:vector>
  </TitlesOfParts>
  <Company>Georgia Dept.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Alexander</dc:creator>
  <cp:lastModifiedBy>Norfleet, Antoinette</cp:lastModifiedBy>
  <cp:lastPrinted>2016-03-29T19:19:13Z</cp:lastPrinted>
  <dcterms:created xsi:type="dcterms:W3CDTF">2011-01-21T21:01:58Z</dcterms:created>
  <dcterms:modified xsi:type="dcterms:W3CDTF">2016-03-29T20:49:57Z</dcterms:modified>
</cp:coreProperties>
</file>