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"/>
    </mc:Choice>
  </mc:AlternateContent>
  <xr:revisionPtr revIDLastSave="0" documentId="8_{16BC8262-0C22-42AE-A697-AB0CD2184F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A Parks 2020-21 (Order Form)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" i="6" l="1"/>
  <c r="G14" i="6"/>
  <c r="G25" i="6" l="1"/>
  <c r="G48" i="6" l="1"/>
  <c r="G27" i="6"/>
  <c r="G26" i="6"/>
  <c r="G23" i="6"/>
  <c r="G20" i="6"/>
  <c r="G18" i="6"/>
  <c r="G15" i="6"/>
  <c r="G16" i="6"/>
  <c r="G47" i="6"/>
  <c r="G46" i="6"/>
  <c r="G45" i="6"/>
  <c r="G44" i="6"/>
  <c r="G42" i="6"/>
  <c r="G41" i="6"/>
  <c r="G40" i="6"/>
  <c r="G39" i="6"/>
  <c r="G38" i="6"/>
  <c r="G37" i="6"/>
  <c r="G36" i="6"/>
  <c r="G35" i="6"/>
  <c r="G34" i="6"/>
  <c r="G33" i="6"/>
  <c r="G32" i="6"/>
  <c r="G30" i="6"/>
  <c r="G29" i="6"/>
  <c r="G28" i="6"/>
  <c r="G24" i="6"/>
  <c r="G21" i="6"/>
  <c r="G19" i="6"/>
  <c r="G12" i="6"/>
  <c r="G11" i="6"/>
  <c r="G10" i="6"/>
  <c r="G9" i="6"/>
  <c r="G8" i="6"/>
  <c r="G7" i="6"/>
  <c r="G49" i="6" l="1"/>
</calcChain>
</file>

<file path=xl/sharedStrings.xml><?xml version="1.0" encoding="utf-8"?>
<sst xmlns="http://schemas.openxmlformats.org/spreadsheetml/2006/main" count="112" uniqueCount="104">
  <si>
    <t>Style Number</t>
  </si>
  <si>
    <t>Description</t>
  </si>
  <si>
    <t>Size</t>
  </si>
  <si>
    <t>Qty.</t>
  </si>
  <si>
    <t>Total Price</t>
  </si>
  <si>
    <t>PANTS</t>
  </si>
  <si>
    <t>WAIST     /SIZE</t>
  </si>
  <si>
    <t>INSEAM</t>
  </si>
  <si>
    <t>NP2110</t>
  </si>
  <si>
    <t>Men's Work Jean - Earth Green</t>
  </si>
  <si>
    <t>NP2111</t>
  </si>
  <si>
    <t>Women's Work Jean - Earth Green</t>
  </si>
  <si>
    <t>NP2240</t>
  </si>
  <si>
    <t>Men's Cargo Pant - Earth Green</t>
  </si>
  <si>
    <t>NP2241</t>
  </si>
  <si>
    <t>Women's Cargo Pant - Earth Green</t>
  </si>
  <si>
    <t>NP2142</t>
  </si>
  <si>
    <t>Women's Hiking Short - Earth Green</t>
  </si>
  <si>
    <t>NP2143</t>
  </si>
  <si>
    <t>Men's Hiking Short - Earth Green</t>
  </si>
  <si>
    <t>SHIRTS</t>
  </si>
  <si>
    <t>NECK or SIZE</t>
  </si>
  <si>
    <t>SLEEVE LENGTH</t>
  </si>
  <si>
    <t>HS1211</t>
  </si>
  <si>
    <t>Men's Short Sleeve Police Style Shirt w/GA DNR Emblem (2)</t>
  </si>
  <si>
    <t xml:space="preserve"> </t>
  </si>
  <si>
    <t>HS1115</t>
  </si>
  <si>
    <t>Men's Long Sleeve Police Style Shirt w/ GA DNR Emblem (2)</t>
  </si>
  <si>
    <t>HS1269</t>
  </si>
  <si>
    <t>Women's Short Sleeve Police Style Shirt w/ GA DNR Emblem (2)</t>
  </si>
  <si>
    <t>HS1168</t>
  </si>
  <si>
    <t>Women's Long Sleeve Police Style Shirt w/ GA DNR Emblem (2)</t>
  </si>
  <si>
    <t>OUTERWEAR</t>
  </si>
  <si>
    <t>NP5116</t>
  </si>
  <si>
    <t>Green Cardigan with GA DNR Emblem (2)</t>
  </si>
  <si>
    <t>NP3154</t>
  </si>
  <si>
    <t>NP3156</t>
  </si>
  <si>
    <t>Insulated Coveralls - Green w/ GA DNR Emblem (2)</t>
  </si>
  <si>
    <t>NP3152</t>
  </si>
  <si>
    <t>Uninsulated Coveralls - Green w/ GA DNR Emblem (2)</t>
  </si>
  <si>
    <t>US3091B</t>
  </si>
  <si>
    <t>Tru-Spec Olive Gen 2 Parka w/ GA DNR Emblem (2)</t>
  </si>
  <si>
    <t>US3092B</t>
  </si>
  <si>
    <t xml:space="preserve">Tru-Spec Foliage, Mircofleece Liner (No DNR Emblem) </t>
  </si>
  <si>
    <t>NP3190</t>
  </si>
  <si>
    <t xml:space="preserve">Bib Overalls - Green (No DNR Emblem) </t>
  </si>
  <si>
    <t>ACCESSORIES</t>
  </si>
  <si>
    <t>CU7240</t>
  </si>
  <si>
    <t>15" Black Polyester Clip On Tie</t>
  </si>
  <si>
    <t>No Size</t>
  </si>
  <si>
    <t>CU7241</t>
  </si>
  <si>
    <t>18" Black Polyester Clip On Tie</t>
  </si>
  <si>
    <t>CU7242</t>
  </si>
  <si>
    <t>20" Black Polyester Clip On Tie</t>
  </si>
  <si>
    <t>CO7112</t>
  </si>
  <si>
    <t>Samuel Broome Tie -- Black, 4-in-hand Tie</t>
  </si>
  <si>
    <t>HS7108</t>
  </si>
  <si>
    <t>Ball Cap - Winter - with DNR logo embroidered (1)</t>
  </si>
  <si>
    <t>HS7109</t>
  </si>
  <si>
    <t>Ball Cap - Summer - with DNR logo embroidered (1)</t>
  </si>
  <si>
    <t>NP7104</t>
  </si>
  <si>
    <t>Milan Straw Unisex Summer Ranger Dress Hat</t>
  </si>
  <si>
    <t>FL7012</t>
  </si>
  <si>
    <t>3 Piece Black Leather Strap for Campaign Hat</t>
  </si>
  <si>
    <t>FL7058</t>
  </si>
  <si>
    <t>1 Piece Black Hat Band for Campaign Hat</t>
  </si>
  <si>
    <t>NP7202</t>
  </si>
  <si>
    <t>Hat Trap for Ranger Hats, Black, Heavy Duty Molded Plastic</t>
  </si>
  <si>
    <t>GV0008</t>
  </si>
  <si>
    <t>Black, 1 3/4" Garrison Belt w/Silver Buckle - Boston Leather</t>
  </si>
  <si>
    <t>MATERNITY</t>
  </si>
  <si>
    <t>US1071</t>
  </si>
  <si>
    <t>Short Sleeve Police Style Maternity Shirt w/ GA DNR Emblem (2)</t>
  </si>
  <si>
    <t>US1072</t>
  </si>
  <si>
    <t>Long Sleeve Police Style Maternity Shirt w/ GA DNR Emblem (2)</t>
  </si>
  <si>
    <t>*Contract Price includes customizations such as sewing emblems</t>
  </si>
  <si>
    <t>GRAND TOTAL</t>
  </si>
  <si>
    <t>PARK NAME:</t>
  </si>
  <si>
    <r>
      <t xml:space="preserve">Completed Order forms may be faxed to 888-778-8326 or       emailed to:  </t>
    </r>
    <r>
      <rPr>
        <b/>
        <sz val="10"/>
        <color indexed="8"/>
        <rFont val="Calibri"/>
        <family val="2"/>
      </rPr>
      <t>customerservice@servicewearapparel.com</t>
    </r>
    <r>
      <rPr>
        <sz val="10"/>
        <color indexed="8"/>
        <rFont val="Calibri"/>
        <family val="2"/>
      </rPr>
      <t>.                                                                                              Customized Garments may not be returned.                                                                       If you have questions about your order, please contact Customer Service at 866-746-2108.</t>
    </r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</si>
  <si>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</si>
  <si>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</si>
  <si>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</si>
  <si>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</si>
  <si>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</si>
  <si>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t>(NET PAYMENT DUE WITHIN 30 DAYS)</t>
  </si>
  <si>
    <t>3-18</t>
  </si>
  <si>
    <t>ZM</t>
  </si>
  <si>
    <t>PSoft # 0000478357-3   / Contract # 46200-469-022018</t>
  </si>
  <si>
    <t>Customize-  Insert a maternity panel to above uniform pants</t>
  </si>
  <si>
    <t>2020-21 Georgia State Parks</t>
  </si>
  <si>
    <t>Pricing valid from 4/1/2020 through 3/31/2021</t>
  </si>
  <si>
    <t>PSoft PO required</t>
  </si>
  <si>
    <t>NP2249</t>
  </si>
  <si>
    <t>NP2250</t>
  </si>
  <si>
    <t>2020-21 GA Parks National IPA Price</t>
  </si>
  <si>
    <r>
      <rPr>
        <sz val="11"/>
        <color rgb="FFFF0000"/>
        <rFont val="Calibri"/>
        <family val="2"/>
        <scheme val="minor"/>
      </rPr>
      <t>NEW!</t>
    </r>
    <r>
      <rPr>
        <sz val="11"/>
        <color indexed="8"/>
        <rFont val="Calibri"/>
        <family val="2"/>
        <scheme val="minor"/>
      </rPr>
      <t>-Men's 4 Pocket Twill Trouser - Earth Green  {available June}</t>
    </r>
  </si>
  <si>
    <r>
      <rPr>
        <sz val="11"/>
        <color rgb="FFFF0000"/>
        <rFont val="Calibri"/>
        <family val="2"/>
        <scheme val="minor"/>
      </rPr>
      <t>NEW!-</t>
    </r>
    <r>
      <rPr>
        <sz val="11"/>
        <color indexed="8"/>
        <rFont val="Calibri"/>
        <family val="2"/>
        <scheme val="minor"/>
      </rPr>
      <t>-Women's 4 Pocket Twill Trouser - Earth Green   {available June}</t>
    </r>
  </si>
  <si>
    <t>NP2006</t>
  </si>
  <si>
    <t>NP2007</t>
  </si>
  <si>
    <t>Work Jacket - Green w/ GA DNR Emblem (2)</t>
  </si>
  <si>
    <t>NP3011</t>
  </si>
  <si>
    <r>
      <rPr>
        <sz val="11"/>
        <color rgb="FFFF0000"/>
        <rFont val="Calibri"/>
        <family val="2"/>
        <scheme val="minor"/>
      </rPr>
      <t>NEW!--</t>
    </r>
    <r>
      <rPr>
        <sz val="11"/>
        <rFont val="Calibri"/>
        <family val="2"/>
        <scheme val="minor"/>
      </rPr>
      <t xml:space="preserve">Apex Soft Shell Jacket </t>
    </r>
  </si>
  <si>
    <r>
      <rPr>
        <sz val="11"/>
        <color rgb="FFFF0000"/>
        <rFont val="Calibri"/>
        <family val="2"/>
        <scheme val="minor"/>
      </rPr>
      <t>NEW!</t>
    </r>
    <r>
      <rPr>
        <sz val="11"/>
        <color indexed="8"/>
        <rFont val="Calibri"/>
        <family val="2"/>
        <scheme val="minor"/>
      </rPr>
      <t>--Men's service cargo pocket pant - Ranger Green</t>
    </r>
  </si>
  <si>
    <r>
      <rPr>
        <sz val="11"/>
        <color rgb="FFFF0000"/>
        <rFont val="Calibri"/>
        <family val="2"/>
        <scheme val="minor"/>
      </rPr>
      <t>NEW!-</t>
    </r>
    <r>
      <rPr>
        <sz val="11"/>
        <color indexed="8"/>
        <rFont val="Calibri"/>
        <family val="2"/>
        <scheme val="minor"/>
      </rPr>
      <t>-Women's service cargo pocket pant - Ranger Green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</si>
</sst>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5D1A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3" fillId="0" borderId="0">
      <alignment vertical="top"/>
    </xf>
    <xf numFmtId="0" fontId="10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1" fontId="0" fillId="2" borderId="0" xfId="0" applyNumberFormat="1" applyFill="1" applyAlignment="1">
      <alignment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4" fontId="6" fillId="3" borderId="1" xfId="2" applyFont="1" applyFill="1" applyBorder="1" applyAlignment="1">
      <alignment horizontal="center" vertical="center" wrapText="1"/>
    </xf>
    <xf numFmtId="44" fontId="6" fillId="3" borderId="3" xfId="2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 applyProtection="1">
      <alignment horizontal="right" wrapText="1" indent="1"/>
      <protection locked="0"/>
    </xf>
    <xf numFmtId="1" fontId="12" fillId="2" borderId="1" xfId="0" applyNumberFormat="1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right" wrapText="1" indent="1"/>
    </xf>
    <xf numFmtId="44" fontId="13" fillId="2" borderId="1" xfId="2" applyFont="1" applyFill="1" applyBorder="1" applyAlignment="1">
      <alignment horizontal="right" wrapText="1" indent="1"/>
    </xf>
    <xf numFmtId="1" fontId="13" fillId="0" borderId="1" xfId="0" applyNumberFormat="1" applyFont="1" applyBorder="1" applyAlignment="1" applyProtection="1">
      <alignment wrapText="1"/>
      <protection locked="0"/>
    </xf>
    <xf numFmtId="0" fontId="14" fillId="0" borderId="1" xfId="0" applyFont="1" applyBorder="1"/>
    <xf numFmtId="0" fontId="14" fillId="0" borderId="1" xfId="0" applyFont="1" applyBorder="1" applyAlignment="1">
      <alignment horizontal="right"/>
    </xf>
    <xf numFmtId="44" fontId="9" fillId="2" borderId="1" xfId="2" applyFill="1" applyBorder="1" applyAlignment="1" applyProtection="1">
      <alignment horizontal="right" wrapText="1"/>
      <protection locked="0"/>
    </xf>
    <xf numFmtId="44" fontId="13" fillId="0" borderId="1" xfId="2" applyFont="1" applyBorder="1" applyAlignment="1">
      <alignment horizontal="right" wrapText="1"/>
    </xf>
    <xf numFmtId="0" fontId="14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right" wrapText="1" indent="1"/>
    </xf>
    <xf numFmtId="1" fontId="13" fillId="2" borderId="1" xfId="0" applyNumberFormat="1" applyFont="1" applyFill="1" applyBorder="1" applyAlignment="1" applyProtection="1">
      <alignment horizontal="right" wrapText="1" indent="1"/>
      <protection locked="0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 wrapText="1" indent="1"/>
    </xf>
    <xf numFmtId="1" fontId="13" fillId="0" borderId="1" xfId="0" applyNumberFormat="1" applyFont="1" applyBorder="1" applyAlignment="1">
      <alignment horizontal="right" wrapText="1" indent="1"/>
    </xf>
    <xf numFmtId="0" fontId="11" fillId="0" borderId="1" xfId="0" applyFont="1" applyBorder="1" applyAlignment="1">
      <alignment horizontal="center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right" wrapText="1"/>
    </xf>
    <xf numFmtId="1" fontId="0" fillId="2" borderId="1" xfId="0" applyNumberFormat="1" applyFill="1" applyBorder="1" applyAlignment="1" applyProtection="1">
      <alignment horizontal="right"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1" fontId="0" fillId="0" borderId="1" xfId="0" applyNumberFormat="1" applyBorder="1" applyAlignment="1" applyProtection="1">
      <alignment horizontal="right" wrapText="1"/>
      <protection locked="0"/>
    </xf>
    <xf numFmtId="0" fontId="13" fillId="0" borderId="0" xfId="0" applyFont="1"/>
    <xf numFmtId="0" fontId="12" fillId="0" borderId="0" xfId="0" applyFont="1" applyAlignment="1">
      <alignment horizontal="center"/>
    </xf>
    <xf numFmtId="1" fontId="0" fillId="0" borderId="4" xfId="0" applyNumberFormat="1" applyBorder="1" applyAlignment="1" applyProtection="1">
      <alignment horizontal="right" wrapText="1"/>
      <protection locked="0"/>
    </xf>
    <xf numFmtId="0" fontId="1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1" fontId="13" fillId="0" borderId="0" xfId="0" applyNumberFormat="1" applyFont="1" applyProtection="1"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44" fontId="9" fillId="2" borderId="3" xfId="2" applyFill="1" applyBorder="1" applyAlignment="1" applyProtection="1">
      <alignment horizontal="right" wrapText="1"/>
      <protection locked="0"/>
    </xf>
    <xf numFmtId="1" fontId="0" fillId="2" borderId="0" xfId="0" applyNumberFormat="1" applyFill="1" applyAlignment="1" applyProtection="1">
      <alignment wrapText="1"/>
      <protection locked="0"/>
    </xf>
    <xf numFmtId="0" fontId="0" fillId="2" borderId="0" xfId="0" applyFill="1" applyAlignment="1" applyProtection="1">
      <alignment wrapText="1"/>
      <protection locked="0"/>
    </xf>
    <xf numFmtId="1" fontId="17" fillId="2" borderId="0" xfId="0" applyNumberFormat="1" applyFont="1" applyFill="1" applyAlignment="1" applyProtection="1">
      <alignment wrapText="1"/>
      <protection locked="0"/>
    </xf>
    <xf numFmtId="0" fontId="17" fillId="2" borderId="0" xfId="0" applyFont="1" applyFill="1" applyAlignment="1" applyProtection="1">
      <alignment wrapText="1"/>
      <protection locked="0"/>
    </xf>
    <xf numFmtId="1" fontId="18" fillId="2" borderId="5" xfId="0" applyNumberFormat="1" applyFont="1" applyFill="1" applyBorder="1" applyAlignment="1" applyProtection="1">
      <alignment horizontal="right" wrapText="1"/>
      <protection locked="0"/>
    </xf>
    <xf numFmtId="44" fontId="18" fillId="2" borderId="5" xfId="2" applyFont="1" applyFill="1" applyBorder="1" applyAlignment="1" applyProtection="1">
      <alignment horizontal="right" wrapText="1"/>
      <protection locked="0"/>
    </xf>
    <xf numFmtId="44" fontId="10" fillId="2" borderId="6" xfId="2" applyFont="1" applyFill="1" applyBorder="1" applyAlignment="1" applyProtection="1">
      <alignment wrapText="1"/>
      <protection locked="0"/>
    </xf>
    <xf numFmtId="0" fontId="17" fillId="4" borderId="0" xfId="0" applyFont="1" applyFill="1" applyAlignment="1" applyProtection="1">
      <alignment wrapText="1"/>
      <protection locked="0"/>
    </xf>
    <xf numFmtId="0" fontId="17" fillId="2" borderId="0" xfId="0" applyFont="1" applyFill="1" applyAlignment="1" applyProtection="1">
      <alignment horizontal="left" vertical="top" wrapText="1"/>
      <protection locked="0"/>
    </xf>
    <xf numFmtId="1" fontId="17" fillId="2" borderId="0" xfId="0" applyNumberFormat="1" applyFont="1" applyFill="1" applyAlignment="1" applyProtection="1">
      <alignment horizontal="left" vertical="top" wrapText="1"/>
      <protection locked="0"/>
    </xf>
    <xf numFmtId="44" fontId="17" fillId="2" borderId="0" xfId="2" applyFont="1" applyFill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wrapText="1"/>
      <protection locked="0"/>
    </xf>
    <xf numFmtId="1" fontId="0" fillId="4" borderId="0" xfId="0" applyNumberFormat="1" applyFill="1" applyAlignment="1" applyProtection="1">
      <alignment wrapText="1"/>
      <protection locked="0"/>
    </xf>
    <xf numFmtId="44" fontId="9" fillId="4" borderId="0" xfId="2" applyFill="1" applyAlignment="1" applyProtection="1">
      <alignment horizontal="right" wrapText="1"/>
      <protection locked="0"/>
    </xf>
    <xf numFmtId="49" fontId="0" fillId="4" borderId="0" xfId="0" applyNumberFormat="1" applyFill="1" applyAlignment="1" applyProtection="1">
      <alignment wrapText="1"/>
      <protection locked="0"/>
    </xf>
    <xf numFmtId="44" fontId="9" fillId="2" borderId="0" xfId="2" applyFill="1" applyAlignment="1" applyProtection="1">
      <alignment horizontal="right" wrapText="1"/>
      <protection locked="0"/>
    </xf>
    <xf numFmtId="44" fontId="9" fillId="2" borderId="1" xfId="2" quotePrefix="1" applyFill="1" applyBorder="1" applyAlignment="1" applyProtection="1">
      <alignment horizontal="right" wrapText="1"/>
      <protection locked="0"/>
    </xf>
    <xf numFmtId="1" fontId="6" fillId="3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7" fillId="0" borderId="0" xfId="0" applyFont="1" applyFill="1" applyAlignment="1" applyProtection="1">
      <alignment horizontal="left" vertical="top"/>
      <protection locked="0"/>
    </xf>
    <xf numFmtId="1" fontId="17" fillId="0" borderId="0" xfId="0" applyNumberFormat="1" applyFont="1" applyFill="1" applyAlignment="1" applyProtection="1">
      <alignment horizontal="left" vertical="top" wrapText="1"/>
      <protection locked="0"/>
    </xf>
    <xf numFmtId="44" fontId="17" fillId="0" borderId="0" xfId="2" applyFont="1" applyFill="1" applyAlignment="1" applyProtection="1">
      <alignment horizontal="left" vertical="top" wrapText="1"/>
      <protection locked="0"/>
    </xf>
    <xf numFmtId="1" fontId="4" fillId="2" borderId="0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 applyProtection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44" fontId="6" fillId="0" borderId="1" xfId="2" applyFont="1" applyFill="1" applyBorder="1" applyAlignment="1">
      <alignment horizontal="center" vertical="center" wrapText="1"/>
    </xf>
    <xf numFmtId="44" fontId="6" fillId="0" borderId="3" xfId="2" applyFont="1" applyFill="1" applyBorder="1" applyAlignment="1">
      <alignment horizontal="center" vertical="center" wrapText="1"/>
    </xf>
    <xf numFmtId="44" fontId="20" fillId="2" borderId="2" xfId="2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 applyProtection="1">
      <alignment horizontal="left" wrapText="1"/>
      <protection locked="0"/>
    </xf>
    <xf numFmtId="1" fontId="11" fillId="4" borderId="2" xfId="0" applyNumberFormat="1" applyFont="1" applyFill="1" applyBorder="1" applyAlignment="1" applyProtection="1">
      <alignment horizontal="left" wrapText="1"/>
      <protection locked="0"/>
    </xf>
    <xf numFmtId="44" fontId="5" fillId="2" borderId="0" xfId="2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 applyProtection="1">
      <alignment horizontal="right"/>
      <protection locked="0"/>
    </xf>
    <xf numFmtId="1" fontId="11" fillId="2" borderId="3" xfId="0" applyNumberFormat="1" applyFont="1" applyFill="1" applyBorder="1" applyAlignment="1" applyProtection="1">
      <alignment horizontal="right"/>
      <protection locked="0"/>
    </xf>
    <xf numFmtId="1" fontId="11" fillId="2" borderId="2" xfId="0" applyNumberFormat="1" applyFont="1" applyFill="1" applyBorder="1" applyAlignment="1" applyProtection="1">
      <alignment horizontal="left" wrapText="1"/>
      <protection locked="0"/>
    </xf>
    <xf numFmtId="1" fontId="17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0" xfId="0" applyNumberFormat="1" applyFont="1" applyFill="1" applyAlignment="1" applyProtection="1">
      <alignment horizontal="center" vertical="center" wrapText="1"/>
      <protection locked="0"/>
    </xf>
    <xf numFmtId="1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11" fillId="2" borderId="0" xfId="0" applyNumberFormat="1" applyFont="1" applyFill="1" applyBorder="1" applyAlignment="1">
      <alignment horizontal="left" wrapText="1"/>
    </xf>
    <xf numFmtId="44" fontId="20" fillId="2" borderId="0" xfId="2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left" wrapText="1"/>
    </xf>
  </cellXfs>
  <cellStyles count="23">
    <cellStyle name="Comma 3" xfId="1" xr:uid="{00000000-0005-0000-0000-000000000000}"/>
    <cellStyle name="Currency" xfId="2" builtinId="4"/>
    <cellStyle name="Currency 10 2" xfId="3" xr:uid="{00000000-0005-0000-0000-000002000000}"/>
    <cellStyle name="Currency 10 2 2 2 2" xfId="4" xr:uid="{00000000-0005-0000-0000-000003000000}"/>
    <cellStyle name="Currency 10 2 2 3 2" xfId="5" xr:uid="{00000000-0005-0000-0000-000004000000}"/>
    <cellStyle name="Currency 15 2 2" xfId="6" xr:uid="{00000000-0005-0000-0000-000005000000}"/>
    <cellStyle name="Normal" xfId="0" builtinId="0"/>
    <cellStyle name="Normal 10" xfId="7" xr:uid="{00000000-0005-0000-0000-000007000000}"/>
    <cellStyle name="Normal 16" xfId="8" xr:uid="{00000000-0005-0000-0000-000008000000}"/>
    <cellStyle name="Normal 16 3" xfId="9" xr:uid="{00000000-0005-0000-0000-000009000000}"/>
    <cellStyle name="Normal 2" xfId="10" xr:uid="{00000000-0005-0000-0000-00000A000000}"/>
    <cellStyle name="Normal 2 2" xfId="11" xr:uid="{00000000-0005-0000-0000-00000B000000}"/>
    <cellStyle name="Normal 2 4" xfId="12" xr:uid="{00000000-0005-0000-0000-00000C000000}"/>
    <cellStyle name="Normal 33" xfId="13" xr:uid="{00000000-0005-0000-0000-00000D000000}"/>
    <cellStyle name="Normal 34" xfId="14" xr:uid="{00000000-0005-0000-0000-00000E000000}"/>
    <cellStyle name="Normal 37" xfId="15" xr:uid="{00000000-0005-0000-0000-00000F000000}"/>
    <cellStyle name="Normal 37 2 3" xfId="16" xr:uid="{00000000-0005-0000-0000-000010000000}"/>
    <cellStyle name="Normal 37 5" xfId="17" xr:uid="{00000000-0005-0000-0000-000011000000}"/>
    <cellStyle name="Normal 38" xfId="18" xr:uid="{00000000-0005-0000-0000-000012000000}"/>
    <cellStyle name="Normal 38 2" xfId="19" xr:uid="{00000000-0005-0000-0000-000013000000}"/>
    <cellStyle name="Normal 6" xfId="20" xr:uid="{00000000-0005-0000-0000-000014000000}"/>
    <cellStyle name="Percent 2 2" xfId="21" xr:uid="{00000000-0005-0000-0000-000016000000}"/>
    <cellStyle name="Percent 2 2 2 2 2 2" xfId="22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1095375</xdr:colOff>
      <xdr:row>0</xdr:row>
      <xdr:rowOff>1085850</xdr:rowOff>
    </xdr:to>
    <xdr:pic>
      <xdr:nvPicPr>
        <xdr:cNvPr id="4123" name="Picture 2" descr="SWA_black-type_300res_3in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590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2708276</xdr:colOff>
      <xdr:row>0</xdr:row>
      <xdr:rowOff>514349</xdr:rowOff>
    </xdr:from>
    <xdr:to>
      <xdr:col>3</xdr:col>
      <xdr:colOff>454123</xdr:colOff>
      <xdr:row>0</xdr:row>
      <xdr:rowOff>723899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75026" y="514349"/>
          <a:ext cx="278457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$100 MINIMUM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H66"/>
  <sheetViews>
    <sheetView tabSelected="1" workbookViewId="0">
      <selection activeCell="G19" sqref="G19"/>
    </sheetView>
  </sheetViews>
  <sheetFormatPr defaultColWidth="8.85546875" defaultRowHeight="15" x14ac:dyDescent="0.25"/>
  <cols>
    <col min="1" max="1" width="10" style="41" customWidth="1"/>
    <col min="2" max="2" width="56.42578125" style="41" customWidth="1"/>
    <col min="3" max="4" width="9.85546875" style="42" customWidth="1"/>
    <col min="5" max="5" width="9.85546875" style="41" customWidth="1"/>
    <col min="6" max="6" width="14" style="56" customWidth="1"/>
    <col min="7" max="7" width="14" customWidth="1"/>
  </cols>
  <sheetData>
    <row r="1" spans="1:7" ht="100.5" customHeight="1" x14ac:dyDescent="0.25">
      <c r="A1" s="2"/>
      <c r="B1" s="2"/>
      <c r="C1" s="63"/>
      <c r="D1" s="63"/>
      <c r="E1" s="63"/>
      <c r="F1" s="73" t="s">
        <v>89</v>
      </c>
      <c r="G1" s="73"/>
    </row>
    <row r="2" spans="1:7" ht="16.5" customHeight="1" x14ac:dyDescent="0.25">
      <c r="A2" s="88" t="s">
        <v>87</v>
      </c>
      <c r="B2" s="88"/>
      <c r="C2" s="63"/>
      <c r="D2" s="63"/>
      <c r="E2" s="63"/>
      <c r="F2" s="89"/>
      <c r="G2" s="89"/>
    </row>
    <row r="3" spans="1:7" ht="16.5" customHeight="1" x14ac:dyDescent="0.25">
      <c r="A3" s="90" t="s">
        <v>91</v>
      </c>
      <c r="B3" s="90"/>
      <c r="C3" s="3"/>
      <c r="D3" s="3"/>
      <c r="E3" s="3"/>
      <c r="F3" s="70"/>
      <c r="G3" s="70"/>
    </row>
    <row r="4" spans="1:7" ht="37.5" customHeight="1" x14ac:dyDescent="0.25">
      <c r="A4" s="4" t="s">
        <v>0</v>
      </c>
      <c r="B4" s="4" t="s">
        <v>1</v>
      </c>
      <c r="C4" s="74" t="s">
        <v>2</v>
      </c>
      <c r="D4" s="75"/>
      <c r="E4" s="58" t="s">
        <v>3</v>
      </c>
      <c r="F4" s="5" t="s">
        <v>94</v>
      </c>
      <c r="G4" s="6" t="s">
        <v>4</v>
      </c>
    </row>
    <row r="5" spans="1:7" ht="21.75" customHeight="1" x14ac:dyDescent="0.25">
      <c r="A5" s="64"/>
      <c r="B5" s="65" t="s">
        <v>90</v>
      </c>
      <c r="C5" s="66"/>
      <c r="D5" s="67"/>
      <c r="E5" s="67"/>
      <c r="F5" s="68"/>
      <c r="G5" s="69"/>
    </row>
    <row r="6" spans="1:7" ht="30" x14ac:dyDescent="0.25">
      <c r="A6" s="7"/>
      <c r="B6" s="8" t="s">
        <v>5</v>
      </c>
      <c r="C6" s="9" t="s">
        <v>6</v>
      </c>
      <c r="D6" s="9" t="s">
        <v>7</v>
      </c>
      <c r="E6" s="10"/>
      <c r="F6" s="11"/>
      <c r="G6" s="11"/>
    </row>
    <row r="7" spans="1:7" hidden="1" x14ac:dyDescent="0.25">
      <c r="A7" s="12" t="s">
        <v>92</v>
      </c>
      <c r="B7" s="13" t="s">
        <v>95</v>
      </c>
      <c r="C7" s="13"/>
      <c r="D7" s="13"/>
      <c r="E7" s="14"/>
      <c r="F7" s="15"/>
      <c r="G7" s="16">
        <f>SUM(E7*F7)</f>
        <v>0</v>
      </c>
    </row>
    <row r="8" spans="1:7" hidden="1" x14ac:dyDescent="0.25">
      <c r="A8" s="12" t="s">
        <v>93</v>
      </c>
      <c r="B8" s="17" t="s">
        <v>96</v>
      </c>
      <c r="C8" s="17"/>
      <c r="D8" s="17"/>
      <c r="E8" s="14"/>
      <c r="F8" s="15"/>
      <c r="G8" s="16">
        <f t="shared" ref="G8:G48" si="0">SUM(E8*F8)</f>
        <v>0</v>
      </c>
    </row>
    <row r="9" spans="1:7" x14ac:dyDescent="0.25">
      <c r="A9" s="12" t="s">
        <v>8</v>
      </c>
      <c r="B9" s="17" t="s">
        <v>9</v>
      </c>
      <c r="C9" s="18"/>
      <c r="D9" s="18"/>
      <c r="E9" s="10"/>
      <c r="F9" s="15">
        <v>22.95</v>
      </c>
      <c r="G9" s="16">
        <f t="shared" si="0"/>
        <v>0</v>
      </c>
    </row>
    <row r="10" spans="1:7" x14ac:dyDescent="0.25">
      <c r="A10" s="12" t="s">
        <v>10</v>
      </c>
      <c r="B10" s="13" t="s">
        <v>11</v>
      </c>
      <c r="C10" s="18"/>
      <c r="D10" s="18"/>
      <c r="E10" s="10"/>
      <c r="F10" s="15">
        <v>23.65</v>
      </c>
      <c r="G10" s="16">
        <f t="shared" si="0"/>
        <v>0</v>
      </c>
    </row>
    <row r="11" spans="1:7" x14ac:dyDescent="0.25">
      <c r="A11" s="12" t="s">
        <v>12</v>
      </c>
      <c r="B11" s="17" t="s">
        <v>13</v>
      </c>
      <c r="C11" s="18"/>
      <c r="D11" s="18"/>
      <c r="E11" s="10"/>
      <c r="F11" s="15">
        <v>42.96</v>
      </c>
      <c r="G11" s="16">
        <f t="shared" si="0"/>
        <v>0</v>
      </c>
    </row>
    <row r="12" spans="1:7" x14ac:dyDescent="0.25">
      <c r="A12" s="12" t="s">
        <v>14</v>
      </c>
      <c r="B12" s="13" t="s">
        <v>15</v>
      </c>
      <c r="C12" s="18"/>
      <c r="D12" s="18"/>
      <c r="E12" s="10"/>
      <c r="F12" s="15">
        <v>42.96</v>
      </c>
      <c r="G12" s="16">
        <f t="shared" si="0"/>
        <v>0</v>
      </c>
    </row>
    <row r="13" spans="1:7" x14ac:dyDescent="0.25">
      <c r="A13" s="12" t="s">
        <v>97</v>
      </c>
      <c r="B13" s="13" t="s">
        <v>102</v>
      </c>
      <c r="C13" s="18"/>
      <c r="D13" s="18"/>
      <c r="E13" s="10"/>
      <c r="F13" s="15">
        <v>40.799999999999997</v>
      </c>
      <c r="G13" s="16">
        <f t="shared" si="0"/>
        <v>0</v>
      </c>
    </row>
    <row r="14" spans="1:7" x14ac:dyDescent="0.25">
      <c r="A14" s="12" t="s">
        <v>98</v>
      </c>
      <c r="B14" s="13" t="s">
        <v>103</v>
      </c>
      <c r="C14" s="18"/>
      <c r="D14" s="18"/>
      <c r="E14" s="10"/>
      <c r="F14" s="15">
        <v>40.799999999999997</v>
      </c>
      <c r="G14" s="16">
        <f t="shared" si="0"/>
        <v>0</v>
      </c>
    </row>
    <row r="15" spans="1:7" x14ac:dyDescent="0.25">
      <c r="A15" s="12" t="s">
        <v>16</v>
      </c>
      <c r="B15" s="13" t="s">
        <v>17</v>
      </c>
      <c r="C15" s="18"/>
      <c r="D15" s="18"/>
      <c r="E15" s="10"/>
      <c r="F15" s="15">
        <v>19.64</v>
      </c>
      <c r="G15" s="16">
        <f t="shared" si="0"/>
        <v>0</v>
      </c>
    </row>
    <row r="16" spans="1:7" x14ac:dyDescent="0.25">
      <c r="A16" s="12" t="s">
        <v>18</v>
      </c>
      <c r="B16" s="13" t="s">
        <v>19</v>
      </c>
      <c r="C16" s="18"/>
      <c r="D16" s="18"/>
      <c r="E16" s="10"/>
      <c r="F16" s="15">
        <v>19.64</v>
      </c>
      <c r="G16" s="16">
        <f>SUM(E16*F16)</f>
        <v>0</v>
      </c>
    </row>
    <row r="17" spans="1:7" ht="30" x14ac:dyDescent="0.25">
      <c r="A17" s="19"/>
      <c r="B17" s="20" t="s">
        <v>20</v>
      </c>
      <c r="C17" s="9" t="s">
        <v>21</v>
      </c>
      <c r="D17" s="9" t="s">
        <v>22</v>
      </c>
      <c r="E17" s="10"/>
      <c r="F17" s="15"/>
      <c r="G17" s="16"/>
    </row>
    <row r="18" spans="1:7" x14ac:dyDescent="0.25">
      <c r="A18" s="12" t="s">
        <v>23</v>
      </c>
      <c r="B18" s="1" t="s">
        <v>24</v>
      </c>
      <c r="C18" s="21"/>
      <c r="D18" s="21" t="s">
        <v>25</v>
      </c>
      <c r="E18" s="22"/>
      <c r="F18" s="57">
        <v>37.76</v>
      </c>
      <c r="G18" s="16">
        <f t="shared" si="0"/>
        <v>0</v>
      </c>
    </row>
    <row r="19" spans="1:7" x14ac:dyDescent="0.25">
      <c r="A19" s="12" t="s">
        <v>26</v>
      </c>
      <c r="B19" s="1" t="s">
        <v>27</v>
      </c>
      <c r="C19" s="21"/>
      <c r="D19" s="21" t="s">
        <v>25</v>
      </c>
      <c r="E19" s="22"/>
      <c r="F19" s="15">
        <v>41.9</v>
      </c>
      <c r="G19" s="16">
        <f t="shared" si="0"/>
        <v>0</v>
      </c>
    </row>
    <row r="20" spans="1:7" x14ac:dyDescent="0.25">
      <c r="A20" s="12" t="s">
        <v>28</v>
      </c>
      <c r="B20" s="1" t="s">
        <v>29</v>
      </c>
      <c r="C20" s="21"/>
      <c r="D20" s="21"/>
      <c r="E20" s="22"/>
      <c r="F20" s="57">
        <v>37.76</v>
      </c>
      <c r="G20" s="16">
        <f t="shared" si="0"/>
        <v>0</v>
      </c>
    </row>
    <row r="21" spans="1:7" x14ac:dyDescent="0.25">
      <c r="A21" s="12" t="s">
        <v>30</v>
      </c>
      <c r="B21" s="1" t="s">
        <v>31</v>
      </c>
      <c r="C21" s="21"/>
      <c r="D21" s="21"/>
      <c r="E21" s="22"/>
      <c r="F21" s="15">
        <v>41.9</v>
      </c>
      <c r="G21" s="16">
        <f t="shared" si="0"/>
        <v>0</v>
      </c>
    </row>
    <row r="22" spans="1:7" ht="32.25" customHeight="1" x14ac:dyDescent="0.25">
      <c r="A22" s="1"/>
      <c r="B22" s="23" t="s">
        <v>32</v>
      </c>
      <c r="C22" s="18"/>
      <c r="D22" s="18"/>
      <c r="E22" s="10"/>
      <c r="F22" s="15"/>
      <c r="G22" s="16"/>
    </row>
    <row r="23" spans="1:7" x14ac:dyDescent="0.25">
      <c r="A23" s="12" t="s">
        <v>33</v>
      </c>
      <c r="B23" s="24" t="s">
        <v>34</v>
      </c>
      <c r="C23" s="18"/>
      <c r="D23" s="18"/>
      <c r="E23" s="10"/>
      <c r="F23" s="15">
        <v>72.510000000000005</v>
      </c>
      <c r="G23" s="16">
        <f t="shared" si="0"/>
        <v>0</v>
      </c>
    </row>
    <row r="24" spans="1:7" x14ac:dyDescent="0.25">
      <c r="A24" s="12" t="s">
        <v>35</v>
      </c>
      <c r="B24" s="24" t="s">
        <v>99</v>
      </c>
      <c r="C24" s="18"/>
      <c r="D24" s="18"/>
      <c r="E24" s="10"/>
      <c r="F24" s="15">
        <v>58.85</v>
      </c>
      <c r="G24" s="16">
        <f t="shared" si="0"/>
        <v>0</v>
      </c>
    </row>
    <row r="25" spans="1:7" x14ac:dyDescent="0.25">
      <c r="A25" s="1" t="s">
        <v>100</v>
      </c>
      <c r="B25" s="24" t="s">
        <v>101</v>
      </c>
      <c r="C25" s="18"/>
      <c r="D25" s="18"/>
      <c r="E25" s="10"/>
      <c r="F25" s="15">
        <v>91.34</v>
      </c>
      <c r="G25" s="16">
        <f t="shared" si="0"/>
        <v>0</v>
      </c>
    </row>
    <row r="26" spans="1:7" x14ac:dyDescent="0.25">
      <c r="A26" s="12" t="s">
        <v>36</v>
      </c>
      <c r="B26" s="24" t="s">
        <v>37</v>
      </c>
      <c r="C26" s="18"/>
      <c r="D26" s="18"/>
      <c r="E26" s="10"/>
      <c r="F26" s="15">
        <v>89.11</v>
      </c>
      <c r="G26" s="16">
        <f t="shared" si="0"/>
        <v>0</v>
      </c>
    </row>
    <row r="27" spans="1:7" x14ac:dyDescent="0.25">
      <c r="A27" s="12" t="s">
        <v>38</v>
      </c>
      <c r="B27" s="24" t="s">
        <v>39</v>
      </c>
      <c r="C27" s="18"/>
      <c r="D27" s="18"/>
      <c r="E27" s="10"/>
      <c r="F27" s="15">
        <v>66.34</v>
      </c>
      <c r="G27" s="16">
        <f t="shared" si="0"/>
        <v>0</v>
      </c>
    </row>
    <row r="28" spans="1:7" x14ac:dyDescent="0.25">
      <c r="A28" s="12" t="s">
        <v>40</v>
      </c>
      <c r="B28" s="1" t="s">
        <v>41</v>
      </c>
      <c r="C28" s="18"/>
      <c r="D28" s="18"/>
      <c r="E28" s="10"/>
      <c r="F28" s="15">
        <v>109.74</v>
      </c>
      <c r="G28" s="16">
        <f t="shared" si="0"/>
        <v>0</v>
      </c>
    </row>
    <row r="29" spans="1:7" x14ac:dyDescent="0.25">
      <c r="A29" s="12" t="s">
        <v>42</v>
      </c>
      <c r="B29" s="1" t="s">
        <v>43</v>
      </c>
      <c r="C29" s="18"/>
      <c r="D29" s="18"/>
      <c r="E29" s="10"/>
      <c r="F29" s="15">
        <v>23.13</v>
      </c>
      <c r="G29" s="16">
        <f t="shared" si="0"/>
        <v>0</v>
      </c>
    </row>
    <row r="30" spans="1:7" x14ac:dyDescent="0.25">
      <c r="A30" s="12" t="s">
        <v>44</v>
      </c>
      <c r="B30" s="24" t="s">
        <v>45</v>
      </c>
      <c r="C30" s="18"/>
      <c r="D30" s="18"/>
      <c r="E30" s="10"/>
      <c r="F30" s="15">
        <v>86.76</v>
      </c>
      <c r="G30" s="16">
        <f t="shared" si="0"/>
        <v>0</v>
      </c>
    </row>
    <row r="31" spans="1:7" ht="24" customHeight="1" x14ac:dyDescent="0.25">
      <c r="A31" s="24"/>
      <c r="B31" s="25" t="s">
        <v>46</v>
      </c>
      <c r="C31" s="18"/>
      <c r="D31" s="18"/>
      <c r="E31" s="10"/>
      <c r="F31" s="15"/>
      <c r="G31" s="16"/>
    </row>
    <row r="32" spans="1:7" x14ac:dyDescent="0.25">
      <c r="A32" s="12" t="s">
        <v>47</v>
      </c>
      <c r="B32" s="1" t="s">
        <v>48</v>
      </c>
      <c r="C32" s="18" t="s">
        <v>49</v>
      </c>
      <c r="D32" s="18" t="s">
        <v>49</v>
      </c>
      <c r="E32" s="10"/>
      <c r="F32" s="15">
        <v>6.4860851000000004</v>
      </c>
      <c r="G32" s="16">
        <f t="shared" si="0"/>
        <v>0</v>
      </c>
    </row>
    <row r="33" spans="1:8" x14ac:dyDescent="0.25">
      <c r="A33" s="12" t="s">
        <v>50</v>
      </c>
      <c r="B33" s="1" t="s">
        <v>51</v>
      </c>
      <c r="C33" s="18" t="s">
        <v>49</v>
      </c>
      <c r="D33" s="18" t="s">
        <v>49</v>
      </c>
      <c r="E33" s="10"/>
      <c r="F33" s="15">
        <v>6.4860851000000004</v>
      </c>
      <c r="G33" s="16">
        <f t="shared" si="0"/>
        <v>0</v>
      </c>
    </row>
    <row r="34" spans="1:8" x14ac:dyDescent="0.25">
      <c r="A34" s="12" t="s">
        <v>52</v>
      </c>
      <c r="B34" s="1" t="s">
        <v>53</v>
      </c>
      <c r="C34" s="26" t="s">
        <v>49</v>
      </c>
      <c r="D34" s="26" t="s">
        <v>49</v>
      </c>
      <c r="E34" s="27"/>
      <c r="F34" s="15">
        <v>6.7212675750000006</v>
      </c>
      <c r="G34" s="16">
        <f t="shared" si="0"/>
        <v>0</v>
      </c>
    </row>
    <row r="35" spans="1:8" x14ac:dyDescent="0.25">
      <c r="A35" s="12" t="s">
        <v>54</v>
      </c>
      <c r="B35" s="17" t="s">
        <v>55</v>
      </c>
      <c r="C35" s="26" t="s">
        <v>49</v>
      </c>
      <c r="D35" s="26" t="s">
        <v>49</v>
      </c>
      <c r="E35" s="28"/>
      <c r="F35" s="15">
        <v>5.8</v>
      </c>
      <c r="G35" s="16">
        <f t="shared" si="0"/>
        <v>0</v>
      </c>
    </row>
    <row r="36" spans="1:8" x14ac:dyDescent="0.25">
      <c r="A36" s="12" t="s">
        <v>56</v>
      </c>
      <c r="B36" s="24" t="s">
        <v>57</v>
      </c>
      <c r="C36" s="29"/>
      <c r="D36" s="29"/>
      <c r="E36" s="28"/>
      <c r="F36" s="15">
        <v>18.940000000000001</v>
      </c>
      <c r="G36" s="16">
        <f t="shared" si="0"/>
        <v>0</v>
      </c>
    </row>
    <row r="37" spans="1:8" x14ac:dyDescent="0.25">
      <c r="A37" s="12" t="s">
        <v>58</v>
      </c>
      <c r="B37" s="24" t="s">
        <v>59</v>
      </c>
      <c r="C37" s="29"/>
      <c r="D37" s="29"/>
      <c r="E37" s="28"/>
      <c r="F37" s="15">
        <v>18.940000000000001</v>
      </c>
      <c r="G37" s="16">
        <f t="shared" si="0"/>
        <v>0</v>
      </c>
    </row>
    <row r="38" spans="1:8" x14ac:dyDescent="0.25">
      <c r="A38" s="12" t="s">
        <v>60</v>
      </c>
      <c r="B38" s="24" t="s">
        <v>61</v>
      </c>
      <c r="C38" s="29"/>
      <c r="D38" s="29"/>
      <c r="E38" s="28"/>
      <c r="F38" s="15">
        <v>129.84</v>
      </c>
      <c r="G38" s="16">
        <f t="shared" si="0"/>
        <v>0</v>
      </c>
    </row>
    <row r="39" spans="1:8" x14ac:dyDescent="0.25">
      <c r="A39" s="12" t="s">
        <v>62</v>
      </c>
      <c r="B39" s="24" t="s">
        <v>63</v>
      </c>
      <c r="C39" s="30"/>
      <c r="D39" s="30"/>
      <c r="E39" s="31"/>
      <c r="F39" s="15">
        <v>10.98</v>
      </c>
      <c r="G39" s="16">
        <f t="shared" si="0"/>
        <v>0</v>
      </c>
    </row>
    <row r="40" spans="1:8" x14ac:dyDescent="0.25">
      <c r="A40" s="12" t="s">
        <v>64</v>
      </c>
      <c r="B40" s="24" t="s">
        <v>65</v>
      </c>
      <c r="C40" s="29"/>
      <c r="D40" s="29"/>
      <c r="E40" s="28"/>
      <c r="F40" s="15">
        <v>8.5299999999999994</v>
      </c>
      <c r="G40" s="16">
        <f t="shared" si="0"/>
        <v>0</v>
      </c>
    </row>
    <row r="41" spans="1:8" x14ac:dyDescent="0.25">
      <c r="A41" s="12" t="s">
        <v>66</v>
      </c>
      <c r="B41" s="24" t="s">
        <v>67</v>
      </c>
      <c r="C41" s="29"/>
      <c r="D41" s="29"/>
      <c r="E41" s="28"/>
      <c r="F41" s="15">
        <v>116.92</v>
      </c>
      <c r="G41" s="16">
        <f t="shared" si="0"/>
        <v>0</v>
      </c>
    </row>
    <row r="42" spans="1:8" x14ac:dyDescent="0.25">
      <c r="A42" s="12" t="s">
        <v>68</v>
      </c>
      <c r="B42" s="24" t="s">
        <v>69</v>
      </c>
      <c r="C42" s="30"/>
      <c r="D42" s="30"/>
      <c r="E42" s="31"/>
      <c r="F42" s="15">
        <v>19.3601925</v>
      </c>
      <c r="G42" s="16">
        <f t="shared" si="0"/>
        <v>0</v>
      </c>
    </row>
    <row r="43" spans="1:8" x14ac:dyDescent="0.25">
      <c r="A43" s="32"/>
      <c r="B43" s="33" t="s">
        <v>70</v>
      </c>
      <c r="C43" s="29"/>
      <c r="D43" s="29"/>
      <c r="E43" s="28"/>
      <c r="F43" s="15"/>
      <c r="G43" s="16"/>
    </row>
    <row r="44" spans="1:8" x14ac:dyDescent="0.25">
      <c r="A44" s="12" t="s">
        <v>86</v>
      </c>
      <c r="B44" s="13" t="s">
        <v>88</v>
      </c>
      <c r="C44" s="30"/>
      <c r="D44" s="30"/>
      <c r="E44" s="34"/>
      <c r="F44" s="15">
        <v>20.420000000000002</v>
      </c>
      <c r="G44" s="16">
        <f t="shared" si="0"/>
        <v>0</v>
      </c>
    </row>
    <row r="45" spans="1:8" hidden="1" x14ac:dyDescent="0.25">
      <c r="A45" s="12"/>
      <c r="B45" s="35"/>
      <c r="C45" s="30"/>
      <c r="D45" s="30"/>
      <c r="E45" s="31"/>
      <c r="F45" s="15"/>
      <c r="G45" s="16">
        <f t="shared" si="0"/>
        <v>0</v>
      </c>
      <c r="H45" s="59"/>
    </row>
    <row r="46" spans="1:8" ht="30" x14ac:dyDescent="0.25">
      <c r="A46" s="12" t="s">
        <v>71</v>
      </c>
      <c r="B46" s="36" t="s">
        <v>72</v>
      </c>
      <c r="C46" s="30"/>
      <c r="D46" s="30"/>
      <c r="E46" s="31"/>
      <c r="F46" s="15">
        <v>53.5</v>
      </c>
      <c r="G46" s="16">
        <f t="shared" si="0"/>
        <v>0</v>
      </c>
    </row>
    <row r="47" spans="1:8" ht="30" x14ac:dyDescent="0.25">
      <c r="A47" s="12" t="s">
        <v>73</v>
      </c>
      <c r="B47" s="36" t="s">
        <v>74</v>
      </c>
      <c r="C47" s="30"/>
      <c r="D47" s="30"/>
      <c r="E47" s="31"/>
      <c r="F47" s="15">
        <v>58.35</v>
      </c>
      <c r="G47" s="16">
        <f t="shared" si="0"/>
        <v>0</v>
      </c>
    </row>
    <row r="48" spans="1:8" x14ac:dyDescent="0.25">
      <c r="A48" s="37" t="s">
        <v>75</v>
      </c>
      <c r="B48" s="38"/>
      <c r="C48" s="39"/>
      <c r="D48" s="39"/>
      <c r="E48" s="34"/>
      <c r="F48" s="40"/>
      <c r="G48" s="16">
        <f t="shared" si="0"/>
        <v>0</v>
      </c>
    </row>
    <row r="49" spans="1:7" ht="15" customHeight="1" x14ac:dyDescent="0.25">
      <c r="E49" s="76" t="s">
        <v>76</v>
      </c>
      <c r="F49" s="77"/>
      <c r="G49" s="11">
        <f>SUM(G7:G48)</f>
        <v>0</v>
      </c>
    </row>
    <row r="50" spans="1:7" ht="15" customHeight="1" x14ac:dyDescent="0.25">
      <c r="A50" s="43"/>
      <c r="B50" s="43"/>
      <c r="C50" s="44"/>
      <c r="D50" s="44"/>
      <c r="E50" s="45"/>
      <c r="F50" s="46"/>
      <c r="G50" s="47"/>
    </row>
    <row r="51" spans="1:7" ht="15" customHeight="1" x14ac:dyDescent="0.25">
      <c r="A51" s="78" t="s">
        <v>77</v>
      </c>
      <c r="B51" s="78"/>
      <c r="C51" s="44"/>
      <c r="D51" s="79" t="s">
        <v>78</v>
      </c>
      <c r="E51" s="80"/>
      <c r="F51" s="80"/>
      <c r="G51" s="81"/>
    </row>
    <row r="52" spans="1:7" ht="15" customHeight="1" x14ac:dyDescent="0.25">
      <c r="A52" s="71" t="s">
        <v>79</v>
      </c>
      <c r="B52" s="71"/>
      <c r="C52" s="48"/>
      <c r="D52" s="82"/>
      <c r="E52" s="83"/>
      <c r="F52" s="83"/>
      <c r="G52" s="84"/>
    </row>
    <row r="53" spans="1:7" ht="15" customHeight="1" x14ac:dyDescent="0.25">
      <c r="A53" s="72"/>
      <c r="B53" s="72"/>
      <c r="C53" s="48"/>
      <c r="D53" s="82"/>
      <c r="E53" s="83"/>
      <c r="F53" s="83"/>
      <c r="G53" s="84"/>
    </row>
    <row r="54" spans="1:7" x14ac:dyDescent="0.25">
      <c r="A54" s="71" t="s">
        <v>80</v>
      </c>
      <c r="B54" s="71"/>
      <c r="C54" s="48"/>
      <c r="D54" s="82"/>
      <c r="E54" s="83"/>
      <c r="F54" s="83"/>
      <c r="G54" s="84"/>
    </row>
    <row r="55" spans="1:7" ht="15" customHeight="1" x14ac:dyDescent="0.25">
      <c r="A55" s="72"/>
      <c r="B55" s="72"/>
      <c r="C55" s="48"/>
      <c r="D55" s="82"/>
      <c r="E55" s="83"/>
      <c r="F55" s="83"/>
      <c r="G55" s="84"/>
    </row>
    <row r="56" spans="1:7" x14ac:dyDescent="0.25">
      <c r="A56" s="71" t="s">
        <v>81</v>
      </c>
      <c r="B56" s="71"/>
      <c r="C56" s="48"/>
      <c r="D56" s="82"/>
      <c r="E56" s="83"/>
      <c r="F56" s="83"/>
      <c r="G56" s="84"/>
    </row>
    <row r="57" spans="1:7" ht="15" customHeight="1" x14ac:dyDescent="0.25">
      <c r="A57" s="72"/>
      <c r="B57" s="72"/>
      <c r="C57" s="48"/>
      <c r="D57" s="85"/>
      <c r="E57" s="86"/>
      <c r="F57" s="86"/>
      <c r="G57" s="87"/>
    </row>
    <row r="58" spans="1:7" x14ac:dyDescent="0.25">
      <c r="A58" s="71" t="s">
        <v>82</v>
      </c>
      <c r="B58" s="71"/>
      <c r="C58" s="48"/>
      <c r="D58" s="60"/>
      <c r="E58" s="61"/>
      <c r="F58" s="62"/>
    </row>
    <row r="59" spans="1:7" ht="15" customHeight="1" x14ac:dyDescent="0.25">
      <c r="A59" s="72"/>
      <c r="B59" s="72"/>
      <c r="C59" s="48"/>
      <c r="D59" s="49"/>
      <c r="E59" s="50"/>
      <c r="F59" s="51"/>
    </row>
    <row r="60" spans="1:7" x14ac:dyDescent="0.25">
      <c r="A60" s="71" t="s">
        <v>83</v>
      </c>
      <c r="B60" s="71"/>
      <c r="C60" s="48"/>
      <c r="D60" s="49"/>
      <c r="E60" s="50"/>
      <c r="F60" s="51"/>
    </row>
    <row r="61" spans="1:7" ht="15" customHeight="1" x14ac:dyDescent="0.25">
      <c r="A61" s="72"/>
      <c r="B61" s="72"/>
      <c r="C61" s="48"/>
      <c r="D61" s="49"/>
      <c r="E61" s="50"/>
      <c r="F61" s="51"/>
    </row>
    <row r="62" spans="1:7" x14ac:dyDescent="0.25">
      <c r="A62" s="71" t="s">
        <v>84</v>
      </c>
      <c r="B62" s="71"/>
      <c r="C62" s="52"/>
      <c r="D62" s="52"/>
      <c r="E62" s="53"/>
      <c r="F62" s="54"/>
    </row>
    <row r="63" spans="1:7" ht="15" customHeight="1" x14ac:dyDescent="0.25">
      <c r="A63" s="72"/>
      <c r="B63" s="72"/>
      <c r="C63" s="52"/>
      <c r="D63" s="52"/>
      <c r="E63" s="53"/>
      <c r="F63" s="54"/>
    </row>
    <row r="64" spans="1:7" x14ac:dyDescent="0.25">
      <c r="A64" s="53"/>
      <c r="B64" s="53"/>
      <c r="C64" s="52"/>
      <c r="D64" s="52"/>
      <c r="E64" s="53"/>
      <c r="F64" s="54"/>
    </row>
    <row r="65" spans="1:6" x14ac:dyDescent="0.25">
      <c r="A65" s="55" t="s">
        <v>85</v>
      </c>
      <c r="B65" s="53"/>
      <c r="C65" s="52"/>
      <c r="D65" s="52"/>
      <c r="E65" s="53"/>
      <c r="F65" s="54"/>
    </row>
    <row r="66" spans="1:6" x14ac:dyDescent="0.25">
      <c r="A66" s="55"/>
      <c r="B66" s="53"/>
      <c r="C66" s="52"/>
      <c r="D66" s="52"/>
      <c r="E66" s="53"/>
      <c r="F66" s="54"/>
    </row>
  </sheetData>
  <mergeCells count="14">
    <mergeCell ref="A58:B59"/>
    <mergeCell ref="A60:B61"/>
    <mergeCell ref="A62:B63"/>
    <mergeCell ref="F1:G1"/>
    <mergeCell ref="C4:D4"/>
    <mergeCell ref="E49:F49"/>
    <mergeCell ref="A51:B51"/>
    <mergeCell ref="D51:G57"/>
    <mergeCell ref="A52:B53"/>
    <mergeCell ref="A54:B55"/>
    <mergeCell ref="A56:B57"/>
    <mergeCell ref="A2:B2"/>
    <mergeCell ref="F2:G2"/>
    <mergeCell ref="A3:B3"/>
  </mergeCells>
  <pageMargins left="0.7" right="0.7" top="0.5" bottom="0.5" header="0.3" footer="0.3"/>
  <pageSetup scale="6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Parks 2020-21 (Order Form)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Spear</dc:creator>
  <cp:keywords/>
  <dc:description/>
  <cp:lastModifiedBy>Meditz, Pam</cp:lastModifiedBy>
  <cp:revision/>
  <cp:lastPrinted>2020-03-31T17:27:36Z</cp:lastPrinted>
  <dcterms:created xsi:type="dcterms:W3CDTF">2012-09-19T14:51:13Z</dcterms:created>
  <dcterms:modified xsi:type="dcterms:W3CDTF">2020-04-23T18:28:27Z</dcterms:modified>
  <cp:category/>
  <cp:contentStatus/>
</cp:coreProperties>
</file>