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126"/>
  <workbookPr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Cottage Linens &amp; Towels\"/>
    </mc:Choice>
  </mc:AlternateContent>
  <xr:revisionPtr revIDLastSave="0" documentId="8_{312F2AB6-F180-4974-9694-6BB914D6CED6}" xr6:coauthVersionLast="31" xr6:coauthVersionMax="31" xr10:uidLastSave="{00000000-0000-0000-0000-000000000000}"/>
  <workbookProtection workbookPassword="CF23" lockStructure="1"/>
  <bookViews>
    <workbookView xWindow="0" yWindow="0" windowWidth="24000" windowHeight="13635" xr2:uid="{00000000-000D-0000-FFFF-FFFF00000000}"/>
  </bookViews>
  <sheets>
    <sheet name="Purchase Order" sheetId="1" r:id="rId1"/>
  </sheets>
  <definedNames>
    <definedName name="_xlnm.Print_Area" localSheetId="0">'Purchase Order'!$A$1:$F$124</definedName>
  </definedNames>
  <calcPr calcId="179017"/>
</workbook>
</file>

<file path=xl/calcChain.xml><?xml version="1.0" encoding="utf-8"?>
<calcChain xmlns="http://schemas.openxmlformats.org/spreadsheetml/2006/main">
  <c r="E81" i="1" l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72" i="1"/>
  <c r="E73" i="1"/>
  <c r="E74" i="1"/>
  <c r="E75" i="1"/>
  <c r="E76" i="1"/>
  <c r="E77" i="1"/>
  <c r="E78" i="1"/>
  <c r="E66" i="1" l="1"/>
  <c r="E65" i="1"/>
  <c r="E64" i="1"/>
  <c r="E61" i="1"/>
  <c r="E60" i="1"/>
  <c r="E38" i="1"/>
  <c r="E37" i="1"/>
  <c r="E36" i="1"/>
  <c r="E19" i="1" l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3" i="1"/>
  <c r="E67" i="1"/>
  <c r="E68" i="1"/>
  <c r="E69" i="1"/>
  <c r="E70" i="1"/>
  <c r="E71" i="1"/>
  <c r="E79" i="1"/>
  <c r="E80" i="1"/>
  <c r="E113" i="1"/>
  <c r="E18" i="1"/>
  <c r="F114" i="1" l="1"/>
  <c r="F116" i="1" s="1"/>
</calcChain>
</file>

<file path=xl/sharedStrings.xml><?xml version="1.0" encoding="utf-8"?>
<sst xmlns="http://schemas.openxmlformats.org/spreadsheetml/2006/main" count="213" uniqueCount="133">
  <si>
    <t xml:space="preserve">                                   LESS THAN CASE PACK ORDERS ACCEPTABLE</t>
  </si>
  <si>
    <t>SUBTOTAL</t>
  </si>
  <si>
    <t>SALES TAX</t>
  </si>
  <si>
    <t>TOTAL</t>
  </si>
  <si>
    <t>Date</t>
  </si>
  <si>
    <t>Ship To:</t>
  </si>
  <si>
    <t xml:space="preserve">Name </t>
  </si>
  <si>
    <t>Street</t>
  </si>
  <si>
    <t>Phone</t>
  </si>
  <si>
    <t>Email</t>
  </si>
  <si>
    <t>PO#</t>
  </si>
  <si>
    <t>LINENS ORDER FORM FOR GA PARKS &amp; RECREATION SITES</t>
  </si>
  <si>
    <t>Bill To (If Different Than Above):</t>
  </si>
  <si>
    <t>PRODUCTS NUMBER / DESCRIPTION / UNIT OF MEASURE</t>
  </si>
  <si>
    <t>UNIT COST PRICE</t>
  </si>
  <si>
    <t>ORDER QTY</t>
  </si>
  <si>
    <t>COST EXT</t>
  </si>
  <si>
    <t>REGULAR &amp; PREMIER COTTAGES BLANKETS - POLY FLEECE VANILLA</t>
  </si>
  <si>
    <t>PET COTTAGES BLANKETS - POLY FLEECE DARK TAN</t>
  </si>
  <si>
    <t>REGULAR &amp; PREMIER COTTAGES BATH &amp; KITCHEN TOWELS - WHITE</t>
  </si>
  <si>
    <t>PET COTTAGES BATH &amp; KITCHEN TOWELS -  BEIGE</t>
  </si>
  <si>
    <t xml:space="preserve">PREMIER COTTAGES SHEETS/PILLOWCASES  - T-310 60/40 MAGNIFICENCE STRIPE - WHITE </t>
  </si>
  <si>
    <t xml:space="preserve">PREMIER COTTAGES DUVET COVERS - T-310 60/40 MAGNIFICENCE STRIPE - WHITE </t>
  </si>
  <si>
    <t>REGULAR COTTAGES SHEETS/PILLOWCASES - T-300 60/40 THOMASTON SOLID - WHITE</t>
  </si>
  <si>
    <t xml:space="preserve">REGULAR COTTAGES DUVET COVERS - BEYOND TEXTURED PATTERN - WHITE </t>
  </si>
  <si>
    <t>PET PREMIER COTTAGES SHEETS/PILLOWCASES  - T-310 60/40 MAGNIFICENCE STRIPE - BEIGE</t>
  </si>
  <si>
    <t>PET REGULAR COTTAGES SHEETS/PILLOWCASES - T-250 60/40 THOMASTON SOLID - BEIGE</t>
  </si>
  <si>
    <t xml:space="preserve">PET COTTAGES DUVET COVERS - T-310 60/40 MAGNIFICENCE STRIPE - BEIGE </t>
  </si>
  <si>
    <t>UOM</t>
  </si>
  <si>
    <t>DOZEN</t>
  </si>
  <si>
    <t>DUVET INSERT - ALL COTTAGES - WHITE</t>
  </si>
  <si>
    <t>BEDDING ITEMS ALL COTTAGES - WHITE</t>
  </si>
  <si>
    <t>CASE (6)</t>
  </si>
  <si>
    <t>CASE (4)</t>
  </si>
  <si>
    <t>CASE (12)</t>
  </si>
  <si>
    <t>CASE (10)</t>
  </si>
  <si>
    <t>CASE (8)</t>
  </si>
  <si>
    <t>City,State,Zip</t>
  </si>
  <si>
    <t>Notes:</t>
  </si>
  <si>
    <t>ITEM# 5475311MAG                            FULL FITTED SHEET                                 54X75X18</t>
  </si>
  <si>
    <t>ITEM# 5480311MAG                            FULL XL FITTED SHEET                            54X80X18</t>
  </si>
  <si>
    <t>ITEM# 6080311MAG                            QUEEN FITTED SHEET                              60X80X18</t>
  </si>
  <si>
    <t>ITEM# 114120311MAG                        KING FLAT SHEET                                    114X120</t>
  </si>
  <si>
    <t>ITEM# 4236311MAG                            STD PILLOWCASE                                   42X36</t>
  </si>
  <si>
    <t>ITEM# 4240311MAG                            QUEEN PILLOWCASE                              42X40</t>
  </si>
  <si>
    <t>ITEM# 4246311MAG                            KING PILLOWCASE                                 42X46</t>
  </si>
  <si>
    <t>ITEM# DC-94851MAG                          FULL XL                                                   85X94</t>
  </si>
  <si>
    <t>ITEM# DC-94941MAG                          QUEEN                                                     94X94</t>
  </si>
  <si>
    <t>ITEM# DC-941061MAG                        KING                                                        106X94</t>
  </si>
  <si>
    <t>ITEM# 5480301                                   FULL XL FITTED SHEET                            54X80X15</t>
  </si>
  <si>
    <t>ITEM# 6080301                                   QUEEN FITTED SHEET                              60X80X15</t>
  </si>
  <si>
    <t>ITEM# 114120301                               KING FLAT SHEET                                    114X120</t>
  </si>
  <si>
    <t>ITEM# 7880301                                   KING FITTED SHEET                                 78X80X15</t>
  </si>
  <si>
    <t>ITEM# 4236301                                   STD PILLOWCASE                                   42X36</t>
  </si>
  <si>
    <t>ITEM# 4240301                                   QUEEN PILLOWCASE                              42X40</t>
  </si>
  <si>
    <t>ITEM# 4246301                                   KING PILLOWCASE                                 42X46</t>
  </si>
  <si>
    <t>ITEM# DC-94851BEY                          FULL XL                                                  85X94</t>
  </si>
  <si>
    <t>ITEM# DC-94941BEY                          QUEEN                                                    94X94</t>
  </si>
  <si>
    <t>ITEM# DC-941061BEY                        KING                                                       106X94</t>
  </si>
  <si>
    <t>ITEM# 9080POLV                               FULL                                                        80X90</t>
  </si>
  <si>
    <t>ITEM# 9090POLV                               QUEEN                                                     90X90</t>
  </si>
  <si>
    <t>ITEM# 90108POLV                             KING                                                        108X90</t>
  </si>
  <si>
    <t>ITEM# 5480312MAG                          FULL XL FITTED SHEET                            54X80X18</t>
  </si>
  <si>
    <t>ITEM# 96120312MAG                        QUEEN FLAT SHEET                                 96X120</t>
  </si>
  <si>
    <t>ITEM# 6080312MAG                          QUEEN FITTED SHEET                               60X80X18</t>
  </si>
  <si>
    <t>ITEM# 5475312MAG                          FULL FITTED SHEET                                 54X75X18</t>
  </si>
  <si>
    <t>ITEM# 114120312MAG                     KING FLAT SHEET                                      114X120</t>
  </si>
  <si>
    <t>ITEM# 7880312MAG                         KING FITTED SHEET                                   78X80X18</t>
  </si>
  <si>
    <t>ITEM# 4236312MAG                         STD PILLOWCASES                                   42X36</t>
  </si>
  <si>
    <t>ITEM# 4240312MAG                         QUEEN PILLOWCASES                              42X40</t>
  </si>
  <si>
    <t>ITEM# 4246312MAG                         KING PILLOWCASES                                 42X46</t>
  </si>
  <si>
    <t>ITEM# 84115252                               FULL XL FLAT SHEET                                84X115</t>
  </si>
  <si>
    <t>ITEM# 5480252                                 FULL XL FITTED SHEET                              54X80X12</t>
  </si>
  <si>
    <t>ITEM# 92115252                               QUEEN FLAT SHEET                                   92X115</t>
  </si>
  <si>
    <t>ITEM# 6080252                                 QUEEN FITTED SHEET                                60X80X12</t>
  </si>
  <si>
    <t>ITEM# 108115252                             KING FLAT SHEET                                      108X115</t>
  </si>
  <si>
    <t>ITEM# 7880252                                 KING FITTED SHEET                                   78X80X12</t>
  </si>
  <si>
    <t>ITEM# 4236252                                 STD PILLOWCASE                                     42X36</t>
  </si>
  <si>
    <t>ITEM# 4246252                                 KING PILLOWCASE                                    42X46</t>
  </si>
  <si>
    <t>ITEM# DC-94852MAG                       FULL XL                                                     85X94</t>
  </si>
  <si>
    <t>ITEM# DC-94942MAG                       QUEEN                                                       94X94</t>
  </si>
  <si>
    <t>ITEM# DC-941062MAG                     KING                                                        106X94</t>
  </si>
  <si>
    <t>ITEM# 9090POLDT                           QUEEN                                                        90X90</t>
  </si>
  <si>
    <t>ITEM# 90108POLDT                         KING                                                          108X90</t>
  </si>
  <si>
    <t>ITEM# 9080POLDT                           FULL                                                           80X90</t>
  </si>
  <si>
    <t>ITEM# DI-9384MAG                         FULL                                                           84X93</t>
  </si>
  <si>
    <t>ITEM# DI-9393MAG                         QUEEN                                                        93X93</t>
  </si>
  <si>
    <t>ITEM# DI-93105MAG                       KING                                                          105X93</t>
  </si>
  <si>
    <t>ITEM# 2127PLT                               STD. PILLOW                                             20X26</t>
  </si>
  <si>
    <t>ITEM# 2131PLT                               QUEEN PILLOW                                         20X30</t>
  </si>
  <si>
    <t>ITEM# 2137PLT                               KING PILLOW                                            20X37</t>
  </si>
  <si>
    <t>ITEM# 2127PC                                STD. PILLOWCOVER                                 21X27</t>
  </si>
  <si>
    <t>ITEM# 2131PC                                QUEEN PILLOWCOVER                             21X31</t>
  </si>
  <si>
    <t>ITEM# 2137PC                                KING PILLOWCOVER                                21X37</t>
  </si>
  <si>
    <t>ITEM# MP5480PDRY                      FULL MATTRESS PAD                              54X80</t>
  </si>
  <si>
    <t>ITEM# MP6080PDRY                      QUEEN MATTRESS PAD                           60X80</t>
  </si>
  <si>
    <t>ITEM# MP7880PDRY                      KING MATTRESS PAD                              78X80</t>
  </si>
  <si>
    <t>ITEM# MP5480WPZIP                     FULL MAT/BOX PROTECTOR                   54X80</t>
  </si>
  <si>
    <t>ITEM# MP6080WPZIP                     QUEEN MAT/BOX PROTECTOR                60X80</t>
  </si>
  <si>
    <t>ITEM# MP7880WPZIP                     KING MAT/BOX PROTECTOR                   78X80</t>
  </si>
  <si>
    <t>ITEM# 27541-VCZ                         BATH TOWELS                                        27X54</t>
  </si>
  <si>
    <t>ITEM# 16301-VCZ                         HAND TOWEL                                          16X30</t>
  </si>
  <si>
    <t>ITEM# 13131-VCZ                         WASHCLOTHS                                        13X13</t>
  </si>
  <si>
    <t>ITEM# RTZ-12988                         DISH TOWELS                                         18X28</t>
  </si>
  <si>
    <t>ITEM# RTZ-22988                         DISH CLOTHS                                          12X13.75</t>
  </si>
  <si>
    <t>ITEM# RTZ-32513                         POT HOLDERS                                         7.5X7.75</t>
  </si>
  <si>
    <t>ITEM# RTZ-40061                         OVEN MITTS                                            7.75X8.5</t>
  </si>
  <si>
    <t>ITEM# 27542-VCZ                         BATH TOWELS                                       27X54</t>
  </si>
  <si>
    <t>ITEM# 16302-VCZ                         HAND TOWEL                                         16X30</t>
  </si>
  <si>
    <t>ITEM# 13132-VCZ                         WASHCLOTHS                                       13X13</t>
  </si>
  <si>
    <t>ITEM# RTZ-12961                         DISH TOWELS                                        18X28</t>
  </si>
  <si>
    <t>ITEM# RTZ-22961                         DISH CLOTHS                                         12X13.75</t>
  </si>
  <si>
    <t>ITEM# RTZ-30061                         POT HOLDERS                                        8.25X8.5</t>
  </si>
  <si>
    <t>ITEM# RTZ-40061                         OVEN MITTS                                           7.75X8.5</t>
  </si>
  <si>
    <t xml:space="preserve">         P.O. Box 811976    </t>
  </si>
  <si>
    <t>Web Site Pricing.</t>
  </si>
  <si>
    <t xml:space="preserve"> Complete Checkout using Money Order Option. You will receive an Invoice with Net 30 Day Term</t>
  </si>
  <si>
    <t xml:space="preserve">         Mr. Andrew Neff                                                                 </t>
  </si>
  <si>
    <t xml:space="preserve">         American Hospitality Supply Co     </t>
  </si>
  <si>
    <t xml:space="preserve">         Boca Raton, FL 33481       </t>
  </si>
  <si>
    <t xml:space="preserve">         PHONE - 561-483-8040x17   </t>
  </si>
  <si>
    <t xml:space="preserve">         FAX - 561-451-8599     </t>
  </si>
  <si>
    <t xml:space="preserve">         Email - AHSCOMPANY@AOL.COM</t>
  </si>
  <si>
    <t xml:space="preserve">   How to to Order: Question / Order Status / Need Help Contact:          </t>
  </si>
  <si>
    <r>
      <t xml:space="preserve">   Looking for Additional Hospitality Products? </t>
    </r>
    <r>
      <rPr>
        <i/>
        <sz val="10"/>
        <rFont val="Arial"/>
        <family val="2"/>
      </rPr>
      <t>WWW.AHSCOMPANY.COM use Coupon Code GA10OFF You will receive a 10% Discount off all</t>
    </r>
  </si>
  <si>
    <t>ITEM# 87120311MAG                          FULL FLAT SHEET                                    87x120</t>
  </si>
  <si>
    <t>ITEM# 96120311MAG                          QUEEN FLAT SHEET                                 96X120</t>
  </si>
  <si>
    <t>ITEM# 7880311MAG                            KING FITTED SHEET                                78X80X18</t>
  </si>
  <si>
    <t>ITEM# 85120301                                 FULL XL FLAT SHEET                               85x120</t>
  </si>
  <si>
    <t>ITEM# 96120301                                 QUEEN FLAT SHEET                                 96X120</t>
  </si>
  <si>
    <t>ITEM# 87120312MAG                        FULL FLAT SHEET                                    87x120</t>
  </si>
  <si>
    <t>ITEM# 21361-VCZ                         BATH MATS                                             21X36</t>
  </si>
  <si>
    <t>ITEM# 21362-VCZ                         BATH MATS                                            21X36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</si>
</sst>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</numFmts>
  <fonts count="41" x14ac:knownFonts="1">
    <font>
      <sz val="10"/>
      <name val="Arial"/>
    </font>
    <font>
      <sz val="8"/>
      <name val="Arial"/>
    </font>
    <font>
      <sz val="10"/>
      <name val="Trebuchet MS"/>
      <family val="2"/>
    </font>
    <font>
      <b/>
      <sz val="10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color indexed="41"/>
      <name val="Arial"/>
      <family val="2"/>
    </font>
    <font>
      <i/>
      <sz val="10"/>
      <color rgb="FFFFFF00"/>
      <name val="Arial"/>
      <family val="2"/>
    </font>
    <font>
      <sz val="8"/>
      <color rgb="FFFFFF00"/>
      <name val="Trebuchet MS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medium">
        <color indexed="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87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33" fillId="0" borderId="0"/>
    <xf numFmtId="0" fontId="34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72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0" fillId="0" borderId="0" xfId="0" applyAlignment="1"/>
    <xf numFmtId="0" fontId="5" fillId="0" borderId="0" xfId="0" applyFont="1"/>
    <xf numFmtId="44" fontId="6" fillId="24" borderId="10" xfId="0" applyNumberFormat="1" applyFont="1" applyFill="1" applyBorder="1" applyAlignment="1"/>
    <xf numFmtId="44" fontId="3" fillId="24" borderId="10" xfId="0" applyNumberFormat="1" applyFont="1" applyFill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/>
    </xf>
    <xf numFmtId="43" fontId="6" fillId="0" borderId="10" xfId="0" applyNumberFormat="1" applyFont="1" applyFill="1" applyBorder="1" applyAlignment="1"/>
    <xf numFmtId="44" fontId="4" fillId="0" borderId="0" xfId="0" applyNumberFormat="1" applyFont="1" applyFill="1" applyBorder="1" applyAlignment="1"/>
    <xf numFmtId="0" fontId="2" fillId="0" borderId="0" xfId="0" applyFont="1" applyFill="1"/>
    <xf numFmtId="0" fontId="26" fillId="0" borderId="0" xfId="38" applyFont="1" applyAlignment="1">
      <alignment horizontal="left"/>
    </xf>
    <xf numFmtId="0" fontId="27" fillId="0" borderId="0" xfId="0" applyFont="1" applyAlignment="1"/>
    <xf numFmtId="0" fontId="28" fillId="0" borderId="0" xfId="0" applyFont="1" applyAlignment="1"/>
    <xf numFmtId="0" fontId="25" fillId="0" borderId="0" xfId="0" applyFont="1"/>
    <xf numFmtId="0" fontId="29" fillId="0" borderId="0" xfId="34" applyAlignment="1" applyProtection="1"/>
    <xf numFmtId="0" fontId="31" fillId="0" borderId="0" xfId="0" applyFont="1" applyAlignment="1">
      <alignment horizontal="left"/>
    </xf>
    <xf numFmtId="0" fontId="25" fillId="0" borderId="0" xfId="0" applyFont="1" applyFill="1"/>
    <xf numFmtId="0" fontId="28" fillId="0" borderId="0" xfId="0" applyFont="1" applyAlignment="1" applyProtection="1">
      <protection locked="0"/>
    </xf>
    <xf numFmtId="165" fontId="27" fillId="0" borderId="0" xfId="0" applyNumberFormat="1" applyFont="1" applyFill="1" applyBorder="1" applyAlignment="1">
      <alignment horizontal="left"/>
    </xf>
    <xf numFmtId="8" fontId="0" fillId="0" borderId="13" xfId="0" applyNumberFormat="1" applyBorder="1"/>
    <xf numFmtId="0" fontId="32" fillId="0" borderId="13" xfId="38" applyFont="1" applyBorder="1" applyAlignment="1">
      <alignment horizontal="left"/>
    </xf>
    <xf numFmtId="0" fontId="24" fillId="0" borderId="13" xfId="38" applyFont="1" applyBorder="1" applyAlignment="1">
      <alignment horizontal="left"/>
    </xf>
    <xf numFmtId="0" fontId="25" fillId="0" borderId="0" xfId="0" applyFont="1" applyAlignment="1"/>
    <xf numFmtId="0" fontId="36" fillId="25" borderId="12" xfId="0" applyFont="1" applyFill="1" applyBorder="1" applyAlignment="1">
      <alignment horizontal="center" vertical="center"/>
    </xf>
    <xf numFmtId="44" fontId="35" fillId="24" borderId="13" xfId="0" applyNumberFormat="1" applyFont="1" applyFill="1" applyBorder="1" applyAlignment="1"/>
    <xf numFmtId="0" fontId="36" fillId="0" borderId="11" xfId="0" applyFont="1" applyFill="1" applyBorder="1" applyAlignment="1">
      <alignment horizontal="right"/>
    </xf>
    <xf numFmtId="44" fontId="36" fillId="0" borderId="0" xfId="0" applyNumberFormat="1" applyFont="1" applyFill="1" applyBorder="1" applyAlignment="1"/>
    <xf numFmtId="0" fontId="27" fillId="0" borderId="0" xfId="0" applyFont="1" applyFill="1" applyAlignment="1">
      <alignment horizontal="center"/>
    </xf>
    <xf numFmtId="0" fontId="37" fillId="0" borderId="0" xfId="0" applyFont="1" applyBorder="1" applyAlignment="1"/>
    <xf numFmtId="165" fontId="36" fillId="25" borderId="12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/>
    </xf>
    <xf numFmtId="0" fontId="24" fillId="0" borderId="13" xfId="38" applyFont="1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0" fontId="32" fillId="0" borderId="13" xfId="38" applyFont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9" fillId="0" borderId="0" xfId="34" applyAlignment="1" applyProtection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8" fontId="0" fillId="0" borderId="13" xfId="0" applyNumberFormat="1" applyBorder="1" applyProtection="1">
      <protection locked="0"/>
    </xf>
    <xf numFmtId="0" fontId="28" fillId="0" borderId="0" xfId="0" applyFont="1" applyAlignment="1" applyProtection="1"/>
    <xf numFmtId="165" fontId="27" fillId="0" borderId="0" xfId="0" applyNumberFormat="1" applyFont="1" applyFill="1" applyBorder="1" applyAlignment="1" applyProtection="1">
      <alignment horizontal="left"/>
    </xf>
    <xf numFmtId="0" fontId="26" fillId="0" borderId="0" xfId="38" applyFont="1" applyAlignment="1" applyProtection="1">
      <alignment horizontal="left"/>
    </xf>
    <xf numFmtId="0" fontId="36" fillId="25" borderId="12" xfId="0" applyFont="1" applyFill="1" applyBorder="1" applyAlignment="1" applyProtection="1">
      <alignment horizontal="center" vertical="center"/>
    </xf>
    <xf numFmtId="0" fontId="39" fillId="27" borderId="0" xfId="0" applyFont="1" applyFill="1" applyAlignment="1">
      <alignment horizontal="center"/>
    </xf>
    <xf numFmtId="0" fontId="40" fillId="27" borderId="0" xfId="0" applyFont="1" applyFill="1" applyAlignment="1" applyProtection="1">
      <alignment horizontal="center"/>
      <protection locked="0"/>
    </xf>
    <xf numFmtId="0" fontId="28" fillId="26" borderId="14" xfId="0" applyFont="1" applyFill="1" applyBorder="1" applyAlignment="1" applyProtection="1">
      <protection locked="0"/>
    </xf>
    <xf numFmtId="2" fontId="35" fillId="26" borderId="13" xfId="0" applyNumberFormat="1" applyFont="1" applyFill="1" applyBorder="1" applyAlignment="1" applyProtection="1">
      <alignment horizontal="left"/>
    </xf>
    <xf numFmtId="2" fontId="35" fillId="26" borderId="13" xfId="0" applyNumberFormat="1" applyFont="1" applyFill="1" applyBorder="1" applyAlignment="1" applyProtection="1">
      <alignment horizontal="left"/>
      <protection locked="0"/>
    </xf>
    <xf numFmtId="0" fontId="39" fillId="27" borderId="0" xfId="0" applyFont="1" applyFill="1" applyAlignment="1" applyProtection="1">
      <alignment horizontal="center"/>
    </xf>
    <xf numFmtId="0" fontId="5" fillId="0" borderId="0" xfId="0" applyFont="1" applyAlignment="1" applyProtection="1"/>
    <xf numFmtId="0" fontId="35" fillId="0" borderId="0" xfId="0" applyFont="1" applyAlignment="1" applyProtection="1"/>
    <xf numFmtId="164" fontId="5" fillId="0" borderId="0" xfId="0" applyNumberFormat="1" applyFont="1" applyAlignment="1" applyProtection="1"/>
    <xf numFmtId="164" fontId="35" fillId="0" borderId="0" xfId="0" applyNumberFormat="1" applyFont="1" applyAlignment="1" applyProtection="1"/>
    <xf numFmtId="0" fontId="5" fillId="0" borderId="0" xfId="0" applyFont="1" applyAlignment="1" applyProtection="1">
      <alignment horizontal="center"/>
    </xf>
    <xf numFmtId="0" fontId="28" fillId="0" borderId="0" xfId="0" applyFont="1" applyAlignment="1" applyProtection="1">
      <alignment horizontal="center"/>
    </xf>
    <xf numFmtId="0" fontId="5" fillId="0" borderId="0" xfId="0" applyFont="1" applyBorder="1" applyAlignment="1" applyProtection="1"/>
    <xf numFmtId="0" fontId="35" fillId="0" borderId="0" xfId="0" applyFont="1" applyBorder="1" applyAlignment="1" applyProtection="1"/>
    <xf numFmtId="0" fontId="30" fillId="0" borderId="0" xfId="0" applyFont="1" applyFill="1" applyAlignment="1">
      <alignment horizontal="left"/>
    </xf>
    <xf numFmtId="44" fontId="25" fillId="0" borderId="0" xfId="0" applyNumberFormat="1" applyFont="1" applyFill="1" applyBorder="1" applyAlignment="1"/>
    <xf numFmtId="0" fontId="25" fillId="0" borderId="0" xfId="0" applyFont="1" applyAlignment="1">
      <alignment horizontal="left"/>
    </xf>
    <xf numFmtId="0" fontId="25" fillId="0" borderId="0" xfId="0" applyFont="1" applyFill="1" applyAlignment="1">
      <alignment horizontal="left"/>
    </xf>
    <xf numFmtId="0" fontId="28" fillId="26" borderId="13" xfId="0" applyFont="1" applyFill="1" applyBorder="1" applyAlignment="1" applyProtection="1">
      <protection locked="0"/>
    </xf>
    <xf numFmtId="0" fontId="5" fillId="26" borderId="13" xfId="0" applyFont="1" applyFill="1" applyBorder="1" applyProtection="1">
      <protection locked="0"/>
    </xf>
    <xf numFmtId="0" fontId="25" fillId="0" borderId="0" xfId="0" applyFont="1" applyFill="1"/>
    <xf numFmtId="0" fontId="25" fillId="0" borderId="0" xfId="0" applyFont="1" applyAlignment="1">
      <alignment horizontal="left"/>
    </xf>
    <xf numFmtId="0" fontId="25" fillId="0" borderId="0" xfId="0" applyFont="1" applyFill="1" applyAlignment="1">
      <alignment horizontal="left"/>
    </xf>
    <xf numFmtId="0" fontId="2" fillId="0" borderId="0" xfId="0" applyFont="1" applyAlignment="1"/>
    <xf numFmtId="0" fontId="30" fillId="0" borderId="15" xfId="0" applyNumberFormat="1" applyFont="1" applyBorder="1" applyAlignment="1">
      <alignment horizontal="left"/>
    </xf>
  </cellXfs>
  <cellStyles count="87">
    <cellStyle name="20% - Accent1" xfId="1" builtinId="30" customBuiltin="1"/>
    <cellStyle name="20% - Accent1 2" xfId="46" xr:uid="{00000000-0005-0000-0000-000001000000}"/>
    <cellStyle name="20% - Accent2" xfId="2" builtinId="34" customBuiltin="1"/>
    <cellStyle name="20% - Accent2 2" xfId="47" xr:uid="{00000000-0005-0000-0000-000003000000}"/>
    <cellStyle name="20% - Accent3" xfId="3" builtinId="38" customBuiltin="1"/>
    <cellStyle name="20% - Accent3 2" xfId="48" xr:uid="{00000000-0005-0000-0000-000005000000}"/>
    <cellStyle name="20% - Accent4" xfId="4" builtinId="42" customBuiltin="1"/>
    <cellStyle name="20% - Accent4 2" xfId="49" xr:uid="{00000000-0005-0000-0000-000007000000}"/>
    <cellStyle name="20% - Accent5" xfId="5" builtinId="46" customBuiltin="1"/>
    <cellStyle name="20% - Accent5 2" xfId="50" xr:uid="{00000000-0005-0000-0000-000009000000}"/>
    <cellStyle name="20% - Accent6" xfId="6" builtinId="50" customBuiltin="1"/>
    <cellStyle name="20% - Accent6 2" xfId="51" xr:uid="{00000000-0005-0000-0000-00000B000000}"/>
    <cellStyle name="40% - Accent1" xfId="7" builtinId="31" customBuiltin="1"/>
    <cellStyle name="40% - Accent1 2" xfId="52" xr:uid="{00000000-0005-0000-0000-00000D000000}"/>
    <cellStyle name="40% - Accent2" xfId="8" builtinId="35" customBuiltin="1"/>
    <cellStyle name="40% - Accent2 2" xfId="53" xr:uid="{00000000-0005-0000-0000-00000F000000}"/>
    <cellStyle name="40% - Accent3" xfId="9" builtinId="39" customBuiltin="1"/>
    <cellStyle name="40% - Accent3 2" xfId="54" xr:uid="{00000000-0005-0000-0000-000011000000}"/>
    <cellStyle name="40% - Accent4" xfId="10" builtinId="43" customBuiltin="1"/>
    <cellStyle name="40% - Accent4 2" xfId="55" xr:uid="{00000000-0005-0000-0000-000013000000}"/>
    <cellStyle name="40% - Accent5" xfId="11" builtinId="47" customBuiltin="1"/>
    <cellStyle name="40% - Accent5 2" xfId="56" xr:uid="{00000000-0005-0000-0000-000015000000}"/>
    <cellStyle name="40% - Accent6" xfId="12" builtinId="51" customBuiltin="1"/>
    <cellStyle name="40% - Accent6 2" xfId="57" xr:uid="{00000000-0005-0000-0000-000017000000}"/>
    <cellStyle name="60% - Accent1" xfId="13" builtinId="32" customBuiltin="1"/>
    <cellStyle name="60% - Accent1 2" xfId="58" xr:uid="{00000000-0005-0000-0000-000019000000}"/>
    <cellStyle name="60% - Accent2" xfId="14" builtinId="36" customBuiltin="1"/>
    <cellStyle name="60% - Accent2 2" xfId="59" xr:uid="{00000000-0005-0000-0000-00001B000000}"/>
    <cellStyle name="60% - Accent3" xfId="15" builtinId="40" customBuiltin="1"/>
    <cellStyle name="60% - Accent3 2" xfId="60" xr:uid="{00000000-0005-0000-0000-00001D000000}"/>
    <cellStyle name="60% - Accent4" xfId="16" builtinId="44" customBuiltin="1"/>
    <cellStyle name="60% - Accent4 2" xfId="61" xr:uid="{00000000-0005-0000-0000-00001F000000}"/>
    <cellStyle name="60% - Accent5" xfId="17" builtinId="48" customBuiltin="1"/>
    <cellStyle name="60% - Accent5 2" xfId="62" xr:uid="{00000000-0005-0000-0000-000021000000}"/>
    <cellStyle name="60% - Accent6" xfId="18" builtinId="52" customBuiltin="1"/>
    <cellStyle name="60% - Accent6 2" xfId="63" xr:uid="{00000000-0005-0000-0000-000023000000}"/>
    <cellStyle name="Accent1" xfId="19" builtinId="29" customBuiltin="1"/>
    <cellStyle name="Accent1 2" xfId="64" xr:uid="{00000000-0005-0000-0000-000025000000}"/>
    <cellStyle name="Accent2" xfId="20" builtinId="33" customBuiltin="1"/>
    <cellStyle name="Accent2 2" xfId="65" xr:uid="{00000000-0005-0000-0000-000027000000}"/>
    <cellStyle name="Accent3" xfId="21" builtinId="37" customBuiltin="1"/>
    <cellStyle name="Accent3 2" xfId="66" xr:uid="{00000000-0005-0000-0000-000029000000}"/>
    <cellStyle name="Accent4" xfId="22" builtinId="41" customBuiltin="1"/>
    <cellStyle name="Accent4 2" xfId="67" xr:uid="{00000000-0005-0000-0000-00002B000000}"/>
    <cellStyle name="Accent5" xfId="23" builtinId="45" customBuiltin="1"/>
    <cellStyle name="Accent5 2" xfId="68" xr:uid="{00000000-0005-0000-0000-00002D000000}"/>
    <cellStyle name="Accent6" xfId="24" builtinId="49" customBuiltin="1"/>
    <cellStyle name="Accent6 2" xfId="69" xr:uid="{00000000-0005-0000-0000-00002F000000}"/>
    <cellStyle name="Bad" xfId="25" builtinId="27" customBuiltin="1"/>
    <cellStyle name="Bad 2" xfId="70" xr:uid="{00000000-0005-0000-0000-000031000000}"/>
    <cellStyle name="Calculation" xfId="26" builtinId="22" customBuiltin="1"/>
    <cellStyle name="Calculation 2" xfId="71" xr:uid="{00000000-0005-0000-0000-000033000000}"/>
    <cellStyle name="Check Cell" xfId="27" builtinId="23" customBuiltin="1"/>
    <cellStyle name="Check Cell 2" xfId="72" xr:uid="{00000000-0005-0000-0000-000035000000}"/>
    <cellStyle name="Explanatory Text" xfId="28" builtinId="53" customBuiltin="1"/>
    <cellStyle name="Explanatory Text 2" xfId="73" xr:uid="{00000000-0005-0000-0000-000037000000}"/>
    <cellStyle name="Good" xfId="29" builtinId="26" customBuiltin="1"/>
    <cellStyle name="Good 2" xfId="74" xr:uid="{00000000-0005-0000-0000-000039000000}"/>
    <cellStyle name="Heading 1" xfId="30" builtinId="16" customBuiltin="1"/>
    <cellStyle name="Heading 1 2" xfId="75" xr:uid="{00000000-0005-0000-0000-00003B000000}"/>
    <cellStyle name="Heading 2" xfId="31" builtinId="17" customBuiltin="1"/>
    <cellStyle name="Heading 2 2" xfId="76" xr:uid="{00000000-0005-0000-0000-00003D000000}"/>
    <cellStyle name="Heading 3" xfId="32" builtinId="18" customBuiltin="1"/>
    <cellStyle name="Heading 3 2" xfId="77" xr:uid="{00000000-0005-0000-0000-00003F000000}"/>
    <cellStyle name="Heading 4" xfId="33" builtinId="19" customBuiltin="1"/>
    <cellStyle name="Heading 4 2" xfId="78" xr:uid="{00000000-0005-0000-0000-000041000000}"/>
    <cellStyle name="Hyperlink" xfId="34" builtinId="8"/>
    <cellStyle name="Input" xfId="35" builtinId="20" customBuiltin="1"/>
    <cellStyle name="Input 2" xfId="79" xr:uid="{00000000-0005-0000-0000-000044000000}"/>
    <cellStyle name="Linked Cell" xfId="36" builtinId="24" customBuiltin="1"/>
    <cellStyle name="Linked Cell 2" xfId="80" xr:uid="{00000000-0005-0000-0000-000046000000}"/>
    <cellStyle name="Neutral" xfId="37" builtinId="28" customBuiltin="1"/>
    <cellStyle name="Neutral 2" xfId="81" xr:uid="{00000000-0005-0000-0000-000048000000}"/>
    <cellStyle name="Normal" xfId="0" builtinId="0"/>
    <cellStyle name="Normal 2" xfId="45" xr:uid="{00000000-0005-0000-0000-00004A000000}"/>
    <cellStyle name="Normal 3" xfId="44" xr:uid="{00000000-0005-0000-0000-00004B000000}"/>
    <cellStyle name="Normal_Purchase Order" xfId="38" xr:uid="{00000000-0005-0000-0000-00004C000000}"/>
    <cellStyle name="Note" xfId="39" builtinId="10" customBuiltin="1"/>
    <cellStyle name="Note 2" xfId="82" xr:uid="{00000000-0005-0000-0000-00004E000000}"/>
    <cellStyle name="Output" xfId="40" builtinId="21" customBuiltin="1"/>
    <cellStyle name="Output 2" xfId="83" xr:uid="{00000000-0005-0000-0000-000050000000}"/>
    <cellStyle name="Title" xfId="41" builtinId="15" customBuiltin="1"/>
    <cellStyle name="Title 2" xfId="84" xr:uid="{00000000-0005-0000-0000-000052000000}"/>
    <cellStyle name="Total" xfId="42" builtinId="25" customBuiltin="1"/>
    <cellStyle name="Total 2" xfId="85" xr:uid="{00000000-0005-0000-0000-000054000000}"/>
    <cellStyle name="Warning Text" xfId="43" builtinId="11" customBuiltin="1"/>
    <cellStyle name="Warning Text 2" xfId="86" xr:uid="{00000000-0005-0000-0000-00005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9525</xdr:rowOff>
    </xdr:from>
    <xdr:to>
      <xdr:col>2</xdr:col>
      <xdr:colOff>161925</xdr:colOff>
      <xdr:row>2</xdr:row>
      <xdr:rowOff>180975</xdr:rowOff>
    </xdr:to>
    <xdr:sp macro="" textlink="">
      <xdr:nvSpPr>
        <xdr:cNvPr id="1098" name="Rectangle 2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59436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 rotWithShape="1">
                <a:gsLst>
                  <a:gs pos="0">
                    <a:srgbClr xmlns:mc="http://schemas.openxmlformats.org/markup-compatibility/2006" val="C6D4E8" mc:Ignorable="a14" a14:legacySpreadsheetColorIndex="20"/>
                  </a:gs>
                  <a:gs pos="100000">
                    <a:srgbClr val="FFFFFF"/>
                  </a:gs>
                </a:gsLst>
                <a:lin ang="5400000" scaled="1"/>
              </a:gra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390525</xdr:colOff>
      <xdr:row>0</xdr:row>
      <xdr:rowOff>27836</xdr:rowOff>
    </xdr:from>
    <xdr:to>
      <xdr:col>2</xdr:col>
      <xdr:colOff>400050</xdr:colOff>
      <xdr:row>2</xdr:row>
      <xdr:rowOff>26126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27836"/>
          <a:ext cx="4743450" cy="6840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31"/>
  <sheetViews>
    <sheetView showGridLines="0" tabSelected="1" zoomScaleNormal="100" workbookViewId="0">
      <selection activeCell="B6" sqref="B6"/>
    </sheetView>
  </sheetViews>
  <sheetFormatPr defaultRowHeight="15" x14ac:dyDescent="0.3"/>
  <cols>
    <col min="1" max="1" width="15.7109375" style="15" customWidth="1"/>
    <col min="2" max="2" width="71" style="2" customWidth="1"/>
    <col min="3" max="3" width="8.140625" style="40" customWidth="1"/>
    <col min="4" max="4" width="13.42578125" style="2" customWidth="1"/>
    <col min="5" max="5" width="11.140625" style="15" customWidth="1"/>
    <col min="6" max="6" width="12.7109375" style="2" customWidth="1"/>
    <col min="7" max="16384" width="9.140625" style="2"/>
  </cols>
  <sheetData>
    <row r="1" spans="1:6" ht="40.5" customHeight="1" x14ac:dyDescent="0.3">
      <c r="A1" s="24"/>
      <c r="B1" s="41"/>
      <c r="C1" s="34"/>
      <c r="D1" s="3"/>
      <c r="E1" s="24"/>
    </row>
    <row r="2" spans="1:6" ht="13.5" customHeight="1" x14ac:dyDescent="0.3">
      <c r="A2" s="30"/>
      <c r="B2" s="70"/>
      <c r="C2" s="70"/>
      <c r="D2" s="70"/>
      <c r="E2" s="70"/>
    </row>
    <row r="3" spans="1:6" ht="18" customHeight="1" x14ac:dyDescent="0.3">
      <c r="A3" s="30"/>
      <c r="B3" s="17" t="s">
        <v>11</v>
      </c>
      <c r="C3" s="35"/>
      <c r="D3" s="1"/>
      <c r="E3" s="24"/>
    </row>
    <row r="4" spans="1:6" ht="13.5" customHeight="1" x14ac:dyDescent="0.3">
      <c r="A4" s="12" t="s">
        <v>5</v>
      </c>
      <c r="B4" s="65"/>
      <c r="C4" s="47"/>
      <c r="D4" s="13" t="s">
        <v>4</v>
      </c>
      <c r="E4" s="49"/>
    </row>
    <row r="5" spans="1:6" s="4" customFormat="1" ht="14.1" customHeight="1" x14ac:dyDescent="0.3">
      <c r="A5" s="12" t="s">
        <v>6</v>
      </c>
      <c r="B5" s="66"/>
      <c r="C5" s="48"/>
      <c r="D5" s="13" t="s">
        <v>10</v>
      </c>
      <c r="E5" s="49"/>
    </row>
    <row r="6" spans="1:6" s="4" customFormat="1" ht="14.1" customHeight="1" x14ac:dyDescent="0.3">
      <c r="A6" s="12" t="s">
        <v>7</v>
      </c>
      <c r="B6" s="65"/>
      <c r="C6" s="52"/>
      <c r="D6" s="53"/>
      <c r="E6" s="54"/>
    </row>
    <row r="7" spans="1:6" s="4" customFormat="1" ht="14.1" customHeight="1" x14ac:dyDescent="0.3">
      <c r="A7" s="12" t="s">
        <v>37</v>
      </c>
      <c r="B7" s="65"/>
      <c r="C7" s="52"/>
      <c r="D7" s="55"/>
      <c r="E7" s="56"/>
    </row>
    <row r="8" spans="1:6" s="4" customFormat="1" ht="14.1" customHeight="1" x14ac:dyDescent="0.3">
      <c r="A8" s="12" t="s">
        <v>8</v>
      </c>
      <c r="B8" s="65"/>
      <c r="C8" s="52"/>
      <c r="D8" s="53"/>
      <c r="E8" s="54"/>
    </row>
    <row r="9" spans="1:6" s="4" customFormat="1" ht="14.1" customHeight="1" x14ac:dyDescent="0.3">
      <c r="A9" s="12" t="s">
        <v>9</v>
      </c>
      <c r="B9" s="65"/>
      <c r="C9" s="52"/>
      <c r="D9" s="53"/>
      <c r="E9" s="54"/>
    </row>
    <row r="10" spans="1:6" s="4" customFormat="1" ht="10.5" customHeight="1" x14ac:dyDescent="0.3">
      <c r="A10" s="12"/>
      <c r="B10" s="8"/>
      <c r="C10" s="57"/>
      <c r="D10" s="53"/>
      <c r="E10" s="54"/>
    </row>
    <row r="11" spans="1:6" s="4" customFormat="1" ht="14.1" customHeight="1" x14ac:dyDescent="0.3">
      <c r="A11" s="12" t="s">
        <v>12</v>
      </c>
      <c r="B11" s="14"/>
      <c r="C11" s="58"/>
      <c r="D11" s="53"/>
      <c r="E11" s="54"/>
    </row>
    <row r="12" spans="1:6" s="4" customFormat="1" ht="14.1" customHeight="1" x14ac:dyDescent="0.3">
      <c r="A12" s="45" t="s">
        <v>6</v>
      </c>
      <c r="B12" s="49"/>
      <c r="C12" s="58"/>
      <c r="D12" s="53"/>
      <c r="E12" s="54"/>
    </row>
    <row r="13" spans="1:6" s="4" customFormat="1" ht="14.1" customHeight="1" x14ac:dyDescent="0.3">
      <c r="A13" s="12" t="s">
        <v>7</v>
      </c>
      <c r="B13" s="49"/>
      <c r="C13" s="58"/>
      <c r="D13" s="53"/>
      <c r="E13" s="54"/>
    </row>
    <row r="14" spans="1:6" s="4" customFormat="1" ht="14.1" customHeight="1" x14ac:dyDescent="0.3">
      <c r="A14" s="12" t="s">
        <v>37</v>
      </c>
      <c r="B14" s="49"/>
      <c r="C14" s="58"/>
      <c r="D14" s="53"/>
      <c r="E14" s="54"/>
    </row>
    <row r="15" spans="1:6" ht="15.95" customHeight="1" x14ac:dyDescent="0.3">
      <c r="A15" s="44" t="s">
        <v>38</v>
      </c>
      <c r="B15" s="19"/>
      <c r="C15" s="58"/>
      <c r="D15" s="59"/>
      <c r="E15" s="60"/>
      <c r="F15" s="7"/>
    </row>
    <row r="16" spans="1:6" ht="13.5" customHeight="1" thickBot="1" x14ac:dyDescent="0.35">
      <c r="A16" s="20"/>
      <c r="B16" s="43" t="s">
        <v>0</v>
      </c>
      <c r="C16" s="58"/>
      <c r="D16" s="59"/>
      <c r="E16" s="60"/>
      <c r="F16" s="7"/>
    </row>
    <row r="17" spans="1:5" ht="15.95" customHeight="1" x14ac:dyDescent="0.3">
      <c r="A17" s="31" t="s">
        <v>15</v>
      </c>
      <c r="B17" s="46" t="s">
        <v>13</v>
      </c>
      <c r="C17" s="25" t="s">
        <v>28</v>
      </c>
      <c r="D17" s="25" t="s">
        <v>14</v>
      </c>
      <c r="E17" s="25" t="s">
        <v>16</v>
      </c>
    </row>
    <row r="18" spans="1:5" ht="15.95" customHeight="1" x14ac:dyDescent="0.3">
      <c r="A18" s="50"/>
      <c r="B18" s="22" t="s">
        <v>21</v>
      </c>
      <c r="C18" s="36"/>
      <c r="D18" s="21"/>
      <c r="E18" s="26" t="str">
        <f t="shared" ref="E18:E61" si="0">IF(SUM(A18)&gt;0,SUM(A18*D18),"")</f>
        <v/>
      </c>
    </row>
    <row r="19" spans="1:5" ht="15.95" customHeight="1" x14ac:dyDescent="0.3">
      <c r="A19" s="51"/>
      <c r="B19" s="23" t="s">
        <v>125</v>
      </c>
      <c r="C19" s="33" t="s">
        <v>29</v>
      </c>
      <c r="D19" s="42">
        <v>270</v>
      </c>
      <c r="E19" s="26" t="str">
        <f t="shared" si="0"/>
        <v/>
      </c>
    </row>
    <row r="20" spans="1:5" ht="15.95" customHeight="1" x14ac:dyDescent="0.3">
      <c r="A20" s="51"/>
      <c r="B20" s="23" t="s">
        <v>39</v>
      </c>
      <c r="C20" s="33" t="s">
        <v>29</v>
      </c>
      <c r="D20" s="21">
        <v>270</v>
      </c>
      <c r="E20" s="26" t="str">
        <f t="shared" si="0"/>
        <v/>
      </c>
    </row>
    <row r="21" spans="1:5" ht="15.95" customHeight="1" x14ac:dyDescent="0.3">
      <c r="A21" s="51"/>
      <c r="B21" s="23" t="s">
        <v>40</v>
      </c>
      <c r="C21" s="33" t="s">
        <v>29</v>
      </c>
      <c r="D21" s="21">
        <v>287</v>
      </c>
      <c r="E21" s="26" t="str">
        <f t="shared" si="0"/>
        <v/>
      </c>
    </row>
    <row r="22" spans="1:5" ht="15.95" customHeight="1" x14ac:dyDescent="0.3">
      <c r="A22" s="51"/>
      <c r="B22" s="23" t="s">
        <v>126</v>
      </c>
      <c r="C22" s="33" t="s">
        <v>29</v>
      </c>
      <c r="D22" s="21">
        <v>301</v>
      </c>
      <c r="E22" s="26" t="str">
        <f t="shared" si="0"/>
        <v/>
      </c>
    </row>
    <row r="23" spans="1:5" ht="15.95" customHeight="1" x14ac:dyDescent="0.3">
      <c r="A23" s="51"/>
      <c r="B23" s="23" t="s">
        <v>41</v>
      </c>
      <c r="C23" s="33" t="s">
        <v>29</v>
      </c>
      <c r="D23" s="21">
        <v>301</v>
      </c>
      <c r="E23" s="26" t="str">
        <f t="shared" si="0"/>
        <v/>
      </c>
    </row>
    <row r="24" spans="1:5" ht="15.95" customHeight="1" x14ac:dyDescent="0.3">
      <c r="A24" s="51"/>
      <c r="B24" s="23" t="s">
        <v>42</v>
      </c>
      <c r="C24" s="33" t="s">
        <v>29</v>
      </c>
      <c r="D24" s="21">
        <v>340</v>
      </c>
      <c r="E24" s="26" t="str">
        <f t="shared" si="0"/>
        <v/>
      </c>
    </row>
    <row r="25" spans="1:5" ht="15.95" customHeight="1" x14ac:dyDescent="0.3">
      <c r="A25" s="51"/>
      <c r="B25" s="23" t="s">
        <v>127</v>
      </c>
      <c r="C25" s="33" t="s">
        <v>29</v>
      </c>
      <c r="D25" s="21">
        <v>340</v>
      </c>
      <c r="E25" s="26" t="str">
        <f t="shared" si="0"/>
        <v/>
      </c>
    </row>
    <row r="26" spans="1:5" ht="15.95" customHeight="1" x14ac:dyDescent="0.3">
      <c r="A26" s="51"/>
      <c r="B26" s="23" t="s">
        <v>43</v>
      </c>
      <c r="C26" s="33" t="s">
        <v>29</v>
      </c>
      <c r="D26" s="21">
        <v>50</v>
      </c>
      <c r="E26" s="26" t="str">
        <f t="shared" si="0"/>
        <v/>
      </c>
    </row>
    <row r="27" spans="1:5" ht="15.95" customHeight="1" x14ac:dyDescent="0.3">
      <c r="A27" s="51"/>
      <c r="B27" s="23" t="s">
        <v>44</v>
      </c>
      <c r="C27" s="33" t="s">
        <v>29</v>
      </c>
      <c r="D27" s="21">
        <v>54</v>
      </c>
      <c r="E27" s="26" t="str">
        <f t="shared" si="0"/>
        <v/>
      </c>
    </row>
    <row r="28" spans="1:5" ht="15.95" customHeight="1" x14ac:dyDescent="0.3">
      <c r="A28" s="51"/>
      <c r="B28" s="23" t="s">
        <v>45</v>
      </c>
      <c r="C28" s="33" t="s">
        <v>29</v>
      </c>
      <c r="D28" s="21">
        <v>63</v>
      </c>
      <c r="E28" s="26" t="str">
        <f t="shared" si="0"/>
        <v/>
      </c>
    </row>
    <row r="29" spans="1:5" ht="15.95" customHeight="1" x14ac:dyDescent="0.3">
      <c r="A29" s="51"/>
      <c r="B29" s="22" t="s">
        <v>22</v>
      </c>
      <c r="C29" s="36"/>
      <c r="D29" s="21"/>
      <c r="E29" s="26" t="str">
        <f t="shared" si="0"/>
        <v/>
      </c>
    </row>
    <row r="30" spans="1:5" ht="15.95" customHeight="1" x14ac:dyDescent="0.3">
      <c r="A30" s="51"/>
      <c r="B30" s="23" t="s">
        <v>46</v>
      </c>
      <c r="C30" s="33" t="s">
        <v>32</v>
      </c>
      <c r="D30" s="21">
        <v>276</v>
      </c>
      <c r="E30" s="26" t="str">
        <f t="shared" si="0"/>
        <v/>
      </c>
    </row>
    <row r="31" spans="1:5" ht="15.95" customHeight="1" x14ac:dyDescent="0.3">
      <c r="A31" s="51"/>
      <c r="B31" s="23" t="s">
        <v>47</v>
      </c>
      <c r="C31" s="33" t="s">
        <v>32</v>
      </c>
      <c r="D31" s="21">
        <v>300</v>
      </c>
      <c r="E31" s="26" t="str">
        <f t="shared" si="0"/>
        <v/>
      </c>
    </row>
    <row r="32" spans="1:5" ht="15.95" customHeight="1" x14ac:dyDescent="0.3">
      <c r="A32" s="51"/>
      <c r="B32" s="23" t="s">
        <v>48</v>
      </c>
      <c r="C32" s="33" t="s">
        <v>32</v>
      </c>
      <c r="D32" s="21">
        <v>655</v>
      </c>
      <c r="E32" s="26" t="str">
        <f t="shared" si="0"/>
        <v/>
      </c>
    </row>
    <row r="33" spans="1:5" ht="15.95" customHeight="1" x14ac:dyDescent="0.3">
      <c r="A33" s="51"/>
      <c r="B33" s="22" t="s">
        <v>23</v>
      </c>
      <c r="C33" s="36"/>
      <c r="D33" s="21"/>
      <c r="E33" s="26" t="str">
        <f t="shared" si="0"/>
        <v/>
      </c>
    </row>
    <row r="34" spans="1:5" ht="15.95" customHeight="1" x14ac:dyDescent="0.3">
      <c r="A34" s="51"/>
      <c r="B34" s="23" t="s">
        <v>128</v>
      </c>
      <c r="C34" s="33" t="s">
        <v>29</v>
      </c>
      <c r="D34" s="21">
        <v>145</v>
      </c>
      <c r="E34" s="26" t="str">
        <f t="shared" si="0"/>
        <v/>
      </c>
    </row>
    <row r="35" spans="1:5" ht="15.95" customHeight="1" x14ac:dyDescent="0.3">
      <c r="A35" s="51"/>
      <c r="B35" s="23" t="s">
        <v>49</v>
      </c>
      <c r="C35" s="33" t="s">
        <v>29</v>
      </c>
      <c r="D35" s="21">
        <v>145</v>
      </c>
      <c r="E35" s="26" t="str">
        <f t="shared" si="0"/>
        <v/>
      </c>
    </row>
    <row r="36" spans="1:5" ht="15.95" customHeight="1" x14ac:dyDescent="0.3">
      <c r="A36" s="51"/>
      <c r="B36" s="23" t="s">
        <v>129</v>
      </c>
      <c r="C36" s="33" t="s">
        <v>29</v>
      </c>
      <c r="D36" s="21">
        <v>165</v>
      </c>
      <c r="E36" s="26" t="str">
        <f t="shared" si="0"/>
        <v/>
      </c>
    </row>
    <row r="37" spans="1:5" ht="15.95" customHeight="1" x14ac:dyDescent="0.3">
      <c r="A37" s="51"/>
      <c r="B37" s="23" t="s">
        <v>50</v>
      </c>
      <c r="C37" s="33" t="s">
        <v>29</v>
      </c>
      <c r="D37" s="21">
        <v>149</v>
      </c>
      <c r="E37" s="26" t="str">
        <f t="shared" si="0"/>
        <v/>
      </c>
    </row>
    <row r="38" spans="1:5" ht="15.95" customHeight="1" x14ac:dyDescent="0.3">
      <c r="A38" s="51"/>
      <c r="B38" s="23" t="s">
        <v>51</v>
      </c>
      <c r="C38" s="33" t="s">
        <v>29</v>
      </c>
      <c r="D38" s="21">
        <v>183</v>
      </c>
      <c r="E38" s="26" t="str">
        <f t="shared" si="0"/>
        <v/>
      </c>
    </row>
    <row r="39" spans="1:5" ht="15.95" customHeight="1" x14ac:dyDescent="0.3">
      <c r="A39" s="51"/>
      <c r="B39" s="23" t="s">
        <v>52</v>
      </c>
      <c r="C39" s="33" t="s">
        <v>29</v>
      </c>
      <c r="D39" s="21">
        <v>178</v>
      </c>
      <c r="E39" s="26" t="str">
        <f t="shared" si="0"/>
        <v/>
      </c>
    </row>
    <row r="40" spans="1:5" ht="15.95" customHeight="1" x14ac:dyDescent="0.3">
      <c r="A40" s="51"/>
      <c r="B40" s="23" t="s">
        <v>53</v>
      </c>
      <c r="C40" s="33" t="s">
        <v>29</v>
      </c>
      <c r="D40" s="21">
        <v>25</v>
      </c>
      <c r="E40" s="26" t="str">
        <f t="shared" si="0"/>
        <v/>
      </c>
    </row>
    <row r="41" spans="1:5" ht="15.95" customHeight="1" x14ac:dyDescent="0.3">
      <c r="A41" s="51"/>
      <c r="B41" s="23" t="s">
        <v>54</v>
      </c>
      <c r="C41" s="33" t="s">
        <v>29</v>
      </c>
      <c r="D41" s="21">
        <v>29</v>
      </c>
      <c r="E41" s="26" t="str">
        <f t="shared" si="0"/>
        <v/>
      </c>
    </row>
    <row r="42" spans="1:5" ht="15.95" customHeight="1" x14ac:dyDescent="0.3">
      <c r="A42" s="51"/>
      <c r="B42" s="23" t="s">
        <v>55</v>
      </c>
      <c r="C42" s="33" t="s">
        <v>29</v>
      </c>
      <c r="D42" s="21">
        <v>34</v>
      </c>
      <c r="E42" s="26" t="str">
        <f t="shared" si="0"/>
        <v/>
      </c>
    </row>
    <row r="43" spans="1:5" ht="15.95" customHeight="1" x14ac:dyDescent="0.3">
      <c r="A43" s="51"/>
      <c r="B43" s="22" t="s">
        <v>24</v>
      </c>
      <c r="C43" s="36"/>
      <c r="D43" s="21"/>
      <c r="E43" s="26" t="str">
        <f t="shared" si="0"/>
        <v/>
      </c>
    </row>
    <row r="44" spans="1:5" ht="15.95" customHeight="1" x14ac:dyDescent="0.3">
      <c r="A44" s="51"/>
      <c r="B44" s="23" t="s">
        <v>56</v>
      </c>
      <c r="C44" s="33" t="s">
        <v>32</v>
      </c>
      <c r="D44" s="21">
        <v>220</v>
      </c>
      <c r="E44" s="26" t="str">
        <f t="shared" si="0"/>
        <v/>
      </c>
    </row>
    <row r="45" spans="1:5" ht="15.95" customHeight="1" x14ac:dyDescent="0.3">
      <c r="A45" s="51"/>
      <c r="B45" s="23" t="s">
        <v>57</v>
      </c>
      <c r="C45" s="33" t="s">
        <v>32</v>
      </c>
      <c r="D45" s="21">
        <v>235</v>
      </c>
      <c r="E45" s="26" t="str">
        <f t="shared" si="0"/>
        <v/>
      </c>
    </row>
    <row r="46" spans="1:5" ht="15.95" customHeight="1" x14ac:dyDescent="0.3">
      <c r="A46" s="51"/>
      <c r="B46" s="23" t="s">
        <v>58</v>
      </c>
      <c r="C46" s="33" t="s">
        <v>32</v>
      </c>
      <c r="D46" s="21">
        <v>276</v>
      </c>
      <c r="E46" s="26" t="str">
        <f t="shared" si="0"/>
        <v/>
      </c>
    </row>
    <row r="47" spans="1:5" ht="15.95" customHeight="1" x14ac:dyDescent="0.3">
      <c r="A47" s="51"/>
      <c r="B47" s="22" t="s">
        <v>17</v>
      </c>
      <c r="C47" s="36"/>
      <c r="D47" s="21"/>
      <c r="E47" s="26" t="str">
        <f t="shared" si="0"/>
        <v/>
      </c>
    </row>
    <row r="48" spans="1:5" ht="15.95" customHeight="1" x14ac:dyDescent="0.3">
      <c r="A48" s="51"/>
      <c r="B48" s="23" t="s">
        <v>59</v>
      </c>
      <c r="C48" s="33" t="s">
        <v>33</v>
      </c>
      <c r="D48" s="21">
        <v>44</v>
      </c>
      <c r="E48" s="26" t="str">
        <f t="shared" si="0"/>
        <v/>
      </c>
    </row>
    <row r="49" spans="1:5" ht="15.95" customHeight="1" x14ac:dyDescent="0.3">
      <c r="A49" s="51"/>
      <c r="B49" s="23" t="s">
        <v>60</v>
      </c>
      <c r="C49" s="33" t="s">
        <v>33</v>
      </c>
      <c r="D49" s="21">
        <v>46</v>
      </c>
      <c r="E49" s="26" t="str">
        <f t="shared" si="0"/>
        <v/>
      </c>
    </row>
    <row r="50" spans="1:5" ht="15.95" customHeight="1" x14ac:dyDescent="0.3">
      <c r="A50" s="51"/>
      <c r="B50" s="23" t="s">
        <v>61</v>
      </c>
      <c r="C50" s="33" t="s">
        <v>33</v>
      </c>
      <c r="D50" s="21">
        <v>52</v>
      </c>
      <c r="E50" s="26" t="str">
        <f t="shared" si="0"/>
        <v/>
      </c>
    </row>
    <row r="51" spans="1:5" ht="15.95" customHeight="1" x14ac:dyDescent="0.3">
      <c r="A51" s="51"/>
      <c r="B51" s="22" t="s">
        <v>25</v>
      </c>
      <c r="C51" s="36"/>
      <c r="D51" s="21"/>
      <c r="E51" s="26" t="str">
        <f t="shared" si="0"/>
        <v/>
      </c>
    </row>
    <row r="52" spans="1:5" ht="15.95" customHeight="1" x14ac:dyDescent="0.3">
      <c r="A52" s="51"/>
      <c r="B52" s="23" t="s">
        <v>130</v>
      </c>
      <c r="C52" s="33" t="s">
        <v>29</v>
      </c>
      <c r="D52" s="21">
        <v>302</v>
      </c>
      <c r="E52" s="26" t="str">
        <f t="shared" si="0"/>
        <v/>
      </c>
    </row>
    <row r="53" spans="1:5" ht="15.95" customHeight="1" x14ac:dyDescent="0.3">
      <c r="A53" s="51"/>
      <c r="B53" s="23" t="s">
        <v>65</v>
      </c>
      <c r="C53" s="33" t="s">
        <v>29</v>
      </c>
      <c r="D53" s="21">
        <v>302</v>
      </c>
      <c r="E53" s="26" t="str">
        <f t="shared" si="0"/>
        <v/>
      </c>
    </row>
    <row r="54" spans="1:5" ht="15.95" customHeight="1" x14ac:dyDescent="0.3">
      <c r="A54" s="51"/>
      <c r="B54" s="23" t="s">
        <v>62</v>
      </c>
      <c r="C54" s="33" t="s">
        <v>29</v>
      </c>
      <c r="D54" s="21">
        <v>301</v>
      </c>
      <c r="E54" s="26" t="str">
        <f t="shared" si="0"/>
        <v/>
      </c>
    </row>
    <row r="55" spans="1:5" ht="15.95" customHeight="1" x14ac:dyDescent="0.3">
      <c r="A55" s="51"/>
      <c r="B55" s="23" t="s">
        <v>63</v>
      </c>
      <c r="C55" s="33" t="s">
        <v>29</v>
      </c>
      <c r="D55" s="21">
        <v>336</v>
      </c>
      <c r="E55" s="26" t="str">
        <f t="shared" si="0"/>
        <v/>
      </c>
    </row>
    <row r="56" spans="1:5" ht="15.95" customHeight="1" x14ac:dyDescent="0.3">
      <c r="A56" s="51"/>
      <c r="B56" s="23" t="s">
        <v>64</v>
      </c>
      <c r="C56" s="33" t="s">
        <v>29</v>
      </c>
      <c r="D56" s="21">
        <v>336</v>
      </c>
      <c r="E56" s="26" t="str">
        <f t="shared" si="0"/>
        <v/>
      </c>
    </row>
    <row r="57" spans="1:5" ht="15.95" customHeight="1" x14ac:dyDescent="0.3">
      <c r="A57" s="51"/>
      <c r="B57" s="23" t="s">
        <v>66</v>
      </c>
      <c r="C57" s="33" t="s">
        <v>29</v>
      </c>
      <c r="D57" s="21">
        <v>382</v>
      </c>
      <c r="E57" s="26" t="str">
        <f t="shared" si="0"/>
        <v/>
      </c>
    </row>
    <row r="58" spans="1:5" ht="15.95" customHeight="1" x14ac:dyDescent="0.3">
      <c r="A58" s="51"/>
      <c r="B58" s="23" t="s">
        <v>67</v>
      </c>
      <c r="C58" s="33" t="s">
        <v>29</v>
      </c>
      <c r="D58" s="21">
        <v>382</v>
      </c>
      <c r="E58" s="26" t="str">
        <f t="shared" si="0"/>
        <v/>
      </c>
    </row>
    <row r="59" spans="1:5" ht="15.95" customHeight="1" x14ac:dyDescent="0.3">
      <c r="A59" s="51"/>
      <c r="B59" s="23" t="s">
        <v>68</v>
      </c>
      <c r="C59" s="33" t="s">
        <v>29</v>
      </c>
      <c r="D59" s="21">
        <v>55</v>
      </c>
      <c r="E59" s="26" t="str">
        <f t="shared" si="0"/>
        <v/>
      </c>
    </row>
    <row r="60" spans="1:5" ht="15.95" customHeight="1" x14ac:dyDescent="0.3">
      <c r="A60" s="51"/>
      <c r="B60" s="23" t="s">
        <v>69</v>
      </c>
      <c r="C60" s="33" t="s">
        <v>29</v>
      </c>
      <c r="D60" s="21">
        <v>60</v>
      </c>
      <c r="E60" s="26" t="str">
        <f t="shared" si="0"/>
        <v/>
      </c>
    </row>
    <row r="61" spans="1:5" ht="15.95" customHeight="1" x14ac:dyDescent="0.3">
      <c r="A61" s="51"/>
      <c r="B61" s="23" t="s">
        <v>70</v>
      </c>
      <c r="C61" s="33" t="s">
        <v>29</v>
      </c>
      <c r="D61" s="21">
        <v>68</v>
      </c>
      <c r="E61" s="26" t="str">
        <f t="shared" si="0"/>
        <v/>
      </c>
    </row>
    <row r="62" spans="1:5" ht="15.95" customHeight="1" x14ac:dyDescent="0.3">
      <c r="A62" s="51"/>
      <c r="B62" s="22" t="s">
        <v>26</v>
      </c>
      <c r="C62" s="36"/>
      <c r="D62" s="21"/>
      <c r="E62" s="26"/>
    </row>
    <row r="63" spans="1:5" ht="15.95" customHeight="1" x14ac:dyDescent="0.3">
      <c r="A63" s="51"/>
      <c r="B63" s="23" t="s">
        <v>71</v>
      </c>
      <c r="C63" s="33" t="s">
        <v>29</v>
      </c>
      <c r="D63" s="21">
        <v>127</v>
      </c>
      <c r="E63" s="26" t="str">
        <f t="shared" ref="E63:E78" si="1">IF(SUM(A63)&gt;0,SUM(A63*D63),"")</f>
        <v/>
      </c>
    </row>
    <row r="64" spans="1:5" ht="15.95" customHeight="1" x14ac:dyDescent="0.3">
      <c r="A64" s="51"/>
      <c r="B64" s="23" t="s">
        <v>72</v>
      </c>
      <c r="C64" s="33" t="s">
        <v>29</v>
      </c>
      <c r="D64" s="21">
        <v>106</v>
      </c>
      <c r="E64" s="26" t="str">
        <f t="shared" si="1"/>
        <v/>
      </c>
    </row>
    <row r="65" spans="1:5" ht="15.95" customHeight="1" x14ac:dyDescent="0.3">
      <c r="A65" s="51"/>
      <c r="B65" s="23" t="s">
        <v>73</v>
      </c>
      <c r="C65" s="33" t="s">
        <v>29</v>
      </c>
      <c r="D65" s="21">
        <v>135</v>
      </c>
      <c r="E65" s="26" t="str">
        <f t="shared" si="1"/>
        <v/>
      </c>
    </row>
    <row r="66" spans="1:5" ht="15.95" customHeight="1" x14ac:dyDescent="0.3">
      <c r="A66" s="51"/>
      <c r="B66" s="23" t="s">
        <v>74</v>
      </c>
      <c r="C66" s="33" t="s">
        <v>29</v>
      </c>
      <c r="D66" s="21">
        <v>114</v>
      </c>
      <c r="E66" s="26" t="str">
        <f t="shared" si="1"/>
        <v/>
      </c>
    </row>
    <row r="67" spans="1:5" ht="15.95" customHeight="1" x14ac:dyDescent="0.3">
      <c r="A67" s="51"/>
      <c r="B67" s="23" t="s">
        <v>75</v>
      </c>
      <c r="C67" s="33" t="s">
        <v>29</v>
      </c>
      <c r="D67" s="21">
        <v>144</v>
      </c>
      <c r="E67" s="26" t="str">
        <f t="shared" si="1"/>
        <v/>
      </c>
    </row>
    <row r="68" spans="1:5" ht="15.95" customHeight="1" x14ac:dyDescent="0.3">
      <c r="A68" s="51"/>
      <c r="B68" s="23" t="s">
        <v>76</v>
      </c>
      <c r="C68" s="33" t="s">
        <v>29</v>
      </c>
      <c r="D68" s="21">
        <v>133</v>
      </c>
      <c r="E68" s="26" t="str">
        <f t="shared" si="1"/>
        <v/>
      </c>
    </row>
    <row r="69" spans="1:5" ht="15.95" customHeight="1" x14ac:dyDescent="0.3">
      <c r="A69" s="51"/>
      <c r="B69" s="23" t="s">
        <v>77</v>
      </c>
      <c r="C69" s="33" t="s">
        <v>29</v>
      </c>
      <c r="D69" s="21">
        <v>22</v>
      </c>
      <c r="E69" s="26" t="str">
        <f t="shared" si="1"/>
        <v/>
      </c>
    </row>
    <row r="70" spans="1:5" ht="15.95" customHeight="1" x14ac:dyDescent="0.3">
      <c r="A70" s="51"/>
      <c r="B70" s="23" t="s">
        <v>78</v>
      </c>
      <c r="C70" s="33" t="s">
        <v>29</v>
      </c>
      <c r="D70" s="21">
        <v>30</v>
      </c>
      <c r="E70" s="26" t="str">
        <f t="shared" si="1"/>
        <v/>
      </c>
    </row>
    <row r="71" spans="1:5" ht="15.95" customHeight="1" x14ac:dyDescent="0.3">
      <c r="A71" s="51"/>
      <c r="B71" s="22" t="s">
        <v>27</v>
      </c>
      <c r="C71" s="36"/>
      <c r="D71" s="21"/>
      <c r="E71" s="26" t="str">
        <f t="shared" si="1"/>
        <v/>
      </c>
    </row>
    <row r="72" spans="1:5" ht="15.95" customHeight="1" x14ac:dyDescent="0.3">
      <c r="A72" s="51"/>
      <c r="B72" s="23" t="s">
        <v>79</v>
      </c>
      <c r="C72" s="33" t="s">
        <v>32</v>
      </c>
      <c r="D72" s="21">
        <v>303</v>
      </c>
      <c r="E72" s="26" t="str">
        <f t="shared" si="1"/>
        <v/>
      </c>
    </row>
    <row r="73" spans="1:5" ht="15.95" customHeight="1" x14ac:dyDescent="0.3">
      <c r="A73" s="51"/>
      <c r="B73" s="23" t="s">
        <v>80</v>
      </c>
      <c r="C73" s="33" t="s">
        <v>32</v>
      </c>
      <c r="D73" s="21">
        <v>338</v>
      </c>
      <c r="E73" s="26" t="str">
        <f t="shared" si="1"/>
        <v/>
      </c>
    </row>
    <row r="74" spans="1:5" ht="15.95" customHeight="1" x14ac:dyDescent="0.3">
      <c r="A74" s="51"/>
      <c r="B74" s="23" t="s">
        <v>81</v>
      </c>
      <c r="C74" s="33" t="s">
        <v>32</v>
      </c>
      <c r="D74" s="21">
        <v>365</v>
      </c>
      <c r="E74" s="26" t="str">
        <f t="shared" si="1"/>
        <v/>
      </c>
    </row>
    <row r="75" spans="1:5" ht="15.95" customHeight="1" x14ac:dyDescent="0.3">
      <c r="A75" s="51"/>
      <c r="B75" s="22" t="s">
        <v>18</v>
      </c>
      <c r="C75" s="36"/>
      <c r="D75" s="21"/>
      <c r="E75" s="26" t="str">
        <f t="shared" si="1"/>
        <v/>
      </c>
    </row>
    <row r="76" spans="1:5" ht="15.95" customHeight="1" x14ac:dyDescent="0.3">
      <c r="A76" s="51"/>
      <c r="B76" s="23" t="s">
        <v>84</v>
      </c>
      <c r="C76" s="33" t="s">
        <v>33</v>
      </c>
      <c r="D76" s="21">
        <v>44</v>
      </c>
      <c r="E76" s="26" t="str">
        <f t="shared" si="1"/>
        <v/>
      </c>
    </row>
    <row r="77" spans="1:5" ht="15.95" customHeight="1" x14ac:dyDescent="0.3">
      <c r="A77" s="51"/>
      <c r="B77" s="23" t="s">
        <v>82</v>
      </c>
      <c r="C77" s="33" t="s">
        <v>33</v>
      </c>
      <c r="D77" s="21">
        <v>46</v>
      </c>
      <c r="E77" s="26" t="str">
        <f t="shared" si="1"/>
        <v/>
      </c>
    </row>
    <row r="78" spans="1:5" ht="15.95" customHeight="1" x14ac:dyDescent="0.3">
      <c r="A78" s="51"/>
      <c r="B78" s="23" t="s">
        <v>83</v>
      </c>
      <c r="C78" s="33" t="s">
        <v>33</v>
      </c>
      <c r="D78" s="21">
        <v>52</v>
      </c>
      <c r="E78" s="26" t="str">
        <f t="shared" si="1"/>
        <v/>
      </c>
    </row>
    <row r="79" spans="1:5" ht="15.95" customHeight="1" x14ac:dyDescent="0.3">
      <c r="A79" s="51"/>
      <c r="B79" s="22" t="s">
        <v>30</v>
      </c>
      <c r="C79" s="36"/>
      <c r="D79" s="21"/>
      <c r="E79" s="26" t="str">
        <f>IF(SUM(A79)&gt;0,SUM(A79*D79),"")</f>
        <v/>
      </c>
    </row>
    <row r="80" spans="1:5" ht="15.95" customHeight="1" x14ac:dyDescent="0.3">
      <c r="A80" s="51"/>
      <c r="B80" s="23" t="s">
        <v>85</v>
      </c>
      <c r="C80" s="33" t="s">
        <v>32</v>
      </c>
      <c r="D80" s="21">
        <v>332</v>
      </c>
      <c r="E80" s="26" t="str">
        <f>IF(SUM(A80)&gt;0,SUM(A80*D80),"")</f>
        <v/>
      </c>
    </row>
    <row r="81" spans="1:5" ht="15.95" customHeight="1" x14ac:dyDescent="0.3">
      <c r="A81" s="51"/>
      <c r="B81" s="23" t="s">
        <v>86</v>
      </c>
      <c r="C81" s="33" t="s">
        <v>33</v>
      </c>
      <c r="D81" s="21">
        <v>245</v>
      </c>
      <c r="E81" s="26" t="str">
        <f t="shared" ref="E81:E112" si="2">IF(SUM(A81)&gt;0,SUM(A81*D81),"")</f>
        <v/>
      </c>
    </row>
    <row r="82" spans="1:5" ht="15.95" customHeight="1" x14ac:dyDescent="0.3">
      <c r="A82" s="51"/>
      <c r="B82" s="23" t="s">
        <v>87</v>
      </c>
      <c r="C82" s="33" t="s">
        <v>33</v>
      </c>
      <c r="D82" s="21">
        <v>272</v>
      </c>
      <c r="E82" s="26" t="str">
        <f t="shared" si="2"/>
        <v/>
      </c>
    </row>
    <row r="83" spans="1:5" ht="15.95" customHeight="1" x14ac:dyDescent="0.3">
      <c r="A83" s="51"/>
      <c r="B83" s="22" t="s">
        <v>31</v>
      </c>
      <c r="C83" s="36"/>
      <c r="D83" s="21"/>
      <c r="E83" s="26" t="str">
        <f t="shared" si="2"/>
        <v/>
      </c>
    </row>
    <row r="84" spans="1:5" ht="15.95" customHeight="1" x14ac:dyDescent="0.3">
      <c r="A84" s="51"/>
      <c r="B84" s="23" t="s">
        <v>88</v>
      </c>
      <c r="C84" s="33" t="s">
        <v>34</v>
      </c>
      <c r="D84" s="21">
        <v>54</v>
      </c>
      <c r="E84" s="26" t="str">
        <f t="shared" si="2"/>
        <v/>
      </c>
    </row>
    <row r="85" spans="1:5" ht="15.95" customHeight="1" x14ac:dyDescent="0.3">
      <c r="A85" s="51"/>
      <c r="B85" s="23" t="s">
        <v>89</v>
      </c>
      <c r="C85" s="33" t="s">
        <v>35</v>
      </c>
      <c r="D85" s="21">
        <v>66</v>
      </c>
      <c r="E85" s="26" t="str">
        <f t="shared" si="2"/>
        <v/>
      </c>
    </row>
    <row r="86" spans="1:5" ht="15.95" customHeight="1" x14ac:dyDescent="0.3">
      <c r="A86" s="51"/>
      <c r="B86" s="23" t="s">
        <v>90</v>
      </c>
      <c r="C86" s="33" t="s">
        <v>36</v>
      </c>
      <c r="D86" s="21">
        <v>74</v>
      </c>
      <c r="E86" s="26" t="str">
        <f t="shared" si="2"/>
        <v/>
      </c>
    </row>
    <row r="87" spans="1:5" ht="15.95" customHeight="1" x14ac:dyDescent="0.3">
      <c r="A87" s="51"/>
      <c r="B87" s="23" t="s">
        <v>91</v>
      </c>
      <c r="C87" s="33" t="s">
        <v>29</v>
      </c>
      <c r="D87" s="21">
        <v>18</v>
      </c>
      <c r="E87" s="26" t="str">
        <f t="shared" si="2"/>
        <v/>
      </c>
    </row>
    <row r="88" spans="1:5" ht="15.95" customHeight="1" x14ac:dyDescent="0.3">
      <c r="A88" s="51"/>
      <c r="B88" s="23" t="s">
        <v>92</v>
      </c>
      <c r="C88" s="33" t="s">
        <v>29</v>
      </c>
      <c r="D88" s="21">
        <v>19</v>
      </c>
      <c r="E88" s="26" t="str">
        <f t="shared" si="2"/>
        <v/>
      </c>
    </row>
    <row r="89" spans="1:5" ht="15.95" customHeight="1" x14ac:dyDescent="0.3">
      <c r="A89" s="51"/>
      <c r="B89" s="23" t="s">
        <v>93</v>
      </c>
      <c r="C89" s="33" t="s">
        <v>29</v>
      </c>
      <c r="D89" s="21">
        <v>22</v>
      </c>
      <c r="E89" s="26" t="str">
        <f t="shared" si="2"/>
        <v/>
      </c>
    </row>
    <row r="90" spans="1:5" ht="15.95" customHeight="1" x14ac:dyDescent="0.3">
      <c r="A90" s="51"/>
      <c r="B90" s="23" t="s">
        <v>94</v>
      </c>
      <c r="C90" s="33" t="s">
        <v>34</v>
      </c>
      <c r="D90" s="21">
        <v>275</v>
      </c>
      <c r="E90" s="26" t="str">
        <f t="shared" si="2"/>
        <v/>
      </c>
    </row>
    <row r="91" spans="1:5" ht="15.95" customHeight="1" x14ac:dyDescent="0.3">
      <c r="A91" s="51"/>
      <c r="B91" s="23" t="s">
        <v>95</v>
      </c>
      <c r="C91" s="33" t="s">
        <v>35</v>
      </c>
      <c r="D91" s="21">
        <v>250</v>
      </c>
      <c r="E91" s="26" t="str">
        <f t="shared" si="2"/>
        <v/>
      </c>
    </row>
    <row r="92" spans="1:5" ht="15.95" customHeight="1" x14ac:dyDescent="0.3">
      <c r="A92" s="51"/>
      <c r="B92" s="23" t="s">
        <v>96</v>
      </c>
      <c r="C92" s="33" t="s">
        <v>36</v>
      </c>
      <c r="D92" s="21">
        <v>255</v>
      </c>
      <c r="E92" s="26" t="str">
        <f t="shared" si="2"/>
        <v/>
      </c>
    </row>
    <row r="93" spans="1:5" ht="15.95" customHeight="1" x14ac:dyDescent="0.3">
      <c r="A93" s="51"/>
      <c r="B93" s="23" t="s">
        <v>97</v>
      </c>
      <c r="C93" s="33" t="s">
        <v>32</v>
      </c>
      <c r="D93" s="21">
        <v>145</v>
      </c>
      <c r="E93" s="26" t="str">
        <f t="shared" si="2"/>
        <v/>
      </c>
    </row>
    <row r="94" spans="1:5" ht="15.95" customHeight="1" x14ac:dyDescent="0.3">
      <c r="A94" s="51"/>
      <c r="B94" s="23" t="s">
        <v>98</v>
      </c>
      <c r="C94" s="33" t="s">
        <v>32</v>
      </c>
      <c r="D94" s="21">
        <v>155</v>
      </c>
      <c r="E94" s="26" t="str">
        <f t="shared" si="2"/>
        <v/>
      </c>
    </row>
    <row r="95" spans="1:5" ht="15.95" customHeight="1" x14ac:dyDescent="0.3">
      <c r="A95" s="51"/>
      <c r="B95" s="23" t="s">
        <v>99</v>
      </c>
      <c r="C95" s="33" t="s">
        <v>32</v>
      </c>
      <c r="D95" s="21">
        <v>180</v>
      </c>
      <c r="E95" s="26" t="str">
        <f t="shared" si="2"/>
        <v/>
      </c>
    </row>
    <row r="96" spans="1:5" ht="15.95" customHeight="1" x14ac:dyDescent="0.3">
      <c r="A96" s="51"/>
      <c r="B96" s="22" t="s">
        <v>19</v>
      </c>
      <c r="C96" s="36"/>
      <c r="D96" s="21"/>
      <c r="E96" s="26" t="str">
        <f t="shared" si="2"/>
        <v/>
      </c>
    </row>
    <row r="97" spans="1:5" ht="15.95" customHeight="1" x14ac:dyDescent="0.3">
      <c r="A97" s="51"/>
      <c r="B97" s="23" t="s">
        <v>100</v>
      </c>
      <c r="C97" s="33" t="s">
        <v>29</v>
      </c>
      <c r="D97" s="21">
        <v>74</v>
      </c>
      <c r="E97" s="26" t="str">
        <f t="shared" si="2"/>
        <v/>
      </c>
    </row>
    <row r="98" spans="1:5" ht="15.95" customHeight="1" x14ac:dyDescent="0.3">
      <c r="A98" s="51"/>
      <c r="B98" s="23" t="s">
        <v>101</v>
      </c>
      <c r="C98" s="33" t="s">
        <v>29</v>
      </c>
      <c r="D98" s="21">
        <v>22</v>
      </c>
      <c r="E98" s="26" t="str">
        <f t="shared" si="2"/>
        <v/>
      </c>
    </row>
    <row r="99" spans="1:5" ht="15.95" customHeight="1" x14ac:dyDescent="0.3">
      <c r="A99" s="51"/>
      <c r="B99" s="23" t="s">
        <v>102</v>
      </c>
      <c r="C99" s="33" t="s">
        <v>29</v>
      </c>
      <c r="D99" s="21">
        <v>10</v>
      </c>
      <c r="E99" s="26" t="str">
        <f t="shared" si="2"/>
        <v/>
      </c>
    </row>
    <row r="100" spans="1:5" ht="15.95" customHeight="1" x14ac:dyDescent="0.3">
      <c r="A100" s="51"/>
      <c r="B100" s="23" t="s">
        <v>131</v>
      </c>
      <c r="C100" s="33" t="s">
        <v>29</v>
      </c>
      <c r="D100" s="21">
        <v>51</v>
      </c>
      <c r="E100" s="26" t="str">
        <f t="shared" si="2"/>
        <v/>
      </c>
    </row>
    <row r="101" spans="1:5" ht="15.95" customHeight="1" x14ac:dyDescent="0.3">
      <c r="A101" s="51"/>
      <c r="B101" s="23" t="s">
        <v>103</v>
      </c>
      <c r="C101" s="33" t="s">
        <v>29</v>
      </c>
      <c r="D101" s="21">
        <v>34</v>
      </c>
      <c r="E101" s="26" t="str">
        <f t="shared" si="2"/>
        <v/>
      </c>
    </row>
    <row r="102" spans="1:5" ht="15.95" customHeight="1" x14ac:dyDescent="0.3">
      <c r="A102" s="51"/>
      <c r="B102" s="23" t="s">
        <v>104</v>
      </c>
      <c r="C102" s="33" t="s">
        <v>29</v>
      </c>
      <c r="D102" s="21">
        <v>18</v>
      </c>
      <c r="E102" s="26" t="str">
        <f t="shared" si="2"/>
        <v/>
      </c>
    </row>
    <row r="103" spans="1:5" ht="15.95" customHeight="1" x14ac:dyDescent="0.3">
      <c r="A103" s="51"/>
      <c r="B103" s="23" t="s">
        <v>105</v>
      </c>
      <c r="C103" s="33" t="s">
        <v>29</v>
      </c>
      <c r="D103" s="21">
        <v>34</v>
      </c>
      <c r="E103" s="26" t="str">
        <f t="shared" si="2"/>
        <v/>
      </c>
    </row>
    <row r="104" spans="1:5" ht="15.95" customHeight="1" x14ac:dyDescent="0.3">
      <c r="A104" s="51"/>
      <c r="B104" s="23" t="s">
        <v>106</v>
      </c>
      <c r="C104" s="33" t="s">
        <v>29</v>
      </c>
      <c r="D104" s="21">
        <v>26</v>
      </c>
      <c r="E104" s="26" t="str">
        <f t="shared" si="2"/>
        <v/>
      </c>
    </row>
    <row r="105" spans="1:5" ht="15.95" customHeight="1" x14ac:dyDescent="0.3">
      <c r="A105" s="51"/>
      <c r="B105" s="22" t="s">
        <v>20</v>
      </c>
      <c r="C105" s="36"/>
      <c r="D105" s="21"/>
      <c r="E105" s="26" t="str">
        <f t="shared" si="2"/>
        <v/>
      </c>
    </row>
    <row r="106" spans="1:5" ht="15.95" customHeight="1" x14ac:dyDescent="0.3">
      <c r="A106" s="51"/>
      <c r="B106" s="23" t="s">
        <v>107</v>
      </c>
      <c r="C106" s="33" t="s">
        <v>29</v>
      </c>
      <c r="D106" s="21">
        <v>80</v>
      </c>
      <c r="E106" s="26" t="str">
        <f t="shared" si="2"/>
        <v/>
      </c>
    </row>
    <row r="107" spans="1:5" ht="15.95" customHeight="1" x14ac:dyDescent="0.3">
      <c r="A107" s="51"/>
      <c r="B107" s="23" t="s">
        <v>108</v>
      </c>
      <c r="C107" s="33" t="s">
        <v>29</v>
      </c>
      <c r="D107" s="21">
        <v>24</v>
      </c>
      <c r="E107" s="26" t="str">
        <f t="shared" si="2"/>
        <v/>
      </c>
    </row>
    <row r="108" spans="1:5" ht="15.95" customHeight="1" x14ac:dyDescent="0.3">
      <c r="A108" s="51"/>
      <c r="B108" s="23" t="s">
        <v>109</v>
      </c>
      <c r="C108" s="33" t="s">
        <v>29</v>
      </c>
      <c r="D108" s="21">
        <v>11</v>
      </c>
      <c r="E108" s="26" t="str">
        <f t="shared" si="2"/>
        <v/>
      </c>
    </row>
    <row r="109" spans="1:5" ht="15.95" customHeight="1" x14ac:dyDescent="0.3">
      <c r="A109" s="51"/>
      <c r="B109" s="23" t="s">
        <v>132</v>
      </c>
      <c r="C109" s="33" t="s">
        <v>29</v>
      </c>
      <c r="D109" s="21">
        <v>55</v>
      </c>
      <c r="E109" s="26" t="str">
        <f t="shared" si="2"/>
        <v/>
      </c>
    </row>
    <row r="110" spans="1:5" ht="15.95" customHeight="1" x14ac:dyDescent="0.3">
      <c r="A110" s="51"/>
      <c r="B110" s="23" t="s">
        <v>110</v>
      </c>
      <c r="C110" s="33" t="s">
        <v>29</v>
      </c>
      <c r="D110" s="21">
        <v>34</v>
      </c>
      <c r="E110" s="26" t="str">
        <f t="shared" si="2"/>
        <v/>
      </c>
    </row>
    <row r="111" spans="1:5" ht="15.95" customHeight="1" x14ac:dyDescent="0.3">
      <c r="A111" s="51"/>
      <c r="B111" s="23" t="s">
        <v>111</v>
      </c>
      <c r="C111" s="33" t="s">
        <v>29</v>
      </c>
      <c r="D111" s="21">
        <v>18</v>
      </c>
      <c r="E111" s="26" t="str">
        <f t="shared" si="2"/>
        <v/>
      </c>
    </row>
    <row r="112" spans="1:5" ht="15.95" customHeight="1" x14ac:dyDescent="0.3">
      <c r="A112" s="51"/>
      <c r="B112" s="23" t="s">
        <v>112</v>
      </c>
      <c r="C112" s="33" t="s">
        <v>29</v>
      </c>
      <c r="D112" s="21">
        <v>34</v>
      </c>
      <c r="E112" s="26" t="str">
        <f t="shared" si="2"/>
        <v/>
      </c>
    </row>
    <row r="113" spans="1:6" ht="15.95" customHeight="1" x14ac:dyDescent="0.3">
      <c r="A113" s="51"/>
      <c r="B113" s="23" t="s">
        <v>113</v>
      </c>
      <c r="C113" s="33" t="s">
        <v>29</v>
      </c>
      <c r="D113" s="21">
        <v>26</v>
      </c>
      <c r="E113" s="26" t="str">
        <f>IF(SUM(A113)&gt;0,SUM(A113*D113),"")</f>
        <v/>
      </c>
    </row>
    <row r="114" spans="1:6" ht="15.75" customHeight="1" x14ac:dyDescent="0.35">
      <c r="A114" s="71" t="s">
        <v>123</v>
      </c>
      <c r="B114" s="71"/>
      <c r="C114" s="71"/>
      <c r="D114" s="71"/>
      <c r="E114" s="27" t="s">
        <v>1</v>
      </c>
      <c r="F114" s="5" t="str">
        <f>IF(SUM(E18:E113)&gt;0,SUM(E18:E113),"")</f>
        <v/>
      </c>
    </row>
    <row r="115" spans="1:6" ht="15.75" customHeight="1" x14ac:dyDescent="0.35">
      <c r="A115" s="68" t="s">
        <v>117</v>
      </c>
      <c r="B115" s="68"/>
      <c r="C115" s="63"/>
      <c r="D115" s="63"/>
      <c r="E115" s="27" t="s">
        <v>2</v>
      </c>
      <c r="F115" s="9"/>
    </row>
    <row r="116" spans="1:6" ht="14.25" customHeight="1" x14ac:dyDescent="0.3">
      <c r="A116" s="68" t="s">
        <v>118</v>
      </c>
      <c r="B116" s="68"/>
      <c r="C116" s="63"/>
      <c r="D116" s="63"/>
      <c r="E116" s="27" t="s">
        <v>3</v>
      </c>
      <c r="F116" s="6" t="str">
        <f>IF(SUM(F114)&gt;0, SUM((F114*F115)+F114),"")</f>
        <v/>
      </c>
    </row>
    <row r="117" spans="1:6" s="11" customFormat="1" ht="12.75" customHeight="1" x14ac:dyDescent="0.3">
      <c r="A117" s="68" t="s">
        <v>114</v>
      </c>
      <c r="B117" s="68"/>
      <c r="C117" s="63"/>
      <c r="D117" s="63"/>
      <c r="E117" s="28"/>
      <c r="F117" s="10"/>
    </row>
    <row r="118" spans="1:6" s="11" customFormat="1" ht="12.75" customHeight="1" x14ac:dyDescent="0.3">
      <c r="A118" s="68" t="s">
        <v>119</v>
      </c>
      <c r="B118" s="68"/>
      <c r="C118" s="63"/>
      <c r="D118" s="63"/>
      <c r="E118" s="28"/>
      <c r="F118" s="10"/>
    </row>
    <row r="119" spans="1:6" s="11" customFormat="1" ht="12.75" customHeight="1" x14ac:dyDescent="0.3">
      <c r="A119" s="68" t="s">
        <v>120</v>
      </c>
      <c r="B119" s="68"/>
      <c r="C119" s="63"/>
      <c r="D119" s="63"/>
      <c r="E119" s="28"/>
      <c r="F119" s="10"/>
    </row>
    <row r="120" spans="1:6" s="11" customFormat="1" ht="12.75" customHeight="1" x14ac:dyDescent="0.3">
      <c r="A120" s="68" t="s">
        <v>121</v>
      </c>
      <c r="B120" s="68"/>
      <c r="C120" s="63"/>
      <c r="D120" s="63"/>
      <c r="E120" s="28"/>
      <c r="F120" s="10"/>
    </row>
    <row r="121" spans="1:6" s="11" customFormat="1" ht="12.75" customHeight="1" x14ac:dyDescent="0.3">
      <c r="A121" s="69" t="s">
        <v>122</v>
      </c>
      <c r="B121" s="69"/>
      <c r="C121" s="64"/>
      <c r="D121" s="64"/>
      <c r="E121" s="28"/>
      <c r="F121" s="10"/>
    </row>
    <row r="122" spans="1:6" s="61" customFormat="1" ht="16.5" customHeight="1" x14ac:dyDescent="0.2">
      <c r="A122" s="61" t="s">
        <v>124</v>
      </c>
    </row>
    <row r="123" spans="1:6" s="11" customFormat="1" ht="13.5" customHeight="1" x14ac:dyDescent="0.3">
      <c r="A123" s="62" t="s">
        <v>115</v>
      </c>
      <c r="B123" s="67" t="s">
        <v>116</v>
      </c>
      <c r="C123" s="67"/>
      <c r="D123" s="67"/>
      <c r="E123" s="29"/>
    </row>
    <row r="124" spans="1:6" s="11" customFormat="1" ht="12.75" customHeight="1" x14ac:dyDescent="0.3">
      <c r="A124" s="18"/>
      <c r="B124" s="18"/>
      <c r="C124" s="37"/>
      <c r="E124" s="18"/>
    </row>
    <row r="125" spans="1:6" s="11" customFormat="1" ht="12.75" customHeight="1" x14ac:dyDescent="0.3">
      <c r="A125" s="32"/>
      <c r="B125" s="18"/>
      <c r="C125" s="37"/>
      <c r="E125" s="18"/>
    </row>
    <row r="126" spans="1:6" s="11" customFormat="1" ht="12.75" customHeight="1" x14ac:dyDescent="0.3">
      <c r="A126" s="18"/>
      <c r="B126" s="18"/>
      <c r="C126" s="37"/>
      <c r="D126" s="2"/>
      <c r="E126" s="15"/>
      <c r="F126" s="2"/>
    </row>
    <row r="127" spans="1:6" s="11" customFormat="1" ht="12.75" customHeight="1" x14ac:dyDescent="0.3">
      <c r="A127" s="18"/>
      <c r="C127" s="38"/>
      <c r="D127" s="2"/>
      <c r="E127" s="15"/>
      <c r="F127" s="2"/>
    </row>
    <row r="128" spans="1:6" x14ac:dyDescent="0.3">
      <c r="B128" s="11"/>
      <c r="C128" s="38"/>
    </row>
    <row r="129" spans="2:3" x14ac:dyDescent="0.3">
      <c r="B129" s="11"/>
      <c r="C129" s="38"/>
    </row>
    <row r="130" spans="2:3" x14ac:dyDescent="0.3">
      <c r="B130" s="11"/>
      <c r="C130" s="38"/>
    </row>
    <row r="131" spans="2:3" x14ac:dyDescent="0.3">
      <c r="B131" s="16"/>
      <c r="C131" s="39"/>
    </row>
  </sheetData>
  <sheetProtection sheet="1" objects="1" scenarios="1"/>
  <mergeCells count="10">
    <mergeCell ref="B123:D123"/>
    <mergeCell ref="A120:B120"/>
    <mergeCell ref="A121:B121"/>
    <mergeCell ref="B2:E2"/>
    <mergeCell ref="A114:D114"/>
    <mergeCell ref="A115:B115"/>
    <mergeCell ref="A116:B116"/>
    <mergeCell ref="A117:B117"/>
    <mergeCell ref="A118:B118"/>
    <mergeCell ref="A119:B119"/>
  </mergeCells>
  <phoneticPr fontId="1" type="noConversion"/>
  <printOptions horizontalCentered="1"/>
  <pageMargins left="0.5" right="0.5" top="0.5" bottom="0.5" header="0.5" footer="0.5"/>
  <pageSetup scale="7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</vt:lpstr>
      <vt:lpstr>'Purchase Order'!Print_Area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Meditz, Pam</cp:lastModifiedBy>
  <cp:lastPrinted>2017-08-02T18:31:54Z</cp:lastPrinted>
  <dcterms:created xsi:type="dcterms:W3CDTF">2006-01-23T19:37:33Z</dcterms:created>
  <dcterms:modified xsi:type="dcterms:W3CDTF">2018-08-06T13:50:52Z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TC101514071033</vt:lpwstr>
  </property>
</Properties>
</file>