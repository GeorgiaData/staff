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meditz\Documents\My Documents\Operations\Red Book- Staff Resources documents-Policies\Agency Contracts\Uniforms\Polo shirt- Field Staff Uniform shirt\"/>
    </mc:Choice>
  </mc:AlternateContent>
  <xr:revisionPtr revIDLastSave="0" documentId="13_ncr:1_{F710228A-5AF8-4391-9136-9405422F105C}" xr6:coauthVersionLast="45" xr6:coauthVersionMax="45" xr10:uidLastSave="{00000000-0000-0000-0000-000000000000}"/>
  <bookViews>
    <workbookView xWindow="-120" yWindow="-120" windowWidth="29040" windowHeight="15840" xr2:uid="{437296B0-994A-4999-806B-A153DEB9D009}"/>
  </bookViews>
  <sheets>
    <sheet name="Polo cost sheet 2020-2021" sheetId="1" r:id="rId1"/>
  </sheets>
  <externalReferences>
    <externalReference r:id="rId2"/>
  </externalReferences>
  <definedNames>
    <definedName name="_xlnm.Print_Titles" localSheetId="0">'Polo cost sheet 2020-2021'!$1:$10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3" i="1" l="1"/>
  <c r="X23" i="1"/>
  <c r="Y23" i="1"/>
  <c r="Z23" i="1"/>
  <c r="W24" i="1"/>
  <c r="X24" i="1"/>
  <c r="Y24" i="1"/>
  <c r="Z24" i="1"/>
  <c r="W25" i="1"/>
  <c r="X25" i="1"/>
  <c r="Y25" i="1"/>
  <c r="Z25" i="1"/>
  <c r="W26" i="1"/>
  <c r="X26" i="1"/>
  <c r="Y26" i="1"/>
  <c r="Z26" i="1"/>
  <c r="W27" i="1"/>
  <c r="X27" i="1"/>
  <c r="Y27" i="1"/>
  <c r="Z27" i="1"/>
  <c r="W28" i="1"/>
  <c r="X28" i="1"/>
  <c r="Y28" i="1"/>
  <c r="Z28" i="1"/>
  <c r="W29" i="1"/>
  <c r="X29" i="1"/>
  <c r="Y29" i="1"/>
  <c r="Z29" i="1"/>
  <c r="W30" i="1"/>
  <c r="X30" i="1"/>
  <c r="Y30" i="1"/>
  <c r="Z30" i="1"/>
  <c r="W31" i="1"/>
  <c r="X31" i="1"/>
  <c r="Y31" i="1"/>
  <c r="Z31" i="1"/>
  <c r="Z22" i="1"/>
  <c r="Y22" i="1"/>
  <c r="X22" i="1"/>
  <c r="W22" i="1"/>
  <c r="H31" i="1" l="1"/>
  <c r="I31" i="1" s="1"/>
  <c r="H30" i="1"/>
  <c r="I30" i="1" s="1"/>
  <c r="H29" i="1"/>
  <c r="K29" i="1" s="1"/>
  <c r="H28" i="1"/>
  <c r="I28" i="1" s="1"/>
  <c r="H27" i="1"/>
  <c r="K27" i="1" s="1"/>
  <c r="H26" i="1"/>
  <c r="Q26" i="1" s="1"/>
  <c r="R26" i="1" s="1"/>
  <c r="H25" i="1"/>
  <c r="Q25" i="1" s="1"/>
  <c r="R25" i="1" s="1"/>
  <c r="H24" i="1"/>
  <c r="K24" i="1" s="1"/>
  <c r="H23" i="1"/>
  <c r="K23" i="1" s="1"/>
  <c r="H22" i="1"/>
  <c r="K22" i="1" s="1"/>
  <c r="H20" i="1"/>
  <c r="N20" i="1" s="1"/>
  <c r="O20" i="1" s="1"/>
  <c r="H19" i="1"/>
  <c r="N19" i="1" s="1"/>
  <c r="O19" i="1" s="1"/>
  <c r="H18" i="1"/>
  <c r="K18" i="1" s="1"/>
  <c r="H17" i="1"/>
  <c r="K17" i="1" s="1"/>
  <c r="H16" i="1"/>
  <c r="K16" i="1" s="1"/>
  <c r="H15" i="1"/>
  <c r="I15" i="1" s="1"/>
  <c r="H14" i="1"/>
  <c r="Q14" i="1" s="1"/>
  <c r="R14" i="1" s="1"/>
  <c r="H13" i="1"/>
  <c r="N13" i="1" s="1"/>
  <c r="H12" i="1"/>
  <c r="Q12" i="1" s="1"/>
  <c r="H11" i="1"/>
  <c r="T11" i="1" s="1"/>
  <c r="K13" i="1" l="1"/>
  <c r="M13" i="1" s="1"/>
  <c r="I11" i="1"/>
  <c r="J12" i="1"/>
  <c r="N11" i="1"/>
  <c r="P11" i="1" s="1"/>
  <c r="I13" i="1"/>
  <c r="J28" i="1"/>
  <c r="K11" i="1"/>
  <c r="Q11" i="1"/>
  <c r="S11" i="1" s="1"/>
  <c r="Q15" i="1"/>
  <c r="R15" i="1" s="1"/>
  <c r="K30" i="1"/>
  <c r="L30" i="1" s="1"/>
  <c r="K31" i="1"/>
  <c r="L31" i="1" s="1"/>
  <c r="J11" i="1"/>
  <c r="N12" i="1"/>
  <c r="P12" i="1" s="1"/>
  <c r="Q13" i="1"/>
  <c r="K15" i="1"/>
  <c r="L15" i="1" s="1"/>
  <c r="V11" i="1"/>
  <c r="U11" i="1"/>
  <c r="L17" i="1"/>
  <c r="M17" i="1"/>
  <c r="L22" i="1"/>
  <c r="M22" i="1"/>
  <c r="L29" i="1"/>
  <c r="M29" i="1"/>
  <c r="O13" i="1"/>
  <c r="P13" i="1"/>
  <c r="M24" i="1"/>
  <c r="L24" i="1"/>
  <c r="S12" i="1"/>
  <c r="R12" i="1"/>
  <c r="M16" i="1"/>
  <c r="L16" i="1"/>
  <c r="L18" i="1"/>
  <c r="M18" i="1"/>
  <c r="L23" i="1"/>
  <c r="M23" i="1"/>
  <c r="L27" i="1"/>
  <c r="M27" i="1"/>
  <c r="K12" i="1"/>
  <c r="O12" i="1"/>
  <c r="L13" i="1"/>
  <c r="T13" i="1"/>
  <c r="I14" i="1"/>
  <c r="I16" i="1"/>
  <c r="Q16" i="1"/>
  <c r="I17" i="1"/>
  <c r="Q17" i="1"/>
  <c r="I18" i="1"/>
  <c r="Q18" i="1"/>
  <c r="I19" i="1"/>
  <c r="I20" i="1"/>
  <c r="I22" i="1"/>
  <c r="Q22" i="1"/>
  <c r="I23" i="1"/>
  <c r="Q23" i="1"/>
  <c r="I24" i="1"/>
  <c r="Q24" i="1"/>
  <c r="I25" i="1"/>
  <c r="I26" i="1"/>
  <c r="I27" i="1"/>
  <c r="K28" i="1"/>
  <c r="I29" i="1"/>
  <c r="N14" i="1"/>
  <c r="O14" i="1" s="1"/>
  <c r="N25" i="1"/>
  <c r="O25" i="1" s="1"/>
  <c r="N26" i="1"/>
  <c r="O26" i="1" s="1"/>
  <c r="T15" i="1"/>
  <c r="U15" i="1" s="1"/>
  <c r="U32" i="1" s="1"/>
  <c r="N17" i="1"/>
  <c r="J18" i="1"/>
  <c r="K19" i="1"/>
  <c r="L19" i="1" s="1"/>
  <c r="Q19" i="1"/>
  <c r="R19" i="1" s="1"/>
  <c r="K20" i="1"/>
  <c r="L20" i="1" s="1"/>
  <c r="Q20" i="1"/>
  <c r="R20" i="1" s="1"/>
  <c r="R32" i="1" s="1"/>
  <c r="J22" i="1"/>
  <c r="N22" i="1"/>
  <c r="J23" i="1"/>
  <c r="N23" i="1"/>
  <c r="J24" i="1"/>
  <c r="N24" i="1"/>
  <c r="K25" i="1"/>
  <c r="L25" i="1" s="1"/>
  <c r="K26" i="1"/>
  <c r="L26" i="1" s="1"/>
  <c r="J27" i="1"/>
  <c r="J29" i="1"/>
  <c r="T14" i="1"/>
  <c r="U14" i="1" s="1"/>
  <c r="T12" i="1"/>
  <c r="K14" i="1"/>
  <c r="L14" i="1" s="1"/>
  <c r="N15" i="1"/>
  <c r="O15" i="1" s="1"/>
  <c r="J16" i="1"/>
  <c r="N16" i="1"/>
  <c r="J17" i="1"/>
  <c r="N18" i="1"/>
  <c r="I12" i="1"/>
  <c r="J13" i="1"/>
  <c r="O32" i="1" l="1"/>
  <c r="O11" i="1"/>
  <c r="R11" i="1"/>
  <c r="L32" i="1"/>
  <c r="R13" i="1"/>
  <c r="S13" i="1"/>
  <c r="L11" i="1"/>
  <c r="M11" i="1"/>
  <c r="O18" i="1"/>
  <c r="P18" i="1"/>
  <c r="O24" i="1"/>
  <c r="P24" i="1"/>
  <c r="O22" i="1"/>
  <c r="P22" i="1"/>
  <c r="V13" i="1"/>
  <c r="U13" i="1"/>
  <c r="M28" i="1"/>
  <c r="L28" i="1"/>
  <c r="S24" i="1"/>
  <c r="R24" i="1"/>
  <c r="S22" i="1"/>
  <c r="R22" i="1"/>
  <c r="S18" i="1"/>
  <c r="R18" i="1"/>
  <c r="S16" i="1"/>
  <c r="R16" i="1"/>
  <c r="O16" i="1"/>
  <c r="P16" i="1"/>
  <c r="U12" i="1"/>
  <c r="V12" i="1"/>
  <c r="O23" i="1"/>
  <c r="P23" i="1"/>
  <c r="O17" i="1"/>
  <c r="P17" i="1"/>
  <c r="S23" i="1"/>
  <c r="R23" i="1"/>
  <c r="S17" i="1"/>
  <c r="R17" i="1"/>
  <c r="M12" i="1"/>
  <c r="L12" i="1"/>
</calcChain>
</file>

<file path=xl/sharedStrings.xml><?xml version="1.0" encoding="utf-8"?>
<sst xmlns="http://schemas.openxmlformats.org/spreadsheetml/2006/main" count="172" uniqueCount="54">
  <si>
    <t xml:space="preserve">eRFQ Uniform Polo Shirts    </t>
  </si>
  <si>
    <t>RENEWAL #2</t>
  </si>
  <si>
    <t>COST SHEET</t>
  </si>
  <si>
    <t>Sizes</t>
  </si>
  <si>
    <t>Estimated</t>
  </si>
  <si>
    <t>Standard</t>
  </si>
  <si>
    <t>Unit</t>
  </si>
  <si>
    <t>Cost</t>
  </si>
  <si>
    <t>Non-Std</t>
  </si>
  <si>
    <t>Brand</t>
  </si>
  <si>
    <t>Style #</t>
  </si>
  <si>
    <t>Description</t>
  </si>
  <si>
    <t>Color</t>
  </si>
  <si>
    <t>Needed</t>
  </si>
  <si>
    <t>Quantity</t>
  </si>
  <si>
    <t>Size Range</t>
  </si>
  <si>
    <t>Price</t>
  </si>
  <si>
    <t>Extension</t>
  </si>
  <si>
    <t>XS-5XL</t>
  </si>
  <si>
    <t>XS-XL</t>
  </si>
  <si>
    <t>Min Range</t>
  </si>
  <si>
    <t>Max Range</t>
  </si>
  <si>
    <t>2XL</t>
  </si>
  <si>
    <t>3XL</t>
  </si>
  <si>
    <t>4XL</t>
  </si>
  <si>
    <t>5XL</t>
  </si>
  <si>
    <t>Port Authority
EZCotton Polo</t>
  </si>
  <si>
    <t>K8000</t>
  </si>
  <si>
    <t>Green Glen
(PMS 567C)</t>
  </si>
  <si>
    <t>1-3</t>
  </si>
  <si>
    <t>4-11</t>
  </si>
  <si>
    <t>12-144</t>
  </si>
  <si>
    <t>144+</t>
  </si>
  <si>
    <t>LK8000</t>
  </si>
  <si>
    <t>XS-4XL</t>
  </si>
  <si>
    <t>Antigua Pique
Xtra-lite Polo</t>
  </si>
  <si>
    <t>Grey Heather
011</t>
  </si>
  <si>
    <t>S-4XL</t>
  </si>
  <si>
    <t>S-XL</t>
  </si>
  <si>
    <t>S-2XL</t>
  </si>
  <si>
    <t xml:space="preserve">PeopleSoft ID # 0000608951= Klein Design/ Sharp Contract Embroidery </t>
  </si>
  <si>
    <t>Agency Contract # 46200-469-DNR0000517</t>
  </si>
  <si>
    <t>Pricing valid from 7/27/2020 through 7/26/2021</t>
  </si>
  <si>
    <t>Best value=12+ pieces to a single delivery location</t>
  </si>
  <si>
    <r>
      <rPr>
        <b/>
        <sz val="11"/>
        <color theme="1"/>
        <rFont val="Calibri"/>
        <family val="2"/>
        <scheme val="minor"/>
      </rPr>
      <t>Administrative Polo Shirt for Men:</t>
    </r>
    <r>
      <rPr>
        <sz val="11"/>
        <color theme="1"/>
        <rFont val="Calibri"/>
        <family val="2"/>
        <scheme val="minor"/>
      </rPr>
      <t xml:space="preserve">
100% cotton pique, 5.9 ounce, flat knit collar and cuffs, 3-button placket with dyed-to-match buttons, side vents, no pocket, embroidery logo on left chest =1 color silvery white (logo size 3.88 inches)</t>
    </r>
  </si>
  <si>
    <r>
      <rPr>
        <b/>
        <sz val="11"/>
        <color theme="1"/>
        <rFont val="Calibri"/>
        <family val="2"/>
        <scheme val="minor"/>
      </rPr>
      <t>Administrative Polo Shirt for Women:</t>
    </r>
    <r>
      <rPr>
        <sz val="11"/>
        <color theme="1"/>
        <rFont val="Calibri"/>
        <family val="2"/>
        <scheme val="minor"/>
      </rPr>
      <t xml:space="preserve">
100% cotton pique, 5.9 ounce, flat knit collar and cuffs, 3-button placket with dyed-to-match buttons, side vents, no pocket, embroidery logo on left chest= 1 color silvery white (logo size 3.88 inches)</t>
    </r>
  </si>
  <si>
    <r>
      <rPr>
        <b/>
        <sz val="11"/>
        <color theme="1"/>
        <rFont val="Calibri"/>
        <family val="2"/>
        <scheme val="minor"/>
      </rPr>
      <t>Maintenance Polo Shirt for Men:</t>
    </r>
    <r>
      <rPr>
        <sz val="11"/>
        <color theme="1"/>
        <rFont val="Calibri"/>
        <family val="2"/>
        <scheme val="minor"/>
      </rPr>
      <t xml:space="preserve">
100% polyester, flat knit collar &amp; open sleeves, moisture management pique, side vents, no pocket, 3-button placket, embroidery logo on left chest;=1 color black (logo size 3.88 inches)</t>
    </r>
  </si>
  <si>
    <r>
      <rPr>
        <b/>
        <sz val="11"/>
        <color theme="1"/>
        <rFont val="Calibri"/>
        <family val="2"/>
        <scheme val="minor"/>
      </rPr>
      <t>Maintenance Polo Shirt for Women:</t>
    </r>
    <r>
      <rPr>
        <sz val="11"/>
        <color theme="1"/>
        <rFont val="Calibri"/>
        <family val="2"/>
        <scheme val="minor"/>
      </rPr>
      <t xml:space="preserve">
100% polyester, flat knit collar &amp; open sleeves, moisture management pique, side vents, no pocket, 3-button placket, embroidery logo on left chest=1 color black (logo size 3.88 inches)</t>
    </r>
  </si>
  <si>
    <t>ANTIGUA-  MANUFACTURER DISCONTINUED SHIRT SPRING 2020 ------WHILE SUPPLIES LAST</t>
  </si>
  <si>
    <t>Tall XL</t>
  </si>
  <si>
    <t>Tall 2XL</t>
  </si>
  <si>
    <t>Tall 3XL</t>
  </si>
  <si>
    <t>Tall 4XL</t>
  </si>
  <si>
    <t>Style # 104257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</si>
</sst>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 diagonalUp="1" diagonalDown="1"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115">
    <xf numFmtId="0" fontId="0" fillId="0" borderId="0" xfId="0"/>
    <xf numFmtId="0" fontId="0" fillId="0" borderId="0" xfId="0" applyAlignment="1">
      <alignment horizontal="center"/>
    </xf>
    <xf numFmtId="164" fontId="1" fillId="0" borderId="0" xfId="0" applyNumberFormat="1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right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1" fillId="3" borderId="4" xfId="0" applyFont="1" applyFill="1" applyBorder="1"/>
    <xf numFmtId="164" fontId="1" fillId="3" borderId="2" xfId="0" applyNumberFormat="1" applyFont="1" applyFill="1" applyBorder="1"/>
    <xf numFmtId="0" fontId="1" fillId="0" borderId="5" xfId="0" applyFont="1" applyBorder="1"/>
    <xf numFmtId="0" fontId="1" fillId="0" borderId="5" xfId="0" applyFont="1" applyBorder="1" applyAlignment="1">
      <alignment horizontal="left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horizontal="center"/>
    </xf>
    <xf numFmtId="0" fontId="1" fillId="3" borderId="7" xfId="0" applyFont="1" applyFill="1" applyBorder="1"/>
    <xf numFmtId="164" fontId="1" fillId="3" borderId="5" xfId="0" applyNumberFormat="1" applyFont="1" applyFill="1" applyBorder="1"/>
    <xf numFmtId="0" fontId="0" fillId="0" borderId="8" xfId="0" applyBorder="1" applyAlignment="1">
      <alignment wrapText="1"/>
    </xf>
    <xf numFmtId="0" fontId="0" fillId="0" borderId="8" xfId="0" applyBorder="1" applyAlignment="1">
      <alignment horizontal="left"/>
    </xf>
    <xf numFmtId="0" fontId="0" fillId="0" borderId="8" xfId="0" applyBorder="1"/>
    <xf numFmtId="16" fontId="0" fillId="0" borderId="1" xfId="0" quotePrefix="1" applyNumberFormat="1" applyBorder="1" applyAlignment="1">
      <alignment horizontal="center"/>
    </xf>
    <xf numFmtId="164" fontId="0" fillId="2" borderId="8" xfId="0" applyNumberFormat="1" applyFill="1" applyBorder="1" applyAlignment="1">
      <alignment horizontal="center"/>
    </xf>
    <xf numFmtId="164" fontId="0" fillId="2" borderId="9" xfId="0" applyNumberFormat="1" applyFill="1" applyBorder="1"/>
    <xf numFmtId="0" fontId="0" fillId="0" borderId="1" xfId="0" quotePrefix="1" applyBorder="1" applyAlignment="1">
      <alignment horizontal="center"/>
    </xf>
    <xf numFmtId="164" fontId="0" fillId="2" borderId="8" xfId="0" applyNumberFormat="1" applyFill="1" applyBorder="1"/>
    <xf numFmtId="164" fontId="0" fillId="2" borderId="10" xfId="0" applyNumberFormat="1" applyFill="1" applyBorder="1" applyAlignment="1">
      <alignment horizontal="center"/>
    </xf>
    <xf numFmtId="164" fontId="0" fillId="2" borderId="8" xfId="0" applyNumberFormat="1" applyFill="1" applyBorder="1" applyProtection="1">
      <protection locked="0"/>
    </xf>
    <xf numFmtId="0" fontId="0" fillId="0" borderId="9" xfId="0" applyBorder="1" applyAlignment="1">
      <alignment horizontal="left"/>
    </xf>
    <xf numFmtId="0" fontId="0" fillId="0" borderId="9" xfId="0" applyBorder="1" applyAlignment="1">
      <alignment wrapText="1"/>
    </xf>
    <xf numFmtId="164" fontId="0" fillId="2" borderId="9" xfId="0" applyNumberFormat="1" applyFill="1" applyBorder="1" applyAlignment="1">
      <alignment horizontal="center"/>
    </xf>
    <xf numFmtId="0" fontId="0" fillId="0" borderId="9" xfId="0" applyBorder="1"/>
    <xf numFmtId="0" fontId="0" fillId="0" borderId="11" xfId="0" applyBorder="1" applyAlignment="1">
      <alignment horizontal="center"/>
    </xf>
    <xf numFmtId="164" fontId="1" fillId="2" borderId="8" xfId="0" applyNumberFormat="1" applyFont="1" applyFill="1" applyBorder="1" applyAlignment="1">
      <alignment horizontal="center"/>
    </xf>
    <xf numFmtId="164" fontId="0" fillId="2" borderId="9" xfId="0" applyNumberFormat="1" applyFill="1" applyBorder="1" applyProtection="1">
      <protection locked="0"/>
    </xf>
    <xf numFmtId="0" fontId="0" fillId="2" borderId="12" xfId="0" applyFill="1" applyBorder="1" applyProtection="1">
      <protection locked="0"/>
    </xf>
    <xf numFmtId="0" fontId="0" fillId="0" borderId="0" xfId="0" applyAlignment="1">
      <alignment vertical="center"/>
    </xf>
    <xf numFmtId="0" fontId="0" fillId="0" borderId="0" xfId="0" applyFill="1"/>
    <xf numFmtId="164" fontId="0" fillId="0" borderId="0" xfId="0" applyNumberFormat="1" applyFill="1"/>
    <xf numFmtId="164" fontId="1" fillId="0" borderId="0" xfId="0" applyNumberFormat="1" applyFont="1" applyFill="1"/>
    <xf numFmtId="0" fontId="2" fillId="0" borderId="0" xfId="0" applyFont="1" applyFill="1" applyAlignment="1">
      <alignment horizontal="center"/>
    </xf>
    <xf numFmtId="164" fontId="1" fillId="0" borderId="2" xfId="0" applyNumberFormat="1" applyFont="1" applyFill="1" applyBorder="1"/>
    <xf numFmtId="164" fontId="1" fillId="0" borderId="5" xfId="0" applyNumberFormat="1" applyFont="1" applyFill="1" applyBorder="1"/>
    <xf numFmtId="164" fontId="0" fillId="0" borderId="8" xfId="0" applyNumberFormat="1" applyFill="1" applyBorder="1" applyAlignment="1">
      <alignment horizontal="center"/>
    </xf>
    <xf numFmtId="164" fontId="0" fillId="0" borderId="9" xfId="0" applyNumberFormat="1" applyFill="1" applyBorder="1" applyAlignment="1">
      <alignment horizontal="center"/>
    </xf>
    <xf numFmtId="164" fontId="0" fillId="0" borderId="8" xfId="0" applyNumberFormat="1" applyFill="1" applyBorder="1" applyProtection="1">
      <protection locked="0"/>
    </xf>
    <xf numFmtId="164" fontId="1" fillId="0" borderId="8" xfId="0" applyNumberFormat="1" applyFont="1" applyFill="1" applyBorder="1" applyAlignment="1">
      <alignment horizontal="center"/>
    </xf>
    <xf numFmtId="164" fontId="0" fillId="0" borderId="9" xfId="0" applyNumberFormat="1" applyFill="1" applyBorder="1" applyProtection="1">
      <protection locked="0"/>
    </xf>
    <xf numFmtId="164" fontId="1" fillId="0" borderId="9" xfId="0" applyNumberFormat="1" applyFont="1" applyFill="1" applyBorder="1"/>
    <xf numFmtId="164" fontId="1" fillId="0" borderId="9" xfId="0" applyNumberFormat="1" applyFont="1" applyFill="1" applyBorder="1" applyProtection="1">
      <protection locked="0"/>
    </xf>
    <xf numFmtId="164" fontId="2" fillId="0" borderId="0" xfId="0" applyNumberFormat="1" applyFont="1" applyFill="1" applyBorder="1" applyAlignment="1">
      <alignment horizontal="center"/>
    </xf>
    <xf numFmtId="0" fontId="0" fillId="0" borderId="0" xfId="0" applyFill="1" applyBorder="1"/>
    <xf numFmtId="164" fontId="0" fillId="0" borderId="0" xfId="0" applyNumberFormat="1" applyFill="1" applyBorder="1"/>
    <xf numFmtId="0" fontId="2" fillId="0" borderId="0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0" fontId="1" fillId="0" borderId="2" xfId="0" applyFont="1" applyFill="1" applyBorder="1"/>
    <xf numFmtId="0" fontId="1" fillId="0" borderId="5" xfId="0" applyFont="1" applyFill="1" applyBorder="1"/>
    <xf numFmtId="0" fontId="0" fillId="0" borderId="8" xfId="0" applyFill="1" applyBorder="1" applyProtection="1">
      <protection locked="0"/>
    </xf>
    <xf numFmtId="164" fontId="0" fillId="0" borderId="8" xfId="0" applyNumberFormat="1" applyFill="1" applyBorder="1"/>
    <xf numFmtId="164" fontId="0" fillId="0" borderId="2" xfId="0" applyNumberFormat="1" applyFill="1" applyBorder="1" applyAlignment="1">
      <alignment horizontal="center"/>
    </xf>
    <xf numFmtId="0" fontId="0" fillId="0" borderId="9" xfId="0" applyFill="1" applyBorder="1" applyProtection="1">
      <protection locked="0"/>
    </xf>
    <xf numFmtId="164" fontId="0" fillId="0" borderId="9" xfId="0" applyNumberFormat="1" applyFill="1" applyBorder="1"/>
    <xf numFmtId="0" fontId="0" fillId="5" borderId="8" xfId="0" applyFill="1" applyBorder="1" applyAlignment="1">
      <alignment wrapText="1"/>
    </xf>
    <xf numFmtId="0" fontId="0" fillId="5" borderId="8" xfId="0" applyFill="1" applyBorder="1" applyAlignment="1">
      <alignment horizontal="left"/>
    </xf>
    <xf numFmtId="0" fontId="0" fillId="5" borderId="8" xfId="0" applyFill="1" applyBorder="1"/>
    <xf numFmtId="0" fontId="0" fillId="5" borderId="8" xfId="0" applyFill="1" applyBorder="1" applyProtection="1">
      <protection locked="0"/>
    </xf>
    <xf numFmtId="164" fontId="0" fillId="5" borderId="8" xfId="0" applyNumberFormat="1" applyFill="1" applyBorder="1" applyProtection="1">
      <protection locked="0"/>
    </xf>
    <xf numFmtId="164" fontId="0" fillId="5" borderId="8" xfId="0" applyNumberFormat="1" applyFill="1" applyBorder="1" applyAlignment="1">
      <alignment horizontal="center"/>
    </xf>
    <xf numFmtId="164" fontId="0" fillId="5" borderId="8" xfId="0" applyNumberFormat="1" applyFill="1" applyBorder="1"/>
    <xf numFmtId="0" fontId="3" fillId="5" borderId="1" xfId="0" quotePrefix="1" applyFont="1" applyFill="1" applyBorder="1" applyAlignment="1">
      <alignment horizontal="center"/>
    </xf>
    <xf numFmtId="0" fontId="0" fillId="5" borderId="9" xfId="0" applyFill="1" applyBorder="1" applyAlignment="1">
      <alignment horizontal="left"/>
    </xf>
    <xf numFmtId="0" fontId="0" fillId="5" borderId="9" xfId="0" applyFill="1" applyBorder="1" applyAlignment="1">
      <alignment wrapText="1"/>
    </xf>
    <xf numFmtId="0" fontId="0" fillId="5" borderId="9" xfId="0" applyFill="1" applyBorder="1"/>
    <xf numFmtId="164" fontId="0" fillId="5" borderId="2" xfId="0" applyNumberFormat="1" applyFill="1" applyBorder="1" applyAlignment="1">
      <alignment horizontal="center"/>
    </xf>
    <xf numFmtId="164" fontId="0" fillId="5" borderId="9" xfId="0" applyNumberFormat="1" applyFill="1" applyBorder="1" applyAlignment="1">
      <alignment horizontal="center"/>
    </xf>
    <xf numFmtId="164" fontId="0" fillId="5" borderId="13" xfId="0" applyNumberFormat="1" applyFill="1" applyBorder="1" applyProtection="1">
      <protection locked="0"/>
    </xf>
    <xf numFmtId="164" fontId="0" fillId="5" borderId="13" xfId="0" applyNumberFormat="1" applyFill="1" applyBorder="1" applyAlignment="1">
      <alignment horizontal="center"/>
    </xf>
    <xf numFmtId="164" fontId="0" fillId="0" borderId="14" xfId="0" applyNumberFormat="1" applyFill="1" applyBorder="1" applyProtection="1">
      <protection locked="0"/>
    </xf>
    <xf numFmtId="164" fontId="0" fillId="0" borderId="14" xfId="0" applyNumberFormat="1" applyFill="1" applyBorder="1" applyAlignment="1">
      <alignment horizontal="center"/>
    </xf>
    <xf numFmtId="164" fontId="1" fillId="0" borderId="14" xfId="0" applyNumberFormat="1" applyFont="1" applyFill="1" applyBorder="1" applyAlignment="1">
      <alignment horizontal="center"/>
    </xf>
    <xf numFmtId="164" fontId="0" fillId="0" borderId="13" xfId="0" applyNumberFormat="1" applyFill="1" applyBorder="1" applyProtection="1">
      <protection locked="0"/>
    </xf>
    <xf numFmtId="164" fontId="0" fillId="0" borderId="13" xfId="0" applyNumberFormat="1" applyFill="1" applyBorder="1" applyAlignment="1">
      <alignment horizontal="center"/>
    </xf>
    <xf numFmtId="164" fontId="0" fillId="0" borderId="13" xfId="0" applyNumberFormat="1" applyFill="1" applyBorder="1"/>
    <xf numFmtId="164" fontId="0" fillId="0" borderId="14" xfId="0" applyNumberFormat="1" applyFill="1" applyBorder="1"/>
    <xf numFmtId="0" fontId="3" fillId="0" borderId="0" xfId="0" applyFont="1" applyFill="1" applyBorder="1" applyAlignment="1">
      <alignment horizontal="center"/>
    </xf>
    <xf numFmtId="164" fontId="0" fillId="5" borderId="9" xfId="0" applyNumberFormat="1" applyFill="1" applyBorder="1" applyProtection="1">
      <protection locked="0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4" fillId="0" borderId="10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1" fontId="3" fillId="4" borderId="0" xfId="0" applyNumberFormat="1" applyFont="1" applyFill="1" applyAlignment="1">
      <alignment horizontal="left" wrapText="1"/>
    </xf>
    <xf numFmtId="0" fontId="3" fillId="0" borderId="0" xfId="0" applyFont="1" applyAlignment="1">
      <alignment horizontal="left"/>
    </xf>
    <xf numFmtId="1" fontId="5" fillId="0" borderId="3" xfId="0" applyNumberFormat="1" applyFont="1" applyBorder="1" applyAlignment="1">
      <alignment horizontal="left" vertical="center" wrapText="1"/>
    </xf>
    <xf numFmtId="1" fontId="5" fillId="0" borderId="0" xfId="0" applyNumberFormat="1" applyFont="1" applyAlignment="1">
      <alignment horizontal="left" vertical="center" wrapText="1"/>
    </xf>
    <xf numFmtId="0" fontId="2" fillId="5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164" fontId="0" fillId="0" borderId="9" xfId="0" applyNumberFormat="1" applyBorder="1"/>
    <xf numFmtId="0" fontId="0" fillId="0" borderId="15" xfId="0" applyBorder="1"/>
    <xf numFmtId="0" fontId="0" fillId="0" borderId="13" xfId="0" applyBorder="1"/>
    <xf numFmtId="164" fontId="0" fillId="0" borderId="13" xfId="0" applyNumberFormat="1" applyBorder="1"/>
    <xf numFmtId="164" fontId="0" fillId="2" borderId="10" xfId="0" applyNumberFormat="1" applyFill="1" applyBorder="1" applyProtection="1">
      <protection locked="0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164" fontId="0" fillId="5" borderId="14" xfId="0" applyNumberFormat="1" applyFill="1" applyBorder="1" applyProtection="1">
      <protection locked="0"/>
    </xf>
    <xf numFmtId="0" fontId="0" fillId="0" borderId="13" xfId="0" applyFill="1" applyBorder="1" applyProtection="1">
      <protection locked="0"/>
    </xf>
    <xf numFmtId="164" fontId="0" fillId="5" borderId="9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meditz/Documents/My%20Documents/Operations/FINANCIALS/Purchasing/Bid%20Documents/Uniform%20bid%20docs/2020%20Klein%20Design%20Renewal%202-%20E_Cost_Worksheet%20-%202020-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lo cost sheet 2020-2021"/>
      <sheetName val="Polo cost sheet 2019-2020"/>
      <sheetName val="Polo cost sheet 2018-2019"/>
    </sheetNames>
    <sheetDataSet>
      <sheetData sheetId="0"/>
      <sheetData sheetId="1">
        <row r="18">
          <cell r="H18">
            <v>40.258800000000001</v>
          </cell>
        </row>
        <row r="19">
          <cell r="H19">
            <v>28.609400000000001</v>
          </cell>
        </row>
        <row r="20">
          <cell r="H20">
            <v>17.3734</v>
          </cell>
        </row>
        <row r="21">
          <cell r="H21">
            <v>15.009600000000001</v>
          </cell>
        </row>
        <row r="22">
          <cell r="H22">
            <v>15.009600000000001</v>
          </cell>
        </row>
        <row r="23">
          <cell r="H23">
            <v>40.258800000000001</v>
          </cell>
        </row>
        <row r="24">
          <cell r="H24">
            <v>28.609400000000001</v>
          </cell>
        </row>
        <row r="25">
          <cell r="H25">
            <v>17.3734</v>
          </cell>
        </row>
        <row r="26">
          <cell r="H26">
            <v>15.009600000000001</v>
          </cell>
        </row>
        <row r="27">
          <cell r="H27">
            <v>15.009600000000001</v>
          </cell>
        </row>
        <row r="28">
          <cell r="H28">
            <v>45.844999999999999</v>
          </cell>
        </row>
        <row r="29">
          <cell r="H29">
            <v>33.39</v>
          </cell>
        </row>
        <row r="30">
          <cell r="H30">
            <v>21.358999999999998</v>
          </cell>
        </row>
        <row r="31">
          <cell r="H31">
            <v>20.055200000000003</v>
          </cell>
        </row>
        <row r="32">
          <cell r="H32">
            <v>20.055200000000003</v>
          </cell>
        </row>
        <row r="33">
          <cell r="H33">
            <v>45.844999999999999</v>
          </cell>
        </row>
        <row r="34">
          <cell r="H34">
            <v>33.39</v>
          </cell>
        </row>
        <row r="35">
          <cell r="H35">
            <v>21.358999999999998</v>
          </cell>
        </row>
        <row r="36">
          <cell r="H36">
            <v>20.055200000000003</v>
          </cell>
        </row>
        <row r="37">
          <cell r="H37">
            <v>20.055200000000003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B7C35-794C-4423-A60A-5C231023710B}">
  <sheetPr>
    <pageSetUpPr fitToPage="1"/>
  </sheetPr>
  <dimension ref="A1:Z33"/>
  <sheetViews>
    <sheetView tabSelected="1" zoomScale="90" zoomScaleNormal="90" workbookViewId="0">
      <pane ySplit="10" topLeftCell="A11" activePane="bottomLeft" state="frozen"/>
      <selection pane="bottomLeft" activeCell="F32" sqref="F32:K32"/>
    </sheetView>
  </sheetViews>
  <sheetFormatPr defaultRowHeight="15" x14ac:dyDescent="0.25"/>
  <cols>
    <col min="1" max="1" width="15.28515625" customWidth="1"/>
    <col min="2" max="2" width="8" style="3" customWidth="1"/>
    <col min="3" max="3" width="51" style="4" customWidth="1"/>
    <col min="4" max="4" width="13.140625" customWidth="1"/>
    <col min="5" max="5" width="9.28515625" customWidth="1"/>
    <col min="6" max="6" width="9.85546875" style="1" bestFit="1" customWidth="1"/>
    <col min="7" max="7" width="11.28515625" style="40" customWidth="1"/>
    <col min="8" max="8" width="10.42578125" style="41" customWidth="1"/>
    <col min="9" max="9" width="11" style="42" hidden="1" customWidth="1"/>
    <col min="10" max="10" width="10.7109375" style="41" hidden="1" customWidth="1"/>
    <col min="11" max="11" width="10.42578125" style="40" customWidth="1"/>
    <col min="12" max="12" width="12" style="41" hidden="1" customWidth="1"/>
    <col min="13" max="13" width="10.7109375" style="41" hidden="1" customWidth="1"/>
    <col min="14" max="14" width="10.5703125" style="40" customWidth="1"/>
    <col min="15" max="15" width="11" style="41" hidden="1" customWidth="1"/>
    <col min="16" max="16" width="10.7109375" style="41" hidden="1" customWidth="1"/>
    <col min="17" max="17" width="10.42578125" style="40" customWidth="1"/>
    <col min="18" max="18" width="11" style="40" hidden="1" customWidth="1"/>
    <col min="19" max="19" width="10.7109375" style="41" hidden="1" customWidth="1"/>
    <col min="20" max="20" width="10.28515625" style="40" customWidth="1"/>
    <col min="21" max="21" width="11" hidden="1" customWidth="1"/>
    <col min="22" max="22" width="10.7109375" hidden="1" customWidth="1"/>
    <col min="24" max="25" width="9.85546875" bestFit="1" customWidth="1"/>
  </cols>
  <sheetData>
    <row r="1" spans="1:26" x14ac:dyDescent="0.25">
      <c r="A1" s="92" t="s">
        <v>0</v>
      </c>
      <c r="B1" s="93"/>
      <c r="C1" s="93"/>
    </row>
    <row r="2" spans="1:26" ht="18.75" x14ac:dyDescent="0.3">
      <c r="D2" s="5" t="s">
        <v>1</v>
      </c>
    </row>
    <row r="3" spans="1:26" ht="18.75" x14ac:dyDescent="0.3">
      <c r="A3" s="94" t="s">
        <v>2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43"/>
    </row>
    <row r="4" spans="1:26" ht="18.75" x14ac:dyDescent="0.3">
      <c r="A4" s="6"/>
      <c r="B4" s="6"/>
      <c r="C4" s="6"/>
      <c r="D4" s="6"/>
      <c r="E4" s="6"/>
      <c r="F4" s="6"/>
      <c r="G4" s="43"/>
      <c r="H4" s="43"/>
      <c r="I4" s="43"/>
      <c r="J4" s="43"/>
      <c r="K4" s="43"/>
      <c r="L4" s="43"/>
      <c r="M4" s="43"/>
    </row>
    <row r="5" spans="1:26" s="54" customFormat="1" ht="18.75" x14ac:dyDescent="0.3">
      <c r="A5" s="98" t="s">
        <v>40</v>
      </c>
      <c r="B5" s="98"/>
      <c r="C5" s="98"/>
      <c r="D5" s="98"/>
      <c r="E5" s="102" t="s">
        <v>43</v>
      </c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</row>
    <row r="6" spans="1:26" s="54" customFormat="1" ht="18.75" x14ac:dyDescent="0.3">
      <c r="A6" s="99" t="s">
        <v>41</v>
      </c>
      <c r="B6" s="99"/>
      <c r="C6" s="99"/>
      <c r="D6" s="90"/>
      <c r="E6" s="56"/>
      <c r="F6" s="56"/>
      <c r="G6" s="56"/>
      <c r="H6" s="53"/>
      <c r="I6" s="53"/>
      <c r="J6" s="53"/>
      <c r="K6" s="56"/>
      <c r="L6" s="53"/>
      <c r="M6" s="53"/>
      <c r="O6" s="55"/>
      <c r="P6" s="55"/>
      <c r="S6" s="55"/>
    </row>
    <row r="7" spans="1:26" s="54" customFormat="1" ht="18.75" x14ac:dyDescent="0.3">
      <c r="A7" s="100" t="s">
        <v>42</v>
      </c>
      <c r="B7" s="101"/>
      <c r="C7" s="101"/>
      <c r="D7" s="90"/>
      <c r="E7" s="56"/>
      <c r="F7" s="56"/>
      <c r="G7" s="56"/>
      <c r="H7" s="53"/>
      <c r="I7" s="53"/>
      <c r="J7" s="53"/>
      <c r="K7" s="56"/>
      <c r="L7" s="53"/>
      <c r="M7" s="53"/>
      <c r="O7" s="55"/>
      <c r="P7" s="55"/>
      <c r="S7" s="55"/>
    </row>
    <row r="8" spans="1:26" x14ac:dyDescent="0.25">
      <c r="A8" s="8"/>
    </row>
    <row r="9" spans="1:26" x14ac:dyDescent="0.25">
      <c r="A9" s="9"/>
      <c r="B9" s="10"/>
      <c r="C9" s="11"/>
      <c r="D9" s="9"/>
      <c r="E9" s="9" t="s">
        <v>3</v>
      </c>
      <c r="F9" s="12" t="s">
        <v>4</v>
      </c>
      <c r="G9" s="61" t="s">
        <v>5</v>
      </c>
      <c r="H9" s="44" t="s">
        <v>6</v>
      </c>
      <c r="I9" s="44" t="s">
        <v>7</v>
      </c>
      <c r="J9" s="44"/>
      <c r="K9" s="57" t="s">
        <v>8</v>
      </c>
      <c r="L9" s="58"/>
      <c r="M9" s="58"/>
      <c r="N9" s="57" t="s">
        <v>8</v>
      </c>
      <c r="O9" s="57" t="s">
        <v>8</v>
      </c>
      <c r="P9" s="57" t="s">
        <v>8</v>
      </c>
      <c r="Q9" s="57" t="s">
        <v>8</v>
      </c>
      <c r="R9" s="57" t="s">
        <v>8</v>
      </c>
      <c r="S9" s="57" t="s">
        <v>8</v>
      </c>
      <c r="T9" s="57" t="s">
        <v>8</v>
      </c>
      <c r="U9" s="13"/>
      <c r="V9" s="14"/>
      <c r="W9" s="57" t="s">
        <v>8</v>
      </c>
      <c r="X9" s="57" t="s">
        <v>8</v>
      </c>
      <c r="Y9" s="57" t="s">
        <v>8</v>
      </c>
      <c r="Z9" s="57" t="s">
        <v>8</v>
      </c>
    </row>
    <row r="10" spans="1:26" ht="15.75" thickBot="1" x14ac:dyDescent="0.3">
      <c r="A10" s="15" t="s">
        <v>9</v>
      </c>
      <c r="B10" s="16" t="s">
        <v>10</v>
      </c>
      <c r="C10" s="17" t="s">
        <v>11</v>
      </c>
      <c r="D10" s="15" t="s">
        <v>12</v>
      </c>
      <c r="E10" s="15" t="s">
        <v>13</v>
      </c>
      <c r="F10" s="18" t="s">
        <v>14</v>
      </c>
      <c r="G10" s="62" t="s">
        <v>15</v>
      </c>
      <c r="H10" s="45" t="s">
        <v>16</v>
      </c>
      <c r="I10" s="45" t="s">
        <v>17</v>
      </c>
      <c r="J10" s="45"/>
      <c r="K10" s="59" t="s">
        <v>22</v>
      </c>
      <c r="L10" s="60" t="s">
        <v>20</v>
      </c>
      <c r="M10" s="60" t="s">
        <v>21</v>
      </c>
      <c r="N10" s="59" t="s">
        <v>23</v>
      </c>
      <c r="O10" s="60" t="s">
        <v>20</v>
      </c>
      <c r="P10" s="60" t="s">
        <v>21</v>
      </c>
      <c r="Q10" s="59" t="s">
        <v>24</v>
      </c>
      <c r="R10" s="59" t="s">
        <v>20</v>
      </c>
      <c r="S10" s="60" t="s">
        <v>21</v>
      </c>
      <c r="T10" s="59" t="s">
        <v>25</v>
      </c>
      <c r="U10" s="19"/>
      <c r="V10" s="20" t="s">
        <v>16</v>
      </c>
      <c r="W10" s="103" t="s">
        <v>49</v>
      </c>
      <c r="X10" s="103" t="s">
        <v>50</v>
      </c>
      <c r="Y10" s="103" t="s">
        <v>51</v>
      </c>
      <c r="Z10" s="60" t="s">
        <v>52</v>
      </c>
    </row>
    <row r="11" spans="1:26" ht="75" x14ac:dyDescent="0.25">
      <c r="A11" s="21" t="s">
        <v>26</v>
      </c>
      <c r="B11" s="22" t="s">
        <v>27</v>
      </c>
      <c r="C11" s="21" t="s">
        <v>44</v>
      </c>
      <c r="D11" s="21" t="s">
        <v>28</v>
      </c>
      <c r="E11" s="23" t="s">
        <v>18</v>
      </c>
      <c r="F11" s="24" t="s">
        <v>29</v>
      </c>
      <c r="G11" s="63" t="s">
        <v>19</v>
      </c>
      <c r="H11" s="48">
        <f>'[1]Polo cost sheet 2019-2020'!H18*1.06</f>
        <v>42.674328000000003</v>
      </c>
      <c r="I11" s="46">
        <f>H11*1</f>
        <v>42.674328000000003</v>
      </c>
      <c r="J11" s="64">
        <f>H11*3</f>
        <v>128.02298400000001</v>
      </c>
      <c r="K11" s="48">
        <f t="shared" ref="K11:K31" si="0">H11+2</f>
        <v>44.674328000000003</v>
      </c>
      <c r="L11" s="46">
        <f>K11*1</f>
        <v>44.674328000000003</v>
      </c>
      <c r="M11" s="64">
        <f>K11*3</f>
        <v>134.02298400000001</v>
      </c>
      <c r="N11" s="48">
        <f t="shared" ref="N11:N26" si="1">H11+3</f>
        <v>45.674328000000003</v>
      </c>
      <c r="O11" s="46">
        <f>N11*1</f>
        <v>45.674328000000003</v>
      </c>
      <c r="P11" s="64">
        <f>N11*3</f>
        <v>137.02298400000001</v>
      </c>
      <c r="Q11" s="48">
        <f>H11+4</f>
        <v>46.674328000000003</v>
      </c>
      <c r="R11" s="46">
        <f>Q11*1</f>
        <v>46.674328000000003</v>
      </c>
      <c r="S11" s="64">
        <f>Q11*3</f>
        <v>140.02298400000001</v>
      </c>
      <c r="T11" s="48">
        <f>H11+5</f>
        <v>47.674328000000003</v>
      </c>
      <c r="U11" s="25">
        <f>T11*1</f>
        <v>47.674328000000003</v>
      </c>
      <c r="V11" s="26">
        <f>T11*3</f>
        <v>143.02298400000001</v>
      </c>
      <c r="W11" s="105"/>
      <c r="X11" s="105"/>
      <c r="Y11" s="105"/>
      <c r="Z11" s="105"/>
    </row>
    <row r="12" spans="1:26" ht="75" x14ac:dyDescent="0.25">
      <c r="A12" s="21" t="s">
        <v>26</v>
      </c>
      <c r="B12" s="22" t="s">
        <v>27</v>
      </c>
      <c r="C12" s="21" t="s">
        <v>44</v>
      </c>
      <c r="D12" s="21" t="s">
        <v>28</v>
      </c>
      <c r="E12" s="23" t="s">
        <v>18</v>
      </c>
      <c r="F12" s="27" t="s">
        <v>30</v>
      </c>
      <c r="G12" s="63" t="s">
        <v>19</v>
      </c>
      <c r="H12" s="48">
        <f>'[1]Polo cost sheet 2019-2020'!H19*1.06</f>
        <v>30.325964000000003</v>
      </c>
      <c r="I12" s="46">
        <f>H12*4</f>
        <v>121.30385600000001</v>
      </c>
      <c r="J12" s="64">
        <f>H12*11</f>
        <v>333.58560400000005</v>
      </c>
      <c r="K12" s="48">
        <f t="shared" si="0"/>
        <v>32.325963999999999</v>
      </c>
      <c r="L12" s="46">
        <f>K12*4</f>
        <v>129.303856</v>
      </c>
      <c r="M12" s="64">
        <f>K12*11</f>
        <v>355.58560399999999</v>
      </c>
      <c r="N12" s="48">
        <f t="shared" si="1"/>
        <v>33.325963999999999</v>
      </c>
      <c r="O12" s="46">
        <f>N12*4</f>
        <v>133.303856</v>
      </c>
      <c r="P12" s="64">
        <f>N12*11</f>
        <v>366.58560399999999</v>
      </c>
      <c r="Q12" s="48">
        <f>H12+4</f>
        <v>34.325963999999999</v>
      </c>
      <c r="R12" s="46">
        <f>Q12*4</f>
        <v>137.303856</v>
      </c>
      <c r="S12" s="64">
        <f>Q12*11</f>
        <v>377.58560399999999</v>
      </c>
      <c r="T12" s="48">
        <f>H12+5</f>
        <v>35.325963999999999</v>
      </c>
      <c r="U12" s="25">
        <f>T12*4</f>
        <v>141.303856</v>
      </c>
      <c r="V12" s="28">
        <f>T12*11</f>
        <v>388.58560399999999</v>
      </c>
      <c r="W12" s="106"/>
      <c r="X12" s="107"/>
      <c r="Y12" s="107"/>
      <c r="Z12" s="106"/>
    </row>
    <row r="13" spans="1:26" ht="75" x14ac:dyDescent="0.25">
      <c r="A13" s="68" t="s">
        <v>26</v>
      </c>
      <c r="B13" s="69" t="s">
        <v>27</v>
      </c>
      <c r="C13" s="68" t="s">
        <v>44</v>
      </c>
      <c r="D13" s="68" t="s">
        <v>28</v>
      </c>
      <c r="E13" s="70" t="s">
        <v>18</v>
      </c>
      <c r="F13" s="75" t="s">
        <v>31</v>
      </c>
      <c r="G13" s="71" t="s">
        <v>19</v>
      </c>
      <c r="H13" s="72">
        <f>'[1]Polo cost sheet 2019-2020'!H20*1.06</f>
        <v>18.415804000000001</v>
      </c>
      <c r="I13" s="73">
        <f>H13*12</f>
        <v>220.98964800000002</v>
      </c>
      <c r="J13" s="74">
        <f>H13*144</f>
        <v>2651.8757760000003</v>
      </c>
      <c r="K13" s="72">
        <f t="shared" si="0"/>
        <v>20.415804000000001</v>
      </c>
      <c r="L13" s="73">
        <f>K13*12</f>
        <v>244.98964800000002</v>
      </c>
      <c r="M13" s="74">
        <f>K13*144</f>
        <v>2939.8757760000003</v>
      </c>
      <c r="N13" s="72">
        <f t="shared" si="1"/>
        <v>21.415804000000001</v>
      </c>
      <c r="O13" s="73">
        <f>N13*12</f>
        <v>256.98964799999999</v>
      </c>
      <c r="P13" s="74">
        <f>N13*144</f>
        <v>3083.8757760000003</v>
      </c>
      <c r="Q13" s="72">
        <f>H13+4</f>
        <v>22.415804000000001</v>
      </c>
      <c r="R13" s="73">
        <f>Q13*12</f>
        <v>268.98964799999999</v>
      </c>
      <c r="S13" s="74">
        <f>Q13*144</f>
        <v>3227.8757760000003</v>
      </c>
      <c r="T13" s="72">
        <f>H13+5</f>
        <v>23.415804000000001</v>
      </c>
      <c r="U13" s="25">
        <f>T13*12</f>
        <v>280.98964799999999</v>
      </c>
      <c r="V13" s="26">
        <f>T13*144</f>
        <v>3371.8757760000003</v>
      </c>
      <c r="W13" s="106"/>
      <c r="X13" s="107"/>
      <c r="Y13" s="107"/>
      <c r="Z13" s="106"/>
    </row>
    <row r="14" spans="1:26" ht="75" x14ac:dyDescent="0.25">
      <c r="A14" s="21" t="s">
        <v>26</v>
      </c>
      <c r="B14" s="22" t="s">
        <v>27</v>
      </c>
      <c r="C14" s="21" t="s">
        <v>44</v>
      </c>
      <c r="D14" s="21" t="s">
        <v>28</v>
      </c>
      <c r="E14" s="23" t="s">
        <v>18</v>
      </c>
      <c r="F14" s="27" t="s">
        <v>32</v>
      </c>
      <c r="G14" s="63" t="s">
        <v>19</v>
      </c>
      <c r="H14" s="48">
        <f>'[1]Polo cost sheet 2019-2020'!H21*1.06</f>
        <v>15.910176000000002</v>
      </c>
      <c r="I14" s="47">
        <f>H14*144</f>
        <v>2291.0653440000001</v>
      </c>
      <c r="J14" s="64"/>
      <c r="K14" s="48">
        <f t="shared" si="0"/>
        <v>17.910176</v>
      </c>
      <c r="L14" s="47">
        <f>K14*144</f>
        <v>2579.0653440000001</v>
      </c>
      <c r="M14" s="50"/>
      <c r="N14" s="48">
        <f t="shared" si="1"/>
        <v>18.910176</v>
      </c>
      <c r="O14" s="47">
        <f>N14*144</f>
        <v>2723.0653440000001</v>
      </c>
      <c r="P14" s="50"/>
      <c r="Q14" s="48">
        <f t="shared" ref="Q14:Q15" si="2">H14+4</f>
        <v>19.910176</v>
      </c>
      <c r="R14" s="47">
        <f>Q14*144</f>
        <v>2867.0653440000001</v>
      </c>
      <c r="S14" s="48"/>
      <c r="T14" s="48">
        <f t="shared" ref="T14:T15" si="3">H14+5</f>
        <v>20.910176</v>
      </c>
      <c r="U14" s="29">
        <f>T14*144</f>
        <v>3011.0653440000001</v>
      </c>
      <c r="V14" s="30"/>
      <c r="W14" s="106"/>
      <c r="X14" s="107"/>
      <c r="Y14" s="106"/>
      <c r="Z14" s="106"/>
    </row>
    <row r="15" spans="1:26" ht="75" x14ac:dyDescent="0.25">
      <c r="A15" s="21" t="s">
        <v>26</v>
      </c>
      <c r="B15" s="22" t="s">
        <v>27</v>
      </c>
      <c r="C15" s="21" t="s">
        <v>44</v>
      </c>
      <c r="D15" s="21" t="s">
        <v>28</v>
      </c>
      <c r="E15" s="23" t="s">
        <v>18</v>
      </c>
      <c r="F15" s="27">
        <v>325</v>
      </c>
      <c r="G15" s="63" t="s">
        <v>19</v>
      </c>
      <c r="H15" s="48">
        <f>'[1]Polo cost sheet 2019-2020'!H22*1.06</f>
        <v>15.910176000000002</v>
      </c>
      <c r="I15" s="49">
        <f>H15*F15</f>
        <v>5170.8072000000002</v>
      </c>
      <c r="J15" s="64"/>
      <c r="K15" s="48">
        <f t="shared" si="0"/>
        <v>17.910176</v>
      </c>
      <c r="L15" s="46">
        <f>K15*325</f>
        <v>5820.8072000000002</v>
      </c>
      <c r="M15" s="48"/>
      <c r="N15" s="48">
        <f t="shared" si="1"/>
        <v>18.910176</v>
      </c>
      <c r="O15" s="46">
        <f>N15*325</f>
        <v>6145.8072000000002</v>
      </c>
      <c r="P15" s="48"/>
      <c r="Q15" s="48">
        <f t="shared" si="2"/>
        <v>19.910176</v>
      </c>
      <c r="R15" s="46">
        <f>Q15*325</f>
        <v>6470.8072000000002</v>
      </c>
      <c r="S15" s="48"/>
      <c r="T15" s="48">
        <f t="shared" si="3"/>
        <v>20.910176</v>
      </c>
      <c r="U15" s="25">
        <f>T15*325</f>
        <v>6795.8072000000002</v>
      </c>
      <c r="V15" s="30"/>
      <c r="W15" s="106"/>
      <c r="X15" s="106"/>
      <c r="Y15" s="106"/>
      <c r="Z15" s="106"/>
    </row>
    <row r="16" spans="1:26" ht="75" x14ac:dyDescent="0.25">
      <c r="A16" s="21" t="s">
        <v>26</v>
      </c>
      <c r="B16" s="31" t="s">
        <v>33</v>
      </c>
      <c r="C16" s="32" t="s">
        <v>45</v>
      </c>
      <c r="D16" s="32" t="s">
        <v>28</v>
      </c>
      <c r="E16" s="23"/>
      <c r="F16" s="24" t="s">
        <v>29</v>
      </c>
      <c r="G16" s="63" t="s">
        <v>19</v>
      </c>
      <c r="H16" s="48">
        <f>'[1]Polo cost sheet 2019-2020'!H23*1.06</f>
        <v>42.674328000000003</v>
      </c>
      <c r="I16" s="46">
        <f>H16*1</f>
        <v>42.674328000000003</v>
      </c>
      <c r="J16" s="64">
        <f>H16*3</f>
        <v>128.02298400000001</v>
      </c>
      <c r="K16" s="48">
        <f t="shared" si="0"/>
        <v>44.674328000000003</v>
      </c>
      <c r="L16" s="46">
        <f>K16*1</f>
        <v>44.674328000000003</v>
      </c>
      <c r="M16" s="64">
        <f>K16*3</f>
        <v>134.02298400000001</v>
      </c>
      <c r="N16" s="48">
        <f t="shared" si="1"/>
        <v>45.674328000000003</v>
      </c>
      <c r="O16" s="46">
        <f>N16*1</f>
        <v>45.674328000000003</v>
      </c>
      <c r="P16" s="64">
        <f>N16*3</f>
        <v>137.02298400000001</v>
      </c>
      <c r="Q16" s="48">
        <f>H16+4</f>
        <v>46.674328000000003</v>
      </c>
      <c r="R16" s="46">
        <f>Q16*1</f>
        <v>46.674328000000003</v>
      </c>
      <c r="S16" s="64">
        <f>Q16*3</f>
        <v>140.02298400000001</v>
      </c>
      <c r="T16" s="48"/>
      <c r="U16" s="25"/>
      <c r="V16" s="30"/>
      <c r="W16" s="107"/>
      <c r="X16" s="106"/>
      <c r="Y16" s="106"/>
      <c r="Z16" s="106"/>
    </row>
    <row r="17" spans="1:26" ht="75" x14ac:dyDescent="0.25">
      <c r="A17" s="21" t="s">
        <v>26</v>
      </c>
      <c r="B17" s="31" t="s">
        <v>33</v>
      </c>
      <c r="C17" s="32" t="s">
        <v>45</v>
      </c>
      <c r="D17" s="32" t="s">
        <v>28</v>
      </c>
      <c r="E17" s="23"/>
      <c r="F17" s="27" t="s">
        <v>30</v>
      </c>
      <c r="G17" s="63" t="s">
        <v>19</v>
      </c>
      <c r="H17" s="48">
        <f>'[1]Polo cost sheet 2019-2020'!H24*1.06</f>
        <v>30.325964000000003</v>
      </c>
      <c r="I17" s="46">
        <f>H17*4</f>
        <v>121.30385600000001</v>
      </c>
      <c r="J17" s="64">
        <f>H17*11</f>
        <v>333.58560400000005</v>
      </c>
      <c r="K17" s="48">
        <f t="shared" si="0"/>
        <v>32.325963999999999</v>
      </c>
      <c r="L17" s="46">
        <f>K17*4</f>
        <v>129.303856</v>
      </c>
      <c r="M17" s="64">
        <f>K17*11</f>
        <v>355.58560399999999</v>
      </c>
      <c r="N17" s="48">
        <f t="shared" si="1"/>
        <v>33.325963999999999</v>
      </c>
      <c r="O17" s="46">
        <f>N17*4</f>
        <v>133.303856</v>
      </c>
      <c r="P17" s="64">
        <f>N17*11</f>
        <v>366.58560399999999</v>
      </c>
      <c r="Q17" s="48">
        <f>H17+4</f>
        <v>34.325963999999999</v>
      </c>
      <c r="R17" s="46">
        <f>Q17*4</f>
        <v>137.303856</v>
      </c>
      <c r="S17" s="64">
        <f>Q17*11</f>
        <v>377.58560399999999</v>
      </c>
      <c r="T17" s="48"/>
      <c r="U17" s="25"/>
      <c r="V17" s="30"/>
      <c r="W17" s="107"/>
      <c r="X17" s="106"/>
      <c r="Y17" s="106"/>
      <c r="Z17" s="106"/>
    </row>
    <row r="18" spans="1:26" ht="75" x14ac:dyDescent="0.25">
      <c r="A18" s="68" t="s">
        <v>26</v>
      </c>
      <c r="B18" s="76" t="s">
        <v>33</v>
      </c>
      <c r="C18" s="77" t="s">
        <v>45</v>
      </c>
      <c r="D18" s="77" t="s">
        <v>28</v>
      </c>
      <c r="E18" s="70"/>
      <c r="F18" s="75" t="s">
        <v>31</v>
      </c>
      <c r="G18" s="71" t="s">
        <v>19</v>
      </c>
      <c r="H18" s="72">
        <f>'[1]Polo cost sheet 2019-2020'!H25*1.06</f>
        <v>18.415804000000001</v>
      </c>
      <c r="I18" s="73">
        <f>H18*12</f>
        <v>220.98964800000002</v>
      </c>
      <c r="J18" s="74">
        <f>H18*144</f>
        <v>2651.8757760000003</v>
      </c>
      <c r="K18" s="72">
        <f t="shared" si="0"/>
        <v>20.415804000000001</v>
      </c>
      <c r="L18" s="73">
        <f>K18*12</f>
        <v>244.98964800000002</v>
      </c>
      <c r="M18" s="74">
        <f>K18*144</f>
        <v>2939.8757760000003</v>
      </c>
      <c r="N18" s="72">
        <f t="shared" si="1"/>
        <v>21.415804000000001</v>
      </c>
      <c r="O18" s="73">
        <f>N18*12</f>
        <v>256.98964799999999</v>
      </c>
      <c r="P18" s="74">
        <f>N18*144</f>
        <v>3083.8757760000003</v>
      </c>
      <c r="Q18" s="72">
        <f>H18+4</f>
        <v>22.415804000000001</v>
      </c>
      <c r="R18" s="73">
        <f>Q18*12</f>
        <v>268.98964799999999</v>
      </c>
      <c r="S18" s="74">
        <f>Q18*144</f>
        <v>3227.8757760000003</v>
      </c>
      <c r="T18" s="72"/>
      <c r="U18" s="25"/>
      <c r="V18" s="30"/>
      <c r="W18" s="106"/>
      <c r="X18" s="106"/>
      <c r="Y18" s="106"/>
      <c r="Z18" s="106"/>
    </row>
    <row r="19" spans="1:26" ht="75" x14ac:dyDescent="0.25">
      <c r="A19" s="21" t="s">
        <v>26</v>
      </c>
      <c r="B19" s="31" t="s">
        <v>33</v>
      </c>
      <c r="C19" s="32" t="s">
        <v>45</v>
      </c>
      <c r="D19" s="32" t="s">
        <v>28</v>
      </c>
      <c r="E19" s="23"/>
      <c r="F19" s="27" t="s">
        <v>32</v>
      </c>
      <c r="G19" s="63" t="s">
        <v>19</v>
      </c>
      <c r="H19" s="48">
        <f>'[1]Polo cost sheet 2019-2020'!H26*1.06</f>
        <v>15.910176000000002</v>
      </c>
      <c r="I19" s="65">
        <f>H19*144</f>
        <v>2291.0653440000001</v>
      </c>
      <c r="J19" s="64"/>
      <c r="K19" s="48">
        <f t="shared" si="0"/>
        <v>17.910176</v>
      </c>
      <c r="L19" s="47">
        <f>K19*144</f>
        <v>2579.0653440000001</v>
      </c>
      <c r="M19" s="48"/>
      <c r="N19" s="48">
        <f t="shared" si="1"/>
        <v>18.910176</v>
      </c>
      <c r="O19" s="47">
        <f>N19*144</f>
        <v>2723.0653440000001</v>
      </c>
      <c r="P19" s="48"/>
      <c r="Q19" s="48">
        <f t="shared" ref="Q19:Q20" si="4">H19+4</f>
        <v>19.910176</v>
      </c>
      <c r="R19" s="47">
        <f>Q19*144</f>
        <v>2867.0653440000001</v>
      </c>
      <c r="S19" s="48"/>
      <c r="T19" s="48"/>
      <c r="U19" s="29"/>
      <c r="V19" s="30"/>
      <c r="W19" s="106"/>
      <c r="X19" s="106"/>
      <c r="Y19" s="106"/>
      <c r="Z19" s="106"/>
    </row>
    <row r="20" spans="1:26" ht="75" x14ac:dyDescent="0.25">
      <c r="A20" s="21" t="s">
        <v>26</v>
      </c>
      <c r="B20" s="31" t="s">
        <v>33</v>
      </c>
      <c r="C20" s="32" t="s">
        <v>45</v>
      </c>
      <c r="D20" s="32" t="s">
        <v>28</v>
      </c>
      <c r="E20" s="34" t="s">
        <v>34</v>
      </c>
      <c r="F20" s="35">
        <v>775</v>
      </c>
      <c r="G20" s="63" t="s">
        <v>19</v>
      </c>
      <c r="H20" s="48">
        <f>'[1]Polo cost sheet 2019-2020'!H27*1.06</f>
        <v>15.910176000000002</v>
      </c>
      <c r="I20" s="49">
        <f>H20*775</f>
        <v>12330.386400000001</v>
      </c>
      <c r="J20" s="64"/>
      <c r="K20" s="48">
        <f t="shared" si="0"/>
        <v>17.910176</v>
      </c>
      <c r="L20" s="49">
        <f>K20*775</f>
        <v>13880.386399999999</v>
      </c>
      <c r="M20" s="48"/>
      <c r="N20" s="48">
        <f t="shared" si="1"/>
        <v>18.910176</v>
      </c>
      <c r="O20" s="49">
        <f>N20*775</f>
        <v>14655.386399999999</v>
      </c>
      <c r="P20" s="48"/>
      <c r="Q20" s="48">
        <f t="shared" si="4"/>
        <v>19.910176</v>
      </c>
      <c r="R20" s="49">
        <f>Q20*775</f>
        <v>15430.386399999999</v>
      </c>
      <c r="S20" s="48"/>
      <c r="T20" s="48"/>
      <c r="U20" s="36"/>
      <c r="V20" s="37"/>
      <c r="W20" s="106"/>
      <c r="X20" s="106"/>
      <c r="Y20" s="106"/>
      <c r="Z20" s="106"/>
    </row>
    <row r="21" spans="1:26" s="7" customFormat="1" ht="31.5" customHeight="1" x14ac:dyDescent="0.3">
      <c r="A21" s="21"/>
      <c r="B21" s="31"/>
      <c r="C21" s="95" t="s">
        <v>48</v>
      </c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7"/>
      <c r="R21" s="49"/>
      <c r="S21" s="48"/>
      <c r="T21" s="48"/>
      <c r="U21" s="36"/>
      <c r="V21" s="108"/>
      <c r="W21" s="109" t="s">
        <v>53</v>
      </c>
      <c r="X21" s="110"/>
      <c r="Y21" s="110"/>
      <c r="Z21" s="111"/>
    </row>
    <row r="22" spans="1:26" ht="75" x14ac:dyDescent="0.25">
      <c r="A22" s="32" t="s">
        <v>35</v>
      </c>
      <c r="B22" s="31">
        <v>100425</v>
      </c>
      <c r="C22" s="32" t="s">
        <v>46</v>
      </c>
      <c r="D22" s="32" t="s">
        <v>36</v>
      </c>
      <c r="E22" s="34" t="s">
        <v>37</v>
      </c>
      <c r="F22" s="24" t="s">
        <v>29</v>
      </c>
      <c r="G22" s="63" t="s">
        <v>38</v>
      </c>
      <c r="H22" s="48">
        <f>'[1]Polo cost sheet 2019-2020'!H28*1.06</f>
        <v>48.595700000000001</v>
      </c>
      <c r="I22" s="46">
        <f>H22*1</f>
        <v>48.595700000000001</v>
      </c>
      <c r="J22" s="64">
        <f>H22*3</f>
        <v>145.78710000000001</v>
      </c>
      <c r="K22" s="48">
        <f t="shared" si="0"/>
        <v>50.595700000000001</v>
      </c>
      <c r="L22" s="46">
        <f>K22*1</f>
        <v>50.595700000000001</v>
      </c>
      <c r="M22" s="64">
        <f>K22*3</f>
        <v>151.78710000000001</v>
      </c>
      <c r="N22" s="50">
        <f t="shared" si="1"/>
        <v>51.595700000000001</v>
      </c>
      <c r="O22" s="87">
        <f>N22*1</f>
        <v>51.595700000000001</v>
      </c>
      <c r="P22" s="88">
        <f>N22*3</f>
        <v>154.78710000000001</v>
      </c>
      <c r="Q22" s="86">
        <f>H22+4</f>
        <v>52.595700000000001</v>
      </c>
      <c r="R22" s="46">
        <f>Q22*1</f>
        <v>52.595700000000001</v>
      </c>
      <c r="S22" s="64">
        <f>Q22*3</f>
        <v>157.78710000000001</v>
      </c>
      <c r="T22" s="86"/>
      <c r="U22" s="25"/>
      <c r="V22" s="37"/>
      <c r="W22" s="104">
        <f>H22+3</f>
        <v>51.595700000000001</v>
      </c>
      <c r="X22" s="104">
        <f>H22+5</f>
        <v>53.595700000000001</v>
      </c>
      <c r="Y22" s="104">
        <f>H22+6</f>
        <v>54.595700000000001</v>
      </c>
      <c r="Z22" s="104">
        <f>H22+7</f>
        <v>55.595700000000001</v>
      </c>
    </row>
    <row r="23" spans="1:26" ht="75" x14ac:dyDescent="0.25">
      <c r="A23" s="32" t="s">
        <v>35</v>
      </c>
      <c r="B23" s="31">
        <v>100425</v>
      </c>
      <c r="C23" s="32" t="s">
        <v>46</v>
      </c>
      <c r="D23" s="32" t="s">
        <v>36</v>
      </c>
      <c r="E23" s="34" t="s">
        <v>37</v>
      </c>
      <c r="F23" s="27" t="s">
        <v>30</v>
      </c>
      <c r="G23" s="63" t="s">
        <v>38</v>
      </c>
      <c r="H23" s="48">
        <f>'[1]Polo cost sheet 2019-2020'!H29*1.06</f>
        <v>35.3934</v>
      </c>
      <c r="I23" s="46">
        <f>H23*4</f>
        <v>141.5736</v>
      </c>
      <c r="J23" s="64">
        <f>H23*11</f>
        <v>389.32740000000001</v>
      </c>
      <c r="K23" s="48">
        <f t="shared" si="0"/>
        <v>37.3934</v>
      </c>
      <c r="L23" s="46">
        <f>K23*4</f>
        <v>149.5736</v>
      </c>
      <c r="M23" s="64">
        <f>K23*11</f>
        <v>411.32740000000001</v>
      </c>
      <c r="N23" s="48">
        <f t="shared" si="1"/>
        <v>38.3934</v>
      </c>
      <c r="O23" s="84">
        <f>N23*4</f>
        <v>153.5736</v>
      </c>
      <c r="P23" s="89">
        <f>N23*11</f>
        <v>422.32740000000001</v>
      </c>
      <c r="Q23" s="83">
        <f>H23+4</f>
        <v>39.3934</v>
      </c>
      <c r="R23" s="46">
        <f>Q23*4</f>
        <v>157.5736</v>
      </c>
      <c r="S23" s="64">
        <f>Q23*11</f>
        <v>433.32740000000001</v>
      </c>
      <c r="T23" s="83"/>
      <c r="U23" s="25"/>
      <c r="V23" s="37"/>
      <c r="W23" s="104">
        <f t="shared" ref="W23:W31" si="5">H23+3</f>
        <v>38.3934</v>
      </c>
      <c r="X23" s="104">
        <f t="shared" ref="X23:X31" si="6">H23+5</f>
        <v>40.3934</v>
      </c>
      <c r="Y23" s="104">
        <f t="shared" ref="Y23:Y31" si="7">H23+6</f>
        <v>41.3934</v>
      </c>
      <c r="Z23" s="104">
        <f t="shared" ref="Z23:Z31" si="8">H23+7</f>
        <v>42.3934</v>
      </c>
    </row>
    <row r="24" spans="1:26" ht="75" x14ac:dyDescent="0.25">
      <c r="A24" s="77" t="s">
        <v>35</v>
      </c>
      <c r="B24" s="76">
        <v>100425</v>
      </c>
      <c r="C24" s="77" t="s">
        <v>46</v>
      </c>
      <c r="D24" s="77" t="s">
        <v>36</v>
      </c>
      <c r="E24" s="78" t="s">
        <v>37</v>
      </c>
      <c r="F24" s="75" t="s">
        <v>31</v>
      </c>
      <c r="G24" s="71" t="s">
        <v>38</v>
      </c>
      <c r="H24" s="72">
        <f>'[1]Polo cost sheet 2019-2020'!H30*1.06</f>
        <v>22.640539999999998</v>
      </c>
      <c r="I24" s="79">
        <f>H24*12</f>
        <v>271.68647999999996</v>
      </c>
      <c r="J24" s="79">
        <f>H24*144</f>
        <v>3260.2377599999995</v>
      </c>
      <c r="K24" s="72">
        <f t="shared" si="0"/>
        <v>24.640539999999998</v>
      </c>
      <c r="L24" s="80">
        <f>K24*12</f>
        <v>295.68647999999996</v>
      </c>
      <c r="M24" s="80">
        <f>K24*144</f>
        <v>3548.2377599999995</v>
      </c>
      <c r="N24" s="91">
        <f t="shared" si="1"/>
        <v>25.640539999999998</v>
      </c>
      <c r="O24" s="82">
        <f>N24*12</f>
        <v>307.68647999999996</v>
      </c>
      <c r="P24" s="82">
        <f>N24*144</f>
        <v>3692.2377599999995</v>
      </c>
      <c r="Q24" s="81">
        <f t="shared" ref="Q24:Q26" si="9">H24+4</f>
        <v>26.640539999999998</v>
      </c>
      <c r="R24" s="80">
        <f>Q24*12</f>
        <v>319.68647999999996</v>
      </c>
      <c r="S24" s="80">
        <f>Q24*144</f>
        <v>3836.2377599999995</v>
      </c>
      <c r="T24" s="112"/>
      <c r="U24" s="33"/>
      <c r="V24" s="37"/>
      <c r="W24" s="114">
        <f t="shared" si="5"/>
        <v>25.640539999999998</v>
      </c>
      <c r="X24" s="114">
        <f t="shared" si="6"/>
        <v>27.640539999999998</v>
      </c>
      <c r="Y24" s="114">
        <f t="shared" si="7"/>
        <v>28.640539999999998</v>
      </c>
      <c r="Z24" s="114">
        <f t="shared" si="8"/>
        <v>29.640539999999998</v>
      </c>
    </row>
    <row r="25" spans="1:26" ht="75" x14ac:dyDescent="0.25">
      <c r="A25" s="32" t="s">
        <v>35</v>
      </c>
      <c r="B25" s="31">
        <v>100425</v>
      </c>
      <c r="C25" s="32" t="s">
        <v>46</v>
      </c>
      <c r="D25" s="32" t="s">
        <v>36</v>
      </c>
      <c r="E25" s="34" t="s">
        <v>37</v>
      </c>
      <c r="F25" s="27" t="s">
        <v>32</v>
      </c>
      <c r="G25" s="63" t="s">
        <v>38</v>
      </c>
      <c r="H25" s="48">
        <f>'[1]Polo cost sheet 2019-2020'!H31*1.06</f>
        <v>21.258512000000003</v>
      </c>
      <c r="I25" s="46">
        <f>H25*144</f>
        <v>3061.2257280000003</v>
      </c>
      <c r="J25" s="64"/>
      <c r="K25" s="48">
        <f t="shared" si="0"/>
        <v>23.258512000000003</v>
      </c>
      <c r="L25" s="46">
        <f>K25*144</f>
        <v>3349.2257280000003</v>
      </c>
      <c r="M25" s="48"/>
      <c r="N25" s="48">
        <f t="shared" si="1"/>
        <v>24.258512000000003</v>
      </c>
      <c r="O25" s="84">
        <f>N25*144</f>
        <v>3493.2257280000003</v>
      </c>
      <c r="P25" s="83"/>
      <c r="Q25" s="83">
        <f t="shared" si="9"/>
        <v>25.258512000000003</v>
      </c>
      <c r="R25" s="46">
        <f>Q25*144</f>
        <v>3637.2257280000003</v>
      </c>
      <c r="S25" s="48"/>
      <c r="T25" s="83"/>
      <c r="U25" s="36"/>
      <c r="V25" s="37"/>
      <c r="W25" s="104">
        <f t="shared" si="5"/>
        <v>24.258512000000003</v>
      </c>
      <c r="X25" s="104">
        <f t="shared" si="6"/>
        <v>26.258512000000003</v>
      </c>
      <c r="Y25" s="104">
        <f t="shared" si="7"/>
        <v>27.258512000000003</v>
      </c>
      <c r="Z25" s="104">
        <f t="shared" si="8"/>
        <v>28.258512000000003</v>
      </c>
    </row>
    <row r="26" spans="1:26" ht="75" x14ac:dyDescent="0.25">
      <c r="A26" s="32" t="s">
        <v>35</v>
      </c>
      <c r="B26" s="31">
        <v>100425</v>
      </c>
      <c r="C26" s="32" t="s">
        <v>46</v>
      </c>
      <c r="D26" s="32" t="s">
        <v>36</v>
      </c>
      <c r="E26" s="34" t="s">
        <v>37</v>
      </c>
      <c r="F26" s="35">
        <v>525</v>
      </c>
      <c r="G26" s="63" t="s">
        <v>38</v>
      </c>
      <c r="H26" s="48">
        <f>'[1]Polo cost sheet 2019-2020'!H32*1.06</f>
        <v>21.258512000000003</v>
      </c>
      <c r="I26" s="49">
        <f>H26*525</f>
        <v>11160.718800000002</v>
      </c>
      <c r="J26" s="64"/>
      <c r="K26" s="48">
        <f t="shared" si="0"/>
        <v>23.258512000000003</v>
      </c>
      <c r="L26" s="49">
        <f>K26*525</f>
        <v>12210.718800000002</v>
      </c>
      <c r="M26" s="48"/>
      <c r="N26" s="48">
        <f t="shared" si="1"/>
        <v>24.258512000000003</v>
      </c>
      <c r="O26" s="85">
        <f>N26*525</f>
        <v>12735.718800000002</v>
      </c>
      <c r="P26" s="83"/>
      <c r="Q26" s="83">
        <f t="shared" si="9"/>
        <v>25.258512000000003</v>
      </c>
      <c r="R26" s="49">
        <f>Q26*525</f>
        <v>13260.718800000002</v>
      </c>
      <c r="S26" s="50"/>
      <c r="T26" s="113"/>
      <c r="U26" s="38"/>
      <c r="V26" s="37"/>
      <c r="W26" s="104">
        <f t="shared" si="5"/>
        <v>24.258512000000003</v>
      </c>
      <c r="X26" s="104">
        <f t="shared" si="6"/>
        <v>26.258512000000003</v>
      </c>
      <c r="Y26" s="104">
        <f t="shared" si="7"/>
        <v>27.258512000000003</v>
      </c>
      <c r="Z26" s="104">
        <f t="shared" si="8"/>
        <v>28.258512000000003</v>
      </c>
    </row>
    <row r="27" spans="1:26" ht="75" x14ac:dyDescent="0.25">
      <c r="A27" s="32" t="s">
        <v>35</v>
      </c>
      <c r="B27" s="31">
        <v>100414</v>
      </c>
      <c r="C27" s="32" t="s">
        <v>47</v>
      </c>
      <c r="D27" s="32" t="s">
        <v>36</v>
      </c>
      <c r="E27" s="34" t="s">
        <v>39</v>
      </c>
      <c r="F27" s="24" t="s">
        <v>29</v>
      </c>
      <c r="G27" s="63" t="s">
        <v>38</v>
      </c>
      <c r="H27" s="48">
        <f>'[1]Polo cost sheet 2019-2020'!H33*1.06</f>
        <v>48.595700000000001</v>
      </c>
      <c r="I27" s="46">
        <f>H27*1</f>
        <v>48.595700000000001</v>
      </c>
      <c r="J27" s="64">
        <f>H27*3</f>
        <v>145.78710000000001</v>
      </c>
      <c r="K27" s="48">
        <f t="shared" si="0"/>
        <v>50.595700000000001</v>
      </c>
      <c r="L27" s="46">
        <f>K27*1</f>
        <v>50.595700000000001</v>
      </c>
      <c r="M27" s="64">
        <f>K27*3</f>
        <v>151.78710000000001</v>
      </c>
      <c r="N27" s="48"/>
      <c r="O27" s="46"/>
      <c r="P27" s="64"/>
      <c r="Q27" s="48"/>
      <c r="R27" s="46"/>
      <c r="S27" s="64"/>
      <c r="T27" s="83"/>
      <c r="U27" s="38"/>
      <c r="V27" s="37"/>
      <c r="W27" s="104">
        <f t="shared" si="5"/>
        <v>51.595700000000001</v>
      </c>
      <c r="X27" s="104">
        <f t="shared" si="6"/>
        <v>53.595700000000001</v>
      </c>
      <c r="Y27" s="104">
        <f t="shared" si="7"/>
        <v>54.595700000000001</v>
      </c>
      <c r="Z27" s="104">
        <f t="shared" si="8"/>
        <v>55.595700000000001</v>
      </c>
    </row>
    <row r="28" spans="1:26" ht="75" x14ac:dyDescent="0.25">
      <c r="A28" s="32" t="s">
        <v>35</v>
      </c>
      <c r="B28" s="31">
        <v>100414</v>
      </c>
      <c r="C28" s="32" t="s">
        <v>47</v>
      </c>
      <c r="D28" s="32" t="s">
        <v>36</v>
      </c>
      <c r="E28" s="34" t="s">
        <v>39</v>
      </c>
      <c r="F28" s="27" t="s">
        <v>30</v>
      </c>
      <c r="G28" s="63" t="s">
        <v>38</v>
      </c>
      <c r="H28" s="48">
        <f>'[1]Polo cost sheet 2019-2020'!H34*1.06</f>
        <v>35.3934</v>
      </c>
      <c r="I28" s="46">
        <f>H28*4</f>
        <v>141.5736</v>
      </c>
      <c r="J28" s="64">
        <f>H28*11</f>
        <v>389.32740000000001</v>
      </c>
      <c r="K28" s="48">
        <f t="shared" si="0"/>
        <v>37.3934</v>
      </c>
      <c r="L28" s="46">
        <f>K28*4</f>
        <v>149.5736</v>
      </c>
      <c r="M28" s="64">
        <f>K28*11</f>
        <v>411.32740000000001</v>
      </c>
      <c r="N28" s="48"/>
      <c r="O28" s="46"/>
      <c r="P28" s="64"/>
      <c r="Q28" s="48"/>
      <c r="R28" s="46"/>
      <c r="S28" s="64"/>
      <c r="T28" s="83"/>
      <c r="U28" s="38"/>
      <c r="V28" s="37"/>
      <c r="W28" s="104">
        <f t="shared" si="5"/>
        <v>38.3934</v>
      </c>
      <c r="X28" s="104">
        <f t="shared" si="6"/>
        <v>40.3934</v>
      </c>
      <c r="Y28" s="104">
        <f t="shared" si="7"/>
        <v>41.3934</v>
      </c>
      <c r="Z28" s="104">
        <f t="shared" si="8"/>
        <v>42.3934</v>
      </c>
    </row>
    <row r="29" spans="1:26" ht="75" x14ac:dyDescent="0.25">
      <c r="A29" s="77" t="s">
        <v>35</v>
      </c>
      <c r="B29" s="76">
        <v>100414</v>
      </c>
      <c r="C29" s="77" t="s">
        <v>47</v>
      </c>
      <c r="D29" s="77" t="s">
        <v>36</v>
      </c>
      <c r="E29" s="78" t="s">
        <v>39</v>
      </c>
      <c r="F29" s="75" t="s">
        <v>31</v>
      </c>
      <c r="G29" s="71" t="s">
        <v>38</v>
      </c>
      <c r="H29" s="72">
        <f>'[1]Polo cost sheet 2019-2020'!H35*1.06</f>
        <v>22.640539999999998</v>
      </c>
      <c r="I29" s="80">
        <f>H29*12</f>
        <v>271.68647999999996</v>
      </c>
      <c r="J29" s="80">
        <f>H29*144</f>
        <v>3260.2377599999995</v>
      </c>
      <c r="K29" s="72">
        <f t="shared" si="0"/>
        <v>24.640539999999998</v>
      </c>
      <c r="L29" s="80">
        <f>K29*12</f>
        <v>295.68647999999996</v>
      </c>
      <c r="M29" s="80">
        <f>K29*144</f>
        <v>3548.2377599999995</v>
      </c>
      <c r="N29" s="72"/>
      <c r="O29" s="80"/>
      <c r="P29" s="80"/>
      <c r="Q29" s="72"/>
      <c r="R29" s="80"/>
      <c r="S29" s="80"/>
      <c r="T29" s="112"/>
      <c r="U29" s="38"/>
      <c r="V29" s="37"/>
      <c r="W29" s="114">
        <f t="shared" si="5"/>
        <v>25.640539999999998</v>
      </c>
      <c r="X29" s="114">
        <f t="shared" si="6"/>
        <v>27.640539999999998</v>
      </c>
      <c r="Y29" s="114">
        <f t="shared" si="7"/>
        <v>28.640539999999998</v>
      </c>
      <c r="Z29" s="114">
        <f t="shared" si="8"/>
        <v>29.640539999999998</v>
      </c>
    </row>
    <row r="30" spans="1:26" ht="75" x14ac:dyDescent="0.25">
      <c r="A30" s="32" t="s">
        <v>35</v>
      </c>
      <c r="B30" s="31">
        <v>100414</v>
      </c>
      <c r="C30" s="32" t="s">
        <v>47</v>
      </c>
      <c r="D30" s="32" t="s">
        <v>36</v>
      </c>
      <c r="E30" s="34" t="s">
        <v>39</v>
      </c>
      <c r="F30" s="27" t="s">
        <v>32</v>
      </c>
      <c r="G30" s="63" t="s">
        <v>38</v>
      </c>
      <c r="H30" s="48">
        <f>'[1]Polo cost sheet 2019-2020'!H36*1.06</f>
        <v>21.258512000000003</v>
      </c>
      <c r="I30" s="46">
        <f>H30*144</f>
        <v>3061.2257280000003</v>
      </c>
      <c r="J30" s="64"/>
      <c r="K30" s="48">
        <f t="shared" si="0"/>
        <v>23.258512000000003</v>
      </c>
      <c r="L30" s="46">
        <f>K30*144</f>
        <v>3349.2257280000003</v>
      </c>
      <c r="M30" s="48"/>
      <c r="N30" s="48"/>
      <c r="O30" s="49"/>
      <c r="P30" s="48"/>
      <c r="Q30" s="48"/>
      <c r="R30" s="49"/>
      <c r="S30" s="48"/>
      <c r="T30" s="83"/>
      <c r="U30" s="38"/>
      <c r="V30" s="37"/>
      <c r="W30" s="104">
        <f t="shared" si="5"/>
        <v>24.258512000000003</v>
      </c>
      <c r="X30" s="104">
        <f t="shared" si="6"/>
        <v>26.258512000000003</v>
      </c>
      <c r="Y30" s="104">
        <f t="shared" si="7"/>
        <v>27.258512000000003</v>
      </c>
      <c r="Z30" s="104">
        <f t="shared" si="8"/>
        <v>28.258512000000003</v>
      </c>
    </row>
    <row r="31" spans="1:26" ht="75" x14ac:dyDescent="0.25">
      <c r="A31" s="32" t="s">
        <v>35</v>
      </c>
      <c r="B31" s="31">
        <v>100414</v>
      </c>
      <c r="C31" s="32" t="s">
        <v>47</v>
      </c>
      <c r="D31" s="32" t="s">
        <v>36</v>
      </c>
      <c r="E31" s="34" t="s">
        <v>39</v>
      </c>
      <c r="F31" s="35">
        <v>50</v>
      </c>
      <c r="G31" s="63" t="s">
        <v>38</v>
      </c>
      <c r="H31" s="48">
        <f>'[1]Polo cost sheet 2019-2020'!H37*1.06</f>
        <v>21.258512000000003</v>
      </c>
      <c r="I31" s="51">
        <f>H31*50</f>
        <v>1062.9256000000003</v>
      </c>
      <c r="J31" s="67"/>
      <c r="K31" s="48">
        <f t="shared" si="0"/>
        <v>23.258512000000003</v>
      </c>
      <c r="L31" s="52">
        <f>K31*50</f>
        <v>1162.9256000000003</v>
      </c>
      <c r="M31" s="50"/>
      <c r="N31" s="48"/>
      <c r="O31" s="50"/>
      <c r="P31" s="50"/>
      <c r="Q31" s="66"/>
      <c r="R31" s="66"/>
      <c r="S31" s="50"/>
      <c r="T31" s="113"/>
      <c r="U31" s="38"/>
      <c r="V31" s="37"/>
      <c r="W31" s="104">
        <f t="shared" si="5"/>
        <v>24.258512000000003</v>
      </c>
      <c r="X31" s="104">
        <f t="shared" si="6"/>
        <v>26.258512000000003</v>
      </c>
      <c r="Y31" s="104">
        <f t="shared" si="7"/>
        <v>27.258512000000003</v>
      </c>
      <c r="Z31" s="104">
        <f t="shared" si="8"/>
        <v>28.258512000000003</v>
      </c>
    </row>
    <row r="32" spans="1:26" x14ac:dyDescent="0.25">
      <c r="H32" s="42"/>
      <c r="L32" s="42">
        <f>L15+L20+L26+L31</f>
        <v>33074.838000000003</v>
      </c>
      <c r="O32" s="42">
        <f>O15+O20+O26+O31</f>
        <v>33536.912400000001</v>
      </c>
      <c r="R32" s="42">
        <f>R15+R20+R26+R31</f>
        <v>35161.912400000001</v>
      </c>
      <c r="U32" s="2">
        <f>U15+U20+U26+U31</f>
        <v>6795.8072000000002</v>
      </c>
    </row>
    <row r="33" spans="1:1" x14ac:dyDescent="0.25">
      <c r="A33" s="39"/>
    </row>
  </sheetData>
  <mergeCells count="8">
    <mergeCell ref="W21:Z21"/>
    <mergeCell ref="A1:C1"/>
    <mergeCell ref="A3:L3"/>
    <mergeCell ref="C21:Q21"/>
    <mergeCell ref="A5:D5"/>
    <mergeCell ref="A6:C6"/>
    <mergeCell ref="A7:C7"/>
    <mergeCell ref="E5:S5"/>
  </mergeCells>
  <pageMargins left="0.2" right="0.2" top="0.25" bottom="0.25" header="0.3" footer="0.3"/>
  <pageSetup paperSize="5" fitToHeight="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Polo cost sheet 2020-2021</vt:lpstr>
      <vt:lpstr>'Polo cost sheet 2020-2021'!Print_Titles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Meditz, Pam</dc:creator>
  <cp:lastModifiedBy>Meditz, Pam</cp:lastModifiedBy>
  <cp:lastPrinted>2020-07-24T22:37:00Z</cp:lastPrinted>
  <dcterms:created xsi:type="dcterms:W3CDTF">2020-07-24T22:35:12Z</dcterms:created>
  <dcterms:modified xsi:type="dcterms:W3CDTF">2020-07-29T11:45:39Z</dcterms:modified>
</cp:coreProperties>
</file>