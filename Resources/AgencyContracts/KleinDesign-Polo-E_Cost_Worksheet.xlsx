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FINANCIALS\Purchasing\Bid Documents\Uniform bid docs\"/>
    </mc:Choice>
  </mc:AlternateContent>
  <bookViews>
    <workbookView xWindow="0" yWindow="0" windowWidth="28800" windowHeight="11835"/>
  </bookViews>
  <sheets>
    <sheet name="Polo cost sheet" sheetId="3" r:id="rId1"/>
  </sheets>
  <definedNames>
    <definedName name="_xlnm.Print_Titles" localSheetId="0">'Polo cost sheet'!$1:$16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3" l="1"/>
  <c r="K37" i="3"/>
  <c r="L37" i="3" s="1"/>
  <c r="I37" i="3"/>
  <c r="K36" i="3"/>
  <c r="L36" i="3" s="1"/>
  <c r="I36" i="3"/>
  <c r="K35" i="3"/>
  <c r="K34" i="3"/>
  <c r="M34" i="3" s="1"/>
  <c r="J34" i="3"/>
  <c r="I34" i="3"/>
  <c r="K33" i="3"/>
  <c r="I32" i="3"/>
  <c r="Q31" i="3"/>
  <c r="R31" i="3" s="1"/>
  <c r="K30" i="3"/>
  <c r="K29" i="3"/>
  <c r="K28" i="3"/>
  <c r="Q27" i="3"/>
  <c r="R27" i="3" s="1"/>
  <c r="N26" i="3"/>
  <c r="O26" i="3" s="1"/>
  <c r="K25" i="3"/>
  <c r="K24" i="3"/>
  <c r="K23" i="3"/>
  <c r="Q22" i="3"/>
  <c r="R22" i="3" s="1"/>
  <c r="K22" i="3"/>
  <c r="L22" i="3" s="1"/>
  <c r="I22" i="3"/>
  <c r="T21" i="3"/>
  <c r="U21" i="3" s="1"/>
  <c r="K20" i="3"/>
  <c r="L20" i="3" s="1"/>
  <c r="N20" i="3"/>
  <c r="N19" i="3"/>
  <c r="O19" i="3" s="1"/>
  <c r="K19" i="3"/>
  <c r="M19" i="3" s="1"/>
  <c r="J19" i="3"/>
  <c r="Q19" i="3"/>
  <c r="Q18" i="3"/>
  <c r="R18" i="3" s="1"/>
  <c r="N18" i="3"/>
  <c r="P18" i="3" s="1"/>
  <c r="J18" i="3"/>
  <c r="I18" i="3"/>
  <c r="T18" i="3"/>
  <c r="M30" i="3" l="1"/>
  <c r="L30" i="3"/>
  <c r="L23" i="3"/>
  <c r="M23" i="3"/>
  <c r="V18" i="3"/>
  <c r="U18" i="3"/>
  <c r="M24" i="3"/>
  <c r="L24" i="3"/>
  <c r="M28" i="3"/>
  <c r="L28" i="3"/>
  <c r="S19" i="3"/>
  <c r="R19" i="3"/>
  <c r="P20" i="3"/>
  <c r="O20" i="3"/>
  <c r="M25" i="3"/>
  <c r="L25" i="3"/>
  <c r="M29" i="3"/>
  <c r="L29" i="3"/>
  <c r="L33" i="3"/>
  <c r="M33" i="3"/>
  <c r="M35" i="3"/>
  <c r="L35" i="3"/>
  <c r="N21" i="3"/>
  <c r="O21" i="3" s="1"/>
  <c r="N27" i="3"/>
  <c r="O27" i="3" s="1"/>
  <c r="N31" i="3"/>
  <c r="O31" i="3" s="1"/>
  <c r="I21" i="3"/>
  <c r="I24" i="3"/>
  <c r="Q24" i="3"/>
  <c r="I26" i="3"/>
  <c r="I27" i="3"/>
  <c r="I38" i="3" s="1"/>
  <c r="I28" i="3"/>
  <c r="Q28" i="3"/>
  <c r="I30" i="3"/>
  <c r="I31" i="3"/>
  <c r="I35" i="3"/>
  <c r="K18" i="3"/>
  <c r="O18" i="3"/>
  <c r="S18" i="3"/>
  <c r="L19" i="3"/>
  <c r="P19" i="3"/>
  <c r="T19" i="3"/>
  <c r="I20" i="3"/>
  <c r="M20" i="3"/>
  <c r="Q20" i="3"/>
  <c r="K21" i="3"/>
  <c r="L21" i="3" s="1"/>
  <c r="Q21" i="3"/>
  <c r="R21" i="3" s="1"/>
  <c r="N22" i="3"/>
  <c r="O22" i="3" s="1"/>
  <c r="T22" i="3"/>
  <c r="U22" i="3" s="1"/>
  <c r="U38" i="3" s="1"/>
  <c r="J23" i="3"/>
  <c r="N23" i="3"/>
  <c r="J24" i="3"/>
  <c r="N24" i="3"/>
  <c r="J25" i="3"/>
  <c r="N25" i="3"/>
  <c r="K26" i="3"/>
  <c r="L26" i="3" s="1"/>
  <c r="Q26" i="3"/>
  <c r="R26" i="3" s="1"/>
  <c r="K27" i="3"/>
  <c r="L27" i="3" s="1"/>
  <c r="J28" i="3"/>
  <c r="N28" i="3"/>
  <c r="J29" i="3"/>
  <c r="N29" i="3"/>
  <c r="J30" i="3"/>
  <c r="N30" i="3"/>
  <c r="K31" i="3"/>
  <c r="L31" i="3" s="1"/>
  <c r="K32" i="3"/>
  <c r="L32" i="3" s="1"/>
  <c r="Q32" i="3"/>
  <c r="R32" i="3" s="1"/>
  <c r="R38" i="3" s="1"/>
  <c r="J33" i="3"/>
  <c r="L34" i="3"/>
  <c r="J35" i="3"/>
  <c r="N32" i="3"/>
  <c r="O32" i="3" s="1"/>
  <c r="T20" i="3"/>
  <c r="I23" i="3"/>
  <c r="Q23" i="3"/>
  <c r="I25" i="3"/>
  <c r="Q25" i="3"/>
  <c r="I29" i="3"/>
  <c r="Q29" i="3"/>
  <c r="Q30" i="3"/>
  <c r="I33" i="3"/>
  <c r="I19" i="3"/>
  <c r="J20" i="3"/>
  <c r="L38" i="3" l="1"/>
  <c r="S29" i="3"/>
  <c r="R29" i="3"/>
  <c r="S23" i="3"/>
  <c r="R23" i="3"/>
  <c r="O29" i="3"/>
  <c r="P29" i="3"/>
  <c r="U19" i="3"/>
  <c r="V19" i="3"/>
  <c r="O24" i="3"/>
  <c r="P24" i="3"/>
  <c r="R20" i="3"/>
  <c r="S20" i="3"/>
  <c r="L18" i="3"/>
  <c r="M18" i="3"/>
  <c r="S28" i="3"/>
  <c r="R28" i="3"/>
  <c r="S24" i="3"/>
  <c r="R24" i="3"/>
  <c r="S25" i="3"/>
  <c r="R25" i="3"/>
  <c r="V20" i="3"/>
  <c r="U20" i="3"/>
  <c r="O30" i="3"/>
  <c r="P30" i="3"/>
  <c r="O28" i="3"/>
  <c r="P28" i="3"/>
  <c r="O38" i="3"/>
  <c r="S30" i="3"/>
  <c r="R30" i="3"/>
  <c r="O25" i="3"/>
  <c r="P25" i="3"/>
  <c r="O23" i="3"/>
  <c r="P23" i="3"/>
</calcChain>
</file>

<file path=xl/sharedStrings.xml><?xml version="1.0" encoding="utf-8"?>
<sst xmlns="http://schemas.openxmlformats.org/spreadsheetml/2006/main" count="178" uniqueCount="55">
  <si>
    <t>COST SHEET</t>
  </si>
  <si>
    <t>Style #</t>
  </si>
  <si>
    <t>Description</t>
  </si>
  <si>
    <t>Brand</t>
  </si>
  <si>
    <t>Standard</t>
  </si>
  <si>
    <t>Size Range</t>
  </si>
  <si>
    <t>Price</t>
  </si>
  <si>
    <t>Non-Std</t>
  </si>
  <si>
    <t>Color</t>
  </si>
  <si>
    <t>Sizes</t>
  </si>
  <si>
    <t>Needed</t>
  </si>
  <si>
    <t>XS-4XL</t>
  </si>
  <si>
    <t>Unit</t>
  </si>
  <si>
    <t>Cost</t>
  </si>
  <si>
    <t>Extension</t>
  </si>
  <si>
    <t>Estimated</t>
  </si>
  <si>
    <t>Quantity</t>
  </si>
  <si>
    <t>K8000</t>
  </si>
  <si>
    <t>Port Authority
EZCotton Polo</t>
  </si>
  <si>
    <t>Green Glen
(PMS 567C)</t>
  </si>
  <si>
    <t>LK8000</t>
  </si>
  <si>
    <t>Antigua Pique
Xtra-lite Polo</t>
  </si>
  <si>
    <t>Grey Heather
011</t>
  </si>
  <si>
    <t>YES</t>
  </si>
  <si>
    <t>No</t>
  </si>
  <si>
    <t xml:space="preserve">When determining the bid cost of each item, the supplier should include all costs associated with the shipping and handling of these products.  </t>
  </si>
  <si>
    <t>Administrative Polo Shirt for Men:
100% cotton pique, 5.9 ounce, flat knit collar and cuffs, 3-button placket with dyed-to-match buttons, side vents, no pocket, embroidery logo on left chest =1 color silvery white (logo size 3.88 inches)</t>
  </si>
  <si>
    <t>XS-5XL</t>
  </si>
  <si>
    <t>Administrative Polo Shirt for Women:
100% cotton pique, 5.9 ounce, flat knit collar and cuffs, 3-button placket with dyed-to-match buttons, side vents, no pocket, embroidery logo on left chest= 1 color silvery white (logo size 3.88 inches)</t>
  </si>
  <si>
    <t>Maintenance Polo Shirt for Men:
100% polyester, flat knit collar &amp; open sleeves, moisture management pique, side vents, no pocket, 3-button placket, embroidery logo on left chest;=1 color black (logo size 3.88 inches)</t>
  </si>
  <si>
    <t>S-4XL</t>
  </si>
  <si>
    <t>Maintenance Polo Shirt for Women:
100% polyester, flat knit collar &amp; open sleeves, moisture management pique, side vents, no pocket, 3-button placket, embroidery logo on left chest=1 color black (logo size 3.88 inches)</t>
  </si>
  <si>
    <t>Please enter $1.00 on line 1 of the RFQ in the system so it will allow us to award the event.</t>
  </si>
  <si>
    <t>EXAMPLE</t>
  </si>
  <si>
    <t>xxxxx</t>
  </si>
  <si>
    <t>XS-XL</t>
  </si>
  <si>
    <t>$xx.xx</t>
  </si>
  <si>
    <t>2XL</t>
  </si>
  <si>
    <t>3XL</t>
  </si>
  <si>
    <t>4XL</t>
  </si>
  <si>
    <t>5XL</t>
  </si>
  <si>
    <t>Polo shirt</t>
  </si>
  <si>
    <t>TOTAL</t>
  </si>
  <si>
    <r>
      <t xml:space="preserve">Mandatory requirement:  This cost sheet must be completed, showing all price points/breaks for all sizes listed in the </t>
    </r>
    <r>
      <rPr>
        <b/>
        <i/>
        <sz val="11"/>
        <rFont val="Calibri"/>
        <family val="2"/>
        <scheme val="minor"/>
      </rPr>
      <t>Sizes Needed</t>
    </r>
    <r>
      <rPr>
        <b/>
        <sz val="11"/>
        <rFont val="Calibri"/>
        <family val="2"/>
        <scheme val="minor"/>
      </rPr>
      <t xml:space="preserve"> column for each shirt, and uploaded to the RFQ.  (SEE Example line 17)</t>
    </r>
  </si>
  <si>
    <t>Can Supplier provide a pre-formatted order form as outlined in number six (6) on the Mandatory Questions worksheet?</t>
  </si>
  <si>
    <t xml:space="preserve">eRFQ Uniform Polo Shirts    </t>
  </si>
  <si>
    <t>x</t>
  </si>
  <si>
    <t>1-3</t>
  </si>
  <si>
    <t>4-11</t>
  </si>
  <si>
    <t>12-144</t>
  </si>
  <si>
    <t>144+</t>
  </si>
  <si>
    <t>Min Range</t>
  </si>
  <si>
    <t>Max Range</t>
  </si>
  <si>
    <t>S-XL</t>
  </si>
  <si>
    <t>S-2XL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</si>
</sst>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51515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wrapText="1"/>
    </xf>
    <xf numFmtId="0" fontId="1" fillId="0" borderId="4" xfId="0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horizontal="right"/>
    </xf>
    <xf numFmtId="164" fontId="0" fillId="0" borderId="0" xfId="0" applyNumberFormat="1"/>
    <xf numFmtId="164" fontId="1" fillId="2" borderId="4" xfId="0" applyNumberFormat="1" applyFont="1" applyFill="1" applyBorder="1"/>
    <xf numFmtId="164" fontId="1" fillId="2" borderId="3" xfId="0" applyNumberFormat="1" applyFont="1" applyFill="1" applyBorder="1"/>
    <xf numFmtId="0" fontId="0" fillId="0" borderId="0" xfId="0" applyFont="1" applyAlignment="1">
      <alignment vertical="center"/>
    </xf>
    <xf numFmtId="164" fontId="2" fillId="0" borderId="0" xfId="0" applyNumberFormat="1" applyFont="1" applyAlignment="1">
      <alignment horizontal="center"/>
    </xf>
    <xf numFmtId="0" fontId="1" fillId="2" borderId="9" xfId="0" applyFont="1" applyFill="1" applyBorder="1"/>
    <xf numFmtId="0" fontId="1" fillId="2" borderId="10" xfId="0" applyFont="1" applyFill="1" applyBorder="1"/>
    <xf numFmtId="164" fontId="1" fillId="2" borderId="6" xfId="0" applyNumberFormat="1" applyFont="1" applyFill="1" applyBorder="1"/>
    <xf numFmtId="164" fontId="1" fillId="2" borderId="7" xfId="0" applyNumberFormat="1" applyFont="1" applyFill="1" applyBorder="1"/>
    <xf numFmtId="0" fontId="0" fillId="0" borderId="0" xfId="0" applyBorder="1"/>
    <xf numFmtId="0" fontId="1" fillId="3" borderId="9" xfId="0" applyFont="1" applyFill="1" applyBorder="1"/>
    <xf numFmtId="0" fontId="1" fillId="3" borderId="10" xfId="0" applyFont="1" applyFill="1" applyBorder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wrapText="1"/>
    </xf>
    <xf numFmtId="164" fontId="0" fillId="0" borderId="13" xfId="0" applyNumberFormat="1" applyFill="1" applyBorder="1"/>
    <xf numFmtId="164" fontId="0" fillId="0" borderId="14" xfId="0" applyNumberFormat="1" applyFill="1" applyBorder="1"/>
    <xf numFmtId="164" fontId="1" fillId="3" borderId="4" xfId="0" applyNumberFormat="1" applyFont="1" applyFill="1" applyBorder="1"/>
    <xf numFmtId="164" fontId="1" fillId="0" borderId="15" xfId="0" applyNumberFormat="1" applyFont="1" applyFill="1" applyBorder="1"/>
    <xf numFmtId="164" fontId="1" fillId="3" borderId="3" xfId="0" applyNumberFormat="1" applyFont="1" applyFill="1" applyBorder="1"/>
    <xf numFmtId="164" fontId="1" fillId="0" borderId="16" xfId="0" applyNumberFormat="1" applyFont="1" applyFill="1" applyBorder="1"/>
    <xf numFmtId="0" fontId="1" fillId="0" borderId="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164" fontId="1" fillId="0" borderId="4" xfId="0" applyNumberFormat="1" applyFont="1" applyFill="1" applyBorder="1"/>
    <xf numFmtId="164" fontId="1" fillId="0" borderId="3" xfId="0" applyNumberFormat="1" applyFont="1" applyFill="1" applyBorder="1"/>
    <xf numFmtId="164" fontId="1" fillId="0" borderId="0" xfId="0" applyNumberFormat="1" applyFont="1"/>
    <xf numFmtId="164" fontId="1" fillId="0" borderId="2" xfId="0" applyNumberFormat="1" applyFont="1" applyFill="1" applyBorder="1"/>
    <xf numFmtId="0" fontId="0" fillId="3" borderId="5" xfId="0" applyFill="1" applyBorder="1" applyProtection="1">
      <protection locked="0"/>
    </xf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Border="1" applyAlignment="1">
      <alignment horizontal="left"/>
    </xf>
    <xf numFmtId="0" fontId="2" fillId="4" borderId="1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left"/>
    </xf>
    <xf numFmtId="0" fontId="4" fillId="0" borderId="0" xfId="0" applyFont="1"/>
    <xf numFmtId="0" fontId="1" fillId="5" borderId="17" xfId="0" applyFont="1" applyFill="1" applyBorder="1"/>
    <xf numFmtId="0" fontId="1" fillId="5" borderId="17" xfId="0" applyFont="1" applyFill="1" applyBorder="1" applyAlignment="1">
      <alignment horizontal="left"/>
    </xf>
    <xf numFmtId="0" fontId="1" fillId="5" borderId="17" xfId="0" applyFont="1" applyFill="1" applyBorder="1" applyAlignment="1">
      <alignment wrapText="1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/>
    <xf numFmtId="164" fontId="1" fillId="5" borderId="17" xfId="0" applyNumberFormat="1" applyFont="1" applyFill="1" applyBorder="1"/>
    <xf numFmtId="164" fontId="1" fillId="5" borderId="18" xfId="0" applyNumberFormat="1" applyFont="1" applyFill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16" fontId="0" fillId="0" borderId="13" xfId="0" quotePrefix="1" applyNumberFormat="1" applyBorder="1" applyAlignment="1">
      <alignment horizontal="center"/>
    </xf>
    <xf numFmtId="0" fontId="0" fillId="0" borderId="13" xfId="0" quotePrefix="1" applyBorder="1" applyAlignment="1">
      <alignment horizontal="center"/>
    </xf>
    <xf numFmtId="164" fontId="0" fillId="3" borderId="5" xfId="0" applyNumberFormat="1" applyFill="1" applyBorder="1" applyProtection="1">
      <protection locked="0"/>
    </xf>
    <xf numFmtId="164" fontId="0" fillId="0" borderId="1" xfId="0" applyNumberFormat="1" applyFont="1" applyFill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164" fontId="1" fillId="2" borderId="0" xfId="0" applyNumberFormat="1" applyFont="1" applyFill="1" applyBorder="1"/>
    <xf numFmtId="164" fontId="1" fillId="2" borderId="12" xfId="0" applyNumberFormat="1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164" fontId="0" fillId="4" borderId="1" xfId="0" applyNumberFormat="1" applyFont="1" applyFill="1" applyBorder="1" applyAlignment="1">
      <alignment horizontal="center"/>
    </xf>
    <xf numFmtId="164" fontId="0" fillId="4" borderId="13" xfId="0" applyNumberFormat="1" applyFill="1" applyBorder="1"/>
    <xf numFmtId="164" fontId="0" fillId="4" borderId="5" xfId="0" applyNumberFormat="1" applyFill="1" applyBorder="1" applyProtection="1">
      <protection locked="0"/>
    </xf>
    <xf numFmtId="164" fontId="0" fillId="4" borderId="13" xfId="0" applyNumberFormat="1" applyFill="1" applyBorder="1" applyProtection="1">
      <protection locked="0"/>
    </xf>
    <xf numFmtId="164" fontId="0" fillId="4" borderId="1" xfId="0" applyNumberFormat="1" applyFill="1" applyBorder="1" applyProtection="1">
      <protection locked="0"/>
    </xf>
    <xf numFmtId="164" fontId="1" fillId="4" borderId="1" xfId="0" applyNumberFormat="1" applyFont="1" applyFill="1" applyBorder="1" applyAlignment="1">
      <alignment horizontal="center"/>
    </xf>
    <xf numFmtId="164" fontId="0" fillId="4" borderId="2" xfId="0" applyNumberFormat="1" applyFill="1" applyBorder="1" applyProtection="1">
      <protection locked="0"/>
    </xf>
    <xf numFmtId="0" fontId="0" fillId="4" borderId="11" xfId="0" applyFill="1" applyBorder="1" applyProtection="1">
      <protection locked="0"/>
    </xf>
    <xf numFmtId="0" fontId="0" fillId="4" borderId="22" xfId="0" applyFill="1" applyBorder="1" applyProtection="1">
      <protection locked="0"/>
    </xf>
    <xf numFmtId="164" fontId="0" fillId="4" borderId="14" xfId="0" applyNumberFormat="1" applyFill="1" applyBorder="1" applyProtection="1">
      <protection locked="0"/>
    </xf>
    <xf numFmtId="164" fontId="0" fillId="4" borderId="8" xfId="0" applyNumberFormat="1" applyFont="1" applyFill="1" applyBorder="1" applyAlignment="1">
      <alignment horizontal="center"/>
    </xf>
    <xf numFmtId="164" fontId="0" fillId="4" borderId="23" xfId="0" applyNumberFormat="1" applyFill="1" applyBorder="1" applyProtection="1">
      <protection locked="0"/>
    </xf>
    <xf numFmtId="164" fontId="0" fillId="4" borderId="2" xfId="0" applyNumberFormat="1" applyFont="1" applyFill="1" applyBorder="1" applyAlignment="1">
      <alignment horizontal="center"/>
    </xf>
    <xf numFmtId="164" fontId="0" fillId="4" borderId="14" xfId="0" applyNumberFormat="1" applyFont="1" applyFill="1" applyBorder="1" applyAlignment="1">
      <alignment horizontal="center"/>
    </xf>
    <xf numFmtId="164" fontId="1" fillId="4" borderId="2" xfId="0" applyNumberFormat="1" applyFont="1" applyFill="1" applyBorder="1" applyProtection="1">
      <protection locked="0"/>
    </xf>
    <xf numFmtId="164" fontId="0" fillId="0" borderId="14" xfId="0" applyNumberFormat="1" applyFont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164" fontId="0" fillId="4" borderId="23" xfId="0" applyNumberFormat="1" applyFont="1" applyFill="1" applyBorder="1" applyAlignment="1">
      <alignment horizontal="center"/>
    </xf>
    <xf numFmtId="164" fontId="0" fillId="4" borderId="2" xfId="0" applyNumberFormat="1" applyFill="1" applyBorder="1"/>
    <xf numFmtId="164" fontId="0" fillId="4" borderId="1" xfId="0" applyNumberFormat="1" applyFill="1" applyBorder="1"/>
    <xf numFmtId="0" fontId="1" fillId="0" borderId="0" xfId="0" applyFont="1" applyAlignment="1">
      <alignment horizontal="left" vertical="top"/>
    </xf>
    <xf numFmtId="0" fontId="0" fillId="0" borderId="0" xfId="0" applyAlignme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tabSelected="1" topLeftCell="A7" zoomScale="90" zoomScaleNormal="90" workbookViewId="0">
      <selection activeCell="H38" sqref="H38"/>
    </sheetView>
  </sheetViews>
  <sheetFormatPr defaultRowHeight="15" x14ac:dyDescent="0.25"/>
  <cols>
    <col min="1" max="1" width="15.28515625" customWidth="1"/>
    <col min="2" max="2" width="8" style="59" customWidth="1"/>
    <col min="3" max="3" width="44.42578125" style="1" customWidth="1"/>
    <col min="4" max="4" width="13.140625" customWidth="1"/>
    <col min="5" max="5" width="9.28515625" customWidth="1"/>
    <col min="6" max="6" width="9.85546875" style="39" bestFit="1" customWidth="1"/>
    <col min="7" max="7" width="11.28515625" customWidth="1"/>
    <col min="8" max="8" width="10.42578125" style="16" customWidth="1"/>
    <col min="9" max="9" width="11" style="43" bestFit="1" customWidth="1"/>
    <col min="10" max="10" width="10.7109375" style="16" bestFit="1" customWidth="1"/>
    <col min="11" max="11" width="10.42578125" customWidth="1"/>
    <col min="12" max="12" width="12" style="16" bestFit="1" customWidth="1"/>
    <col min="13" max="13" width="10.7109375" style="16" bestFit="1" customWidth="1"/>
    <col min="14" max="14" width="10.5703125" customWidth="1"/>
    <col min="15" max="15" width="11" style="16" bestFit="1" customWidth="1"/>
    <col min="16" max="16" width="10.7109375" style="16" bestFit="1" customWidth="1"/>
    <col min="17" max="17" width="10.42578125" customWidth="1"/>
    <col min="18" max="18" width="11" bestFit="1" customWidth="1"/>
    <col min="19" max="19" width="10.7109375" style="16" bestFit="1" customWidth="1"/>
    <col min="20" max="20" width="10.28515625" customWidth="1"/>
    <col min="21" max="21" width="11" bestFit="1" customWidth="1"/>
    <col min="22" max="22" width="10.7109375" bestFit="1" customWidth="1"/>
    <col min="24" max="25" width="9.85546875" bestFit="1" customWidth="1"/>
  </cols>
  <sheetData>
    <row r="1" spans="1:22" x14ac:dyDescent="0.25">
      <c r="A1" s="93" t="s">
        <v>45</v>
      </c>
      <c r="B1" s="94"/>
      <c r="C1" s="94"/>
    </row>
    <row r="3" spans="1:22" ht="18.75" x14ac:dyDescent="0.3">
      <c r="A3" s="95" t="s">
        <v>0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60"/>
    </row>
    <row r="4" spans="1:22" ht="18.75" x14ac:dyDescent="0.3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</row>
    <row r="5" spans="1:22" ht="18.75" x14ac:dyDescent="0.3">
      <c r="A5" s="96" t="s">
        <v>32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20"/>
      <c r="M5" s="20"/>
    </row>
    <row r="6" spans="1:22" ht="18.75" x14ac:dyDescent="0.3">
      <c r="A6" s="51" t="s">
        <v>43</v>
      </c>
      <c r="B6" s="60"/>
      <c r="C6" s="60"/>
      <c r="D6" s="60"/>
      <c r="E6" s="60"/>
      <c r="F6" s="60"/>
      <c r="G6" s="60"/>
      <c r="H6" s="20"/>
      <c r="I6" s="20"/>
      <c r="J6" s="20"/>
      <c r="K6" s="60"/>
      <c r="L6" s="20"/>
      <c r="M6" s="20"/>
    </row>
    <row r="7" spans="1:22" ht="18.75" x14ac:dyDescent="0.3">
      <c r="A7" s="46"/>
      <c r="B7" s="60"/>
      <c r="C7" s="60"/>
      <c r="D7" s="60"/>
      <c r="E7" s="60"/>
      <c r="F7" s="60"/>
      <c r="G7" s="60"/>
      <c r="H7" s="20"/>
      <c r="I7" s="20"/>
      <c r="J7" s="20"/>
      <c r="K7" s="60"/>
      <c r="L7" s="20"/>
      <c r="M7" s="20"/>
    </row>
    <row r="8" spans="1:22" ht="18.75" x14ac:dyDescent="0.3">
      <c r="A8" s="97" t="s">
        <v>25</v>
      </c>
      <c r="B8" s="92"/>
      <c r="C8" s="92"/>
      <c r="D8" s="92"/>
      <c r="E8" s="92"/>
      <c r="F8" s="92"/>
      <c r="G8" s="92"/>
      <c r="H8" s="92"/>
      <c r="I8" s="20"/>
      <c r="J8" s="20"/>
      <c r="K8" s="60"/>
      <c r="L8" s="20"/>
      <c r="M8" s="20"/>
    </row>
    <row r="9" spans="1:22" ht="12" customHeight="1" x14ac:dyDescent="0.3">
      <c r="B9" s="60"/>
      <c r="C9" s="60"/>
      <c r="D9" s="60"/>
      <c r="E9" s="60"/>
      <c r="F9" s="60"/>
      <c r="G9" s="60"/>
      <c r="H9" s="20"/>
      <c r="I9" s="20"/>
      <c r="J9" s="20"/>
      <c r="K9" s="60"/>
      <c r="L9" s="20"/>
      <c r="M9" s="20"/>
    </row>
    <row r="10" spans="1:22" ht="16.5" customHeight="1" x14ac:dyDescent="0.3">
      <c r="A10" s="98" t="s">
        <v>44</v>
      </c>
      <c r="B10" s="92"/>
      <c r="C10" s="92"/>
      <c r="D10" s="92"/>
      <c r="E10" s="92"/>
      <c r="F10" s="92"/>
      <c r="G10" s="60"/>
      <c r="H10" s="20"/>
      <c r="I10" s="20"/>
      <c r="J10" s="20"/>
      <c r="K10" s="60"/>
      <c r="L10" s="20"/>
      <c r="M10" s="20"/>
    </row>
    <row r="11" spans="1:22" ht="17.25" customHeight="1" x14ac:dyDescent="0.3">
      <c r="A11" s="15" t="s">
        <v>23</v>
      </c>
      <c r="B11" s="49" t="s">
        <v>46</v>
      </c>
      <c r="C11" s="91"/>
      <c r="D11" s="92"/>
      <c r="E11" s="60"/>
      <c r="F11" s="60"/>
      <c r="G11" s="60"/>
      <c r="H11" s="20"/>
      <c r="I11" s="20"/>
      <c r="J11" s="20"/>
      <c r="K11" s="60"/>
      <c r="L11" s="20"/>
      <c r="M11" s="20"/>
    </row>
    <row r="12" spans="1:22" x14ac:dyDescent="0.25">
      <c r="A12" s="15" t="s">
        <v>24</v>
      </c>
      <c r="B12" s="50"/>
      <c r="C12" s="2"/>
      <c r="N12" s="25"/>
    </row>
    <row r="13" spans="1:22" x14ac:dyDescent="0.25">
      <c r="A13" s="47"/>
      <c r="B13" s="48"/>
      <c r="N13" s="25"/>
    </row>
    <row r="14" spans="1:22" x14ac:dyDescent="0.25">
      <c r="A14" s="47"/>
      <c r="B14" s="48"/>
      <c r="N14" s="25"/>
    </row>
    <row r="15" spans="1:22" x14ac:dyDescent="0.25">
      <c r="A15" s="12"/>
      <c r="B15" s="13"/>
      <c r="C15" s="14"/>
      <c r="D15" s="12"/>
      <c r="E15" s="12" t="s">
        <v>9</v>
      </c>
      <c r="F15" s="37" t="s">
        <v>15</v>
      </c>
      <c r="G15" s="26" t="s">
        <v>4</v>
      </c>
      <c r="H15" s="33" t="s">
        <v>12</v>
      </c>
      <c r="I15" s="41" t="s">
        <v>13</v>
      </c>
      <c r="J15" s="34"/>
      <c r="K15" s="21" t="s">
        <v>7</v>
      </c>
      <c r="L15" s="23"/>
      <c r="M15" s="67"/>
      <c r="N15" s="21" t="s">
        <v>7</v>
      </c>
      <c r="O15" s="23"/>
      <c r="P15" s="67"/>
      <c r="Q15" s="21" t="s">
        <v>7</v>
      </c>
      <c r="R15" s="69"/>
      <c r="S15" s="17"/>
      <c r="T15" s="21" t="s">
        <v>7</v>
      </c>
      <c r="U15" s="69"/>
      <c r="V15" s="17"/>
    </row>
    <row r="16" spans="1:22" ht="15.75" thickBot="1" x14ac:dyDescent="0.3">
      <c r="A16" s="9" t="s">
        <v>3</v>
      </c>
      <c r="B16" s="10" t="s">
        <v>1</v>
      </c>
      <c r="C16" s="11" t="s">
        <v>2</v>
      </c>
      <c r="D16" s="9" t="s">
        <v>8</v>
      </c>
      <c r="E16" s="9" t="s">
        <v>10</v>
      </c>
      <c r="F16" s="38" t="s">
        <v>16</v>
      </c>
      <c r="G16" s="27" t="s">
        <v>5</v>
      </c>
      <c r="H16" s="35" t="s">
        <v>6</v>
      </c>
      <c r="I16" s="42" t="s">
        <v>14</v>
      </c>
      <c r="J16" s="36"/>
      <c r="K16" s="22" t="s">
        <v>5</v>
      </c>
      <c r="L16" s="24" t="s">
        <v>6</v>
      </c>
      <c r="M16" s="68"/>
      <c r="N16" s="22" t="s">
        <v>5</v>
      </c>
      <c r="O16" s="24" t="s">
        <v>6</v>
      </c>
      <c r="P16" s="68"/>
      <c r="Q16" s="22" t="s">
        <v>5</v>
      </c>
      <c r="R16" s="70"/>
      <c r="S16" s="18" t="s">
        <v>6</v>
      </c>
      <c r="T16" s="22" t="s">
        <v>5</v>
      </c>
      <c r="U16" s="70"/>
      <c r="V16" s="18" t="s">
        <v>6</v>
      </c>
    </row>
    <row r="17" spans="1:25" x14ac:dyDescent="0.25">
      <c r="A17" s="52" t="s">
        <v>33</v>
      </c>
      <c r="B17" s="53">
        <v>1234</v>
      </c>
      <c r="C17" s="54" t="s">
        <v>41</v>
      </c>
      <c r="D17" s="52" t="s">
        <v>34</v>
      </c>
      <c r="E17" s="52" t="s">
        <v>27</v>
      </c>
      <c r="F17" s="55">
        <v>100</v>
      </c>
      <c r="G17" s="56" t="s">
        <v>35</v>
      </c>
      <c r="H17" s="57" t="s">
        <v>36</v>
      </c>
      <c r="I17" s="57" t="s">
        <v>51</v>
      </c>
      <c r="J17" s="58" t="s">
        <v>52</v>
      </c>
      <c r="K17" s="56" t="s">
        <v>37</v>
      </c>
      <c r="L17" s="57" t="s">
        <v>51</v>
      </c>
      <c r="M17" s="58" t="s">
        <v>52</v>
      </c>
      <c r="N17" s="56" t="s">
        <v>38</v>
      </c>
      <c r="O17" s="57" t="s">
        <v>51</v>
      </c>
      <c r="P17" s="58" t="s">
        <v>52</v>
      </c>
      <c r="Q17" s="56" t="s">
        <v>39</v>
      </c>
      <c r="R17" s="57" t="s">
        <v>51</v>
      </c>
      <c r="S17" s="58" t="s">
        <v>52</v>
      </c>
      <c r="T17" s="56" t="s">
        <v>40</v>
      </c>
      <c r="U17" s="57" t="s">
        <v>51</v>
      </c>
      <c r="V17" s="58" t="s">
        <v>52</v>
      </c>
    </row>
    <row r="18" spans="1:25" ht="90" x14ac:dyDescent="0.25">
      <c r="A18" s="8" t="s">
        <v>18</v>
      </c>
      <c r="B18" s="7" t="s">
        <v>17</v>
      </c>
      <c r="C18" s="8" t="s">
        <v>26</v>
      </c>
      <c r="D18" s="8" t="s">
        <v>19</v>
      </c>
      <c r="E18" s="6" t="s">
        <v>27</v>
      </c>
      <c r="F18" s="61" t="s">
        <v>47</v>
      </c>
      <c r="G18" s="45" t="s">
        <v>35</v>
      </c>
      <c r="H18" s="63">
        <v>37.979999999999997</v>
      </c>
      <c r="I18" s="64">
        <f>H18*1</f>
        <v>37.979999999999997</v>
      </c>
      <c r="J18" s="31">
        <f>H18*3</f>
        <v>113.94</v>
      </c>
      <c r="K18" s="73">
        <f t="shared" ref="K18:K37" si="0">H18+2</f>
        <v>39.979999999999997</v>
      </c>
      <c r="L18" s="71">
        <f>K18*1</f>
        <v>39.979999999999997</v>
      </c>
      <c r="M18" s="72">
        <f>K18*3</f>
        <v>119.94</v>
      </c>
      <c r="N18" s="73">
        <f t="shared" ref="N18:N32" si="1">H18+3</f>
        <v>40.98</v>
      </c>
      <c r="O18" s="71">
        <f>N18*1</f>
        <v>40.98</v>
      </c>
      <c r="P18" s="72">
        <f>N18*3</f>
        <v>122.94</v>
      </c>
      <c r="Q18" s="73">
        <f>H18+4</f>
        <v>41.98</v>
      </c>
      <c r="R18" s="71">
        <f>Q18*1</f>
        <v>41.98</v>
      </c>
      <c r="S18" s="72">
        <f>Q18*3</f>
        <v>125.94</v>
      </c>
      <c r="T18" s="73">
        <f>H18+5</f>
        <v>42.98</v>
      </c>
      <c r="U18" s="71">
        <f>T18*1</f>
        <v>42.98</v>
      </c>
      <c r="V18" s="89">
        <f>T18*3</f>
        <v>128.94</v>
      </c>
    </row>
    <row r="19" spans="1:25" ht="90" x14ac:dyDescent="0.25">
      <c r="A19" s="8" t="s">
        <v>18</v>
      </c>
      <c r="B19" s="7" t="s">
        <v>17</v>
      </c>
      <c r="C19" s="8" t="s">
        <v>26</v>
      </c>
      <c r="D19" s="8" t="s">
        <v>19</v>
      </c>
      <c r="E19" s="6" t="s">
        <v>27</v>
      </c>
      <c r="F19" s="62" t="s">
        <v>48</v>
      </c>
      <c r="G19" s="45" t="s">
        <v>35</v>
      </c>
      <c r="H19" s="63">
        <v>26.99</v>
      </c>
      <c r="I19" s="64">
        <f>H19*4</f>
        <v>107.96</v>
      </c>
      <c r="J19" s="31">
        <f>H19*11</f>
        <v>296.89</v>
      </c>
      <c r="K19" s="73">
        <f t="shared" si="0"/>
        <v>28.99</v>
      </c>
      <c r="L19" s="71">
        <f>K19*4</f>
        <v>115.96</v>
      </c>
      <c r="M19" s="72">
        <f>K19*11</f>
        <v>318.89</v>
      </c>
      <c r="N19" s="73">
        <f t="shared" si="1"/>
        <v>29.99</v>
      </c>
      <c r="O19" s="71">
        <f>N19*4</f>
        <v>119.96</v>
      </c>
      <c r="P19" s="72">
        <f>N19*11</f>
        <v>329.89</v>
      </c>
      <c r="Q19" s="73">
        <f>H19+4</f>
        <v>30.99</v>
      </c>
      <c r="R19" s="71">
        <f>Q19*4</f>
        <v>123.96</v>
      </c>
      <c r="S19" s="72">
        <f>Q19*11</f>
        <v>340.89</v>
      </c>
      <c r="T19" s="73">
        <f>H19+5</f>
        <v>31.99</v>
      </c>
      <c r="U19" s="71">
        <f>T19*4</f>
        <v>127.96</v>
      </c>
      <c r="V19" s="90">
        <f>T19*11</f>
        <v>351.89</v>
      </c>
      <c r="X19" s="16"/>
      <c r="Y19" s="16"/>
    </row>
    <row r="20" spans="1:25" ht="96.75" customHeight="1" x14ac:dyDescent="0.25">
      <c r="A20" s="8" t="s">
        <v>18</v>
      </c>
      <c r="B20" s="7" t="s">
        <v>17</v>
      </c>
      <c r="C20" s="8" t="s">
        <v>26</v>
      </c>
      <c r="D20" s="8" t="s">
        <v>19</v>
      </c>
      <c r="E20" s="6" t="s">
        <v>27</v>
      </c>
      <c r="F20" s="62" t="s">
        <v>49</v>
      </c>
      <c r="G20" s="45" t="s">
        <v>35</v>
      </c>
      <c r="H20" s="63">
        <v>16.39</v>
      </c>
      <c r="I20" s="64">
        <f>H20*12</f>
        <v>196.68</v>
      </c>
      <c r="J20" s="31">
        <f>H20*144</f>
        <v>2360.16</v>
      </c>
      <c r="K20" s="73">
        <f t="shared" si="0"/>
        <v>18.39</v>
      </c>
      <c r="L20" s="71">
        <f>K20*12</f>
        <v>220.68</v>
      </c>
      <c r="M20" s="72">
        <f>K20*144</f>
        <v>2648.16</v>
      </c>
      <c r="N20" s="73">
        <f t="shared" si="1"/>
        <v>19.39</v>
      </c>
      <c r="O20" s="71">
        <f>N20*12</f>
        <v>232.68</v>
      </c>
      <c r="P20" s="72">
        <f>N20*144</f>
        <v>2792.16</v>
      </c>
      <c r="Q20" s="73">
        <f>H20+4</f>
        <v>20.39</v>
      </c>
      <c r="R20" s="71">
        <f>Q20*12</f>
        <v>244.68</v>
      </c>
      <c r="S20" s="72">
        <f>Q20*144</f>
        <v>2936.16</v>
      </c>
      <c r="T20" s="73">
        <f>H20+5</f>
        <v>21.39</v>
      </c>
      <c r="U20" s="71">
        <f>T20*12</f>
        <v>256.68</v>
      </c>
      <c r="V20" s="89">
        <f>T20*144</f>
        <v>3080.16</v>
      </c>
      <c r="X20" s="16"/>
      <c r="Y20" s="16"/>
    </row>
    <row r="21" spans="1:25" ht="96.75" customHeight="1" x14ac:dyDescent="0.25">
      <c r="A21" s="8" t="s">
        <v>18</v>
      </c>
      <c r="B21" s="7" t="s">
        <v>17</v>
      </c>
      <c r="C21" s="8" t="s">
        <v>26</v>
      </c>
      <c r="D21" s="8" t="s">
        <v>19</v>
      </c>
      <c r="E21" s="6" t="s">
        <v>27</v>
      </c>
      <c r="F21" s="62" t="s">
        <v>50</v>
      </c>
      <c r="G21" s="45" t="s">
        <v>35</v>
      </c>
      <c r="H21" s="63">
        <v>14.16</v>
      </c>
      <c r="I21" s="87">
        <f>H21*144</f>
        <v>2039.04</v>
      </c>
      <c r="J21" s="31"/>
      <c r="K21" s="73">
        <f t="shared" si="0"/>
        <v>16.16</v>
      </c>
      <c r="L21" s="81">
        <f>K21*144</f>
        <v>2327.04</v>
      </c>
      <c r="M21" s="82"/>
      <c r="N21" s="73">
        <f t="shared" si="1"/>
        <v>17.16</v>
      </c>
      <c r="O21" s="81">
        <f>N21*144</f>
        <v>2471.04</v>
      </c>
      <c r="P21" s="82"/>
      <c r="Q21" s="73">
        <f t="shared" ref="Q21:Q22" si="2">H21+4</f>
        <v>18.16</v>
      </c>
      <c r="R21" s="81">
        <f>Q21*144</f>
        <v>2615.04</v>
      </c>
      <c r="S21" s="75"/>
      <c r="T21" s="73">
        <f t="shared" ref="T21:T22" si="3">H21+5</f>
        <v>19.16</v>
      </c>
      <c r="U21" s="81">
        <f>T21*144</f>
        <v>2759.04</v>
      </c>
      <c r="V21" s="75"/>
      <c r="X21" s="16"/>
    </row>
    <row r="22" spans="1:25" ht="96.75" customHeight="1" x14ac:dyDescent="0.25">
      <c r="A22" s="8" t="s">
        <v>18</v>
      </c>
      <c r="B22" s="7" t="s">
        <v>17</v>
      </c>
      <c r="C22" s="8" t="s">
        <v>26</v>
      </c>
      <c r="D22" s="8" t="s">
        <v>19</v>
      </c>
      <c r="E22" s="6" t="s">
        <v>27</v>
      </c>
      <c r="F22" s="62">
        <v>325</v>
      </c>
      <c r="G22" s="45" t="s">
        <v>35</v>
      </c>
      <c r="H22" s="63">
        <v>14.16</v>
      </c>
      <c r="I22" s="66">
        <f>H22*F22</f>
        <v>4602</v>
      </c>
      <c r="J22" s="31"/>
      <c r="K22" s="73">
        <f t="shared" si="0"/>
        <v>16.16</v>
      </c>
      <c r="L22" s="71">
        <f>K22*325</f>
        <v>5252</v>
      </c>
      <c r="M22" s="74"/>
      <c r="N22" s="73">
        <f t="shared" si="1"/>
        <v>17.16</v>
      </c>
      <c r="O22" s="71">
        <f>N22*325</f>
        <v>5577</v>
      </c>
      <c r="P22" s="74"/>
      <c r="Q22" s="73">
        <f t="shared" si="2"/>
        <v>18.16</v>
      </c>
      <c r="R22" s="71">
        <f>Q22*325</f>
        <v>5902</v>
      </c>
      <c r="S22" s="75"/>
      <c r="T22" s="73">
        <f t="shared" si="3"/>
        <v>19.16</v>
      </c>
      <c r="U22" s="71">
        <f>T22*325</f>
        <v>6227</v>
      </c>
      <c r="V22" s="75"/>
    </row>
    <row r="23" spans="1:25" ht="96.75" customHeight="1" x14ac:dyDescent="0.25">
      <c r="A23" s="8" t="s">
        <v>18</v>
      </c>
      <c r="B23" s="4" t="s">
        <v>20</v>
      </c>
      <c r="C23" s="5" t="s">
        <v>28</v>
      </c>
      <c r="D23" s="5" t="s">
        <v>19</v>
      </c>
      <c r="E23" s="6"/>
      <c r="F23" s="61" t="s">
        <v>47</v>
      </c>
      <c r="G23" s="45" t="s">
        <v>35</v>
      </c>
      <c r="H23" s="63">
        <v>37.979999999999997</v>
      </c>
      <c r="I23" s="64">
        <f>H23*1</f>
        <v>37.979999999999997</v>
      </c>
      <c r="J23" s="31">
        <f>H23*3</f>
        <v>113.94</v>
      </c>
      <c r="K23" s="73">
        <f t="shared" si="0"/>
        <v>39.979999999999997</v>
      </c>
      <c r="L23" s="71">
        <f>K23*1</f>
        <v>39.979999999999997</v>
      </c>
      <c r="M23" s="72">
        <f>K23*3</f>
        <v>119.94</v>
      </c>
      <c r="N23" s="73">
        <f t="shared" si="1"/>
        <v>40.98</v>
      </c>
      <c r="O23" s="71">
        <f>N23*1</f>
        <v>40.98</v>
      </c>
      <c r="P23" s="72">
        <f>N23*3</f>
        <v>122.94</v>
      </c>
      <c r="Q23" s="73">
        <f>H23+4</f>
        <v>41.98</v>
      </c>
      <c r="R23" s="71">
        <f>Q23*1</f>
        <v>41.98</v>
      </c>
      <c r="S23" s="72">
        <f>Q23*3</f>
        <v>125.94</v>
      </c>
      <c r="T23" s="73"/>
      <c r="U23" s="71"/>
      <c r="V23" s="75"/>
    </row>
    <row r="24" spans="1:25" ht="96.75" customHeight="1" x14ac:dyDescent="0.25">
      <c r="A24" s="8" t="s">
        <v>18</v>
      </c>
      <c r="B24" s="4" t="s">
        <v>20</v>
      </c>
      <c r="C24" s="5" t="s">
        <v>28</v>
      </c>
      <c r="D24" s="5" t="s">
        <v>19</v>
      </c>
      <c r="E24" s="6"/>
      <c r="F24" s="62" t="s">
        <v>48</v>
      </c>
      <c r="G24" s="45" t="s">
        <v>35</v>
      </c>
      <c r="H24" s="63">
        <v>26.99</v>
      </c>
      <c r="I24" s="64">
        <f>H24*4</f>
        <v>107.96</v>
      </c>
      <c r="J24" s="31">
        <f>H24*11</f>
        <v>296.89</v>
      </c>
      <c r="K24" s="73">
        <f t="shared" si="0"/>
        <v>28.99</v>
      </c>
      <c r="L24" s="71">
        <f>K24*4</f>
        <v>115.96</v>
      </c>
      <c r="M24" s="72">
        <f>K24*11</f>
        <v>318.89</v>
      </c>
      <c r="N24" s="73">
        <f t="shared" si="1"/>
        <v>29.99</v>
      </c>
      <c r="O24" s="71">
        <f>N24*4</f>
        <v>119.96</v>
      </c>
      <c r="P24" s="72">
        <f>N24*11</f>
        <v>329.89</v>
      </c>
      <c r="Q24" s="73">
        <f>H24+4</f>
        <v>30.99</v>
      </c>
      <c r="R24" s="71">
        <f>Q24*4</f>
        <v>123.96</v>
      </c>
      <c r="S24" s="72">
        <f>Q24*11</f>
        <v>340.89</v>
      </c>
      <c r="T24" s="73"/>
      <c r="U24" s="71"/>
      <c r="V24" s="75"/>
    </row>
    <row r="25" spans="1:25" ht="96.75" customHeight="1" x14ac:dyDescent="0.25">
      <c r="A25" s="8" t="s">
        <v>18</v>
      </c>
      <c r="B25" s="4" t="s">
        <v>20</v>
      </c>
      <c r="C25" s="5" t="s">
        <v>28</v>
      </c>
      <c r="D25" s="5" t="s">
        <v>19</v>
      </c>
      <c r="E25" s="6"/>
      <c r="F25" s="62" t="s">
        <v>49</v>
      </c>
      <c r="G25" s="45" t="s">
        <v>35</v>
      </c>
      <c r="H25" s="63">
        <v>16.39</v>
      </c>
      <c r="I25" s="64">
        <f>H25*12</f>
        <v>196.68</v>
      </c>
      <c r="J25" s="31">
        <f>H25*144</f>
        <v>2360.16</v>
      </c>
      <c r="K25" s="73">
        <f t="shared" si="0"/>
        <v>18.39</v>
      </c>
      <c r="L25" s="71">
        <f>K25*12</f>
        <v>220.68</v>
      </c>
      <c r="M25" s="72">
        <f>K25*144</f>
        <v>2648.16</v>
      </c>
      <c r="N25" s="73">
        <f t="shared" si="1"/>
        <v>19.39</v>
      </c>
      <c r="O25" s="71">
        <f>N25*12</f>
        <v>232.68</v>
      </c>
      <c r="P25" s="72">
        <f>N25*144</f>
        <v>2792.16</v>
      </c>
      <c r="Q25" s="73">
        <f>H25+4</f>
        <v>20.39</v>
      </c>
      <c r="R25" s="71">
        <f>Q25*12</f>
        <v>244.68</v>
      </c>
      <c r="S25" s="72">
        <f>Q25*144</f>
        <v>2936.16</v>
      </c>
      <c r="T25" s="73"/>
      <c r="U25" s="71"/>
      <c r="V25" s="75"/>
    </row>
    <row r="26" spans="1:25" ht="96.75" customHeight="1" x14ac:dyDescent="0.25">
      <c r="A26" s="8" t="s">
        <v>18</v>
      </c>
      <c r="B26" s="4" t="s">
        <v>20</v>
      </c>
      <c r="C26" s="5" t="s">
        <v>28</v>
      </c>
      <c r="D26" s="5" t="s">
        <v>19</v>
      </c>
      <c r="E26" s="6"/>
      <c r="F26" s="62" t="s">
        <v>50</v>
      </c>
      <c r="G26" s="45" t="s">
        <v>35</v>
      </c>
      <c r="H26" s="63">
        <v>14.16</v>
      </c>
      <c r="I26" s="65">
        <f>H26*144</f>
        <v>2039.04</v>
      </c>
      <c r="J26" s="31"/>
      <c r="K26" s="73">
        <f t="shared" si="0"/>
        <v>16.16</v>
      </c>
      <c r="L26" s="83">
        <f>K26*144</f>
        <v>2327.04</v>
      </c>
      <c r="M26" s="74"/>
      <c r="N26" s="73">
        <f t="shared" si="1"/>
        <v>17.16</v>
      </c>
      <c r="O26" s="83">
        <f>N26*144</f>
        <v>2471.04</v>
      </c>
      <c r="P26" s="74"/>
      <c r="Q26" s="73">
        <f t="shared" ref="Q26:Q27" si="4">H26+4</f>
        <v>18.16</v>
      </c>
      <c r="R26" s="81">
        <f>Q26*144</f>
        <v>2615.04</v>
      </c>
      <c r="S26" s="75"/>
      <c r="T26" s="73"/>
      <c r="U26" s="81"/>
      <c r="V26" s="75"/>
    </row>
    <row r="27" spans="1:25" ht="106.5" customHeight="1" x14ac:dyDescent="0.25">
      <c r="A27" s="8" t="s">
        <v>18</v>
      </c>
      <c r="B27" s="4" t="s">
        <v>20</v>
      </c>
      <c r="C27" s="5" t="s">
        <v>28</v>
      </c>
      <c r="D27" s="5" t="s">
        <v>19</v>
      </c>
      <c r="E27" s="3" t="s">
        <v>11</v>
      </c>
      <c r="F27" s="40">
        <v>775</v>
      </c>
      <c r="G27" s="45" t="s">
        <v>35</v>
      </c>
      <c r="H27" s="63">
        <v>14.16</v>
      </c>
      <c r="I27" s="66">
        <f>H27*775</f>
        <v>10974</v>
      </c>
      <c r="J27" s="31"/>
      <c r="K27" s="73">
        <f t="shared" si="0"/>
        <v>16.16</v>
      </c>
      <c r="L27" s="76">
        <f>K27*775</f>
        <v>12524</v>
      </c>
      <c r="M27" s="74"/>
      <c r="N27" s="73">
        <f t="shared" si="1"/>
        <v>17.16</v>
      </c>
      <c r="O27" s="76">
        <f>N27*775</f>
        <v>13299</v>
      </c>
      <c r="P27" s="74"/>
      <c r="Q27" s="73">
        <f t="shared" si="4"/>
        <v>18.16</v>
      </c>
      <c r="R27" s="76">
        <f>Q27*775</f>
        <v>14074</v>
      </c>
      <c r="S27" s="75"/>
      <c r="T27" s="73"/>
      <c r="U27" s="76"/>
      <c r="V27" s="77"/>
    </row>
    <row r="28" spans="1:25" ht="106.5" customHeight="1" x14ac:dyDescent="0.25">
      <c r="A28" s="5" t="s">
        <v>21</v>
      </c>
      <c r="B28" s="4">
        <v>100425</v>
      </c>
      <c r="C28" s="5" t="s">
        <v>29</v>
      </c>
      <c r="D28" s="5" t="s">
        <v>22</v>
      </c>
      <c r="E28" s="3" t="s">
        <v>30</v>
      </c>
      <c r="F28" s="61" t="s">
        <v>47</v>
      </c>
      <c r="G28" s="45" t="s">
        <v>53</v>
      </c>
      <c r="H28" s="63">
        <v>43.25</v>
      </c>
      <c r="I28" s="64">
        <f>H28*1</f>
        <v>43.25</v>
      </c>
      <c r="J28" s="31">
        <f>H28*3</f>
        <v>129.75</v>
      </c>
      <c r="K28" s="73">
        <f t="shared" si="0"/>
        <v>45.25</v>
      </c>
      <c r="L28" s="71">
        <f>K28*1</f>
        <v>45.25</v>
      </c>
      <c r="M28" s="72">
        <f>K28*3</f>
        <v>135.75</v>
      </c>
      <c r="N28" s="73">
        <f t="shared" si="1"/>
        <v>46.25</v>
      </c>
      <c r="O28" s="71">
        <f>N28*1</f>
        <v>46.25</v>
      </c>
      <c r="P28" s="72">
        <f>N28*3</f>
        <v>138.75</v>
      </c>
      <c r="Q28" s="73">
        <f>H28+4</f>
        <v>47.25</v>
      </c>
      <c r="R28" s="71">
        <f>Q28*1</f>
        <v>47.25</v>
      </c>
      <c r="S28" s="72">
        <f>Q28*3</f>
        <v>141.75</v>
      </c>
      <c r="T28" s="73"/>
      <c r="U28" s="71"/>
      <c r="V28" s="77"/>
    </row>
    <row r="29" spans="1:25" ht="106.5" customHeight="1" x14ac:dyDescent="0.25">
      <c r="A29" s="5" t="s">
        <v>21</v>
      </c>
      <c r="B29" s="4">
        <v>100425</v>
      </c>
      <c r="C29" s="5" t="s">
        <v>29</v>
      </c>
      <c r="D29" s="5" t="s">
        <v>22</v>
      </c>
      <c r="E29" s="3" t="s">
        <v>30</v>
      </c>
      <c r="F29" s="62" t="s">
        <v>48</v>
      </c>
      <c r="G29" s="45" t="s">
        <v>53</v>
      </c>
      <c r="H29" s="63">
        <v>31.5</v>
      </c>
      <c r="I29" s="64">
        <f>H29*4</f>
        <v>126</v>
      </c>
      <c r="J29" s="31">
        <f>H29*11</f>
        <v>346.5</v>
      </c>
      <c r="K29" s="73">
        <f t="shared" si="0"/>
        <v>33.5</v>
      </c>
      <c r="L29" s="71">
        <f>K29*4</f>
        <v>134</v>
      </c>
      <c r="M29" s="72">
        <f>K29*11</f>
        <v>368.5</v>
      </c>
      <c r="N29" s="73">
        <f t="shared" si="1"/>
        <v>34.5</v>
      </c>
      <c r="O29" s="71">
        <f>N29*4</f>
        <v>138</v>
      </c>
      <c r="P29" s="72">
        <f>N29*11</f>
        <v>379.5</v>
      </c>
      <c r="Q29" s="73">
        <f>H29+4</f>
        <v>35.5</v>
      </c>
      <c r="R29" s="71">
        <f>Q29*4</f>
        <v>142</v>
      </c>
      <c r="S29" s="72">
        <f>Q29*11</f>
        <v>390.5</v>
      </c>
      <c r="T29" s="73"/>
      <c r="U29" s="71"/>
      <c r="V29" s="77"/>
    </row>
    <row r="30" spans="1:25" ht="106.5" customHeight="1" x14ac:dyDescent="0.25">
      <c r="A30" s="5" t="s">
        <v>21</v>
      </c>
      <c r="B30" s="4">
        <v>100425</v>
      </c>
      <c r="C30" s="5" t="s">
        <v>29</v>
      </c>
      <c r="D30" s="5" t="s">
        <v>22</v>
      </c>
      <c r="E30" s="3" t="s">
        <v>30</v>
      </c>
      <c r="F30" s="62" t="s">
        <v>49</v>
      </c>
      <c r="G30" s="45" t="s">
        <v>53</v>
      </c>
      <c r="H30" s="63">
        <v>20.149999999999999</v>
      </c>
      <c r="I30" s="65">
        <f>H30*12</f>
        <v>241.79999999999998</v>
      </c>
      <c r="J30" s="65">
        <f>H30*144</f>
        <v>2901.6</v>
      </c>
      <c r="K30" s="73">
        <f t="shared" si="0"/>
        <v>22.15</v>
      </c>
      <c r="L30" s="83">
        <f>K30*12</f>
        <v>265.79999999999995</v>
      </c>
      <c r="M30" s="84">
        <f>K30*144</f>
        <v>3189.6</v>
      </c>
      <c r="N30" s="73">
        <f t="shared" si="1"/>
        <v>23.15</v>
      </c>
      <c r="O30" s="83">
        <f>N30*12</f>
        <v>277.79999999999995</v>
      </c>
      <c r="P30" s="84">
        <f>N30*144</f>
        <v>3333.6</v>
      </c>
      <c r="Q30" s="73">
        <f t="shared" ref="Q30:Q32" si="5">H30+4</f>
        <v>24.15</v>
      </c>
      <c r="R30" s="83">
        <f>Q30*12</f>
        <v>289.79999999999995</v>
      </c>
      <c r="S30" s="84">
        <f>Q30*144</f>
        <v>3477.6</v>
      </c>
      <c r="T30" s="73"/>
      <c r="U30" s="83"/>
      <c r="V30" s="77"/>
    </row>
    <row r="31" spans="1:25" ht="106.5" customHeight="1" x14ac:dyDescent="0.25">
      <c r="A31" s="5" t="s">
        <v>21</v>
      </c>
      <c r="B31" s="4">
        <v>100425</v>
      </c>
      <c r="C31" s="5" t="s">
        <v>29</v>
      </c>
      <c r="D31" s="5" t="s">
        <v>22</v>
      </c>
      <c r="E31" s="3" t="s">
        <v>30</v>
      </c>
      <c r="F31" s="62" t="s">
        <v>50</v>
      </c>
      <c r="G31" s="45" t="s">
        <v>53</v>
      </c>
      <c r="H31" s="63">
        <v>18.920000000000002</v>
      </c>
      <c r="I31" s="64">
        <f>H31*144</f>
        <v>2724.4800000000005</v>
      </c>
      <c r="J31" s="31"/>
      <c r="K31" s="73">
        <f t="shared" si="0"/>
        <v>20.92</v>
      </c>
      <c r="L31" s="71">
        <f>K31*144</f>
        <v>3012.4800000000005</v>
      </c>
      <c r="M31" s="74"/>
      <c r="N31" s="73">
        <f t="shared" si="1"/>
        <v>21.92</v>
      </c>
      <c r="O31" s="71">
        <f>N31*144</f>
        <v>3156.4800000000005</v>
      </c>
      <c r="P31" s="74"/>
      <c r="Q31" s="73">
        <f t="shared" si="5"/>
        <v>22.92</v>
      </c>
      <c r="R31" s="71">
        <f>Q31*144</f>
        <v>3300.4800000000005</v>
      </c>
      <c r="S31" s="75"/>
      <c r="T31" s="73"/>
      <c r="U31" s="76"/>
      <c r="V31" s="77"/>
    </row>
    <row r="32" spans="1:25" ht="109.5" customHeight="1" x14ac:dyDescent="0.25">
      <c r="A32" s="5" t="s">
        <v>21</v>
      </c>
      <c r="B32" s="4">
        <v>100425</v>
      </c>
      <c r="C32" s="5" t="s">
        <v>29</v>
      </c>
      <c r="D32" s="5" t="s">
        <v>22</v>
      </c>
      <c r="E32" s="3" t="s">
        <v>30</v>
      </c>
      <c r="F32" s="40">
        <v>525</v>
      </c>
      <c r="G32" s="45" t="s">
        <v>53</v>
      </c>
      <c r="H32" s="63">
        <v>18.920000000000002</v>
      </c>
      <c r="I32" s="66">
        <f>H32*525</f>
        <v>9933</v>
      </c>
      <c r="J32" s="31"/>
      <c r="K32" s="73">
        <f t="shared" si="0"/>
        <v>20.92</v>
      </c>
      <c r="L32" s="76">
        <f>K32*525</f>
        <v>10983</v>
      </c>
      <c r="M32" s="74"/>
      <c r="N32" s="73">
        <f t="shared" si="1"/>
        <v>21.92</v>
      </c>
      <c r="O32" s="76">
        <f>N32*525</f>
        <v>11508</v>
      </c>
      <c r="P32" s="74"/>
      <c r="Q32" s="73">
        <f t="shared" si="5"/>
        <v>22.92</v>
      </c>
      <c r="R32" s="76">
        <f>Q32*525</f>
        <v>12033</v>
      </c>
      <c r="S32" s="77"/>
      <c r="T32" s="78"/>
      <c r="U32" s="79"/>
      <c r="V32" s="77"/>
    </row>
    <row r="33" spans="1:22" ht="109.5" customHeight="1" x14ac:dyDescent="0.25">
      <c r="A33" s="5" t="s">
        <v>21</v>
      </c>
      <c r="B33" s="4">
        <v>100414</v>
      </c>
      <c r="C33" s="5" t="s">
        <v>31</v>
      </c>
      <c r="D33" s="5" t="s">
        <v>22</v>
      </c>
      <c r="E33" s="3" t="s">
        <v>54</v>
      </c>
      <c r="F33" s="61" t="s">
        <v>47</v>
      </c>
      <c r="G33" s="45" t="s">
        <v>53</v>
      </c>
      <c r="H33" s="63">
        <v>43.25</v>
      </c>
      <c r="I33" s="64">
        <f>H33*1</f>
        <v>43.25</v>
      </c>
      <c r="J33" s="31">
        <f>H33*3</f>
        <v>129.75</v>
      </c>
      <c r="K33" s="73">
        <f t="shared" si="0"/>
        <v>45.25</v>
      </c>
      <c r="L33" s="71">
        <f>K33*1</f>
        <v>45.25</v>
      </c>
      <c r="M33" s="72">
        <f>K33*3</f>
        <v>135.75</v>
      </c>
      <c r="N33" s="73"/>
      <c r="O33" s="71"/>
      <c r="P33" s="72"/>
      <c r="Q33" s="73"/>
      <c r="R33" s="71"/>
      <c r="S33" s="72"/>
      <c r="T33" s="73"/>
      <c r="U33" s="79"/>
      <c r="V33" s="77"/>
    </row>
    <row r="34" spans="1:22" ht="109.5" customHeight="1" x14ac:dyDescent="0.25">
      <c r="A34" s="5" t="s">
        <v>21</v>
      </c>
      <c r="B34" s="4">
        <v>100414</v>
      </c>
      <c r="C34" s="5" t="s">
        <v>31</v>
      </c>
      <c r="D34" s="5" t="s">
        <v>22</v>
      </c>
      <c r="E34" s="3" t="s">
        <v>54</v>
      </c>
      <c r="F34" s="62" t="s">
        <v>48</v>
      </c>
      <c r="G34" s="45" t="s">
        <v>53</v>
      </c>
      <c r="H34" s="63">
        <v>31.5</v>
      </c>
      <c r="I34" s="64">
        <f>H34*4</f>
        <v>126</v>
      </c>
      <c r="J34" s="31">
        <f>H34*11</f>
        <v>346.5</v>
      </c>
      <c r="K34" s="73">
        <f t="shared" si="0"/>
        <v>33.5</v>
      </c>
      <c r="L34" s="71">
        <f>K34*4</f>
        <v>134</v>
      </c>
      <c r="M34" s="72">
        <f>K34*11</f>
        <v>368.5</v>
      </c>
      <c r="N34" s="73"/>
      <c r="O34" s="71"/>
      <c r="P34" s="72"/>
      <c r="Q34" s="73"/>
      <c r="R34" s="71"/>
      <c r="S34" s="72"/>
      <c r="T34" s="73"/>
      <c r="U34" s="79"/>
      <c r="V34" s="77"/>
    </row>
    <row r="35" spans="1:22" ht="109.5" customHeight="1" x14ac:dyDescent="0.25">
      <c r="A35" s="5" t="s">
        <v>21</v>
      </c>
      <c r="B35" s="4">
        <v>100414</v>
      </c>
      <c r="C35" s="5" t="s">
        <v>31</v>
      </c>
      <c r="D35" s="5" t="s">
        <v>22</v>
      </c>
      <c r="E35" s="3" t="s">
        <v>54</v>
      </c>
      <c r="F35" s="62" t="s">
        <v>49</v>
      </c>
      <c r="G35" s="45" t="s">
        <v>53</v>
      </c>
      <c r="H35" s="63">
        <v>20.149999999999999</v>
      </c>
      <c r="I35" s="87">
        <f>H35*12</f>
        <v>241.79999999999998</v>
      </c>
      <c r="J35" s="86">
        <f>H35*144</f>
        <v>2901.6</v>
      </c>
      <c r="K35" s="73">
        <f t="shared" si="0"/>
        <v>22.15</v>
      </c>
      <c r="L35" s="83">
        <f>K35*12</f>
        <v>265.79999999999995</v>
      </c>
      <c r="M35" s="88">
        <f>K35*144</f>
        <v>3189.6</v>
      </c>
      <c r="N35" s="73"/>
      <c r="O35" s="83"/>
      <c r="P35" s="84"/>
      <c r="Q35" s="73"/>
      <c r="R35" s="83"/>
      <c r="S35" s="84"/>
      <c r="T35" s="73"/>
      <c r="U35" s="79"/>
      <c r="V35" s="77"/>
    </row>
    <row r="36" spans="1:22" ht="109.5" customHeight="1" x14ac:dyDescent="0.25">
      <c r="A36" s="5" t="s">
        <v>21</v>
      </c>
      <c r="B36" s="4">
        <v>100414</v>
      </c>
      <c r="C36" s="5" t="s">
        <v>31</v>
      </c>
      <c r="D36" s="5" t="s">
        <v>22</v>
      </c>
      <c r="E36" s="3" t="s">
        <v>54</v>
      </c>
      <c r="F36" s="62" t="s">
        <v>50</v>
      </c>
      <c r="G36" s="45" t="s">
        <v>53</v>
      </c>
      <c r="H36" s="63">
        <v>18.920000000000002</v>
      </c>
      <c r="I36" s="64">
        <f>H36*144</f>
        <v>2724.4800000000005</v>
      </c>
      <c r="J36" s="31"/>
      <c r="K36" s="73">
        <f t="shared" si="0"/>
        <v>20.92</v>
      </c>
      <c r="L36" s="71">
        <f>K36*144</f>
        <v>3012.4800000000005</v>
      </c>
      <c r="M36" s="74"/>
      <c r="N36" s="73"/>
      <c r="O36" s="76"/>
      <c r="P36" s="74"/>
      <c r="Q36" s="73"/>
      <c r="R36" s="76"/>
      <c r="S36" s="75"/>
      <c r="T36" s="73"/>
      <c r="U36" s="79"/>
      <c r="V36" s="77"/>
    </row>
    <row r="37" spans="1:22" ht="90.75" customHeight="1" x14ac:dyDescent="0.25">
      <c r="A37" s="5" t="s">
        <v>21</v>
      </c>
      <c r="B37" s="4">
        <v>100414</v>
      </c>
      <c r="C37" s="5" t="s">
        <v>31</v>
      </c>
      <c r="D37" s="5" t="s">
        <v>22</v>
      </c>
      <c r="E37" s="3" t="s">
        <v>54</v>
      </c>
      <c r="F37" s="40">
        <v>50</v>
      </c>
      <c r="G37" s="45" t="s">
        <v>53</v>
      </c>
      <c r="H37" s="63">
        <v>18.920000000000002</v>
      </c>
      <c r="I37" s="44">
        <f>H37*50</f>
        <v>946.00000000000011</v>
      </c>
      <c r="J37" s="32"/>
      <c r="K37" s="73">
        <f t="shared" si="0"/>
        <v>20.92</v>
      </c>
      <c r="L37" s="85">
        <f>K37*50</f>
        <v>1046</v>
      </c>
      <c r="M37" s="80"/>
      <c r="N37" s="73"/>
      <c r="O37" s="77"/>
      <c r="P37" s="80"/>
      <c r="Q37" s="78"/>
      <c r="R37" s="79"/>
      <c r="S37" s="77"/>
      <c r="T37" s="78"/>
      <c r="U37" s="79"/>
      <c r="V37" s="77"/>
    </row>
    <row r="38" spans="1:22" x14ac:dyDescent="0.25">
      <c r="F38" s="39">
        <f>SUM(F20:F37)</f>
        <v>1675</v>
      </c>
      <c r="H38" s="43" t="s">
        <v>42</v>
      </c>
      <c r="I38" s="43">
        <f>I22+I27+I32+I37</f>
        <v>26455</v>
      </c>
      <c r="L38" s="43">
        <f>L22+L27+L32+L37</f>
        <v>29805</v>
      </c>
      <c r="O38" s="43">
        <f>O22+O27+O32+O37</f>
        <v>30384</v>
      </c>
      <c r="R38" s="43">
        <f>R22+R27+R32+R37</f>
        <v>32009</v>
      </c>
      <c r="U38" s="43">
        <f>U22+U27+U32+U37</f>
        <v>6227</v>
      </c>
    </row>
    <row r="39" spans="1:22" x14ac:dyDescent="0.25">
      <c r="A39" s="19"/>
    </row>
    <row r="41" spans="1:22" x14ac:dyDescent="0.25">
      <c r="A41" s="28"/>
      <c r="B41" s="29"/>
      <c r="C41" s="30"/>
      <c r="D41" s="28"/>
    </row>
  </sheetData>
  <mergeCells count="6">
    <mergeCell ref="C11:D11"/>
    <mergeCell ref="A1:C1"/>
    <mergeCell ref="A3:L3"/>
    <mergeCell ref="A5:K5"/>
    <mergeCell ref="A8:H8"/>
    <mergeCell ref="A10:F10"/>
  </mergeCells>
  <pageMargins left="0.2" right="0.2" top="0.25" bottom="0.25" header="0.3" footer="0.3"/>
  <pageSetup paperSize="5" scale="62" fitToHeight="6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Polo cost sheet</vt:lpstr>
      <vt:lpstr>'Polo cost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Meditz, Pam</dc:creator>
  <cp:lastModifiedBy>Meditz, Pam</cp:lastModifiedBy>
  <cp:lastPrinted>2018-03-15T15:02:25Z</cp:lastPrinted>
  <dcterms:created xsi:type="dcterms:W3CDTF">2016-12-12T00:50:20Z</dcterms:created>
  <dcterms:modified xsi:type="dcterms:W3CDTF">2018-03-15T19:29:21Z</dcterms:modified>
</cp:coreProperties>
</file>