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Polo shirt- Field Staff Uniform shirt\"/>
    </mc:Choice>
  </mc:AlternateContent>
  <xr:revisionPtr revIDLastSave="0" documentId="13_ncr:1_{A7030653-C29D-41B4-91CB-46D13B8EB265}" xr6:coauthVersionLast="41" xr6:coauthVersionMax="41" xr10:uidLastSave="{00000000-0000-0000-0000-000000000000}"/>
  <bookViews>
    <workbookView xWindow="-120" yWindow="-120" windowWidth="29040" windowHeight="15840" xr2:uid="{181CCF07-C589-45FB-AA53-40C524108CBA}"/>
  </bookViews>
  <sheets>
    <sheet name="Polo cost sheet 2019-2020" sheetId="1" r:id="rId1"/>
  </sheets>
  <definedNames>
    <definedName name="_xlnm.Print_Area" localSheetId="0">'Polo cost sheet 2019-2020'!$A$1:$Y$38</definedName>
    <definedName name="_xlnm.Print_Titles" localSheetId="0">'Polo cost sheet 2019-2020'!$1:$16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32" i="1" l="1"/>
  <c r="Y33" i="1"/>
  <c r="X32" i="1"/>
  <c r="X33" i="1"/>
  <c r="W32" i="1"/>
  <c r="W33" i="1"/>
  <c r="V32" i="1"/>
  <c r="V33" i="1"/>
  <c r="W30" i="1"/>
  <c r="X30" i="1"/>
  <c r="Y30" i="1"/>
  <c r="W31" i="1"/>
  <c r="X31" i="1"/>
  <c r="Y31" i="1"/>
  <c r="V30" i="1"/>
  <c r="V31" i="1"/>
  <c r="Y29" i="1"/>
  <c r="X29" i="1"/>
  <c r="W29" i="1"/>
  <c r="V29" i="1"/>
</calcChain>
</file>

<file path=xl/sharedStrings.xml><?xml version="1.0" encoding="utf-8"?>
<sst xmlns="http://schemas.openxmlformats.org/spreadsheetml/2006/main" count="975" uniqueCount="64">
  <si>
    <t xml:space="preserve">eRFQ Uniform Polo Shirts    </t>
  </si>
  <si>
    <t>COST SHEET</t>
  </si>
  <si>
    <t>Please enter $1.00 on line 1 of the RFQ in the system so it will allow us to award the event.</t>
  </si>
  <si>
    <r>
      <t xml:space="preserve">Mandatory requirement:  This cost sheet must be completed, showing all price points/breaks for all sizes listed in the </t>
    </r>
    <r>
      <rPr>
        <b/>
        <i/>
        <sz val="11"/>
        <rFont val="Calibri"/>
        <family val="2"/>
        <scheme val="minor"/>
      </rPr>
      <t>Sizes Needed</t>
    </r>
    <r>
      <rPr>
        <b/>
        <sz val="11"/>
        <rFont val="Calibri"/>
        <family val="2"/>
        <scheme val="minor"/>
      </rPr>
      <t xml:space="preserve"> column for each shirt, and uploaded to the RFQ.  (SEE Example line 17)</t>
    </r>
  </si>
  <si>
    <t xml:space="preserve">When determining the bid cost of each item, the supplier should include all costs associated with the shipping and handling of these products.  </t>
  </si>
  <si>
    <t>Can Supplier provide a pre-formatted order form as outlined in number six (6) on the Mandatory Questions worksheet?</t>
  </si>
  <si>
    <t>YES</t>
  </si>
  <si>
    <t>x</t>
  </si>
  <si>
    <t>No</t>
  </si>
  <si>
    <t>Sizes</t>
  </si>
  <si>
    <t>Standard</t>
  </si>
  <si>
    <t>Unit</t>
  </si>
  <si>
    <t>Cost</t>
  </si>
  <si>
    <t>Non-Std</t>
  </si>
  <si>
    <t>Brand</t>
  </si>
  <si>
    <t>Style #</t>
  </si>
  <si>
    <t>Description</t>
  </si>
  <si>
    <t>Color</t>
  </si>
  <si>
    <t>Quantity</t>
  </si>
  <si>
    <t>Size Range</t>
  </si>
  <si>
    <t>Price</t>
  </si>
  <si>
    <t>Extension</t>
  </si>
  <si>
    <t>EXAMPLE</t>
  </si>
  <si>
    <t>Polo shirt</t>
  </si>
  <si>
    <t>xxxxx</t>
  </si>
  <si>
    <t>XS-5XL</t>
  </si>
  <si>
    <t>XS-XL</t>
  </si>
  <si>
    <t>$xx.xx</t>
  </si>
  <si>
    <t>Min Range</t>
  </si>
  <si>
    <t>Max Range</t>
  </si>
  <si>
    <t>2XL</t>
  </si>
  <si>
    <t>3XL</t>
  </si>
  <si>
    <t>4XL</t>
  </si>
  <si>
    <t>5XL</t>
  </si>
  <si>
    <t>Port Authority
EZCotton Polo</t>
  </si>
  <si>
    <t>K8000</t>
  </si>
  <si>
    <t>Green Glen
(PMS 567C)</t>
  </si>
  <si>
    <t>1-3</t>
  </si>
  <si>
    <t>4-11</t>
  </si>
  <si>
    <t>12-144</t>
  </si>
  <si>
    <t>144+</t>
  </si>
  <si>
    <t>LK8000</t>
  </si>
  <si>
    <t>XS-4XL</t>
  </si>
  <si>
    <t>Antigua Pique
Xtra-lite Polo</t>
  </si>
  <si>
    <t>Grey Heather
011</t>
  </si>
  <si>
    <t>S-4XL</t>
  </si>
  <si>
    <t>S-XL</t>
  </si>
  <si>
    <t>S-2XL</t>
  </si>
  <si>
    <t xml:space="preserve">PeopleSoft ID # 0000608951= Klein Design/ Sharp Contract Embroidery </t>
  </si>
  <si>
    <t>Agency Contract # 46200-469-DNR0000517</t>
  </si>
  <si>
    <t>Purchase</t>
  </si>
  <si>
    <t xml:space="preserve"> </t>
  </si>
  <si>
    <t>Style</t>
  </si>
  <si>
    <t>Best value=12+ pieces to a single delivery location</t>
  </si>
  <si>
    <r>
      <rPr>
        <b/>
        <sz val="11"/>
        <color theme="1"/>
        <rFont val="Calibri"/>
        <family val="2"/>
        <scheme val="minor"/>
      </rPr>
      <t>Administrative Polo Shirt for Men:</t>
    </r>
    <r>
      <rPr>
        <sz val="11"/>
        <color theme="1"/>
        <rFont val="Calibri"/>
        <family val="2"/>
        <scheme val="minor"/>
      </rPr>
      <t xml:space="preserve">
100% cotton pique, 5.9 ounce, flat knit collar and cuffs, 3-button placket with dyed-to-match buttons, side vents, no pocket, embroidery logo on left chest =1 color silvery white (logo size 3.88 inches)</t>
    </r>
  </si>
  <si>
    <r>
      <rPr>
        <b/>
        <sz val="11"/>
        <color theme="1"/>
        <rFont val="Calibri"/>
        <family val="2"/>
        <scheme val="minor"/>
      </rPr>
      <t>Administrative Polo Shirt for Women:</t>
    </r>
    <r>
      <rPr>
        <sz val="11"/>
        <color theme="1"/>
        <rFont val="Calibri"/>
        <family val="2"/>
        <scheme val="minor"/>
      </rPr>
      <t xml:space="preserve">
100% cotton pique, 5.9 ounce, flat knit collar and cuffs, 3-button placket with dyed-to-match buttons, side vents, no pocket, embroidery logo on left chest= 1 color silvery white (logo size 3.88 inches)</t>
    </r>
  </si>
  <si>
    <r>
      <rPr>
        <b/>
        <sz val="11"/>
        <color theme="1"/>
        <rFont val="Calibri"/>
        <family val="2"/>
        <scheme val="minor"/>
      </rPr>
      <t>Maintenance Polo Shirt for Men:</t>
    </r>
    <r>
      <rPr>
        <sz val="11"/>
        <color theme="1"/>
        <rFont val="Calibri"/>
        <family val="2"/>
        <scheme val="minor"/>
      </rPr>
      <t xml:space="preserve">
100% polyester, flat knit collar &amp; open sleeves, moisture management pique, side vents, no pocket, 3-button placket, embroidery logo on left chest;=1 color black (logo size 3.88 inches)</t>
    </r>
  </si>
  <si>
    <t>Tall XL</t>
  </si>
  <si>
    <t>Tall 2XL</t>
  </si>
  <si>
    <t>Tall 3XL</t>
  </si>
  <si>
    <t>Tall 4XL</t>
  </si>
  <si>
    <r>
      <rPr>
        <b/>
        <sz val="11"/>
        <color theme="1"/>
        <rFont val="Calibri"/>
        <family val="2"/>
        <scheme val="minor"/>
      </rPr>
      <t>Maintenance Polo Shirt for Women:</t>
    </r>
    <r>
      <rPr>
        <sz val="11"/>
        <color theme="1"/>
        <rFont val="Calibri"/>
        <family val="2"/>
        <scheme val="minor"/>
      </rPr>
      <t xml:space="preserve">
100% polyester, flat knit collar &amp; open sleeves, moisture management pique, side vents, no pocket, 3-button placket, embroidery logo on left chest=1 color black (logo size 3.88 inches)</t>
    </r>
  </si>
  <si>
    <t>Style # 104257</t>
  </si>
  <si>
    <t>Pricing valid from 7/27/2019 through 7/26/2020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</si>
</sst>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51515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164" fontId="1" fillId="0" borderId="2" xfId="0" applyNumberFormat="1" applyFont="1" applyFill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164" fontId="1" fillId="0" borderId="3" xfId="0" applyNumberFormat="1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left"/>
    </xf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8" xfId="0" applyBorder="1"/>
    <xf numFmtId="164" fontId="0" fillId="0" borderId="8" xfId="0" applyNumberFormat="1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wrapText="1"/>
    </xf>
    <xf numFmtId="0" fontId="0" fillId="0" borderId="9" xfId="0" applyBorder="1"/>
    <xf numFmtId="164" fontId="1" fillId="0" borderId="9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Font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wrapText="1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0" borderId="8" xfId="0" applyNumberFormat="1" applyFont="1" applyFill="1" applyBorder="1"/>
    <xf numFmtId="164" fontId="0" fillId="0" borderId="9" xfId="0" applyNumberFormat="1" applyFont="1" applyFill="1" applyBorder="1" applyAlignment="1">
      <alignment horizontal="center"/>
    </xf>
    <xf numFmtId="164" fontId="0" fillId="0" borderId="9" xfId="0" applyNumberFormat="1" applyFill="1" applyBorder="1"/>
    <xf numFmtId="164" fontId="1" fillId="0" borderId="9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0" fillId="0" borderId="0" xfId="0" applyNumberFormat="1" applyFill="1"/>
    <xf numFmtId="164" fontId="1" fillId="0" borderId="0" xfId="0" applyNumberFormat="1" applyFont="1" applyFill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Fill="1" applyBorder="1"/>
    <xf numFmtId="0" fontId="1" fillId="0" borderId="2" xfId="0" applyFont="1" applyFill="1" applyBorder="1"/>
    <xf numFmtId="0" fontId="1" fillId="0" borderId="2" xfId="0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0" fontId="1" fillId="0" borderId="8" xfId="0" applyFont="1" applyFill="1" applyBorder="1"/>
    <xf numFmtId="0" fontId="0" fillId="0" borderId="9" xfId="0" applyFill="1" applyBorder="1" applyProtection="1">
      <protection locked="0"/>
    </xf>
    <xf numFmtId="164" fontId="0" fillId="0" borderId="9" xfId="0" applyNumberFormat="1" applyFill="1" applyBorder="1" applyProtection="1">
      <protection locked="0"/>
    </xf>
    <xf numFmtId="164" fontId="1" fillId="0" borderId="9" xfId="0" applyNumberFormat="1" applyFont="1" applyFill="1" applyBorder="1" applyProtection="1">
      <protection locked="0"/>
    </xf>
    <xf numFmtId="0" fontId="1" fillId="0" borderId="0" xfId="0" applyFont="1" applyAlignment="1">
      <alignment horizontal="center"/>
    </xf>
    <xf numFmtId="16" fontId="1" fillId="0" borderId="1" xfId="0" quotePrefix="1" applyNumberFormat="1" applyFont="1" applyBorder="1" applyAlignment="1">
      <alignment horizontal="center"/>
    </xf>
    <xf numFmtId="0" fontId="1" fillId="0" borderId="3" xfId="0" applyFont="1" applyFill="1" applyBorder="1"/>
    <xf numFmtId="164" fontId="0" fillId="0" borderId="8" xfId="0" applyNumberFormat="1" applyFill="1" applyBorder="1" applyProtection="1">
      <protection locked="0"/>
    </xf>
    <xf numFmtId="164" fontId="0" fillId="0" borderId="8" xfId="0" applyNumberFormat="1" applyFill="1" applyBorder="1"/>
    <xf numFmtId="0" fontId="0" fillId="0" borderId="8" xfId="0" applyFill="1" applyBorder="1" applyAlignment="1">
      <alignment wrapText="1"/>
    </xf>
    <xf numFmtId="0" fontId="0" fillId="0" borderId="8" xfId="0" applyFill="1" applyBorder="1" applyAlignment="1">
      <alignment horizontal="left"/>
    </xf>
    <xf numFmtId="0" fontId="1" fillId="0" borderId="0" xfId="0" applyFont="1" applyFill="1"/>
    <xf numFmtId="0" fontId="1" fillId="0" borderId="9" xfId="0" applyFont="1" applyFill="1" applyBorder="1" applyProtection="1">
      <protection locked="0"/>
    </xf>
    <xf numFmtId="0" fontId="1" fillId="0" borderId="8" xfId="0" applyFont="1" applyFill="1" applyBorder="1" applyProtection="1">
      <protection locked="0"/>
    </xf>
    <xf numFmtId="164" fontId="0" fillId="0" borderId="0" xfId="0" applyNumberFormat="1" applyFill="1" applyAlignment="1">
      <alignment horizontal="center"/>
    </xf>
    <xf numFmtId="164" fontId="0" fillId="0" borderId="9" xfId="0" applyNumberFormat="1" applyFill="1" applyBorder="1" applyAlignment="1" applyProtection="1">
      <alignment horizontal="center"/>
      <protection locked="0"/>
    </xf>
    <xf numFmtId="164" fontId="0" fillId="0" borderId="8" xfId="0" applyNumberForma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>
      <alignment horizontal="center"/>
    </xf>
    <xf numFmtId="0" fontId="1" fillId="0" borderId="11" xfId="0" quotePrefix="1" applyFont="1" applyBorder="1" applyAlignment="1">
      <alignment horizontal="center"/>
    </xf>
    <xf numFmtId="164" fontId="1" fillId="0" borderId="6" xfId="0" applyNumberFormat="1" applyFont="1" applyFill="1" applyBorder="1"/>
    <xf numFmtId="164" fontId="1" fillId="0" borderId="7" xfId="0" applyNumberFormat="1" applyFont="1" applyFill="1" applyBorder="1"/>
    <xf numFmtId="0" fontId="1" fillId="2" borderId="5" xfId="0" applyFont="1" applyFill="1" applyBorder="1" applyAlignment="1">
      <alignment horizontal="center"/>
    </xf>
    <xf numFmtId="0" fontId="0" fillId="0" borderId="8" xfId="0" applyFill="1" applyBorder="1"/>
    <xf numFmtId="0" fontId="1" fillId="0" borderId="1" xfId="0" quotePrefix="1" applyFont="1" applyFill="1" applyBorder="1" applyAlignment="1">
      <alignment horizontal="center"/>
    </xf>
    <xf numFmtId="0" fontId="0" fillId="0" borderId="9" xfId="0" applyFill="1" applyBorder="1" applyAlignment="1">
      <alignment wrapText="1"/>
    </xf>
    <xf numFmtId="0" fontId="0" fillId="0" borderId="9" xfId="0" applyFill="1" applyBorder="1" applyAlignment="1">
      <alignment horizontal="left"/>
    </xf>
    <xf numFmtId="0" fontId="0" fillId="0" borderId="9" xfId="0" applyFill="1" applyBorder="1"/>
    <xf numFmtId="0" fontId="1" fillId="0" borderId="11" xfId="0" quotePrefix="1" applyFont="1" applyFill="1" applyBorder="1" applyAlignment="1">
      <alignment horizontal="center"/>
    </xf>
    <xf numFmtId="16" fontId="1" fillId="0" borderId="1" xfId="0" quotePrefix="1" applyNumberFormat="1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164" fontId="0" fillId="6" borderId="8" xfId="0" applyNumberFormat="1" applyFill="1" applyBorder="1" applyProtection="1">
      <protection locked="0"/>
    </xf>
    <xf numFmtId="164" fontId="0" fillId="6" borderId="8" xfId="0" applyNumberFormat="1" applyFont="1" applyFill="1" applyBorder="1" applyAlignment="1">
      <alignment horizontal="center"/>
    </xf>
    <xf numFmtId="164" fontId="0" fillId="6" borderId="9" xfId="0" applyNumberFormat="1" applyFill="1" applyBorder="1"/>
    <xf numFmtId="164" fontId="0" fillId="6" borderId="8" xfId="0" applyNumberFormat="1" applyFill="1" applyBorder="1"/>
    <xf numFmtId="164" fontId="0" fillId="6" borderId="10" xfId="0" applyNumberFormat="1" applyFill="1" applyBorder="1" applyProtection="1">
      <protection locked="0"/>
    </xf>
    <xf numFmtId="164" fontId="0" fillId="6" borderId="10" xfId="0" applyNumberFormat="1" applyFont="1" applyFill="1" applyBorder="1" applyAlignment="1">
      <alignment horizontal="center"/>
    </xf>
    <xf numFmtId="164" fontId="1" fillId="6" borderId="8" xfId="0" applyNumberFormat="1" applyFont="1" applyFill="1" applyBorder="1" applyAlignment="1">
      <alignment horizontal="center"/>
    </xf>
    <xf numFmtId="164" fontId="0" fillId="6" borderId="9" xfId="0" applyNumberFormat="1" applyFill="1" applyBorder="1" applyProtection="1">
      <protection locked="0"/>
    </xf>
    <xf numFmtId="0" fontId="0" fillId="6" borderId="9" xfId="0" applyFill="1" applyBorder="1" applyProtection="1">
      <protection locked="0"/>
    </xf>
    <xf numFmtId="164" fontId="0" fillId="6" borderId="9" xfId="0" applyNumberFormat="1" applyFont="1" applyFill="1" applyBorder="1" applyAlignment="1">
      <alignment horizontal="center"/>
    </xf>
    <xf numFmtId="164" fontId="1" fillId="6" borderId="9" xfId="0" applyNumberFormat="1" applyFont="1" applyFill="1" applyBorder="1" applyAlignment="1">
      <alignment horizontal="center"/>
    </xf>
    <xf numFmtId="164" fontId="0" fillId="6" borderId="13" xfId="0" applyNumberFormat="1" applyFill="1" applyBorder="1" applyProtection="1">
      <protection locked="0"/>
    </xf>
    <xf numFmtId="0" fontId="0" fillId="6" borderId="12" xfId="0" applyFill="1" applyBorder="1" applyProtection="1">
      <protection locked="0"/>
    </xf>
    <xf numFmtId="164" fontId="0" fillId="6" borderId="12" xfId="0" applyNumberFormat="1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horizontal="left" vertical="top"/>
    </xf>
    <xf numFmtId="1" fontId="1" fillId="4" borderId="0" xfId="0" applyNumberFormat="1" applyFont="1" applyFill="1" applyBorder="1" applyAlignment="1" applyProtection="1">
      <alignment horizontal="left" wrapText="1"/>
    </xf>
    <xf numFmtId="1" fontId="3" fillId="0" borderId="14" xfId="0" applyNumberFormat="1" applyFont="1" applyFill="1" applyBorder="1" applyAlignment="1" applyProtection="1">
      <alignment horizontal="left" vertical="center" wrapText="1"/>
    </xf>
    <xf numFmtId="1" fontId="3" fillId="0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BFBD-72D2-43AE-AF97-9AB94EBD9ADA}">
  <sheetPr>
    <pageSetUpPr fitToPage="1"/>
  </sheetPr>
  <dimension ref="A1:AB41"/>
  <sheetViews>
    <sheetView tabSelected="1" zoomScale="90" zoomScaleNormal="90" workbookViewId="0">
      <pane ySplit="17" topLeftCell="A18" activePane="bottomLeft" state="frozen"/>
      <selection pane="bottomLeft" activeCell="C15" sqref="C15"/>
    </sheetView>
  </sheetViews>
  <sheetFormatPr defaultRowHeight="15" x14ac:dyDescent="0.25"/>
  <cols>
    <col min="1" max="1" width="15.28515625" customWidth="1"/>
    <col min="2" max="2" width="8" style="31" customWidth="1"/>
    <col min="3" max="3" width="44.42578125" style="9" customWidth="1"/>
    <col min="4" max="4" width="13.140625" customWidth="1"/>
    <col min="5" max="5" width="12.42578125" hidden="1" customWidth="1"/>
    <col min="6" max="6" width="12.28515625" style="57" customWidth="1"/>
    <col min="7" max="7" width="11.28515625" style="64" customWidth="1"/>
    <col min="8" max="8" width="10.42578125" style="67" customWidth="1"/>
    <col min="9" max="9" width="11" style="46" hidden="1" customWidth="1"/>
    <col min="10" max="10" width="10.7109375" style="45" hidden="1" customWidth="1"/>
    <col min="11" max="11" width="3.28515625" style="45" customWidth="1"/>
    <col min="12" max="12" width="10.42578125" style="33" customWidth="1"/>
    <col min="13" max="13" width="12" style="45" hidden="1" customWidth="1"/>
    <col min="14" max="14" width="10.7109375" style="45" hidden="1" customWidth="1"/>
    <col min="15" max="15" width="10.5703125" style="33" customWidth="1"/>
    <col min="16" max="16" width="11" style="45" hidden="1" customWidth="1"/>
    <col min="17" max="17" width="10.7109375" style="45" hidden="1" customWidth="1"/>
    <col min="18" max="18" width="10.42578125" style="33" customWidth="1"/>
    <col min="19" max="19" width="11" style="33" hidden="1" customWidth="1"/>
    <col min="20" max="20" width="10.7109375" style="45" hidden="1" customWidth="1"/>
    <col min="21" max="23" width="10.28515625" style="33" customWidth="1"/>
    <col min="24" max="24" width="11" style="33" customWidth="1"/>
    <col min="25" max="25" width="10.7109375" style="33" customWidth="1"/>
    <col min="27" max="28" width="9.85546875" bestFit="1" customWidth="1"/>
  </cols>
  <sheetData>
    <row r="1" spans="1:25" ht="15" customHeight="1" x14ac:dyDescent="0.25">
      <c r="A1" s="103" t="s">
        <v>0</v>
      </c>
      <c r="B1" s="105"/>
      <c r="C1" s="105"/>
    </row>
    <row r="3" spans="1:25" ht="18.75" x14ac:dyDescent="0.3">
      <c r="A3" s="106" t="s">
        <v>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47"/>
    </row>
    <row r="4" spans="1:25" ht="18.75" x14ac:dyDescent="0.3">
      <c r="A4" s="112" t="s">
        <v>48</v>
      </c>
      <c r="B4" s="112"/>
      <c r="C4" s="112"/>
      <c r="D4" s="112"/>
      <c r="E4" s="2"/>
      <c r="F4" s="2"/>
      <c r="G4" s="104" t="s">
        <v>53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47"/>
      <c r="W4" s="47"/>
    </row>
    <row r="5" spans="1:25" ht="18.75" hidden="1" x14ac:dyDescent="0.3">
      <c r="A5" s="107" t="s">
        <v>2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48"/>
      <c r="N5" s="48"/>
    </row>
    <row r="6" spans="1:25" ht="18.75" hidden="1" x14ac:dyDescent="0.3">
      <c r="A6" s="3" t="s">
        <v>3</v>
      </c>
      <c r="B6" s="2"/>
      <c r="C6" s="2"/>
      <c r="D6" s="2"/>
      <c r="E6" s="2"/>
      <c r="F6" s="2"/>
      <c r="G6" s="47"/>
      <c r="H6" s="48"/>
      <c r="I6" s="48"/>
      <c r="J6" s="48"/>
      <c r="K6" s="48"/>
      <c r="L6" s="47"/>
      <c r="M6" s="48"/>
      <c r="N6" s="48"/>
    </row>
    <row r="7" spans="1:25" ht="18.75" hidden="1" x14ac:dyDescent="0.3">
      <c r="A7" s="4"/>
      <c r="B7" s="2"/>
      <c r="C7" s="2"/>
      <c r="D7" s="2"/>
      <c r="E7" s="2"/>
      <c r="F7" s="2"/>
      <c r="G7" s="47"/>
      <c r="H7" s="48"/>
      <c r="I7" s="48"/>
      <c r="J7" s="48"/>
      <c r="K7" s="48"/>
      <c r="L7" s="47"/>
      <c r="M7" s="48"/>
      <c r="N7" s="48"/>
    </row>
    <row r="8" spans="1:25" ht="18.75" hidden="1" x14ac:dyDescent="0.3">
      <c r="A8" s="109" t="s">
        <v>4</v>
      </c>
      <c r="B8" s="108"/>
      <c r="C8" s="108"/>
      <c r="D8" s="108"/>
      <c r="E8" s="108"/>
      <c r="F8" s="108"/>
      <c r="G8" s="108"/>
      <c r="H8" s="108"/>
      <c r="I8" s="48"/>
      <c r="J8" s="48"/>
      <c r="K8" s="48"/>
      <c r="L8" s="47"/>
      <c r="M8" s="48"/>
      <c r="N8" s="48"/>
    </row>
    <row r="9" spans="1:25" ht="12" hidden="1" customHeight="1" x14ac:dyDescent="0.3">
      <c r="B9" s="2"/>
      <c r="C9" s="2"/>
      <c r="D9" s="2"/>
      <c r="E9" s="2"/>
      <c r="F9" s="2"/>
      <c r="G9" s="47"/>
      <c r="H9" s="48"/>
      <c r="I9" s="48"/>
      <c r="J9" s="48"/>
      <c r="K9" s="48"/>
      <c r="L9" s="47"/>
      <c r="M9" s="48"/>
      <c r="N9" s="48"/>
    </row>
    <row r="10" spans="1:25" ht="16.5" hidden="1" customHeight="1" x14ac:dyDescent="0.3">
      <c r="A10" s="110" t="s">
        <v>5</v>
      </c>
      <c r="B10" s="108"/>
      <c r="C10" s="108"/>
      <c r="D10" s="108"/>
      <c r="E10" s="108"/>
      <c r="F10" s="108"/>
      <c r="G10" s="47"/>
      <c r="H10" s="48"/>
      <c r="I10" s="48"/>
      <c r="J10" s="48"/>
      <c r="K10" s="48"/>
      <c r="L10" s="47"/>
      <c r="M10" s="48"/>
      <c r="N10" s="48"/>
    </row>
    <row r="11" spans="1:25" ht="17.25" hidden="1" customHeight="1" x14ac:dyDescent="0.3">
      <c r="A11" s="5" t="s">
        <v>6</v>
      </c>
      <c r="B11" s="6" t="s">
        <v>7</v>
      </c>
      <c r="C11" s="111"/>
      <c r="D11" s="108"/>
      <c r="E11" s="2"/>
      <c r="F11" s="2"/>
      <c r="G11" s="47"/>
      <c r="H11" s="48"/>
      <c r="I11" s="48"/>
      <c r="J11" s="48"/>
      <c r="K11" s="48"/>
      <c r="L11" s="47"/>
      <c r="M11" s="48"/>
      <c r="N11" s="48"/>
    </row>
    <row r="12" spans="1:25" hidden="1" x14ac:dyDescent="0.25">
      <c r="A12" s="5" t="s">
        <v>8</v>
      </c>
      <c r="B12" s="7"/>
      <c r="C12" s="8"/>
      <c r="O12" s="49"/>
    </row>
    <row r="13" spans="1:25" x14ac:dyDescent="0.25">
      <c r="A13" s="103" t="s">
        <v>49</v>
      </c>
      <c r="B13" s="103"/>
      <c r="C13" s="103"/>
      <c r="O13" s="49"/>
    </row>
    <row r="14" spans="1:25" ht="24.75" customHeight="1" x14ac:dyDescent="0.25">
      <c r="A14" s="113" t="s">
        <v>63</v>
      </c>
      <c r="B14" s="114"/>
      <c r="C14" s="114"/>
      <c r="F14" s="44" t="s">
        <v>52</v>
      </c>
      <c r="O14" s="49"/>
      <c r="V14" s="99"/>
      <c r="W14" s="99"/>
      <c r="X14" s="99"/>
      <c r="Y14" s="99"/>
    </row>
    <row r="15" spans="1:25" ht="15.75" x14ac:dyDescent="0.25">
      <c r="A15" s="10"/>
      <c r="B15" s="11"/>
      <c r="C15" s="12"/>
      <c r="D15" s="10"/>
      <c r="E15" s="10" t="s">
        <v>9</v>
      </c>
      <c r="F15" s="36" t="s">
        <v>50</v>
      </c>
      <c r="G15" s="50" t="s">
        <v>10</v>
      </c>
      <c r="H15" s="52" t="s">
        <v>11</v>
      </c>
      <c r="I15" s="13" t="s">
        <v>12</v>
      </c>
      <c r="J15" s="13"/>
      <c r="K15" s="13"/>
      <c r="L15" s="51" t="s">
        <v>13</v>
      </c>
      <c r="M15" s="52"/>
      <c r="N15" s="52"/>
      <c r="O15" s="51" t="s">
        <v>13</v>
      </c>
      <c r="P15" s="51" t="s">
        <v>13</v>
      </c>
      <c r="Q15" s="51" t="s">
        <v>13</v>
      </c>
      <c r="R15" s="51" t="s">
        <v>13</v>
      </c>
      <c r="S15" s="51" t="s">
        <v>13</v>
      </c>
      <c r="T15" s="51" t="s">
        <v>13</v>
      </c>
      <c r="U15" s="51" t="s">
        <v>13</v>
      </c>
      <c r="V15" s="51" t="s">
        <v>13</v>
      </c>
      <c r="W15" s="51" t="s">
        <v>13</v>
      </c>
      <c r="X15" s="51" t="s">
        <v>13</v>
      </c>
      <c r="Y15" s="51" t="s">
        <v>13</v>
      </c>
    </row>
    <row r="16" spans="1:25" ht="16.5" thickBot="1" x14ac:dyDescent="0.3">
      <c r="A16" s="14" t="s">
        <v>14</v>
      </c>
      <c r="B16" s="15" t="s">
        <v>15</v>
      </c>
      <c r="C16" s="16" t="s">
        <v>16</v>
      </c>
      <c r="D16" s="14" t="s">
        <v>17</v>
      </c>
      <c r="E16" s="14" t="s">
        <v>51</v>
      </c>
      <c r="F16" s="37" t="s">
        <v>18</v>
      </c>
      <c r="G16" s="59" t="s">
        <v>19</v>
      </c>
      <c r="H16" s="38" t="s">
        <v>20</v>
      </c>
      <c r="I16" s="17" t="s">
        <v>21</v>
      </c>
      <c r="J16" s="17"/>
      <c r="K16" s="17"/>
      <c r="L16" s="70" t="s">
        <v>30</v>
      </c>
      <c r="M16" s="39" t="s">
        <v>28</v>
      </c>
      <c r="N16" s="39" t="s">
        <v>29</v>
      </c>
      <c r="O16" s="70" t="s">
        <v>31</v>
      </c>
      <c r="P16" s="39" t="s">
        <v>28</v>
      </c>
      <c r="Q16" s="39" t="s">
        <v>29</v>
      </c>
      <c r="R16" s="70" t="s">
        <v>32</v>
      </c>
      <c r="S16" s="70" t="s">
        <v>28</v>
      </c>
      <c r="T16" s="39" t="s">
        <v>29</v>
      </c>
      <c r="U16" s="70" t="s">
        <v>33</v>
      </c>
      <c r="V16" s="74" t="s">
        <v>57</v>
      </c>
      <c r="W16" s="74" t="s">
        <v>58</v>
      </c>
      <c r="X16" s="74" t="s">
        <v>59</v>
      </c>
      <c r="Y16" s="39" t="s">
        <v>60</v>
      </c>
    </row>
    <row r="17" spans="1:28" hidden="1" x14ac:dyDescent="0.25">
      <c r="A17" s="18" t="s">
        <v>22</v>
      </c>
      <c r="B17" s="19">
        <v>1234</v>
      </c>
      <c r="C17" s="20" t="s">
        <v>23</v>
      </c>
      <c r="D17" s="18" t="s">
        <v>24</v>
      </c>
      <c r="E17" s="18" t="s">
        <v>25</v>
      </c>
      <c r="F17" s="21">
        <v>100</v>
      </c>
      <c r="G17" s="53" t="s">
        <v>26</v>
      </c>
      <c r="H17" s="26" t="s">
        <v>27</v>
      </c>
      <c r="I17" s="40" t="s">
        <v>28</v>
      </c>
      <c r="J17" s="40" t="s">
        <v>29</v>
      </c>
      <c r="K17" s="40"/>
      <c r="L17" s="53" t="s">
        <v>30</v>
      </c>
      <c r="M17" s="40" t="s">
        <v>28</v>
      </c>
      <c r="N17" s="40" t="s">
        <v>29</v>
      </c>
      <c r="O17" s="53" t="s">
        <v>31</v>
      </c>
      <c r="P17" s="40" t="s">
        <v>28</v>
      </c>
      <c r="Q17" s="40" t="s">
        <v>29</v>
      </c>
      <c r="R17" s="53" t="s">
        <v>32</v>
      </c>
      <c r="S17" s="40" t="s">
        <v>28</v>
      </c>
      <c r="T17" s="40" t="s">
        <v>29</v>
      </c>
      <c r="U17" s="53" t="s">
        <v>33</v>
      </c>
      <c r="V17" s="53"/>
      <c r="W17" s="53"/>
      <c r="X17" s="72"/>
      <c r="Y17" s="73"/>
    </row>
    <row r="18" spans="1:28" ht="90" x14ac:dyDescent="0.25">
      <c r="A18" s="22" t="s">
        <v>34</v>
      </c>
      <c r="B18" s="23" t="s">
        <v>35</v>
      </c>
      <c r="C18" s="22" t="s">
        <v>54</v>
      </c>
      <c r="D18" s="22" t="s">
        <v>36</v>
      </c>
      <c r="E18" s="24" t="s">
        <v>25</v>
      </c>
      <c r="F18" s="58" t="s">
        <v>37</v>
      </c>
      <c r="G18" s="65" t="s">
        <v>26</v>
      </c>
      <c r="H18" s="68">
        <v>40.258800000000001</v>
      </c>
      <c r="I18" s="41">
        <v>40.258800000000001</v>
      </c>
      <c r="J18" s="42">
        <v>120.7764</v>
      </c>
      <c r="K18" s="42"/>
      <c r="L18" s="55">
        <v>42.258800000000001</v>
      </c>
      <c r="M18" s="41">
        <v>42.258800000000001</v>
      </c>
      <c r="N18" s="42">
        <v>126.7764</v>
      </c>
      <c r="O18" s="55">
        <v>43.258800000000001</v>
      </c>
      <c r="P18" s="41">
        <v>43.258800000000001</v>
      </c>
      <c r="Q18" s="42">
        <v>129.7764</v>
      </c>
      <c r="R18" s="55">
        <v>44.258800000000001</v>
      </c>
      <c r="S18" s="41">
        <v>44.258800000000001</v>
      </c>
      <c r="T18" s="42">
        <v>132.7764</v>
      </c>
      <c r="U18" s="55">
        <v>45.258800000000001</v>
      </c>
      <c r="V18" s="83"/>
      <c r="W18" s="83"/>
      <c r="X18" s="84"/>
      <c r="Y18" s="85"/>
    </row>
    <row r="19" spans="1:28" ht="90" x14ac:dyDescent="0.25">
      <c r="A19" s="28" t="s">
        <v>34</v>
      </c>
      <c r="B19" s="27" t="s">
        <v>35</v>
      </c>
      <c r="C19" s="28" t="s">
        <v>54</v>
      </c>
      <c r="D19" s="28" t="s">
        <v>36</v>
      </c>
      <c r="E19" s="29" t="s">
        <v>25</v>
      </c>
      <c r="F19" s="71" t="s">
        <v>38</v>
      </c>
      <c r="G19" s="65" t="s">
        <v>26</v>
      </c>
      <c r="H19" s="68">
        <v>28.609400000000001</v>
      </c>
      <c r="I19" s="41">
        <v>114.4376</v>
      </c>
      <c r="J19" s="42">
        <v>314.70339999999999</v>
      </c>
      <c r="K19" s="42"/>
      <c r="L19" s="55">
        <v>30.609400000000001</v>
      </c>
      <c r="M19" s="41">
        <v>122.4376</v>
      </c>
      <c r="N19" s="42">
        <v>336.70339999999999</v>
      </c>
      <c r="O19" s="55">
        <v>31.609400000000001</v>
      </c>
      <c r="P19" s="41">
        <v>126.4376</v>
      </c>
      <c r="Q19" s="42">
        <v>347.70339999999999</v>
      </c>
      <c r="R19" s="55">
        <v>32.609400000000001</v>
      </c>
      <c r="S19" s="41">
        <v>130.4376</v>
      </c>
      <c r="T19" s="42">
        <v>358.70339999999999</v>
      </c>
      <c r="U19" s="55">
        <v>33.609400000000001</v>
      </c>
      <c r="V19" s="83"/>
      <c r="W19" s="83"/>
      <c r="X19" s="84"/>
      <c r="Y19" s="86"/>
      <c r="AA19" s="1"/>
      <c r="AB19" s="1"/>
    </row>
    <row r="20" spans="1:28" s="33" customFormat="1" ht="96.75" customHeight="1" x14ac:dyDescent="0.25">
      <c r="A20" s="62" t="s">
        <v>34</v>
      </c>
      <c r="B20" s="63" t="s">
        <v>35</v>
      </c>
      <c r="C20" s="62" t="s">
        <v>54</v>
      </c>
      <c r="D20" s="62" t="s">
        <v>36</v>
      </c>
      <c r="E20" s="75" t="s">
        <v>25</v>
      </c>
      <c r="F20" s="76" t="s">
        <v>39</v>
      </c>
      <c r="G20" s="66" t="s">
        <v>26</v>
      </c>
      <c r="H20" s="69">
        <v>17.3734</v>
      </c>
      <c r="I20" s="25">
        <v>208.48079999999999</v>
      </c>
      <c r="J20" s="61">
        <v>2501.7696000000001</v>
      </c>
      <c r="K20" s="61"/>
      <c r="L20" s="60">
        <v>19.3734</v>
      </c>
      <c r="M20" s="25">
        <v>232.48079999999999</v>
      </c>
      <c r="N20" s="61">
        <v>2789.7696000000001</v>
      </c>
      <c r="O20" s="60">
        <v>20.3734</v>
      </c>
      <c r="P20" s="25">
        <v>244.48079999999999</v>
      </c>
      <c r="Q20" s="61">
        <v>2933.7696000000001</v>
      </c>
      <c r="R20" s="60">
        <v>21.3734</v>
      </c>
      <c r="S20" s="25">
        <v>256.48079999999999</v>
      </c>
      <c r="T20" s="61">
        <v>3077.7696000000001</v>
      </c>
      <c r="U20" s="60">
        <v>22.3734</v>
      </c>
      <c r="V20" s="83"/>
      <c r="W20" s="83"/>
      <c r="X20" s="84"/>
      <c r="Y20" s="85"/>
      <c r="AA20" s="45"/>
      <c r="AB20" s="45"/>
    </row>
    <row r="21" spans="1:28" s="33" customFormat="1" ht="96.75" customHeight="1" x14ac:dyDescent="0.25">
      <c r="A21" s="62" t="s">
        <v>34</v>
      </c>
      <c r="B21" s="63" t="s">
        <v>35</v>
      </c>
      <c r="C21" s="62" t="s">
        <v>54</v>
      </c>
      <c r="D21" s="62" t="s">
        <v>36</v>
      </c>
      <c r="E21" s="75" t="s">
        <v>25</v>
      </c>
      <c r="F21" s="76" t="s">
        <v>40</v>
      </c>
      <c r="G21" s="65" t="s">
        <v>26</v>
      </c>
      <c r="H21" s="68">
        <v>15.009600000000001</v>
      </c>
      <c r="I21" s="41">
        <v>2161.3824</v>
      </c>
      <c r="J21" s="42"/>
      <c r="K21" s="42"/>
      <c r="L21" s="55">
        <v>17.009599999999999</v>
      </c>
      <c r="M21" s="41">
        <v>2449.3824</v>
      </c>
      <c r="N21" s="55"/>
      <c r="O21" s="55">
        <v>18.009599999999999</v>
      </c>
      <c r="P21" s="41">
        <v>2593.3824</v>
      </c>
      <c r="Q21" s="55"/>
      <c r="R21" s="55">
        <v>19.009599999999999</v>
      </c>
      <c r="S21" s="41">
        <v>2737.3824</v>
      </c>
      <c r="T21" s="55"/>
      <c r="U21" s="55">
        <v>20.009599999999999</v>
      </c>
      <c r="V21" s="87"/>
      <c r="W21" s="87"/>
      <c r="X21" s="88"/>
      <c r="Y21" s="83"/>
      <c r="AA21" s="45"/>
    </row>
    <row r="22" spans="1:28" s="33" customFormat="1" ht="96.75" customHeight="1" x14ac:dyDescent="0.25">
      <c r="A22" s="77" t="s">
        <v>34</v>
      </c>
      <c r="B22" s="78" t="s">
        <v>35</v>
      </c>
      <c r="C22" s="77" t="s">
        <v>54</v>
      </c>
      <c r="D22" s="77" t="s">
        <v>36</v>
      </c>
      <c r="E22" s="79" t="s">
        <v>25</v>
      </c>
      <c r="F22" s="80">
        <v>325</v>
      </c>
      <c r="G22" s="65" t="s">
        <v>26</v>
      </c>
      <c r="H22" s="68">
        <v>15.009600000000001</v>
      </c>
      <c r="I22" s="43">
        <v>4878.12</v>
      </c>
      <c r="J22" s="42"/>
      <c r="K22" s="42"/>
      <c r="L22" s="55">
        <v>17.009599999999999</v>
      </c>
      <c r="M22" s="41">
        <v>5528.12</v>
      </c>
      <c r="N22" s="55"/>
      <c r="O22" s="55">
        <v>18.009599999999999</v>
      </c>
      <c r="P22" s="41">
        <v>5853.12</v>
      </c>
      <c r="Q22" s="55"/>
      <c r="R22" s="55">
        <v>19.009599999999999</v>
      </c>
      <c r="S22" s="41">
        <v>6178.12</v>
      </c>
      <c r="T22" s="55"/>
      <c r="U22" s="55">
        <v>20.009599999999999</v>
      </c>
      <c r="V22" s="83"/>
      <c r="W22" s="83"/>
      <c r="X22" s="84"/>
      <c r="Y22" s="83"/>
    </row>
    <row r="23" spans="1:28" s="33" customFormat="1" ht="96.75" customHeight="1" x14ac:dyDescent="0.25">
      <c r="A23" s="62" t="s">
        <v>34</v>
      </c>
      <c r="B23" s="63" t="s">
        <v>41</v>
      </c>
      <c r="C23" s="62" t="s">
        <v>55</v>
      </c>
      <c r="D23" s="62" t="s">
        <v>36</v>
      </c>
      <c r="E23" s="75"/>
      <c r="F23" s="81" t="s">
        <v>37</v>
      </c>
      <c r="G23" s="66" t="s">
        <v>26</v>
      </c>
      <c r="H23" s="69">
        <v>40.258800000000001</v>
      </c>
      <c r="I23" s="25">
        <v>40.258800000000001</v>
      </c>
      <c r="J23" s="61">
        <v>120.7764</v>
      </c>
      <c r="K23" s="61"/>
      <c r="L23" s="60">
        <v>42.258800000000001</v>
      </c>
      <c r="M23" s="25">
        <v>42.258800000000001</v>
      </c>
      <c r="N23" s="61">
        <v>126.7764</v>
      </c>
      <c r="O23" s="60">
        <v>43.258800000000001</v>
      </c>
      <c r="P23" s="25">
        <v>43.258800000000001</v>
      </c>
      <c r="Q23" s="61">
        <v>129.7764</v>
      </c>
      <c r="R23" s="60">
        <v>44.258800000000001</v>
      </c>
      <c r="S23" s="25">
        <v>44.258800000000001</v>
      </c>
      <c r="T23" s="61">
        <v>132.7764</v>
      </c>
      <c r="U23" s="83"/>
      <c r="V23" s="83"/>
      <c r="W23" s="83"/>
      <c r="X23" s="84"/>
      <c r="Y23" s="83"/>
    </row>
    <row r="24" spans="1:28" s="33" customFormat="1" ht="96.75" customHeight="1" x14ac:dyDescent="0.25">
      <c r="A24" s="77" t="s">
        <v>34</v>
      </c>
      <c r="B24" s="78" t="s">
        <v>41</v>
      </c>
      <c r="C24" s="77" t="s">
        <v>55</v>
      </c>
      <c r="D24" s="77" t="s">
        <v>36</v>
      </c>
      <c r="E24" s="79"/>
      <c r="F24" s="80" t="s">
        <v>38</v>
      </c>
      <c r="G24" s="65" t="s">
        <v>26</v>
      </c>
      <c r="H24" s="68">
        <v>28.609400000000001</v>
      </c>
      <c r="I24" s="41">
        <v>114.4376</v>
      </c>
      <c r="J24" s="42">
        <v>314.70339999999999</v>
      </c>
      <c r="K24" s="42"/>
      <c r="L24" s="55">
        <v>30.609400000000001</v>
      </c>
      <c r="M24" s="41">
        <v>122.4376</v>
      </c>
      <c r="N24" s="42">
        <v>336.70339999999999</v>
      </c>
      <c r="O24" s="55">
        <v>31.609400000000001</v>
      </c>
      <c r="P24" s="41">
        <v>126.4376</v>
      </c>
      <c r="Q24" s="42">
        <v>347.70339999999999</v>
      </c>
      <c r="R24" s="55">
        <v>32.609400000000001</v>
      </c>
      <c r="S24" s="41">
        <v>130.4376</v>
      </c>
      <c r="T24" s="42">
        <v>358.70339999999999</v>
      </c>
      <c r="U24" s="90"/>
      <c r="V24" s="83"/>
      <c r="W24" s="83"/>
      <c r="X24" s="84"/>
      <c r="Y24" s="83"/>
    </row>
    <row r="25" spans="1:28" s="33" customFormat="1" ht="96.75" customHeight="1" x14ac:dyDescent="0.25">
      <c r="A25" s="62" t="s">
        <v>34</v>
      </c>
      <c r="B25" s="63" t="s">
        <v>41</v>
      </c>
      <c r="C25" s="62" t="s">
        <v>55</v>
      </c>
      <c r="D25" s="62" t="s">
        <v>36</v>
      </c>
      <c r="E25" s="75"/>
      <c r="F25" s="76" t="s">
        <v>39</v>
      </c>
      <c r="G25" s="66" t="s">
        <v>26</v>
      </c>
      <c r="H25" s="69">
        <v>17.3734</v>
      </c>
      <c r="I25" s="25">
        <v>208.48079999999999</v>
      </c>
      <c r="J25" s="61">
        <v>2501.7696000000001</v>
      </c>
      <c r="K25" s="61"/>
      <c r="L25" s="60">
        <v>19.3734</v>
      </c>
      <c r="M25" s="25">
        <v>232.48079999999999</v>
      </c>
      <c r="N25" s="61">
        <v>2789.7696000000001</v>
      </c>
      <c r="O25" s="60">
        <v>20.3734</v>
      </c>
      <c r="P25" s="25">
        <v>244.48079999999999</v>
      </c>
      <c r="Q25" s="61">
        <v>2933.7696000000001</v>
      </c>
      <c r="R25" s="60">
        <v>21.3734</v>
      </c>
      <c r="S25" s="25">
        <v>256.48079999999999</v>
      </c>
      <c r="T25" s="61">
        <v>3077.7696000000001</v>
      </c>
      <c r="U25" s="83"/>
      <c r="V25" s="83"/>
      <c r="W25" s="83"/>
      <c r="X25" s="84"/>
      <c r="Y25" s="83"/>
    </row>
    <row r="26" spans="1:28" s="33" customFormat="1" ht="96.75" customHeight="1" x14ac:dyDescent="0.25">
      <c r="A26" s="62" t="s">
        <v>34</v>
      </c>
      <c r="B26" s="78" t="s">
        <v>41</v>
      </c>
      <c r="C26" s="77" t="s">
        <v>55</v>
      </c>
      <c r="D26" s="77" t="s">
        <v>36</v>
      </c>
      <c r="E26" s="75"/>
      <c r="F26" s="76" t="s">
        <v>40</v>
      </c>
      <c r="G26" s="65" t="s">
        <v>26</v>
      </c>
      <c r="H26" s="68">
        <v>15.009600000000001</v>
      </c>
      <c r="I26" s="41">
        <v>2161.3824</v>
      </c>
      <c r="J26" s="42"/>
      <c r="K26" s="42"/>
      <c r="L26" s="55">
        <v>17.009599999999999</v>
      </c>
      <c r="M26" s="41">
        <v>2449.3824</v>
      </c>
      <c r="N26" s="55"/>
      <c r="O26" s="55">
        <v>18.009599999999999</v>
      </c>
      <c r="P26" s="41">
        <v>2593.3824</v>
      </c>
      <c r="Q26" s="55"/>
      <c r="R26" s="55">
        <v>19.009599999999999</v>
      </c>
      <c r="S26" s="41">
        <v>2737.3824</v>
      </c>
      <c r="T26" s="55"/>
      <c r="U26" s="90"/>
      <c r="V26" s="87"/>
      <c r="W26" s="87"/>
      <c r="X26" s="88"/>
      <c r="Y26" s="83"/>
    </row>
    <row r="27" spans="1:28" s="33" customFormat="1" ht="106.5" customHeight="1" x14ac:dyDescent="0.25">
      <c r="A27" s="77" t="s">
        <v>34</v>
      </c>
      <c r="B27" s="78" t="s">
        <v>41</v>
      </c>
      <c r="C27" s="77" t="s">
        <v>55</v>
      </c>
      <c r="D27" s="77" t="s">
        <v>36</v>
      </c>
      <c r="E27" s="79" t="s">
        <v>42</v>
      </c>
      <c r="F27" s="82">
        <v>775</v>
      </c>
      <c r="G27" s="65" t="s">
        <v>26</v>
      </c>
      <c r="H27" s="68">
        <v>15.009600000000001</v>
      </c>
      <c r="I27" s="43">
        <v>11632.44</v>
      </c>
      <c r="J27" s="42"/>
      <c r="K27" s="42"/>
      <c r="L27" s="55">
        <v>17.009599999999999</v>
      </c>
      <c r="M27" s="43">
        <v>13182.439999999999</v>
      </c>
      <c r="N27" s="55"/>
      <c r="O27" s="55">
        <v>18.009599999999999</v>
      </c>
      <c r="P27" s="43">
        <v>13957.439999999999</v>
      </c>
      <c r="Q27" s="55"/>
      <c r="R27" s="55">
        <v>19.009599999999999</v>
      </c>
      <c r="S27" s="43">
        <v>14732.439999999999</v>
      </c>
      <c r="T27" s="55"/>
      <c r="U27" s="90"/>
      <c r="V27" s="83"/>
      <c r="W27" s="83"/>
      <c r="X27" s="89"/>
      <c r="Y27" s="90"/>
    </row>
    <row r="28" spans="1:28" s="33" customFormat="1" ht="24.75" customHeight="1" x14ac:dyDescent="0.25">
      <c r="A28" s="62"/>
      <c r="B28" s="63"/>
      <c r="C28" s="62"/>
      <c r="D28" s="62"/>
      <c r="E28" s="75"/>
      <c r="F28" s="98"/>
      <c r="G28" s="66"/>
      <c r="H28" s="69"/>
      <c r="I28" s="26"/>
      <c r="J28" s="61"/>
      <c r="K28" s="61"/>
      <c r="L28" s="60"/>
      <c r="M28" s="26"/>
      <c r="N28" s="60"/>
      <c r="O28" s="60"/>
      <c r="P28" s="26"/>
      <c r="Q28" s="60"/>
      <c r="R28" s="60"/>
      <c r="S28" s="26"/>
      <c r="T28" s="60"/>
      <c r="U28" s="83"/>
      <c r="V28" s="100" t="s">
        <v>62</v>
      </c>
      <c r="W28" s="101"/>
      <c r="X28" s="101"/>
      <c r="Y28" s="102"/>
    </row>
    <row r="29" spans="1:28" s="33" customFormat="1" ht="75" x14ac:dyDescent="0.25">
      <c r="A29" s="62" t="s">
        <v>43</v>
      </c>
      <c r="B29" s="63">
        <v>100425</v>
      </c>
      <c r="C29" s="62" t="s">
        <v>56</v>
      </c>
      <c r="D29" s="62" t="s">
        <v>44</v>
      </c>
      <c r="E29" s="75" t="s">
        <v>45</v>
      </c>
      <c r="F29" s="81" t="s">
        <v>37</v>
      </c>
      <c r="G29" s="66" t="s">
        <v>46</v>
      </c>
      <c r="H29" s="69">
        <v>45.844999999999999</v>
      </c>
      <c r="I29" s="25">
        <v>45.844999999999999</v>
      </c>
      <c r="J29" s="61">
        <v>137.535</v>
      </c>
      <c r="K29" s="61"/>
      <c r="L29" s="60">
        <v>47.844999999999999</v>
      </c>
      <c r="M29" s="25">
        <v>47.844999999999999</v>
      </c>
      <c r="N29" s="61">
        <v>143.535</v>
      </c>
      <c r="O29" s="60">
        <v>48.844999999999999</v>
      </c>
      <c r="P29" s="25">
        <v>48.844999999999999</v>
      </c>
      <c r="Q29" s="61">
        <v>146.535</v>
      </c>
      <c r="R29" s="60">
        <v>49.844999999999999</v>
      </c>
      <c r="S29" s="25">
        <v>49.844999999999999</v>
      </c>
      <c r="T29" s="61">
        <v>149.535</v>
      </c>
      <c r="U29" s="83"/>
      <c r="V29" s="60">
        <f>H29+3</f>
        <v>48.844999999999999</v>
      </c>
      <c r="W29" s="60">
        <f>H29+5</f>
        <v>50.844999999999999</v>
      </c>
      <c r="X29" s="25">
        <f>H29+6</f>
        <v>51.844999999999999</v>
      </c>
      <c r="Y29" s="60">
        <f>H29+7</f>
        <v>52.844999999999999</v>
      </c>
    </row>
    <row r="30" spans="1:28" s="33" customFormat="1" ht="75" x14ac:dyDescent="0.25">
      <c r="A30" s="77" t="s">
        <v>43</v>
      </c>
      <c r="B30" s="78">
        <v>100425</v>
      </c>
      <c r="C30" s="77" t="s">
        <v>56</v>
      </c>
      <c r="D30" s="77" t="s">
        <v>44</v>
      </c>
      <c r="E30" s="79" t="s">
        <v>45</v>
      </c>
      <c r="F30" s="80" t="s">
        <v>38</v>
      </c>
      <c r="G30" s="65" t="s">
        <v>46</v>
      </c>
      <c r="H30" s="68">
        <v>33.39</v>
      </c>
      <c r="I30" s="41">
        <v>133.56</v>
      </c>
      <c r="J30" s="42">
        <v>367.29</v>
      </c>
      <c r="K30" s="42"/>
      <c r="L30" s="55">
        <v>35.39</v>
      </c>
      <c r="M30" s="41">
        <v>141.56</v>
      </c>
      <c r="N30" s="42">
        <v>389.29</v>
      </c>
      <c r="O30" s="55">
        <v>36.39</v>
      </c>
      <c r="P30" s="41">
        <v>145.56</v>
      </c>
      <c r="Q30" s="42">
        <v>400.29</v>
      </c>
      <c r="R30" s="55">
        <v>37.39</v>
      </c>
      <c r="S30" s="41">
        <v>149.56</v>
      </c>
      <c r="T30" s="42">
        <v>411.29</v>
      </c>
      <c r="U30" s="90"/>
      <c r="V30" s="60">
        <f t="shared" ref="V30:V33" si="0">H30+3</f>
        <v>36.39</v>
      </c>
      <c r="W30" s="60">
        <f t="shared" ref="W30:W33" si="1">H30+5</f>
        <v>38.39</v>
      </c>
      <c r="X30" s="25">
        <f t="shared" ref="X30:X33" si="2">H30+6</f>
        <v>39.39</v>
      </c>
      <c r="Y30" s="55">
        <f t="shared" ref="Y30:Y33" si="3">H30+7</f>
        <v>40.39</v>
      </c>
    </row>
    <row r="31" spans="1:28" s="33" customFormat="1" ht="75" x14ac:dyDescent="0.25">
      <c r="A31" s="62" t="s">
        <v>43</v>
      </c>
      <c r="B31" s="63">
        <v>100425</v>
      </c>
      <c r="C31" s="62" t="s">
        <v>56</v>
      </c>
      <c r="D31" s="62" t="s">
        <v>44</v>
      </c>
      <c r="E31" s="75" t="s">
        <v>45</v>
      </c>
      <c r="F31" s="76" t="s">
        <v>39</v>
      </c>
      <c r="G31" s="66" t="s">
        <v>46</v>
      </c>
      <c r="H31" s="69">
        <v>21.358999999999998</v>
      </c>
      <c r="I31" s="25">
        <v>256.30799999999999</v>
      </c>
      <c r="J31" s="25">
        <v>3075.6959999999999</v>
      </c>
      <c r="K31" s="25"/>
      <c r="L31" s="60">
        <v>23.358999999999998</v>
      </c>
      <c r="M31" s="25">
        <v>280.30799999999999</v>
      </c>
      <c r="N31" s="25">
        <v>3363.6959999999999</v>
      </c>
      <c r="O31" s="60">
        <v>24.358999999999998</v>
      </c>
      <c r="P31" s="25">
        <v>292.30799999999999</v>
      </c>
      <c r="Q31" s="25">
        <v>3507.6959999999999</v>
      </c>
      <c r="R31" s="60">
        <v>25.358999999999998</v>
      </c>
      <c r="S31" s="25">
        <v>304.30799999999999</v>
      </c>
      <c r="T31" s="25">
        <v>3651.6959999999999</v>
      </c>
      <c r="U31" s="83"/>
      <c r="V31" s="60">
        <f t="shared" si="0"/>
        <v>24.358999999999998</v>
      </c>
      <c r="W31" s="60">
        <f t="shared" si="1"/>
        <v>26.358999999999998</v>
      </c>
      <c r="X31" s="25">
        <f t="shared" si="2"/>
        <v>27.358999999999998</v>
      </c>
      <c r="Y31" s="55">
        <f t="shared" si="3"/>
        <v>28.358999999999998</v>
      </c>
    </row>
    <row r="32" spans="1:28" s="33" customFormat="1" ht="75" x14ac:dyDescent="0.25">
      <c r="A32" s="77" t="s">
        <v>43</v>
      </c>
      <c r="B32" s="78">
        <v>100425</v>
      </c>
      <c r="C32" s="77" t="s">
        <v>56</v>
      </c>
      <c r="D32" s="77" t="s">
        <v>44</v>
      </c>
      <c r="E32" s="79" t="s">
        <v>45</v>
      </c>
      <c r="F32" s="76" t="s">
        <v>40</v>
      </c>
      <c r="G32" s="65" t="s">
        <v>46</v>
      </c>
      <c r="H32" s="68">
        <v>20.055200000000003</v>
      </c>
      <c r="I32" s="41">
        <v>2887.9488000000006</v>
      </c>
      <c r="J32" s="42"/>
      <c r="K32" s="42"/>
      <c r="L32" s="55">
        <v>22.055200000000003</v>
      </c>
      <c r="M32" s="41">
        <v>3175.9488000000006</v>
      </c>
      <c r="N32" s="55"/>
      <c r="O32" s="55">
        <v>23.055200000000003</v>
      </c>
      <c r="P32" s="41">
        <v>3319.9488000000006</v>
      </c>
      <c r="Q32" s="55"/>
      <c r="R32" s="55">
        <v>24.055200000000003</v>
      </c>
      <c r="S32" s="41">
        <v>3463.9488000000006</v>
      </c>
      <c r="T32" s="55"/>
      <c r="U32" s="90"/>
      <c r="V32" s="60">
        <f t="shared" si="0"/>
        <v>23.055200000000003</v>
      </c>
      <c r="W32" s="60">
        <f t="shared" si="1"/>
        <v>25.055200000000003</v>
      </c>
      <c r="X32" s="25">
        <f t="shared" si="2"/>
        <v>26.055200000000003</v>
      </c>
      <c r="Y32" s="55">
        <f t="shared" si="3"/>
        <v>27.055200000000003</v>
      </c>
    </row>
    <row r="33" spans="1:25" s="33" customFormat="1" ht="75" x14ac:dyDescent="0.25">
      <c r="A33" s="77" t="s">
        <v>43</v>
      </c>
      <c r="B33" s="78">
        <v>100425</v>
      </c>
      <c r="C33" s="77" t="s">
        <v>56</v>
      </c>
      <c r="D33" s="77" t="s">
        <v>44</v>
      </c>
      <c r="E33" s="79" t="s">
        <v>45</v>
      </c>
      <c r="F33" s="82">
        <v>525</v>
      </c>
      <c r="G33" s="65" t="s">
        <v>46</v>
      </c>
      <c r="H33" s="68">
        <v>20.055200000000003</v>
      </c>
      <c r="I33" s="43">
        <v>10528.980000000001</v>
      </c>
      <c r="J33" s="42"/>
      <c r="K33" s="42"/>
      <c r="L33" s="55">
        <v>22.055200000000003</v>
      </c>
      <c r="M33" s="43">
        <v>11578.980000000001</v>
      </c>
      <c r="N33" s="55"/>
      <c r="O33" s="55">
        <v>23.055200000000003</v>
      </c>
      <c r="P33" s="43">
        <v>12103.980000000001</v>
      </c>
      <c r="Q33" s="55"/>
      <c r="R33" s="55">
        <v>24.055200000000003</v>
      </c>
      <c r="S33" s="43">
        <v>12628.980000000001</v>
      </c>
      <c r="T33" s="55"/>
      <c r="U33" s="91"/>
      <c r="V33" s="60">
        <f t="shared" si="0"/>
        <v>23.055200000000003</v>
      </c>
      <c r="W33" s="60">
        <f t="shared" si="1"/>
        <v>25.055200000000003</v>
      </c>
      <c r="X33" s="25">
        <f t="shared" si="2"/>
        <v>26.055200000000003</v>
      </c>
      <c r="Y33" s="55">
        <f t="shared" si="3"/>
        <v>27.055200000000003</v>
      </c>
    </row>
    <row r="34" spans="1:25" ht="75" x14ac:dyDescent="0.25">
      <c r="A34" s="22" t="s">
        <v>43</v>
      </c>
      <c r="B34" s="23">
        <v>100414</v>
      </c>
      <c r="C34" s="22" t="s">
        <v>61</v>
      </c>
      <c r="D34" s="22" t="s">
        <v>44</v>
      </c>
      <c r="E34" s="24" t="s">
        <v>47</v>
      </c>
      <c r="F34" s="58" t="s">
        <v>37</v>
      </c>
      <c r="G34" s="66" t="s">
        <v>46</v>
      </c>
      <c r="H34" s="69">
        <v>45.844999999999999</v>
      </c>
      <c r="I34" s="25">
        <v>45.844999999999999</v>
      </c>
      <c r="J34" s="61">
        <v>137.535</v>
      </c>
      <c r="K34" s="61"/>
      <c r="L34" s="60">
        <v>47.844999999999999</v>
      </c>
      <c r="M34" s="25">
        <v>47.844999999999999</v>
      </c>
      <c r="N34" s="61">
        <v>143.535</v>
      </c>
      <c r="O34" s="83"/>
      <c r="P34" s="84"/>
      <c r="Q34" s="86"/>
      <c r="R34" s="83"/>
      <c r="S34" s="25"/>
      <c r="T34" s="61"/>
      <c r="U34" s="83"/>
      <c r="V34" s="94"/>
      <c r="W34" s="94"/>
      <c r="X34" s="95"/>
      <c r="Y34" s="90"/>
    </row>
    <row r="35" spans="1:25" ht="75" x14ac:dyDescent="0.25">
      <c r="A35" s="28" t="s">
        <v>43</v>
      </c>
      <c r="B35" s="27">
        <v>100414</v>
      </c>
      <c r="C35" s="28" t="s">
        <v>61</v>
      </c>
      <c r="D35" s="28" t="s">
        <v>44</v>
      </c>
      <c r="E35" s="29" t="s">
        <v>47</v>
      </c>
      <c r="F35" s="71" t="s">
        <v>38</v>
      </c>
      <c r="G35" s="65" t="s">
        <v>46</v>
      </c>
      <c r="H35" s="68">
        <v>33.39</v>
      </c>
      <c r="I35" s="41">
        <v>133.56</v>
      </c>
      <c r="J35" s="42">
        <v>367.29</v>
      </c>
      <c r="K35" s="42"/>
      <c r="L35" s="55">
        <v>35.39</v>
      </c>
      <c r="M35" s="41">
        <v>141.56</v>
      </c>
      <c r="N35" s="42">
        <v>389.29</v>
      </c>
      <c r="O35" s="90"/>
      <c r="P35" s="92"/>
      <c r="Q35" s="85"/>
      <c r="R35" s="90"/>
      <c r="S35" s="41"/>
      <c r="T35" s="42"/>
      <c r="U35" s="90"/>
      <c r="V35" s="96"/>
      <c r="W35" s="96"/>
      <c r="X35" s="95"/>
      <c r="Y35" s="90"/>
    </row>
    <row r="36" spans="1:25" ht="75" x14ac:dyDescent="0.25">
      <c r="A36" s="62" t="s">
        <v>43</v>
      </c>
      <c r="B36" s="63">
        <v>100414</v>
      </c>
      <c r="C36" s="62" t="s">
        <v>61</v>
      </c>
      <c r="D36" s="62" t="s">
        <v>44</v>
      </c>
      <c r="E36" s="75" t="s">
        <v>47</v>
      </c>
      <c r="F36" s="76" t="s">
        <v>39</v>
      </c>
      <c r="G36" s="66" t="s">
        <v>46</v>
      </c>
      <c r="H36" s="69">
        <v>21.358999999999998</v>
      </c>
      <c r="I36" s="25">
        <v>256.30799999999999</v>
      </c>
      <c r="J36" s="25">
        <v>3075.6959999999999</v>
      </c>
      <c r="K36" s="25"/>
      <c r="L36" s="60">
        <v>23.358999999999998</v>
      </c>
      <c r="M36" s="25">
        <v>280.30799999999999</v>
      </c>
      <c r="N36" s="25">
        <v>3363.6959999999999</v>
      </c>
      <c r="O36" s="83"/>
      <c r="P36" s="84"/>
      <c r="Q36" s="84"/>
      <c r="R36" s="83"/>
      <c r="S36" s="25"/>
      <c r="T36" s="25"/>
      <c r="U36" s="83"/>
      <c r="V36" s="94"/>
      <c r="W36" s="94"/>
      <c r="X36" s="97"/>
      <c r="Y36" s="83"/>
    </row>
    <row r="37" spans="1:25" ht="75" x14ac:dyDescent="0.25">
      <c r="A37" s="77" t="s">
        <v>43</v>
      </c>
      <c r="B37" s="78">
        <v>100414</v>
      </c>
      <c r="C37" s="77" t="s">
        <v>61</v>
      </c>
      <c r="D37" s="77" t="s">
        <v>44</v>
      </c>
      <c r="E37" s="79" t="s">
        <v>47</v>
      </c>
      <c r="F37" s="76" t="s">
        <v>40</v>
      </c>
      <c r="G37" s="65" t="s">
        <v>46</v>
      </c>
      <c r="H37" s="68">
        <v>20.055200000000003</v>
      </c>
      <c r="I37" s="41">
        <v>2887.9488000000006</v>
      </c>
      <c r="J37" s="42"/>
      <c r="K37" s="42"/>
      <c r="L37" s="55">
        <v>22.055200000000003</v>
      </c>
      <c r="M37" s="41">
        <v>3175.9488000000006</v>
      </c>
      <c r="N37" s="55"/>
      <c r="O37" s="90"/>
      <c r="P37" s="93"/>
      <c r="Q37" s="90"/>
      <c r="R37" s="90"/>
      <c r="S37" s="43"/>
      <c r="T37" s="55"/>
      <c r="U37" s="90"/>
      <c r="V37" s="96"/>
      <c r="W37" s="96"/>
      <c r="X37" s="95"/>
      <c r="Y37" s="90"/>
    </row>
    <row r="38" spans="1:25" ht="75" x14ac:dyDescent="0.25">
      <c r="A38" s="77" t="s">
        <v>43</v>
      </c>
      <c r="B38" s="78">
        <v>100414</v>
      </c>
      <c r="C38" s="77" t="s">
        <v>61</v>
      </c>
      <c r="D38" s="77" t="s">
        <v>44</v>
      </c>
      <c r="E38" s="79" t="s">
        <v>47</v>
      </c>
      <c r="F38" s="82">
        <v>525</v>
      </c>
      <c r="G38" s="65" t="s">
        <v>46</v>
      </c>
      <c r="H38" s="68">
        <v>20.055200000000003</v>
      </c>
      <c r="I38" s="30">
        <v>1002.7600000000001</v>
      </c>
      <c r="J38" s="42"/>
      <c r="K38" s="42"/>
      <c r="L38" s="55">
        <v>22.055200000000003</v>
      </c>
      <c r="M38" s="56">
        <v>1102.7600000000002</v>
      </c>
      <c r="N38" s="55"/>
      <c r="O38" s="90"/>
      <c r="P38" s="90"/>
      <c r="Q38" s="90"/>
      <c r="R38" s="91"/>
      <c r="S38" s="54"/>
      <c r="T38" s="55"/>
      <c r="U38" s="91"/>
      <c r="V38" s="95"/>
      <c r="W38" s="95"/>
      <c r="X38" s="95"/>
      <c r="Y38" s="90"/>
    </row>
    <row r="39" spans="1:25" x14ac:dyDescent="0.25">
      <c r="A39" s="32"/>
    </row>
    <row r="41" spans="1:25" x14ac:dyDescent="0.25">
      <c r="A41" s="33"/>
      <c r="B41" s="34"/>
      <c r="C41" s="35"/>
      <c r="D41" s="33"/>
    </row>
  </sheetData>
  <mergeCells count="12">
    <mergeCell ref="V14:Y14"/>
    <mergeCell ref="V28:Y28"/>
    <mergeCell ref="A13:C13"/>
    <mergeCell ref="G4:U4"/>
    <mergeCell ref="A1:C1"/>
    <mergeCell ref="A3:M3"/>
    <mergeCell ref="A5:L5"/>
    <mergeCell ref="A8:H8"/>
    <mergeCell ref="A10:F10"/>
    <mergeCell ref="C11:D11"/>
    <mergeCell ref="A4:D4"/>
    <mergeCell ref="A14:C14"/>
  </mergeCells>
  <pageMargins left="0.2" right="0.2" top="0.25" bottom="0.25" header="0.3" footer="0.3"/>
  <pageSetup paperSize="5" scale="63" fitToHeight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Polo cost sheet 2019-2020</vt:lpstr>
      <vt:lpstr>'Polo cost sheet 2019-2020'!Print_Area</vt:lpstr>
      <vt:lpstr>'Polo cost sheet 2019-2020'!Print_Titles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dcterms:created xsi:type="dcterms:W3CDTF">2019-07-16T18:40:03Z</dcterms:created>
  <dcterms:modified xsi:type="dcterms:W3CDTF">2019-07-16T19:24:27Z</dcterms:modified>
</cp:coreProperties>
</file>