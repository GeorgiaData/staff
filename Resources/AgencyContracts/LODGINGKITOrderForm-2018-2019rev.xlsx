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Cottage Housewares\"/>
    </mc:Choice>
  </mc:AlternateContent>
  <xr:revisionPtr revIDLastSave="0" documentId="8_{E55427D7-FF9A-4DFD-BC8F-B624BD20FDCC}" xr6:coauthVersionLast="31" xr6:coauthVersionMax="31" xr10:uidLastSave="{00000000-0000-0000-0000-000000000000}"/>
  <bookViews>
    <workbookView xWindow="0" yWindow="0" windowWidth="21000" windowHeight="11160" tabRatio="500" xr2:uid="{00000000-000D-0000-FFFF-FFFF00000000}"/>
  </bookViews>
  <sheets>
    <sheet name="Sheet1" sheetId="1" r:id="rId1"/>
  </sheet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45" i="1" l="1"/>
  <c r="G142" i="1"/>
  <c r="G141" i="1"/>
  <c r="G137" i="1"/>
  <c r="G136" i="1"/>
  <c r="G135" i="1"/>
  <c r="G134" i="1"/>
  <c r="G133" i="1"/>
  <c r="G132" i="1"/>
  <c r="G129" i="1"/>
  <c r="G128" i="1"/>
  <c r="G127" i="1"/>
  <c r="G126" i="1"/>
  <c r="G123" i="1"/>
  <c r="G122" i="1"/>
  <c r="G121" i="1"/>
  <c r="G120" i="1"/>
  <c r="G119" i="1"/>
  <c r="G116" i="1"/>
  <c r="G115" i="1"/>
  <c r="G114" i="1"/>
  <c r="G113" i="1"/>
  <c r="G112" i="1"/>
  <c r="G111" i="1"/>
  <c r="G110" i="1"/>
  <c r="G107" i="1"/>
  <c r="G106" i="1"/>
  <c r="G105" i="1"/>
  <c r="G104" i="1"/>
  <c r="G103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0" i="1"/>
  <c r="G69" i="1"/>
  <c r="G68" i="1"/>
  <c r="G67" i="1"/>
  <c r="G66" i="1"/>
  <c r="G65" i="1"/>
  <c r="G64" i="1"/>
  <c r="G63" i="1"/>
  <c r="G59" i="1"/>
  <c r="G56" i="1"/>
  <c r="G55" i="1"/>
  <c r="G54" i="1"/>
  <c r="G53" i="1"/>
  <c r="G52" i="1"/>
  <c r="G51" i="1"/>
  <c r="G50" i="1"/>
  <c r="G49" i="1"/>
  <c r="G48" i="1"/>
  <c r="G47" i="1"/>
  <c r="G44" i="1"/>
  <c r="G42" i="1"/>
  <c r="G41" i="1"/>
  <c r="G38" i="1"/>
  <c r="G37" i="1"/>
  <c r="G36" i="1"/>
  <c r="G35" i="1"/>
  <c r="G34" i="1"/>
  <c r="G31" i="1"/>
  <c r="G30" i="1"/>
  <c r="G29" i="1"/>
  <c r="G28" i="1"/>
  <c r="G24" i="1"/>
  <c r="G21" i="1"/>
  <c r="G20" i="1"/>
  <c r="G19" i="1"/>
  <c r="G18" i="1"/>
  <c r="G17" i="1"/>
  <c r="G16" i="1"/>
  <c r="G15" i="1"/>
  <c r="G14" i="1"/>
  <c r="G10" i="1"/>
  <c r="G148" i="1" l="1"/>
</calcChain>
</file>

<file path=xl/sharedStrings.xml><?xml version="1.0" encoding="utf-8"?>
<sst xmlns="http://schemas.openxmlformats.org/spreadsheetml/2006/main" count="363" uniqueCount="243">
  <si>
    <t xml:space="preserve">OR </t>
  </si>
  <si>
    <t>OR</t>
  </si>
  <si>
    <t>HBH89MYS01SL77</t>
  </si>
  <si>
    <t>HBH40SLO157</t>
  </si>
  <si>
    <t>DESCRIPTION</t>
  </si>
  <si>
    <t>CATEGORY 1
DINNERWARE:</t>
  </si>
  <si>
    <t>16PC. "VICEROY" Dinnerware Set</t>
  </si>
  <si>
    <t>Green Banded:  4 ea. dinner, salad, cereal bowl &amp; 4 ea. 11 oz. white c-handle coffee mug</t>
  </si>
  <si>
    <t>OPEN STOCK:</t>
  </si>
  <si>
    <t>7-1/8" SALAD PLATE</t>
  </si>
  <si>
    <t>13 OZ. CEREAL BOWL</t>
  </si>
  <si>
    <t>9-3/8" OVAL PLATTER</t>
  </si>
  <si>
    <t>12.5" OVAL PLATTER</t>
  </si>
  <si>
    <t>25 OZ. SERVING BOWL(OFF-WHITE)</t>
  </si>
  <si>
    <t>48 OZ. SERVING BOWL(OFF-WHITE)</t>
  </si>
  <si>
    <t>11OZ. WHITE C-HANDLE MUG</t>
  </si>
  <si>
    <t>CATEGORY 2
FLATWARE:</t>
  </si>
  <si>
    <t>16PC. "HARBOR" FLATWARE SET</t>
  </si>
  <si>
    <t>Includes:  4 each tea spoon, tablespoon, fork, and knife</t>
  </si>
  <si>
    <t>TEASPOON</t>
  </si>
  <si>
    <t>DESSERT SPOON</t>
  </si>
  <si>
    <t>DINNER FORK</t>
  </si>
  <si>
    <t>DINNER KNIFE</t>
  </si>
  <si>
    <t>CATEGORY 3
KNIVES:</t>
  </si>
  <si>
    <t>DIAMANT PARING KNIFE-BLK HANDLE</t>
  </si>
  <si>
    <t>DIAMANT UTILITY KNIFE-BLK HANDLE</t>
  </si>
  <si>
    <t>DIAMANT ROAST SLICER-BLK HNDLE</t>
  </si>
  <si>
    <t>DIAMANT STEAK KNIFE-BLK HANDLE</t>
  </si>
  <si>
    <t>DIAMANT 8" COOKS KNIFE</t>
  </si>
  <si>
    <t>CATEGORY 4
GLASSWARE:</t>
  </si>
  <si>
    <t>12.5 oz. BEVERAGE GLASS- HEAVY BASE</t>
  </si>
  <si>
    <t>12 OZ. PLASTIC TUMBLER</t>
  </si>
  <si>
    <t>PRESENCE CREAMER, GLASS</t>
  </si>
  <si>
    <t>PRESENCE SUGAR BOWL W/LID</t>
  </si>
  <si>
    <t>CATEGORY 5
APPLIANCES:</t>
  </si>
  <si>
    <t>12C AUTO SHUT-OFF COFFEEMAKER</t>
  </si>
  <si>
    <t>REPLACEMENT CARAFE FOR SKX23</t>
  </si>
  <si>
    <t>12C PAUSEnSERVE COFFEEMAKER</t>
  </si>
  <si>
    <t>2-SLICE TOASTER (HOT WALL)</t>
  </si>
  <si>
    <t>ELECTRIC TALL CAN OPENER/knife sharpener</t>
  </si>
  <si>
    <t>ELECTRIC 5-SPEED MIXER</t>
  </si>
  <si>
    <t>11" ELECTRIC SKILLET W/NON-STICK</t>
  </si>
  <si>
    <t>CATEGORY 6
COOKWARE:</t>
  </si>
  <si>
    <t>7PC. S.S. COOKWARE SET</t>
  </si>
  <si>
    <t xml:space="preserve">12QT STOCK POT, S/S </t>
  </si>
  <si>
    <t>10" LID ONLY (FOR FRYPAN &amp; D.O.)</t>
  </si>
  <si>
    <t>10" OPEN FRY PAN</t>
  </si>
  <si>
    <t>10"  OPEN NON-STICK INTERIOR FRY PAN</t>
  </si>
  <si>
    <t>12PC. MICROWAVE COOKWARE SET</t>
  </si>
  <si>
    <t>CATEGORY 7
BAKEWARE:</t>
  </si>
  <si>
    <t>3PC. MIXING BOWL SET</t>
  </si>
  <si>
    <t>8PC. PLASTIC BOWL SET W/LIDS</t>
  </si>
  <si>
    <t>2CUP MEASURING CUP</t>
  </si>
  <si>
    <t>4PC. MEASURING CUP SET-PLASTIC</t>
  </si>
  <si>
    <t>4PC. S.S. MEASURING SPOON SET</t>
  </si>
  <si>
    <t>ALUMINUM PIZZA PAN</t>
  </si>
  <si>
    <t>S.S. 12X14 COOKIE SHEET</t>
  </si>
  <si>
    <t>S.S. ROASTING PAN</t>
  </si>
  <si>
    <t>S.S. 8" SQUARE CAKE PAN</t>
  </si>
  <si>
    <t>S.S. 9" PIE PAN</t>
  </si>
  <si>
    <t xml:space="preserve">2QT. CASSEROLE W/LID </t>
  </si>
  <si>
    <t>2QT. OPEN BAKING DISH</t>
  </si>
  <si>
    <t>9" GLASS PIE PLATE</t>
  </si>
  <si>
    <t>BROILER PAN W/GRILL</t>
  </si>
  <si>
    <t>CATEGORY 8
GADGETS/MISCELLANEOUS ITEMS:</t>
  </si>
  <si>
    <t>PIZZA CUTTER</t>
  </si>
  <si>
    <t>S.S. GRATER/SHREDDER/SLICER</t>
  </si>
  <si>
    <t>12" METAL TONGS</t>
  </si>
  <si>
    <t>10" WIRE WHISK</t>
  </si>
  <si>
    <t>5" STRAINER</t>
  </si>
  <si>
    <t>S.S. VEGETABLE PEELER</t>
  </si>
  <si>
    <t>S.S. CAN PIERCER/BOTTLE OPENER</t>
  </si>
  <si>
    <t>MANUAL CAN OPENER</t>
  </si>
  <si>
    <t>S.S. 3QT. COLANDER</t>
  </si>
  <si>
    <t>WHITE PLASTIC COLANDER</t>
  </si>
  <si>
    <t>4PC. COASTER SET-WHITE/CORK CNTR</t>
  </si>
  <si>
    <t>STAINLESS STEEL SOAP DISH</t>
  </si>
  <si>
    <t>CATEGORY 9
UTENSILS:</t>
  </si>
  <si>
    <t>SOLID SPOON, BLACK HANDLE</t>
  </si>
  <si>
    <t>LARGE TURNER, BLACK HANDLE</t>
  </si>
  <si>
    <t>SLOTTED SPOON, BLACK HANDLE</t>
  </si>
  <si>
    <t>DEEP LADLE, BLACK HANDLE</t>
  </si>
  <si>
    <t>2-TINE FORK, BLACK HANDLE</t>
  </si>
  <si>
    <t>CATEGORY 10
PLASTIC ITEMS:</t>
  </si>
  <si>
    <t>60 OZ. BOUNCER PITCHER</t>
  </si>
  <si>
    <t>2 QT. JUICE PITCHER W/LID</t>
  </si>
  <si>
    <t>5-COMPARTMENT FLATWARE TRAY</t>
  </si>
  <si>
    <t>ULTRA 2PC. SINK SET</t>
  </si>
  <si>
    <t>1.5 BU.SQ. LAUNDRY BASKET</t>
  </si>
  <si>
    <t>16X28 SAFETY-GRIP MAT</t>
  </si>
  <si>
    <t>8X11 CUTTING BOARD</t>
  </si>
  <si>
    <t>CATEGORY 11
CLEANING ITEMS:</t>
  </si>
  <si>
    <t>10 QT. SPOUT PAIL, GLACIER</t>
  </si>
  <si>
    <t>ANGLE BROOM, BLUE</t>
  </si>
  <si>
    <t>DUST PAN, BLUE</t>
  </si>
  <si>
    <t>DISH AND SINK BRUSH-COLOR: WHITE</t>
  </si>
  <si>
    <t>DISH AND POT SCRUBBER (2/PKG)</t>
  </si>
  <si>
    <t>CATEGORY 12
IRONING ITEMS:</t>
  </si>
  <si>
    <t>AUTO SHUT-OFF COMM. IRON</t>
  </si>
  <si>
    <t>FULL SZ. IRONING BOARD W/COVER</t>
  </si>
  <si>
    <t>IRON/BOARD ORGANIZER</t>
  </si>
  <si>
    <t>REPLACEMENT BOARD COVER</t>
  </si>
  <si>
    <t>CATEGORY 13
HANGERS:</t>
  </si>
  <si>
    <t>MENS HANGER-BALLTOP, NATURAL</t>
  </si>
  <si>
    <t>WOMENS HANGER-B.T., NATURAL</t>
  </si>
  <si>
    <t>"A" RINGS, PERMANENT HOOK</t>
  </si>
  <si>
    <t>"B" RINGS, ADJUSTABLE HOOK</t>
  </si>
  <si>
    <t>MENS HANGER-OPEN HOOK, NATURL</t>
  </si>
  <si>
    <t>WOMENS HANGER-OPEN HOOK,NAT.</t>
  </si>
  <si>
    <t>CATEGORY 14
SHOWER CURTAINS:</t>
  </si>
  <si>
    <t>REFLECTION HOOKLESS POLY CURTAIN</t>
  </si>
  <si>
    <t>IT'S A SNAP POLY LINER w/MAGNETS</t>
  </si>
  <si>
    <t>CATEGORY 15
LAUNDRY BAGS:</t>
  </si>
  <si>
    <t>30X40 WHITE BLEND LAUNDRY BAG</t>
  </si>
  <si>
    <t>UOM</t>
  </si>
  <si>
    <t>Unit cost</t>
  </si>
  <si>
    <t>Cost Extension</t>
  </si>
  <si>
    <t>Set</t>
  </si>
  <si>
    <t>Each</t>
  </si>
  <si>
    <t>Pkg.</t>
  </si>
  <si>
    <t>GRAND TOTAL</t>
  </si>
  <si>
    <t>ORDER QUANTITY</t>
  </si>
  <si>
    <t>LODGING KIT ITEM NUMBER</t>
  </si>
  <si>
    <t>WORVIC16PC</t>
  </si>
  <si>
    <t>WORVIC16</t>
  </si>
  <si>
    <t>WORVIC7</t>
  </si>
  <si>
    <t>WORVIC10</t>
  </si>
  <si>
    <t>WORVIC34</t>
  </si>
  <si>
    <t>WORVIC14</t>
  </si>
  <si>
    <t>WOR6022022</t>
  </si>
  <si>
    <t>WORHAR130</t>
  </si>
  <si>
    <t>WOR130-001</t>
  </si>
  <si>
    <t>WOR130-002</t>
  </si>
  <si>
    <t>WOR130-030</t>
  </si>
  <si>
    <t>WOR130-5262</t>
  </si>
  <si>
    <t>TRA80020/500</t>
  </si>
  <si>
    <t>TRA80020/501</t>
  </si>
  <si>
    <t>TRA80020/502</t>
  </si>
  <si>
    <t>TRA80020/005</t>
  </si>
  <si>
    <t>TRA80020/503</t>
  </si>
  <si>
    <t>ANC3172EZ</t>
  </si>
  <si>
    <t>DWLPTP-12C</t>
  </si>
  <si>
    <t>ANC64191</t>
  </si>
  <si>
    <t>ANC64192</t>
  </si>
  <si>
    <t>SUNSKX20</t>
  </si>
  <si>
    <t>SUNSKX23</t>
  </si>
  <si>
    <t>SUNPLD12</t>
  </si>
  <si>
    <t>SUNJWX31-RB</t>
  </si>
  <si>
    <t>PRO22611</t>
  </si>
  <si>
    <t>PRO22612</t>
  </si>
  <si>
    <t>PRO75224</t>
  </si>
  <si>
    <t>PRO75217</t>
  </si>
  <si>
    <t>PRO62515</t>
  </si>
  <si>
    <t>ROYSSRSPT12</t>
  </si>
  <si>
    <t>EMP1020P</t>
  </si>
  <si>
    <t>NOR60001</t>
  </si>
  <si>
    <t>WOR6001001</t>
  </si>
  <si>
    <t>STE747</t>
  </si>
  <si>
    <t>ANC55177L13</t>
  </si>
  <si>
    <t>ROB61323</t>
  </si>
  <si>
    <t>CHE21528</t>
  </si>
  <si>
    <t>WOR1114412</t>
  </si>
  <si>
    <t>WOR1114423</t>
  </si>
  <si>
    <t>WOR1114459</t>
  </si>
  <si>
    <t>WOR1114436</t>
  </si>
  <si>
    <t>WOR1114439</t>
  </si>
  <si>
    <t>WOR1085801</t>
  </si>
  <si>
    <t>WOR1085781</t>
  </si>
  <si>
    <t>WOR6001003</t>
  </si>
  <si>
    <t>RANBP102X</t>
  </si>
  <si>
    <t>CHE21005</t>
  </si>
  <si>
    <t>ROB61408</t>
  </si>
  <si>
    <t>CHE21529</t>
  </si>
  <si>
    <t>STE107</t>
  </si>
  <si>
    <t>STE765</t>
  </si>
  <si>
    <t>SPEC19850</t>
  </si>
  <si>
    <t>NUSEL3H</t>
  </si>
  <si>
    <t>EMP5905</t>
  </si>
  <si>
    <t>EMP5900</t>
  </si>
  <si>
    <t>EMP5907</t>
  </si>
  <si>
    <t>EMP5906</t>
  </si>
  <si>
    <t>EMP5903</t>
  </si>
  <si>
    <t>DWLWPC-60</t>
  </si>
  <si>
    <t>STE482</t>
  </si>
  <si>
    <t>STE1574</t>
  </si>
  <si>
    <t>STE641</t>
  </si>
  <si>
    <t>STE1245</t>
  </si>
  <si>
    <t>HOMZ22680201</t>
  </si>
  <si>
    <t>STE1120</t>
  </si>
  <si>
    <t>EMS960A6</t>
  </si>
  <si>
    <t>STE1365</t>
  </si>
  <si>
    <t>LIB46</t>
  </si>
  <si>
    <t>PROHIR200</t>
  </si>
  <si>
    <t>HOSP48-311-46/70</t>
  </si>
  <si>
    <t>SUN3963-000</t>
  </si>
  <si>
    <t>HOSPCDSF11</t>
  </si>
  <si>
    <t>STY31080</t>
  </si>
  <si>
    <t>STY32082</t>
  </si>
  <si>
    <t>STY71999</t>
  </si>
  <si>
    <t>STY30999</t>
  </si>
  <si>
    <t>STY31070</t>
  </si>
  <si>
    <t>STY32072</t>
  </si>
  <si>
    <t>HOUBASIC120</t>
  </si>
  <si>
    <t>SUBMIT ORDER TO JENIFER ANDREWS AT jandrews@lodgingkit.com or 800-328-8439 ext 2204</t>
  </si>
  <si>
    <t xml:space="preserve">GA STATE PARK LOCATION:  </t>
  </si>
  <si>
    <t xml:space="preserve">10.5" DINNER PLATE </t>
  </si>
  <si>
    <t>PRO38526</t>
  </si>
  <si>
    <t>EMP5740</t>
  </si>
  <si>
    <t>DWLUTS-12K</t>
  </si>
  <si>
    <t>DWLPN10</t>
  </si>
  <si>
    <t>DWLCO-201</t>
  </si>
  <si>
    <t>DWLCOD-3</t>
  </si>
  <si>
    <t>CHE21483</t>
  </si>
  <si>
    <t>ROB63038</t>
  </si>
  <si>
    <t>Agency Contract: 46200-469-DNR0000513-0001</t>
  </si>
  <si>
    <t>Pricing Valid:</t>
  </si>
  <si>
    <t>3/19/2018 to 3/18/2019</t>
  </si>
  <si>
    <t>LODGING KIT COMPANY HOUSEWARES ORDER FORM</t>
  </si>
  <si>
    <t>WORREC80</t>
  </si>
  <si>
    <t>WORREC81</t>
  </si>
  <si>
    <t>Dozen</t>
  </si>
  <si>
    <t xml:space="preserve">OPEN STOCK: </t>
  </si>
  <si>
    <t>COLOR</t>
  </si>
  <si>
    <t>1.5 QT. SAUCEPAN WITH LID</t>
  </si>
  <si>
    <t>3QT. SAUCEPAN WITH LID</t>
  </si>
  <si>
    <t>8QT. STOCK POT WITH LID</t>
  </si>
  <si>
    <t>Includes: 1.5 Qt saucepan &amp; top; 3 Qt pan &amp; top; 8 Qt stock pot &amp; top, and 10" fry pan &amp; top</t>
  </si>
  <si>
    <t>WHITE</t>
  </si>
  <si>
    <t>BLACK</t>
  </si>
  <si>
    <t>Non-Stk</t>
  </si>
  <si>
    <t>Glass</t>
  </si>
  <si>
    <t>White</t>
  </si>
  <si>
    <t>SS</t>
  </si>
  <si>
    <t>PSoft ID # 0000278595</t>
  </si>
  <si>
    <t>OPEN STOCK: (Order in multples of 12 if possible)</t>
  </si>
  <si>
    <t>CUI719-16</t>
  </si>
  <si>
    <t>CUI7193-20</t>
  </si>
  <si>
    <t>EMP1025P</t>
  </si>
  <si>
    <t>CUI722-24</t>
  </si>
  <si>
    <t>CUI77-7</t>
  </si>
  <si>
    <t>CUI766-24</t>
  </si>
  <si>
    <t>Discountinue</t>
  </si>
  <si>
    <t>Disct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</si>
</sst>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2"/>
      <name val="Calibri"/>
      <family val="2"/>
    </font>
    <font>
      <b/>
      <sz val="16"/>
      <color theme="1"/>
      <name val="Cambria"/>
      <family val="1"/>
    </font>
    <font>
      <sz val="12"/>
      <color theme="1"/>
      <name val="Cambria"/>
      <family val="1"/>
    </font>
    <font>
      <sz val="12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Border="1"/>
    <xf numFmtId="0" fontId="2" fillId="2" borderId="2" xfId="0" applyFont="1" applyFill="1" applyBorder="1" applyAlignment="1">
      <alignment horizontal="right"/>
    </xf>
    <xf numFmtId="0" fontId="0" fillId="0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3" borderId="3" xfId="0" applyFont="1" applyFill="1" applyBorder="1" applyAlignment="1">
      <alignment horizontal="left"/>
    </xf>
    <xf numFmtId="0" fontId="0" fillId="0" borderId="4" xfId="0" applyFont="1" applyBorder="1"/>
    <xf numFmtId="0" fontId="2" fillId="2" borderId="3" xfId="0" applyFont="1" applyFill="1" applyBorder="1" applyAlignment="1">
      <alignment horizontal="right"/>
    </xf>
    <xf numFmtId="0" fontId="0" fillId="0" borderId="3" xfId="0" applyFont="1" applyFill="1" applyBorder="1"/>
    <xf numFmtId="0" fontId="0" fillId="3" borderId="0" xfId="0" applyFill="1" applyBorder="1" applyAlignment="1">
      <alignment horizontal="left"/>
    </xf>
    <xf numFmtId="0" fontId="2" fillId="0" borderId="2" xfId="0" applyFont="1" applyBorder="1"/>
    <xf numFmtId="0" fontId="0" fillId="0" borderId="5" xfId="0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0" xfId="0" applyFill="1" applyBorder="1"/>
    <xf numFmtId="0" fontId="2" fillId="0" borderId="1" xfId="0" applyFont="1" applyBorder="1"/>
    <xf numFmtId="0" fontId="4" fillId="0" borderId="2" xfId="0" applyFont="1" applyBorder="1" applyAlignment="1">
      <alignment horizontal="center" wrapText="1"/>
    </xf>
    <xf numFmtId="0" fontId="0" fillId="0" borderId="3" xfId="0" applyFill="1" applyBorder="1" applyAlignment="1">
      <alignment vertical="top" wrapText="1"/>
    </xf>
    <xf numFmtId="0" fontId="2" fillId="2" borderId="2" xfId="0" applyFont="1" applyFill="1" applyBorder="1"/>
    <xf numFmtId="0" fontId="0" fillId="0" borderId="4" xfId="0" applyFill="1" applyBorder="1" applyAlignment="1">
      <alignment wrapText="1"/>
    </xf>
    <xf numFmtId="0" fontId="0" fillId="3" borderId="3" xfId="0" applyFill="1" applyBorder="1"/>
    <xf numFmtId="0" fontId="0" fillId="0" borderId="3" xfId="0" applyFont="1" applyBorder="1"/>
    <xf numFmtId="0" fontId="0" fillId="3" borderId="3" xfId="0" applyFont="1" applyFill="1" applyBorder="1"/>
    <xf numFmtId="0" fontId="0" fillId="0" borderId="3" xfId="0" applyBorder="1" applyAlignment="1">
      <alignment wrapText="1"/>
    </xf>
    <xf numFmtId="0" fontId="2" fillId="2" borderId="3" xfId="0" applyFont="1" applyFill="1" applyBorder="1"/>
    <xf numFmtId="0" fontId="3" fillId="0" borderId="3" xfId="0" applyFont="1" applyBorder="1"/>
    <xf numFmtId="0" fontId="0" fillId="3" borderId="0" xfId="0" applyFill="1" applyBorder="1"/>
    <xf numFmtId="0" fontId="2" fillId="0" borderId="6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4" fontId="0" fillId="0" borderId="4" xfId="1" applyFont="1" applyFill="1" applyBorder="1" applyAlignment="1">
      <alignment horizontal="right"/>
    </xf>
    <xf numFmtId="0" fontId="0" fillId="0" borderId="0" xfId="0" applyFill="1"/>
    <xf numFmtId="0" fontId="2" fillId="0" borderId="0" xfId="0" applyFont="1" applyFill="1"/>
    <xf numFmtId="0" fontId="5" fillId="0" borderId="3" xfId="0" applyFont="1" applyBorder="1" applyAlignment="1">
      <alignment horizontal="left"/>
    </xf>
    <xf numFmtId="0" fontId="7" fillId="0" borderId="0" xfId="0" applyFont="1"/>
    <xf numFmtId="0" fontId="0" fillId="0" borderId="0" xfId="0" applyFill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3" fillId="0" borderId="3" xfId="1" applyFont="1" applyFill="1" applyBorder="1" applyAlignment="1">
      <alignment horizontal="left"/>
    </xf>
    <xf numFmtId="44" fontId="0" fillId="0" borderId="4" xfId="1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Fill="1" applyBorder="1" applyAlignment="1" applyProtection="1">
      <alignment wrapText="1"/>
    </xf>
    <xf numFmtId="44" fontId="0" fillId="0" borderId="2" xfId="1" applyFont="1" applyFill="1" applyBorder="1" applyAlignment="1" applyProtection="1">
      <alignment horizontal="right"/>
    </xf>
    <xf numFmtId="44" fontId="3" fillId="0" borderId="3" xfId="1" applyFont="1" applyFill="1" applyBorder="1" applyAlignment="1" applyProtection="1">
      <alignment horizontal="right"/>
    </xf>
    <xf numFmtId="44" fontId="3" fillId="0" borderId="4" xfId="1" applyFont="1" applyFill="1" applyBorder="1" applyAlignment="1" applyProtection="1">
      <alignment horizontal="right"/>
    </xf>
    <xf numFmtId="44" fontId="0" fillId="0" borderId="5" xfId="1" applyFont="1" applyFill="1" applyBorder="1" applyAlignment="1" applyProtection="1">
      <alignment horizontal="right"/>
    </xf>
    <xf numFmtId="44" fontId="0" fillId="0" borderId="3" xfId="1" applyFont="1" applyFill="1" applyBorder="1" applyAlignment="1" applyProtection="1">
      <alignment horizontal="right"/>
    </xf>
    <xf numFmtId="44" fontId="0" fillId="0" borderId="4" xfId="1" applyFont="1" applyFill="1" applyBorder="1" applyAlignment="1" applyProtection="1">
      <alignment horizontal="right"/>
    </xf>
    <xf numFmtId="0" fontId="0" fillId="0" borderId="4" xfId="0" applyFont="1" applyFill="1" applyBorder="1" applyProtection="1"/>
    <xf numFmtId="44" fontId="0" fillId="0" borderId="0" xfId="1" applyFont="1" applyFill="1" applyBorder="1" applyAlignment="1" applyProtection="1">
      <alignment horizontal="right"/>
    </xf>
    <xf numFmtId="0" fontId="0" fillId="0" borderId="0" xfId="0" applyFill="1" applyProtection="1"/>
    <xf numFmtId="0" fontId="2" fillId="0" borderId="2" xfId="0" applyFont="1" applyFill="1" applyBorder="1" applyProtection="1"/>
    <xf numFmtId="0" fontId="8" fillId="0" borderId="3" xfId="0" applyFont="1" applyBorder="1" applyAlignment="1">
      <alignment horizontal="left"/>
    </xf>
    <xf numFmtId="0" fontId="2" fillId="5" borderId="7" xfId="0" applyFont="1" applyFill="1" applyBorder="1" applyAlignment="1">
      <alignment horizontal="center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3" xfId="0" applyFont="1" applyFill="1" applyBorder="1"/>
    <xf numFmtId="0" fontId="0" fillId="5" borderId="4" xfId="0" applyFont="1" applyFill="1" applyBorder="1"/>
    <xf numFmtId="0" fontId="0" fillId="5" borderId="0" xfId="0" applyFill="1" applyBorder="1"/>
    <xf numFmtId="0" fontId="0" fillId="5" borderId="0" xfId="0" applyFill="1"/>
    <xf numFmtId="0" fontId="2" fillId="5" borderId="2" xfId="0" applyFont="1" applyFill="1" applyBorder="1"/>
    <xf numFmtId="44" fontId="3" fillId="0" borderId="4" xfId="1" applyFont="1" applyFill="1" applyBorder="1" applyAlignment="1">
      <alignment horizontal="left"/>
    </xf>
    <xf numFmtId="44" fontId="3" fillId="0" borderId="5" xfId="1" applyFont="1" applyFill="1" applyBorder="1" applyAlignment="1">
      <alignment horizontal="left"/>
    </xf>
    <xf numFmtId="44" fontId="3" fillId="0" borderId="2" xfId="1" applyFont="1" applyFill="1" applyBorder="1" applyAlignment="1">
      <alignment horizontal="left"/>
    </xf>
    <xf numFmtId="0" fontId="6" fillId="0" borderId="9" xfId="0" applyFont="1" applyFill="1" applyBorder="1" applyAlignment="1">
      <alignment vertical="center"/>
    </xf>
    <xf numFmtId="0" fontId="6" fillId="0" borderId="10" xfId="0" applyFont="1" applyFill="1" applyBorder="1" applyAlignment="1">
      <alignment vertical="center"/>
    </xf>
    <xf numFmtId="0" fontId="9" fillId="0" borderId="8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2" fillId="0" borderId="7" xfId="0" applyFont="1" applyBorder="1"/>
    <xf numFmtId="0" fontId="0" fillId="0" borderId="4" xfId="0" applyFill="1" applyBorder="1" applyAlignment="1">
      <alignment vertical="top" wrapText="1"/>
    </xf>
    <xf numFmtId="0" fontId="0" fillId="0" borderId="4" xfId="0" applyBorder="1" applyAlignment="1">
      <alignment wrapText="1"/>
    </xf>
    <xf numFmtId="44" fontId="8" fillId="0" borderId="3" xfId="1" applyFont="1" applyFill="1" applyBorder="1" applyAlignment="1" applyProtection="1">
      <alignment horizontal="right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44" fontId="2" fillId="0" borderId="0" xfId="0" applyNumberFormat="1" applyFont="1" applyFill="1" applyAlignment="1">
      <alignment horizontal="left"/>
    </xf>
    <xf numFmtId="0" fontId="9" fillId="0" borderId="8" xfId="0" applyFont="1" applyFill="1" applyBorder="1" applyAlignment="1">
      <alignment horizontal="right" vertical="center"/>
    </xf>
    <xf numFmtId="0" fontId="10" fillId="0" borderId="8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right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tabSelected="1" topLeftCell="A29" workbookViewId="0">
      <selection activeCell="F44" sqref="F44"/>
    </sheetView>
  </sheetViews>
  <sheetFormatPr defaultColWidth="11" defaultRowHeight="15.75" x14ac:dyDescent="0.25"/>
  <cols>
    <col min="1" max="1" width="17.5" customWidth="1"/>
    <col min="2" max="2" width="41" customWidth="1"/>
    <col min="3" max="3" width="7.125" customWidth="1"/>
    <col min="4" max="4" width="6.5" customWidth="1"/>
    <col min="5" max="5" width="10" customWidth="1"/>
    <col min="6" max="6" width="8.5" style="39" customWidth="1"/>
    <col min="7" max="7" width="19" style="47" customWidth="1"/>
  </cols>
  <sheetData>
    <row r="1" spans="1:7" s="42" customFormat="1" ht="20.25" x14ac:dyDescent="0.25">
      <c r="A1" s="92" t="s">
        <v>217</v>
      </c>
      <c r="B1" s="93"/>
      <c r="C1" s="93"/>
      <c r="D1" s="93"/>
      <c r="E1" s="93"/>
      <c r="F1" s="93"/>
      <c r="G1" s="94"/>
    </row>
    <row r="2" spans="1:7" s="42" customFormat="1" ht="20.25" x14ac:dyDescent="0.25">
      <c r="A2" s="83"/>
      <c r="B2" s="84"/>
      <c r="C2" s="84"/>
      <c r="D2" s="84"/>
      <c r="E2" s="84"/>
      <c r="F2" s="84"/>
      <c r="G2" s="85"/>
    </row>
    <row r="3" spans="1:7" s="42" customFormat="1" ht="20.25" customHeight="1" x14ac:dyDescent="0.25">
      <c r="A3" s="75"/>
      <c r="B3" s="87" t="s">
        <v>204</v>
      </c>
      <c r="C3" s="90"/>
      <c r="D3" s="90"/>
      <c r="E3" s="90"/>
      <c r="F3" s="90"/>
      <c r="G3" s="91"/>
    </row>
    <row r="4" spans="1:7" s="42" customFormat="1" ht="20.25" x14ac:dyDescent="0.25">
      <c r="A4" s="76" t="s">
        <v>214</v>
      </c>
      <c r="B4" s="73"/>
      <c r="C4" s="73"/>
      <c r="D4" s="73"/>
      <c r="E4" s="73"/>
      <c r="F4" s="73"/>
      <c r="G4" s="74"/>
    </row>
    <row r="5" spans="1:7" s="42" customFormat="1" ht="20.25" x14ac:dyDescent="0.25">
      <c r="A5" s="88" t="s">
        <v>215</v>
      </c>
      <c r="B5" s="78" t="s">
        <v>216</v>
      </c>
      <c r="C5" s="77" t="s">
        <v>233</v>
      </c>
      <c r="D5" s="73"/>
      <c r="E5" s="73"/>
      <c r="F5" s="73"/>
      <c r="G5" s="74"/>
    </row>
    <row r="6" spans="1:7" s="42" customFormat="1" x14ac:dyDescent="0.25">
      <c r="A6" s="95" t="s">
        <v>203</v>
      </c>
      <c r="B6" s="96"/>
      <c r="C6" s="96"/>
      <c r="D6" s="96"/>
      <c r="E6" s="96"/>
      <c r="F6" s="96"/>
      <c r="G6" s="97"/>
    </row>
    <row r="7" spans="1:7" ht="16.5" thickBot="1" x14ac:dyDescent="0.3">
      <c r="B7" s="23"/>
      <c r="C7" s="23"/>
      <c r="D7" s="23"/>
      <c r="E7" s="23"/>
      <c r="F7" s="23"/>
      <c r="G7" s="43"/>
    </row>
    <row r="8" spans="1:7" ht="27" thickBot="1" x14ac:dyDescent="0.3">
      <c r="A8" s="1" t="s">
        <v>122</v>
      </c>
      <c r="B8" s="24" t="s">
        <v>4</v>
      </c>
      <c r="C8" s="79" t="s">
        <v>222</v>
      </c>
      <c r="D8" s="36" t="s">
        <v>114</v>
      </c>
      <c r="E8" s="60" t="s">
        <v>121</v>
      </c>
      <c r="F8" s="48" t="s">
        <v>115</v>
      </c>
      <c r="G8" s="37" t="s">
        <v>116</v>
      </c>
    </row>
    <row r="9" spans="1:7" ht="30" x14ac:dyDescent="0.25">
      <c r="A9" s="2"/>
      <c r="B9" s="25" t="s">
        <v>5</v>
      </c>
      <c r="C9" s="25"/>
      <c r="D9" s="2"/>
      <c r="E9" s="61"/>
      <c r="F9" s="49"/>
      <c r="G9" s="44"/>
    </row>
    <row r="10" spans="1:7" x14ac:dyDescent="0.25">
      <c r="A10" s="3" t="s">
        <v>123</v>
      </c>
      <c r="B10" s="3" t="s">
        <v>6</v>
      </c>
      <c r="C10" s="3"/>
      <c r="D10" s="3" t="s">
        <v>117</v>
      </c>
      <c r="E10" s="62"/>
      <c r="F10" s="50">
        <v>49.95</v>
      </c>
      <c r="G10" s="45">
        <f>F10*E10</f>
        <v>0</v>
      </c>
    </row>
    <row r="11" spans="1:7" ht="31.5" x14ac:dyDescent="0.25">
      <c r="A11" s="4"/>
      <c r="B11" s="26" t="s">
        <v>7</v>
      </c>
      <c r="C11" s="80"/>
      <c r="D11" s="4"/>
      <c r="E11" s="63"/>
      <c r="F11" s="51"/>
      <c r="G11" s="70"/>
    </row>
    <row r="12" spans="1:7" x14ac:dyDescent="0.25">
      <c r="A12" s="5"/>
      <c r="B12" s="10"/>
      <c r="C12" s="5"/>
      <c r="D12" s="5"/>
      <c r="E12" s="64"/>
      <c r="F12" s="52"/>
      <c r="G12" s="71"/>
    </row>
    <row r="13" spans="1:7" x14ac:dyDescent="0.25">
      <c r="A13" s="6" t="s">
        <v>0</v>
      </c>
      <c r="B13" s="27" t="s">
        <v>234</v>
      </c>
      <c r="C13" s="27"/>
      <c r="D13" s="2"/>
      <c r="E13" s="61"/>
      <c r="F13" s="49"/>
      <c r="G13" s="72"/>
    </row>
    <row r="14" spans="1:7" x14ac:dyDescent="0.25">
      <c r="A14" s="3" t="s">
        <v>124</v>
      </c>
      <c r="B14" s="3" t="s">
        <v>205</v>
      </c>
      <c r="C14" s="3"/>
      <c r="D14" s="3" t="s">
        <v>118</v>
      </c>
      <c r="E14" s="62"/>
      <c r="F14" s="53">
        <v>3.95</v>
      </c>
      <c r="G14" s="45">
        <f t="shared" ref="G14:G70" si="0">F14*E14</f>
        <v>0</v>
      </c>
    </row>
    <row r="15" spans="1:7" x14ac:dyDescent="0.25">
      <c r="A15" s="3" t="s">
        <v>125</v>
      </c>
      <c r="B15" s="3" t="s">
        <v>9</v>
      </c>
      <c r="C15" s="3"/>
      <c r="D15" s="3" t="s">
        <v>118</v>
      </c>
      <c r="E15" s="62"/>
      <c r="F15" s="53">
        <v>1.75</v>
      </c>
      <c r="G15" s="45">
        <f t="shared" si="0"/>
        <v>0</v>
      </c>
    </row>
    <row r="16" spans="1:7" x14ac:dyDescent="0.25">
      <c r="A16" s="3" t="s">
        <v>126</v>
      </c>
      <c r="B16" s="3" t="s">
        <v>10</v>
      </c>
      <c r="C16" s="3"/>
      <c r="D16" s="3" t="s">
        <v>118</v>
      </c>
      <c r="E16" s="62"/>
      <c r="F16" s="53">
        <v>1.8</v>
      </c>
      <c r="G16" s="45">
        <f t="shared" si="0"/>
        <v>0</v>
      </c>
    </row>
    <row r="17" spans="1:7" x14ac:dyDescent="0.25">
      <c r="A17" s="3" t="s">
        <v>127</v>
      </c>
      <c r="B17" s="3" t="s">
        <v>11</v>
      </c>
      <c r="C17" s="3"/>
      <c r="D17" s="3" t="s">
        <v>118</v>
      </c>
      <c r="E17" s="62"/>
      <c r="F17" s="53">
        <v>3.35</v>
      </c>
      <c r="G17" s="45">
        <f t="shared" si="0"/>
        <v>0</v>
      </c>
    </row>
    <row r="18" spans="1:7" x14ac:dyDescent="0.25">
      <c r="A18" s="3" t="s">
        <v>128</v>
      </c>
      <c r="B18" s="3" t="s">
        <v>12</v>
      </c>
      <c r="C18" s="3"/>
      <c r="D18" s="3" t="s">
        <v>118</v>
      </c>
      <c r="E18" s="62"/>
      <c r="F18" s="53">
        <v>6.95</v>
      </c>
      <c r="G18" s="45">
        <f t="shared" si="0"/>
        <v>0</v>
      </c>
    </row>
    <row r="19" spans="1:7" x14ac:dyDescent="0.25">
      <c r="A19" s="3" t="s">
        <v>218</v>
      </c>
      <c r="B19" s="3" t="s">
        <v>13</v>
      </c>
      <c r="C19" s="3"/>
      <c r="D19" s="3" t="s">
        <v>118</v>
      </c>
      <c r="E19" s="62"/>
      <c r="F19" s="53">
        <v>4.3</v>
      </c>
      <c r="G19" s="45">
        <f t="shared" si="0"/>
        <v>0</v>
      </c>
    </row>
    <row r="20" spans="1:7" x14ac:dyDescent="0.25">
      <c r="A20" s="3" t="s">
        <v>219</v>
      </c>
      <c r="B20" s="3" t="s">
        <v>14</v>
      </c>
      <c r="C20" s="3"/>
      <c r="D20" s="3" t="s">
        <v>118</v>
      </c>
      <c r="E20" s="62"/>
      <c r="F20" s="53">
        <v>6.9</v>
      </c>
      <c r="G20" s="45">
        <f t="shared" si="0"/>
        <v>0</v>
      </c>
    </row>
    <row r="21" spans="1:7" x14ac:dyDescent="0.25">
      <c r="A21" s="7" t="s">
        <v>129</v>
      </c>
      <c r="B21" s="3" t="s">
        <v>15</v>
      </c>
      <c r="C21" s="3"/>
      <c r="D21" s="3" t="s">
        <v>118</v>
      </c>
      <c r="E21" s="62"/>
      <c r="F21" s="53">
        <v>3.9</v>
      </c>
      <c r="G21" s="45">
        <f t="shared" si="0"/>
        <v>0</v>
      </c>
    </row>
    <row r="22" spans="1:7" x14ac:dyDescent="0.25">
      <c r="A22" s="8"/>
      <c r="B22" s="10"/>
      <c r="C22" s="10"/>
      <c r="D22" s="10"/>
      <c r="E22" s="63"/>
      <c r="F22" s="54"/>
      <c r="G22" s="70"/>
    </row>
    <row r="23" spans="1:7" ht="30" x14ac:dyDescent="0.25">
      <c r="A23" s="2"/>
      <c r="B23" s="25" t="s">
        <v>16</v>
      </c>
      <c r="C23" s="25"/>
      <c r="D23" s="2"/>
      <c r="E23" s="61"/>
      <c r="F23" s="49"/>
      <c r="G23" s="72"/>
    </row>
    <row r="24" spans="1:7" x14ac:dyDescent="0.25">
      <c r="A24" s="3" t="s">
        <v>130</v>
      </c>
      <c r="B24" s="3" t="s">
        <v>17</v>
      </c>
      <c r="C24" s="3"/>
      <c r="D24" s="3" t="s">
        <v>117</v>
      </c>
      <c r="E24" s="62"/>
      <c r="F24" s="50">
        <v>16.149999999999999</v>
      </c>
      <c r="G24" s="45">
        <f t="shared" si="0"/>
        <v>0</v>
      </c>
    </row>
    <row r="25" spans="1:7" ht="31.5" x14ac:dyDescent="0.25">
      <c r="A25" s="4"/>
      <c r="B25" s="28" t="s">
        <v>18</v>
      </c>
      <c r="C25" s="28"/>
      <c r="D25" s="4"/>
      <c r="E25" s="63"/>
      <c r="F25" s="51"/>
      <c r="G25" s="70"/>
    </row>
    <row r="26" spans="1:7" x14ac:dyDescent="0.25">
      <c r="A26" s="5"/>
      <c r="B26" s="5"/>
      <c r="C26" s="5"/>
      <c r="D26" s="5"/>
      <c r="E26" s="64"/>
      <c r="F26" s="52"/>
      <c r="G26" s="71"/>
    </row>
    <row r="27" spans="1:7" x14ac:dyDescent="0.25">
      <c r="A27" s="6" t="s">
        <v>0</v>
      </c>
      <c r="B27" s="27" t="s">
        <v>221</v>
      </c>
      <c r="C27" s="27"/>
      <c r="D27" s="2"/>
      <c r="E27" s="61"/>
      <c r="F27" s="49"/>
      <c r="G27" s="72"/>
    </row>
    <row r="28" spans="1:7" x14ac:dyDescent="0.25">
      <c r="A28" s="9" t="s">
        <v>131</v>
      </c>
      <c r="B28" s="9" t="s">
        <v>19</v>
      </c>
      <c r="C28" s="9"/>
      <c r="D28" s="3" t="s">
        <v>220</v>
      </c>
      <c r="E28" s="62"/>
      <c r="F28" s="53">
        <v>8.4</v>
      </c>
      <c r="G28" s="45">
        <f t="shared" si="0"/>
        <v>0</v>
      </c>
    </row>
    <row r="29" spans="1:7" x14ac:dyDescent="0.25">
      <c r="A29" s="9" t="s">
        <v>132</v>
      </c>
      <c r="B29" s="9" t="s">
        <v>20</v>
      </c>
      <c r="C29" s="9"/>
      <c r="D29" s="3" t="s">
        <v>220</v>
      </c>
      <c r="E29" s="62"/>
      <c r="F29" s="53">
        <v>11.4</v>
      </c>
      <c r="G29" s="45">
        <f t="shared" si="0"/>
        <v>0</v>
      </c>
    </row>
    <row r="30" spans="1:7" x14ac:dyDescent="0.25">
      <c r="A30" s="9" t="s">
        <v>133</v>
      </c>
      <c r="B30" s="9" t="s">
        <v>21</v>
      </c>
      <c r="C30" s="9"/>
      <c r="D30" s="3" t="s">
        <v>220</v>
      </c>
      <c r="E30" s="62"/>
      <c r="F30" s="53">
        <v>11.4</v>
      </c>
      <c r="G30" s="45">
        <f t="shared" si="0"/>
        <v>0</v>
      </c>
    </row>
    <row r="31" spans="1:7" x14ac:dyDescent="0.25">
      <c r="A31" s="9" t="s">
        <v>134</v>
      </c>
      <c r="B31" s="9" t="s">
        <v>22</v>
      </c>
      <c r="C31" s="9"/>
      <c r="D31" s="3" t="s">
        <v>220</v>
      </c>
      <c r="E31" s="62"/>
      <c r="F31" s="53">
        <v>18</v>
      </c>
      <c r="G31" s="45">
        <f t="shared" si="0"/>
        <v>0</v>
      </c>
    </row>
    <row r="32" spans="1:7" x14ac:dyDescent="0.25">
      <c r="A32" s="10"/>
      <c r="B32" s="10"/>
      <c r="C32" s="10"/>
      <c r="D32" s="10"/>
      <c r="E32" s="63"/>
      <c r="F32" s="54"/>
      <c r="G32" s="70"/>
    </row>
    <row r="33" spans="1:7" ht="30" x14ac:dyDescent="0.25">
      <c r="A33" s="11"/>
      <c r="B33" s="25" t="s">
        <v>23</v>
      </c>
      <c r="C33" s="25"/>
      <c r="D33" s="2"/>
      <c r="E33" s="61"/>
      <c r="F33" s="49"/>
      <c r="G33" s="72"/>
    </row>
    <row r="34" spans="1:7" x14ac:dyDescent="0.25">
      <c r="A34" s="12" t="s">
        <v>135</v>
      </c>
      <c r="B34" s="9" t="s">
        <v>24</v>
      </c>
      <c r="C34" s="9"/>
      <c r="D34" s="9" t="s">
        <v>118</v>
      </c>
      <c r="E34" s="62"/>
      <c r="F34" s="53">
        <v>1.35</v>
      </c>
      <c r="G34" s="45">
        <f t="shared" si="0"/>
        <v>0</v>
      </c>
    </row>
    <row r="35" spans="1:7" x14ac:dyDescent="0.25">
      <c r="A35" s="12" t="s">
        <v>136</v>
      </c>
      <c r="B35" s="9" t="s">
        <v>25</v>
      </c>
      <c r="C35" s="9"/>
      <c r="D35" s="9" t="s">
        <v>118</v>
      </c>
      <c r="E35" s="62"/>
      <c r="F35" s="53">
        <v>2.35</v>
      </c>
      <c r="G35" s="45">
        <f t="shared" si="0"/>
        <v>0</v>
      </c>
    </row>
    <row r="36" spans="1:7" x14ac:dyDescent="0.25">
      <c r="A36" s="12" t="s">
        <v>137</v>
      </c>
      <c r="B36" s="9" t="s">
        <v>26</v>
      </c>
      <c r="C36" s="9"/>
      <c r="D36" s="9" t="s">
        <v>118</v>
      </c>
      <c r="E36" s="62"/>
      <c r="F36" s="53">
        <v>3.35</v>
      </c>
      <c r="G36" s="45">
        <f t="shared" si="0"/>
        <v>0</v>
      </c>
    </row>
    <row r="37" spans="1:7" x14ac:dyDescent="0.25">
      <c r="A37" s="12" t="s">
        <v>138</v>
      </c>
      <c r="B37" s="9" t="s">
        <v>27</v>
      </c>
      <c r="C37" s="9"/>
      <c r="D37" s="9" t="s">
        <v>118</v>
      </c>
      <c r="E37" s="62"/>
      <c r="F37" s="53">
        <v>1.7</v>
      </c>
      <c r="G37" s="45">
        <f t="shared" si="0"/>
        <v>0</v>
      </c>
    </row>
    <row r="38" spans="1:7" x14ac:dyDescent="0.25">
      <c r="A38" s="12" t="s">
        <v>139</v>
      </c>
      <c r="B38" s="9" t="s">
        <v>28</v>
      </c>
      <c r="C38" s="9"/>
      <c r="D38" s="9" t="s">
        <v>118</v>
      </c>
      <c r="E38" s="62"/>
      <c r="F38" s="53">
        <v>4.7</v>
      </c>
      <c r="G38" s="45">
        <f t="shared" si="0"/>
        <v>0</v>
      </c>
    </row>
    <row r="39" spans="1:7" x14ac:dyDescent="0.25">
      <c r="A39" s="10"/>
      <c r="B39" s="10"/>
      <c r="C39" s="10"/>
      <c r="D39" s="10"/>
      <c r="E39" s="63"/>
      <c r="F39" s="54"/>
      <c r="G39" s="70"/>
    </row>
    <row r="40" spans="1:7" ht="30" x14ac:dyDescent="0.25">
      <c r="A40" s="11"/>
      <c r="B40" s="25" t="s">
        <v>29</v>
      </c>
      <c r="C40" s="25"/>
      <c r="D40" s="2"/>
      <c r="E40" s="61"/>
      <c r="F40" s="49"/>
      <c r="G40" s="72"/>
    </row>
    <row r="41" spans="1:7" x14ac:dyDescent="0.25">
      <c r="A41" s="13" t="s">
        <v>140</v>
      </c>
      <c r="B41" s="29" t="s">
        <v>30</v>
      </c>
      <c r="C41" s="29"/>
      <c r="D41" s="29" t="s">
        <v>118</v>
      </c>
      <c r="E41" s="62"/>
      <c r="F41" s="53">
        <v>1.84</v>
      </c>
      <c r="G41" s="45">
        <f t="shared" si="0"/>
        <v>0</v>
      </c>
    </row>
    <row r="42" spans="1:7" x14ac:dyDescent="0.25">
      <c r="A42" s="12" t="s">
        <v>141</v>
      </c>
      <c r="B42" s="9" t="s">
        <v>31</v>
      </c>
      <c r="C42" s="9"/>
      <c r="D42" s="9" t="s">
        <v>118</v>
      </c>
      <c r="E42" s="62"/>
      <c r="F42" s="53">
        <v>0.65</v>
      </c>
      <c r="G42" s="45">
        <f t="shared" si="0"/>
        <v>0</v>
      </c>
    </row>
    <row r="43" spans="1:7" x14ac:dyDescent="0.25">
      <c r="A43" s="12" t="s">
        <v>142</v>
      </c>
      <c r="B43" s="9" t="s">
        <v>32</v>
      </c>
      <c r="C43" s="9"/>
      <c r="D43" s="9" t="s">
        <v>118</v>
      </c>
      <c r="E43" s="62" t="s">
        <v>242</v>
      </c>
      <c r="F43" s="53">
        <v>0</v>
      </c>
      <c r="G43" s="45" t="s">
        <v>241</v>
      </c>
    </row>
    <row r="44" spans="1:7" x14ac:dyDescent="0.25">
      <c r="A44" s="12" t="s">
        <v>143</v>
      </c>
      <c r="B44" s="9" t="s">
        <v>33</v>
      </c>
      <c r="C44" s="9"/>
      <c r="D44" s="9" t="s">
        <v>118</v>
      </c>
      <c r="E44" s="62"/>
      <c r="F44" s="53">
        <v>4.3499999999999996</v>
      </c>
      <c r="G44" s="45">
        <f t="shared" si="0"/>
        <v>0</v>
      </c>
    </row>
    <row r="45" spans="1:7" x14ac:dyDescent="0.25">
      <c r="A45" s="5"/>
      <c r="B45" s="5"/>
      <c r="C45" s="5"/>
      <c r="D45" s="5"/>
      <c r="E45" s="64"/>
      <c r="F45" s="52"/>
      <c r="G45" s="70"/>
    </row>
    <row r="46" spans="1:7" ht="30" x14ac:dyDescent="0.25">
      <c r="A46" s="2"/>
      <c r="B46" s="25" t="s">
        <v>34</v>
      </c>
      <c r="C46" s="25"/>
      <c r="D46" s="2"/>
      <c r="E46" s="61"/>
      <c r="F46" s="49"/>
      <c r="G46" s="72"/>
    </row>
    <row r="47" spans="1:7" x14ac:dyDescent="0.25">
      <c r="A47" s="12" t="s">
        <v>144</v>
      </c>
      <c r="B47" s="9" t="s">
        <v>35</v>
      </c>
      <c r="C47" s="9" t="s">
        <v>227</v>
      </c>
      <c r="D47" s="9" t="s">
        <v>118</v>
      </c>
      <c r="E47" s="62"/>
      <c r="F47" s="53">
        <v>33.25</v>
      </c>
      <c r="G47" s="45">
        <f t="shared" si="0"/>
        <v>0</v>
      </c>
    </row>
    <row r="48" spans="1:7" x14ac:dyDescent="0.25">
      <c r="A48" s="14" t="s">
        <v>145</v>
      </c>
      <c r="B48" s="30" t="s">
        <v>35</v>
      </c>
      <c r="C48" s="30" t="s">
        <v>228</v>
      </c>
      <c r="D48" s="30" t="s">
        <v>118</v>
      </c>
      <c r="E48" s="65"/>
      <c r="F48" s="53">
        <v>33.25</v>
      </c>
      <c r="G48" s="45">
        <f t="shared" si="0"/>
        <v>0</v>
      </c>
    </row>
    <row r="49" spans="1:7" x14ac:dyDescent="0.25">
      <c r="A49" s="14" t="s">
        <v>146</v>
      </c>
      <c r="B49" s="30" t="s">
        <v>36</v>
      </c>
      <c r="C49" s="30"/>
      <c r="D49" s="30" t="s">
        <v>118</v>
      </c>
      <c r="E49" s="65"/>
      <c r="F49" s="53">
        <v>12.65</v>
      </c>
      <c r="G49" s="45">
        <f t="shared" si="0"/>
        <v>0</v>
      </c>
    </row>
    <row r="50" spans="1:7" x14ac:dyDescent="0.25">
      <c r="A50" s="15" t="s">
        <v>147</v>
      </c>
      <c r="B50" s="31" t="s">
        <v>37</v>
      </c>
      <c r="C50" s="31" t="s">
        <v>228</v>
      </c>
      <c r="D50" s="31" t="s">
        <v>118</v>
      </c>
      <c r="E50" s="65"/>
      <c r="F50" s="53">
        <v>65.7</v>
      </c>
      <c r="G50" s="45">
        <f t="shared" si="0"/>
        <v>0</v>
      </c>
    </row>
    <row r="51" spans="1:7" x14ac:dyDescent="0.25">
      <c r="A51" s="14" t="s">
        <v>148</v>
      </c>
      <c r="B51" s="30" t="s">
        <v>38</v>
      </c>
      <c r="C51" s="30" t="s">
        <v>227</v>
      </c>
      <c r="D51" s="30" t="s">
        <v>118</v>
      </c>
      <c r="E51" s="65"/>
      <c r="F51" s="53">
        <v>11.6</v>
      </c>
      <c r="G51" s="45">
        <f t="shared" si="0"/>
        <v>0</v>
      </c>
    </row>
    <row r="52" spans="1:7" x14ac:dyDescent="0.25">
      <c r="A52" s="14" t="s">
        <v>149</v>
      </c>
      <c r="B52" s="30" t="s">
        <v>38</v>
      </c>
      <c r="C52" s="30" t="s">
        <v>228</v>
      </c>
      <c r="D52" s="30" t="s">
        <v>118</v>
      </c>
      <c r="E52" s="65"/>
      <c r="F52" s="53">
        <v>11.6</v>
      </c>
      <c r="G52" s="45">
        <f t="shared" si="0"/>
        <v>0</v>
      </c>
    </row>
    <row r="53" spans="1:7" x14ac:dyDescent="0.25">
      <c r="A53" s="14" t="s">
        <v>150</v>
      </c>
      <c r="B53" s="30" t="s">
        <v>39</v>
      </c>
      <c r="C53" s="30" t="s">
        <v>227</v>
      </c>
      <c r="D53" s="30" t="s">
        <v>118</v>
      </c>
      <c r="E53" s="65"/>
      <c r="F53" s="53">
        <v>11.6</v>
      </c>
      <c r="G53" s="45">
        <f t="shared" si="0"/>
        <v>0</v>
      </c>
    </row>
    <row r="54" spans="1:7" x14ac:dyDescent="0.25">
      <c r="A54" s="14" t="s">
        <v>151</v>
      </c>
      <c r="B54" s="30" t="s">
        <v>39</v>
      </c>
      <c r="C54" s="30" t="s">
        <v>228</v>
      </c>
      <c r="D54" s="30" t="s">
        <v>118</v>
      </c>
      <c r="E54" s="65"/>
      <c r="F54" s="53">
        <v>11.6</v>
      </c>
      <c r="G54" s="45">
        <f t="shared" si="0"/>
        <v>0</v>
      </c>
    </row>
    <row r="55" spans="1:7" x14ac:dyDescent="0.25">
      <c r="A55" s="14" t="s">
        <v>152</v>
      </c>
      <c r="B55" s="30" t="s">
        <v>40</v>
      </c>
      <c r="C55" s="30" t="s">
        <v>227</v>
      </c>
      <c r="D55" s="30" t="s">
        <v>118</v>
      </c>
      <c r="E55" s="65"/>
      <c r="F55" s="53">
        <v>11.6</v>
      </c>
      <c r="G55" s="45">
        <f t="shared" si="0"/>
        <v>0</v>
      </c>
    </row>
    <row r="56" spans="1:7" x14ac:dyDescent="0.25">
      <c r="A56" s="14" t="s">
        <v>206</v>
      </c>
      <c r="B56" s="30" t="s">
        <v>41</v>
      </c>
      <c r="C56" s="30" t="s">
        <v>228</v>
      </c>
      <c r="D56" s="30" t="s">
        <v>118</v>
      </c>
      <c r="E56" s="65"/>
      <c r="F56" s="53">
        <v>31.45</v>
      </c>
      <c r="G56" s="45">
        <f t="shared" si="0"/>
        <v>0</v>
      </c>
    </row>
    <row r="57" spans="1:7" x14ac:dyDescent="0.25">
      <c r="A57" s="16"/>
      <c r="B57" s="16"/>
      <c r="C57" s="16"/>
      <c r="D57" s="16"/>
      <c r="E57" s="66"/>
      <c r="F57" s="55"/>
      <c r="G57" s="70"/>
    </row>
    <row r="58" spans="1:7" ht="30" x14ac:dyDescent="0.25">
      <c r="A58" s="2"/>
      <c r="B58" s="25" t="s">
        <v>42</v>
      </c>
      <c r="C58" s="25"/>
      <c r="D58" s="2"/>
      <c r="E58" s="61"/>
      <c r="F58" s="49"/>
      <c r="G58" s="72"/>
    </row>
    <row r="59" spans="1:7" x14ac:dyDescent="0.25">
      <c r="A59" s="3" t="s">
        <v>239</v>
      </c>
      <c r="B59" s="9" t="s">
        <v>43</v>
      </c>
      <c r="C59" s="9"/>
      <c r="D59" s="9" t="s">
        <v>117</v>
      </c>
      <c r="E59" s="62"/>
      <c r="F59" s="53">
        <v>105.65</v>
      </c>
      <c r="G59" s="45">
        <f t="shared" si="0"/>
        <v>0</v>
      </c>
    </row>
    <row r="60" spans="1:7" ht="31.5" x14ac:dyDescent="0.25">
      <c r="A60" s="10"/>
      <c r="B60" s="32" t="s">
        <v>226</v>
      </c>
      <c r="C60" s="81"/>
      <c r="D60" s="10"/>
      <c r="E60" s="63"/>
      <c r="F60" s="54"/>
      <c r="G60" s="70"/>
    </row>
    <row r="61" spans="1:7" x14ac:dyDescent="0.25">
      <c r="A61" s="2"/>
      <c r="B61" s="9"/>
      <c r="C61" s="5"/>
      <c r="D61" s="5"/>
      <c r="E61" s="64"/>
      <c r="F61" s="52"/>
      <c r="G61" s="71"/>
    </row>
    <row r="62" spans="1:7" x14ac:dyDescent="0.25">
      <c r="A62" s="17" t="s">
        <v>1</v>
      </c>
      <c r="B62" s="33" t="s">
        <v>8</v>
      </c>
      <c r="C62" s="27"/>
      <c r="D62" s="2"/>
      <c r="E62" s="61"/>
      <c r="F62" s="49"/>
      <c r="G62" s="72"/>
    </row>
    <row r="63" spans="1:7" x14ac:dyDescent="0.25">
      <c r="A63" s="3" t="s">
        <v>235</v>
      </c>
      <c r="B63" s="9" t="s">
        <v>223</v>
      </c>
      <c r="C63" s="9"/>
      <c r="D63" s="9" t="s">
        <v>118</v>
      </c>
      <c r="E63" s="62"/>
      <c r="F63" s="53">
        <v>21.4</v>
      </c>
      <c r="G63" s="45">
        <f t="shared" si="0"/>
        <v>0</v>
      </c>
    </row>
    <row r="64" spans="1:7" x14ac:dyDescent="0.25">
      <c r="A64" s="3" t="s">
        <v>236</v>
      </c>
      <c r="B64" s="9" t="s">
        <v>224</v>
      </c>
      <c r="C64" s="9"/>
      <c r="D64" s="9" t="s">
        <v>118</v>
      </c>
      <c r="E64" s="62"/>
      <c r="F64" s="53">
        <v>41.15</v>
      </c>
      <c r="G64" s="45">
        <f t="shared" si="0"/>
        <v>0</v>
      </c>
    </row>
    <row r="65" spans="1:7" x14ac:dyDescent="0.25">
      <c r="A65" s="3" t="s">
        <v>240</v>
      </c>
      <c r="B65" s="9" t="s">
        <v>225</v>
      </c>
      <c r="C65" s="9"/>
      <c r="D65" s="9" t="s">
        <v>118</v>
      </c>
      <c r="E65" s="62"/>
      <c r="F65" s="53">
        <v>49.35</v>
      </c>
      <c r="G65" s="45">
        <f t="shared" si="0"/>
        <v>0</v>
      </c>
    </row>
    <row r="66" spans="1:7" x14ac:dyDescent="0.25">
      <c r="A66" s="3" t="s">
        <v>153</v>
      </c>
      <c r="B66" s="3" t="s">
        <v>44</v>
      </c>
      <c r="C66" s="3"/>
      <c r="D66" s="9" t="s">
        <v>118</v>
      </c>
      <c r="E66" s="62"/>
      <c r="F66" s="50">
        <v>61.4</v>
      </c>
      <c r="G66" s="45">
        <f t="shared" si="0"/>
        <v>0</v>
      </c>
    </row>
    <row r="67" spans="1:7" x14ac:dyDescent="0.25">
      <c r="A67" s="3" t="s">
        <v>237</v>
      </c>
      <c r="B67" s="9" t="s">
        <v>45</v>
      </c>
      <c r="C67" s="9"/>
      <c r="D67" s="9" t="s">
        <v>118</v>
      </c>
      <c r="E67" s="62"/>
      <c r="F67" s="53">
        <v>4.25</v>
      </c>
      <c r="G67" s="45">
        <f t="shared" si="0"/>
        <v>0</v>
      </c>
    </row>
    <row r="68" spans="1:7" x14ac:dyDescent="0.25">
      <c r="A68" s="3" t="s">
        <v>238</v>
      </c>
      <c r="B68" s="9" t="s">
        <v>46</v>
      </c>
      <c r="C68" s="9"/>
      <c r="D68" s="9" t="s">
        <v>118</v>
      </c>
      <c r="E68" s="62"/>
      <c r="F68" s="53">
        <v>32.9</v>
      </c>
      <c r="G68" s="45">
        <f t="shared" si="0"/>
        <v>0</v>
      </c>
    </row>
    <row r="69" spans="1:7" x14ac:dyDescent="0.25">
      <c r="A69" s="18" t="s">
        <v>154</v>
      </c>
      <c r="B69" s="30" t="s">
        <v>47</v>
      </c>
      <c r="C69" s="30"/>
      <c r="D69" s="30" t="s">
        <v>118</v>
      </c>
      <c r="E69" s="65"/>
      <c r="F69" s="82">
        <v>13.05</v>
      </c>
      <c r="G69" s="45">
        <f t="shared" si="0"/>
        <v>0</v>
      </c>
    </row>
    <row r="70" spans="1:7" x14ac:dyDescent="0.25">
      <c r="A70" s="12" t="s">
        <v>155</v>
      </c>
      <c r="B70" s="9" t="s">
        <v>48</v>
      </c>
      <c r="C70" s="9"/>
      <c r="D70" s="9" t="s">
        <v>117</v>
      </c>
      <c r="E70" s="62"/>
      <c r="F70" s="53">
        <v>18.399999999999999</v>
      </c>
      <c r="G70" s="45">
        <f t="shared" si="0"/>
        <v>0</v>
      </c>
    </row>
    <row r="71" spans="1:7" x14ac:dyDescent="0.25">
      <c r="A71" s="8"/>
      <c r="B71" s="10"/>
      <c r="C71" s="10"/>
      <c r="D71" s="10"/>
      <c r="E71" s="63"/>
      <c r="F71" s="54"/>
      <c r="G71" s="70"/>
    </row>
    <row r="72" spans="1:7" ht="30" x14ac:dyDescent="0.25">
      <c r="A72" s="11"/>
      <c r="B72" s="25" t="s">
        <v>49</v>
      </c>
      <c r="C72" s="25"/>
      <c r="D72" s="2"/>
      <c r="E72" s="61"/>
      <c r="F72" s="49"/>
      <c r="G72" s="72"/>
    </row>
    <row r="73" spans="1:7" x14ac:dyDescent="0.25">
      <c r="A73" s="12" t="s">
        <v>156</v>
      </c>
      <c r="B73" s="9" t="s">
        <v>50</v>
      </c>
      <c r="C73" s="9" t="s">
        <v>230</v>
      </c>
      <c r="D73" s="9" t="s">
        <v>117</v>
      </c>
      <c r="E73" s="62"/>
      <c r="F73" s="53">
        <v>12.25</v>
      </c>
      <c r="G73" s="45">
        <f t="shared" ref="G73:G135" si="1">F73*E73</f>
        <v>0</v>
      </c>
    </row>
    <row r="74" spans="1:7" x14ac:dyDescent="0.25">
      <c r="A74" s="12" t="s">
        <v>157</v>
      </c>
      <c r="B74" s="9" t="s">
        <v>51</v>
      </c>
      <c r="C74" s="9" t="s">
        <v>231</v>
      </c>
      <c r="D74" s="9" t="s">
        <v>117</v>
      </c>
      <c r="E74" s="62"/>
      <c r="F74" s="53">
        <v>4.5</v>
      </c>
      <c r="G74" s="45">
        <f t="shared" si="1"/>
        <v>0</v>
      </c>
    </row>
    <row r="75" spans="1:7" x14ac:dyDescent="0.25">
      <c r="A75" s="12" t="s">
        <v>158</v>
      </c>
      <c r="B75" s="9" t="s">
        <v>52</v>
      </c>
      <c r="C75" s="9" t="s">
        <v>230</v>
      </c>
      <c r="D75" s="9" t="s">
        <v>118</v>
      </c>
      <c r="E75" s="62"/>
      <c r="F75" s="53">
        <v>4.25</v>
      </c>
      <c r="G75" s="45">
        <f t="shared" si="1"/>
        <v>0</v>
      </c>
    </row>
    <row r="76" spans="1:7" x14ac:dyDescent="0.25">
      <c r="A76" s="12" t="s">
        <v>159</v>
      </c>
      <c r="B76" s="9" t="s">
        <v>53</v>
      </c>
      <c r="C76" s="9" t="s">
        <v>231</v>
      </c>
      <c r="D76" s="9" t="s">
        <v>117</v>
      </c>
      <c r="E76" s="62"/>
      <c r="F76" s="53">
        <v>1.94</v>
      </c>
      <c r="G76" s="45">
        <f t="shared" si="1"/>
        <v>0</v>
      </c>
    </row>
    <row r="77" spans="1:7" x14ac:dyDescent="0.25">
      <c r="A77" s="12" t="s">
        <v>160</v>
      </c>
      <c r="B77" s="9" t="s">
        <v>54</v>
      </c>
      <c r="C77" s="9" t="s">
        <v>232</v>
      </c>
      <c r="D77" s="9" t="s">
        <v>117</v>
      </c>
      <c r="E77" s="62"/>
      <c r="F77" s="53">
        <v>1.2</v>
      </c>
      <c r="G77" s="45">
        <f t="shared" si="1"/>
        <v>0</v>
      </c>
    </row>
    <row r="78" spans="1:7" x14ac:dyDescent="0.25">
      <c r="A78" s="12" t="s">
        <v>162</v>
      </c>
      <c r="B78" s="9" t="s">
        <v>55</v>
      </c>
      <c r="C78" s="9" t="s">
        <v>229</v>
      </c>
      <c r="D78" s="9" t="s">
        <v>118</v>
      </c>
      <c r="E78" s="62"/>
      <c r="F78" s="53">
        <v>4.6500000000000004</v>
      </c>
      <c r="G78" s="45">
        <f t="shared" si="1"/>
        <v>0</v>
      </c>
    </row>
    <row r="79" spans="1:7" x14ac:dyDescent="0.25">
      <c r="A79" s="12" t="s">
        <v>161</v>
      </c>
      <c r="B79" s="9" t="s">
        <v>56</v>
      </c>
      <c r="C79" s="9" t="s">
        <v>229</v>
      </c>
      <c r="D79" s="9" t="s">
        <v>118</v>
      </c>
      <c r="E79" s="62"/>
      <c r="F79" s="53">
        <v>3.8</v>
      </c>
      <c r="G79" s="45">
        <f t="shared" si="1"/>
        <v>0</v>
      </c>
    </row>
    <row r="80" spans="1:7" x14ac:dyDescent="0.25">
      <c r="A80" s="12" t="s">
        <v>163</v>
      </c>
      <c r="B80" s="9" t="s">
        <v>57</v>
      </c>
      <c r="C80" s="9" t="s">
        <v>229</v>
      </c>
      <c r="D80" s="9" t="s">
        <v>118</v>
      </c>
      <c r="E80" s="62"/>
      <c r="F80" s="53">
        <v>13.75</v>
      </c>
      <c r="G80" s="45">
        <f t="shared" si="1"/>
        <v>0</v>
      </c>
    </row>
    <row r="81" spans="1:7" x14ac:dyDescent="0.25">
      <c r="A81" s="12" t="s">
        <v>164</v>
      </c>
      <c r="B81" s="9" t="s">
        <v>58</v>
      </c>
      <c r="C81" s="9" t="s">
        <v>229</v>
      </c>
      <c r="D81" s="9" t="s">
        <v>118</v>
      </c>
      <c r="E81" s="62"/>
      <c r="F81" s="53">
        <v>4.3499999999999996</v>
      </c>
      <c r="G81" s="45">
        <f t="shared" si="1"/>
        <v>0</v>
      </c>
    </row>
    <row r="82" spans="1:7" x14ac:dyDescent="0.25">
      <c r="A82" s="12" t="s">
        <v>165</v>
      </c>
      <c r="B82" s="9" t="s">
        <v>59</v>
      </c>
      <c r="C82" s="9" t="s">
        <v>229</v>
      </c>
      <c r="D82" s="9" t="s">
        <v>118</v>
      </c>
      <c r="E82" s="62"/>
      <c r="F82" s="53">
        <v>4.8499999999999996</v>
      </c>
      <c r="G82" s="45">
        <f t="shared" si="1"/>
        <v>0</v>
      </c>
    </row>
    <row r="83" spans="1:7" x14ac:dyDescent="0.25">
      <c r="A83" s="12" t="s">
        <v>166</v>
      </c>
      <c r="B83" s="9" t="s">
        <v>60</v>
      </c>
      <c r="C83" s="9" t="s">
        <v>230</v>
      </c>
      <c r="D83" s="9" t="s">
        <v>118</v>
      </c>
      <c r="E83" s="62"/>
      <c r="F83" s="53">
        <v>10.25</v>
      </c>
      <c r="G83" s="45">
        <f t="shared" si="1"/>
        <v>0</v>
      </c>
    </row>
    <row r="84" spans="1:7" x14ac:dyDescent="0.25">
      <c r="A84" s="12" t="s">
        <v>167</v>
      </c>
      <c r="B84" s="9" t="s">
        <v>61</v>
      </c>
      <c r="C84" s="9" t="s">
        <v>230</v>
      </c>
      <c r="D84" s="9" t="s">
        <v>118</v>
      </c>
      <c r="E84" s="62"/>
      <c r="F84" s="53">
        <v>7.6</v>
      </c>
      <c r="G84" s="45">
        <f t="shared" si="1"/>
        <v>0</v>
      </c>
    </row>
    <row r="85" spans="1:7" x14ac:dyDescent="0.25">
      <c r="A85" s="12" t="s">
        <v>168</v>
      </c>
      <c r="B85" s="9" t="s">
        <v>62</v>
      </c>
      <c r="C85" s="9" t="s">
        <v>230</v>
      </c>
      <c r="D85" s="9" t="s">
        <v>118</v>
      </c>
      <c r="E85" s="62"/>
      <c r="F85" s="53">
        <v>4.5999999999999996</v>
      </c>
      <c r="G85" s="45">
        <f t="shared" si="1"/>
        <v>0</v>
      </c>
    </row>
    <row r="86" spans="1:7" x14ac:dyDescent="0.25">
      <c r="A86" s="12" t="s">
        <v>169</v>
      </c>
      <c r="B86" s="9" t="s">
        <v>63</v>
      </c>
      <c r="C86" s="9"/>
      <c r="D86" s="9" t="s">
        <v>118</v>
      </c>
      <c r="E86" s="62"/>
      <c r="F86" s="53">
        <v>25.25</v>
      </c>
      <c r="G86" s="45">
        <f t="shared" si="1"/>
        <v>0</v>
      </c>
    </row>
    <row r="87" spans="1:7" x14ac:dyDescent="0.25">
      <c r="A87" s="8"/>
      <c r="B87" s="10"/>
      <c r="C87" s="10"/>
      <c r="D87" s="10"/>
      <c r="E87" s="63"/>
      <c r="F87" s="54"/>
      <c r="G87" s="70"/>
    </row>
    <row r="88" spans="1:7" ht="30" x14ac:dyDescent="0.25">
      <c r="A88" s="2"/>
      <c r="B88" s="25" t="s">
        <v>64</v>
      </c>
      <c r="C88" s="25"/>
      <c r="D88" s="2"/>
      <c r="E88" s="61"/>
      <c r="F88" s="49"/>
      <c r="G88" s="72"/>
    </row>
    <row r="89" spans="1:7" x14ac:dyDescent="0.25">
      <c r="A89" s="12" t="s">
        <v>207</v>
      </c>
      <c r="B89" s="34" t="s">
        <v>65</v>
      </c>
      <c r="C89" s="34"/>
      <c r="D89" s="9" t="s">
        <v>118</v>
      </c>
      <c r="E89" s="62"/>
      <c r="F89" s="53">
        <v>1.25</v>
      </c>
      <c r="G89" s="45">
        <f t="shared" si="1"/>
        <v>0</v>
      </c>
    </row>
    <row r="90" spans="1:7" x14ac:dyDescent="0.25">
      <c r="A90" s="12" t="s">
        <v>170</v>
      </c>
      <c r="B90" s="9" t="s">
        <v>66</v>
      </c>
      <c r="C90" s="9"/>
      <c r="D90" s="9" t="s">
        <v>118</v>
      </c>
      <c r="E90" s="62"/>
      <c r="F90" s="53">
        <v>2.2000000000000002</v>
      </c>
      <c r="G90" s="45">
        <f t="shared" si="1"/>
        <v>0</v>
      </c>
    </row>
    <row r="91" spans="1:7" x14ac:dyDescent="0.25">
      <c r="A91" s="12" t="s">
        <v>208</v>
      </c>
      <c r="B91" s="9" t="s">
        <v>67</v>
      </c>
      <c r="C91" s="9"/>
      <c r="D91" s="9" t="s">
        <v>118</v>
      </c>
      <c r="E91" s="62"/>
      <c r="F91" s="53">
        <v>1.9</v>
      </c>
      <c r="G91" s="45">
        <f t="shared" si="1"/>
        <v>0</v>
      </c>
    </row>
    <row r="92" spans="1:7" x14ac:dyDescent="0.25">
      <c r="A92" s="12" t="s">
        <v>209</v>
      </c>
      <c r="B92" s="9" t="s">
        <v>68</v>
      </c>
      <c r="C92" s="9"/>
      <c r="D92" s="9" t="s">
        <v>118</v>
      </c>
      <c r="E92" s="62"/>
      <c r="F92" s="53">
        <v>1.9</v>
      </c>
      <c r="G92" s="45">
        <f t="shared" si="1"/>
        <v>0</v>
      </c>
    </row>
    <row r="93" spans="1:7" x14ac:dyDescent="0.25">
      <c r="A93" s="12" t="s">
        <v>171</v>
      </c>
      <c r="B93" s="9" t="s">
        <v>69</v>
      </c>
      <c r="C93" s="9"/>
      <c r="D93" s="9" t="s">
        <v>118</v>
      </c>
      <c r="E93" s="62"/>
      <c r="F93" s="53">
        <v>3.25</v>
      </c>
      <c r="G93" s="45">
        <f t="shared" si="1"/>
        <v>0</v>
      </c>
    </row>
    <row r="94" spans="1:7" x14ac:dyDescent="0.25">
      <c r="A94" s="12" t="s">
        <v>172</v>
      </c>
      <c r="B94" s="9" t="s">
        <v>70</v>
      </c>
      <c r="C94" s="9"/>
      <c r="D94" s="9" t="s">
        <v>118</v>
      </c>
      <c r="E94" s="62"/>
      <c r="F94" s="53">
        <v>1.1000000000000001</v>
      </c>
      <c r="G94" s="45">
        <f t="shared" si="1"/>
        <v>0</v>
      </c>
    </row>
    <row r="95" spans="1:7" x14ac:dyDescent="0.25">
      <c r="A95" s="12" t="s">
        <v>210</v>
      </c>
      <c r="B95" s="9" t="s">
        <v>71</v>
      </c>
      <c r="C95" s="9"/>
      <c r="D95" s="9" t="s">
        <v>118</v>
      </c>
      <c r="E95" s="62"/>
      <c r="F95" s="53">
        <v>0.75</v>
      </c>
      <c r="G95" s="45">
        <f t="shared" si="1"/>
        <v>0</v>
      </c>
    </row>
    <row r="96" spans="1:7" x14ac:dyDescent="0.25">
      <c r="A96" s="12" t="s">
        <v>173</v>
      </c>
      <c r="B96" s="9" t="s">
        <v>72</v>
      </c>
      <c r="C96" s="9"/>
      <c r="D96" s="9" t="s">
        <v>118</v>
      </c>
      <c r="E96" s="62"/>
      <c r="F96" s="53">
        <v>4.8</v>
      </c>
      <c r="G96" s="45">
        <f t="shared" si="1"/>
        <v>0</v>
      </c>
    </row>
    <row r="97" spans="1:7" x14ac:dyDescent="0.25">
      <c r="A97" s="12" t="s">
        <v>211</v>
      </c>
      <c r="B97" s="9" t="s">
        <v>73</v>
      </c>
      <c r="C97" s="9"/>
      <c r="D97" s="9" t="s">
        <v>118</v>
      </c>
      <c r="E97" s="62"/>
      <c r="F97" s="53">
        <v>3.7</v>
      </c>
      <c r="G97" s="45">
        <f t="shared" si="1"/>
        <v>0</v>
      </c>
    </row>
    <row r="98" spans="1:7" x14ac:dyDescent="0.25">
      <c r="A98" s="12" t="s">
        <v>174</v>
      </c>
      <c r="B98" s="9" t="s">
        <v>74</v>
      </c>
      <c r="C98" s="9"/>
      <c r="D98" s="9" t="s">
        <v>118</v>
      </c>
      <c r="E98" s="62"/>
      <c r="F98" s="53">
        <v>1.1499999999999999</v>
      </c>
      <c r="G98" s="45">
        <f t="shared" si="1"/>
        <v>0</v>
      </c>
    </row>
    <row r="99" spans="1:7" x14ac:dyDescent="0.25">
      <c r="A99" s="59" t="s">
        <v>175</v>
      </c>
      <c r="B99" s="9" t="s">
        <v>75</v>
      </c>
      <c r="C99" s="9"/>
      <c r="D99" s="9" t="s">
        <v>117</v>
      </c>
      <c r="E99" s="62"/>
      <c r="F99" s="53">
        <v>3.25</v>
      </c>
      <c r="G99" s="45">
        <f t="shared" si="1"/>
        <v>0</v>
      </c>
    </row>
    <row r="100" spans="1:7" x14ac:dyDescent="0.25">
      <c r="A100" s="13" t="s">
        <v>176</v>
      </c>
      <c r="B100" s="29" t="s">
        <v>76</v>
      </c>
      <c r="C100" s="29"/>
      <c r="D100" s="29" t="s">
        <v>118</v>
      </c>
      <c r="E100" s="62"/>
      <c r="F100" s="53">
        <v>5.4</v>
      </c>
      <c r="G100" s="45">
        <f t="shared" si="1"/>
        <v>0</v>
      </c>
    </row>
    <row r="101" spans="1:7" x14ac:dyDescent="0.25">
      <c r="A101" s="19"/>
      <c r="B101" s="35"/>
      <c r="C101" s="35"/>
      <c r="D101" s="35"/>
      <c r="E101" s="67"/>
      <c r="F101" s="56"/>
      <c r="G101" s="70"/>
    </row>
    <row r="102" spans="1:7" ht="30" x14ac:dyDescent="0.25">
      <c r="A102" s="11"/>
      <c r="B102" s="25" t="s">
        <v>77</v>
      </c>
      <c r="C102" s="25"/>
      <c r="D102" s="2"/>
      <c r="E102" s="61"/>
      <c r="F102" s="49"/>
      <c r="G102" s="72"/>
    </row>
    <row r="103" spans="1:7" x14ac:dyDescent="0.25">
      <c r="A103" s="12" t="s">
        <v>177</v>
      </c>
      <c r="B103" s="9" t="s">
        <v>78</v>
      </c>
      <c r="C103" s="9"/>
      <c r="D103" s="9" t="s">
        <v>118</v>
      </c>
      <c r="E103" s="62"/>
      <c r="F103" s="53">
        <v>1.8</v>
      </c>
      <c r="G103" s="45">
        <f t="shared" si="1"/>
        <v>0</v>
      </c>
    </row>
    <row r="104" spans="1:7" x14ac:dyDescent="0.25">
      <c r="A104" s="12" t="s">
        <v>178</v>
      </c>
      <c r="B104" s="9" t="s">
        <v>79</v>
      </c>
      <c r="C104" s="9"/>
      <c r="D104" s="9" t="s">
        <v>118</v>
      </c>
      <c r="E104" s="62"/>
      <c r="F104" s="53">
        <v>1.8</v>
      </c>
      <c r="G104" s="45">
        <f t="shared" si="1"/>
        <v>0</v>
      </c>
    </row>
    <row r="105" spans="1:7" x14ac:dyDescent="0.25">
      <c r="A105" s="12" t="s">
        <v>179</v>
      </c>
      <c r="B105" s="9" t="s">
        <v>80</v>
      </c>
      <c r="C105" s="9"/>
      <c r="D105" s="9" t="s">
        <v>118</v>
      </c>
      <c r="E105" s="62"/>
      <c r="F105" s="53">
        <v>1.8</v>
      </c>
      <c r="G105" s="45">
        <f t="shared" si="1"/>
        <v>0</v>
      </c>
    </row>
    <row r="106" spans="1:7" x14ac:dyDescent="0.25">
      <c r="A106" s="12" t="s">
        <v>180</v>
      </c>
      <c r="B106" s="9" t="s">
        <v>81</v>
      </c>
      <c r="C106" s="9"/>
      <c r="D106" s="9" t="s">
        <v>118</v>
      </c>
      <c r="E106" s="62"/>
      <c r="F106" s="53">
        <v>1.8</v>
      </c>
      <c r="G106" s="45">
        <f t="shared" si="1"/>
        <v>0</v>
      </c>
    </row>
    <row r="107" spans="1:7" x14ac:dyDescent="0.25">
      <c r="A107" s="12" t="s">
        <v>181</v>
      </c>
      <c r="B107" s="9" t="s">
        <v>82</v>
      </c>
      <c r="C107" s="9"/>
      <c r="D107" s="9" t="s">
        <v>118</v>
      </c>
      <c r="E107" s="62"/>
      <c r="F107" s="53">
        <v>1.8</v>
      </c>
      <c r="G107" s="45">
        <f t="shared" si="1"/>
        <v>0</v>
      </c>
    </row>
    <row r="108" spans="1:7" x14ac:dyDescent="0.25">
      <c r="E108" s="68"/>
      <c r="F108" s="57"/>
      <c r="G108" s="70"/>
    </row>
    <row r="109" spans="1:7" ht="30" x14ac:dyDescent="0.25">
      <c r="A109" s="11"/>
      <c r="B109" s="25" t="s">
        <v>83</v>
      </c>
      <c r="C109" s="25"/>
      <c r="D109" s="2"/>
      <c r="E109" s="61"/>
      <c r="F109" s="49"/>
      <c r="G109" s="72"/>
    </row>
    <row r="110" spans="1:7" x14ac:dyDescent="0.25">
      <c r="A110" s="12" t="s">
        <v>182</v>
      </c>
      <c r="B110" s="9" t="s">
        <v>84</v>
      </c>
      <c r="C110" s="9"/>
      <c r="D110" s="9" t="s">
        <v>118</v>
      </c>
      <c r="E110" s="62"/>
      <c r="F110" s="53">
        <v>5.05</v>
      </c>
      <c r="G110" s="45">
        <f t="shared" si="1"/>
        <v>0</v>
      </c>
    </row>
    <row r="111" spans="1:7" x14ac:dyDescent="0.25">
      <c r="A111" s="7" t="s">
        <v>183</v>
      </c>
      <c r="B111" s="3" t="s">
        <v>85</v>
      </c>
      <c r="C111" s="3" t="s">
        <v>231</v>
      </c>
      <c r="D111" s="3" t="s">
        <v>118</v>
      </c>
      <c r="E111" s="62"/>
      <c r="F111" s="50">
        <v>1.75</v>
      </c>
      <c r="G111" s="45">
        <f t="shared" si="1"/>
        <v>0</v>
      </c>
    </row>
    <row r="112" spans="1:7" x14ac:dyDescent="0.25">
      <c r="A112" s="12" t="s">
        <v>184</v>
      </c>
      <c r="B112" s="9" t="s">
        <v>86</v>
      </c>
      <c r="C112" s="9" t="s">
        <v>231</v>
      </c>
      <c r="D112" s="9" t="s">
        <v>118</v>
      </c>
      <c r="E112" s="62"/>
      <c r="F112" s="53">
        <v>2.2000000000000002</v>
      </c>
      <c r="G112" s="45">
        <f t="shared" si="1"/>
        <v>0</v>
      </c>
    </row>
    <row r="113" spans="1:7" x14ac:dyDescent="0.25">
      <c r="A113" s="7" t="s">
        <v>185</v>
      </c>
      <c r="B113" s="3" t="s">
        <v>87</v>
      </c>
      <c r="C113" s="3" t="s">
        <v>231</v>
      </c>
      <c r="D113" s="3" t="s">
        <v>117</v>
      </c>
      <c r="E113" s="62"/>
      <c r="F113" s="53">
        <v>6.4</v>
      </c>
      <c r="G113" s="45">
        <f t="shared" si="1"/>
        <v>0</v>
      </c>
    </row>
    <row r="114" spans="1:7" x14ac:dyDescent="0.25">
      <c r="A114" s="12" t="s">
        <v>186</v>
      </c>
      <c r="B114" s="9" t="s">
        <v>88</v>
      </c>
      <c r="C114" s="9" t="s">
        <v>231</v>
      </c>
      <c r="D114" s="9" t="s">
        <v>118</v>
      </c>
      <c r="E114" s="62"/>
      <c r="F114" s="53">
        <v>3.5</v>
      </c>
      <c r="G114" s="45">
        <f t="shared" si="1"/>
        <v>0</v>
      </c>
    </row>
    <row r="115" spans="1:7" x14ac:dyDescent="0.25">
      <c r="A115" s="12" t="s">
        <v>187</v>
      </c>
      <c r="B115" s="9" t="s">
        <v>89</v>
      </c>
      <c r="C115" s="9" t="s">
        <v>231</v>
      </c>
      <c r="D115" s="9" t="s">
        <v>118</v>
      </c>
      <c r="E115" s="62"/>
      <c r="F115" s="53">
        <v>9.75</v>
      </c>
      <c r="G115" s="45">
        <f t="shared" si="1"/>
        <v>0</v>
      </c>
    </row>
    <row r="116" spans="1:7" x14ac:dyDescent="0.25">
      <c r="A116" s="12" t="s">
        <v>213</v>
      </c>
      <c r="B116" s="30" t="s">
        <v>90</v>
      </c>
      <c r="C116" s="30" t="s">
        <v>231</v>
      </c>
      <c r="D116" s="9" t="s">
        <v>118</v>
      </c>
      <c r="E116" s="62"/>
      <c r="F116" s="53">
        <v>3.5</v>
      </c>
      <c r="G116" s="45">
        <f t="shared" si="1"/>
        <v>0</v>
      </c>
    </row>
    <row r="117" spans="1:7" x14ac:dyDescent="0.25">
      <c r="E117" s="68"/>
      <c r="F117" s="57"/>
      <c r="G117" s="70"/>
    </row>
    <row r="118" spans="1:7" ht="30" x14ac:dyDescent="0.25">
      <c r="A118" s="20"/>
      <c r="B118" s="25" t="s">
        <v>91</v>
      </c>
      <c r="C118" s="25"/>
      <c r="D118" s="20"/>
      <c r="E118" s="69"/>
      <c r="F118" s="58"/>
      <c r="G118" s="72"/>
    </row>
    <row r="119" spans="1:7" x14ac:dyDescent="0.25">
      <c r="A119" s="12" t="s">
        <v>188</v>
      </c>
      <c r="B119" s="9" t="s">
        <v>92</v>
      </c>
      <c r="C119" s="9"/>
      <c r="D119" s="9" t="s">
        <v>118</v>
      </c>
      <c r="E119" s="62"/>
      <c r="F119" s="53">
        <v>1.8</v>
      </c>
      <c r="G119" s="45">
        <f t="shared" si="1"/>
        <v>0</v>
      </c>
    </row>
    <row r="120" spans="1:7" x14ac:dyDescent="0.25">
      <c r="A120" s="12" t="s">
        <v>189</v>
      </c>
      <c r="B120" s="9" t="s">
        <v>93</v>
      </c>
      <c r="C120" s="9"/>
      <c r="D120" s="9" t="s">
        <v>118</v>
      </c>
      <c r="E120" s="62"/>
      <c r="F120" s="53">
        <v>3.7</v>
      </c>
      <c r="G120" s="45">
        <f t="shared" si="1"/>
        <v>0</v>
      </c>
    </row>
    <row r="121" spans="1:7" x14ac:dyDescent="0.25">
      <c r="A121" s="12" t="s">
        <v>190</v>
      </c>
      <c r="B121" s="9" t="s">
        <v>94</v>
      </c>
      <c r="C121" s="9"/>
      <c r="D121" s="9" t="s">
        <v>118</v>
      </c>
      <c r="E121" s="62"/>
      <c r="F121" s="53">
        <v>1.1000000000000001</v>
      </c>
      <c r="G121" s="45">
        <f t="shared" si="1"/>
        <v>0</v>
      </c>
    </row>
    <row r="122" spans="1:7" x14ac:dyDescent="0.25">
      <c r="A122" s="12" t="s">
        <v>191</v>
      </c>
      <c r="B122" s="9" t="s">
        <v>95</v>
      </c>
      <c r="C122" s="9"/>
      <c r="D122" s="9" t="s">
        <v>118</v>
      </c>
      <c r="E122" s="62"/>
      <c r="F122" s="53">
        <v>2.25</v>
      </c>
      <c r="G122" s="45">
        <f t="shared" si="1"/>
        <v>0</v>
      </c>
    </row>
    <row r="123" spans="1:7" x14ac:dyDescent="0.25">
      <c r="A123" s="12" t="s">
        <v>212</v>
      </c>
      <c r="B123" s="9" t="s">
        <v>96</v>
      </c>
      <c r="C123" s="9"/>
      <c r="D123" s="9" t="s">
        <v>119</v>
      </c>
      <c r="E123" s="62"/>
      <c r="F123" s="53">
        <v>1.25</v>
      </c>
      <c r="G123" s="45">
        <f t="shared" si="1"/>
        <v>0</v>
      </c>
    </row>
    <row r="124" spans="1:7" x14ac:dyDescent="0.25">
      <c r="A124" s="8"/>
      <c r="B124" s="10"/>
      <c r="C124" s="10"/>
      <c r="D124" s="10"/>
      <c r="E124" s="63"/>
      <c r="F124" s="54"/>
      <c r="G124" s="70"/>
    </row>
    <row r="125" spans="1:7" ht="30" x14ac:dyDescent="0.25">
      <c r="A125" s="11"/>
      <c r="B125" s="25" t="s">
        <v>97</v>
      </c>
      <c r="C125" s="25"/>
      <c r="D125" s="2"/>
      <c r="E125" s="61"/>
      <c r="F125" s="49"/>
      <c r="G125" s="72"/>
    </row>
    <row r="126" spans="1:7" x14ac:dyDescent="0.25">
      <c r="A126" s="12" t="s">
        <v>192</v>
      </c>
      <c r="B126" s="9" t="s">
        <v>98</v>
      </c>
      <c r="C126" s="9"/>
      <c r="D126" s="9" t="s">
        <v>118</v>
      </c>
      <c r="E126" s="62"/>
      <c r="F126" s="53">
        <v>28.6</v>
      </c>
      <c r="G126" s="45">
        <f t="shared" si="1"/>
        <v>0</v>
      </c>
    </row>
    <row r="127" spans="1:7" x14ac:dyDescent="0.25">
      <c r="A127" s="41" t="s">
        <v>193</v>
      </c>
      <c r="B127" s="9" t="s">
        <v>99</v>
      </c>
      <c r="C127" s="9"/>
      <c r="D127" s="9" t="s">
        <v>118</v>
      </c>
      <c r="E127" s="62"/>
      <c r="F127" s="53">
        <v>40</v>
      </c>
      <c r="G127" s="45">
        <f t="shared" si="1"/>
        <v>0</v>
      </c>
    </row>
    <row r="128" spans="1:7" x14ac:dyDescent="0.25">
      <c r="A128" s="12" t="s">
        <v>194</v>
      </c>
      <c r="B128" s="9" t="s">
        <v>100</v>
      </c>
      <c r="C128" s="9"/>
      <c r="D128" s="9" t="s">
        <v>118</v>
      </c>
      <c r="E128" s="62"/>
      <c r="F128" s="53">
        <v>4.2</v>
      </c>
      <c r="G128" s="45">
        <f t="shared" si="1"/>
        <v>0</v>
      </c>
    </row>
    <row r="129" spans="1:7" x14ac:dyDescent="0.25">
      <c r="A129" s="12" t="s">
        <v>195</v>
      </c>
      <c r="B129" s="9" t="s">
        <v>101</v>
      </c>
      <c r="C129" s="9"/>
      <c r="D129" s="9" t="s">
        <v>118</v>
      </c>
      <c r="E129" s="62"/>
      <c r="F129" s="53">
        <v>6.45</v>
      </c>
      <c r="G129" s="45">
        <f t="shared" si="1"/>
        <v>0</v>
      </c>
    </row>
    <row r="130" spans="1:7" x14ac:dyDescent="0.25">
      <c r="A130" s="8"/>
      <c r="B130" s="10"/>
      <c r="C130" s="10"/>
      <c r="D130" s="10"/>
      <c r="E130" s="63"/>
      <c r="F130" s="54"/>
      <c r="G130" s="70"/>
    </row>
    <row r="131" spans="1:7" ht="30" x14ac:dyDescent="0.25">
      <c r="A131" s="11"/>
      <c r="B131" s="25" t="s">
        <v>102</v>
      </c>
      <c r="C131" s="25"/>
      <c r="D131" s="2"/>
      <c r="E131" s="61"/>
      <c r="F131" s="49"/>
      <c r="G131" s="72"/>
    </row>
    <row r="132" spans="1:7" x14ac:dyDescent="0.25">
      <c r="A132" s="12" t="s">
        <v>196</v>
      </c>
      <c r="B132" s="9" t="s">
        <v>103</v>
      </c>
      <c r="C132" s="9"/>
      <c r="D132" s="9" t="s">
        <v>118</v>
      </c>
      <c r="E132" s="62"/>
      <c r="F132" s="53">
        <v>1.05</v>
      </c>
      <c r="G132" s="45">
        <f t="shared" si="1"/>
        <v>0</v>
      </c>
    </row>
    <row r="133" spans="1:7" x14ac:dyDescent="0.25">
      <c r="A133" s="12" t="s">
        <v>197</v>
      </c>
      <c r="B133" s="9" t="s">
        <v>104</v>
      </c>
      <c r="C133" s="9"/>
      <c r="D133" s="9" t="s">
        <v>118</v>
      </c>
      <c r="E133" s="62"/>
      <c r="F133" s="53">
        <v>1.55</v>
      </c>
      <c r="G133" s="45">
        <f t="shared" si="1"/>
        <v>0</v>
      </c>
    </row>
    <row r="134" spans="1:7" x14ac:dyDescent="0.25">
      <c r="A134" s="12" t="s">
        <v>198</v>
      </c>
      <c r="B134" s="9" t="s">
        <v>105</v>
      </c>
      <c r="C134" s="9"/>
      <c r="D134" s="9" t="s">
        <v>118</v>
      </c>
      <c r="E134" s="62"/>
      <c r="F134" s="53">
        <v>0.4</v>
      </c>
      <c r="G134" s="45">
        <f t="shared" si="1"/>
        <v>0</v>
      </c>
    </row>
    <row r="135" spans="1:7" x14ac:dyDescent="0.25">
      <c r="A135" s="12" t="s">
        <v>199</v>
      </c>
      <c r="B135" s="9" t="s">
        <v>106</v>
      </c>
      <c r="C135" s="9"/>
      <c r="D135" s="9" t="s">
        <v>118</v>
      </c>
      <c r="E135" s="62"/>
      <c r="F135" s="53">
        <v>0.45</v>
      </c>
      <c r="G135" s="45">
        <f t="shared" si="1"/>
        <v>0</v>
      </c>
    </row>
    <row r="136" spans="1:7" x14ac:dyDescent="0.25">
      <c r="A136" s="12" t="s">
        <v>200</v>
      </c>
      <c r="B136" s="9" t="s">
        <v>107</v>
      </c>
      <c r="C136" s="9"/>
      <c r="D136" s="9" t="s">
        <v>118</v>
      </c>
      <c r="E136" s="62"/>
      <c r="F136" s="53">
        <v>1.05</v>
      </c>
      <c r="G136" s="45">
        <f t="shared" ref="G136:G145" si="2">F136*E136</f>
        <v>0</v>
      </c>
    </row>
    <row r="137" spans="1:7" x14ac:dyDescent="0.25">
      <c r="A137" s="12" t="s">
        <v>201</v>
      </c>
      <c r="B137" s="9" t="s">
        <v>108</v>
      </c>
      <c r="C137" s="9"/>
      <c r="D137" s="9" t="s">
        <v>118</v>
      </c>
      <c r="E137" s="62"/>
      <c r="F137" s="53">
        <v>1.55</v>
      </c>
      <c r="G137" s="45">
        <f t="shared" si="2"/>
        <v>0</v>
      </c>
    </row>
    <row r="138" spans="1:7" x14ac:dyDescent="0.25">
      <c r="A138" s="8"/>
      <c r="B138" s="10"/>
      <c r="C138" s="10"/>
      <c r="D138" s="10"/>
      <c r="E138" s="63"/>
      <c r="F138" s="54"/>
      <c r="G138" s="70"/>
    </row>
    <row r="139" spans="1:7" x14ac:dyDescent="0.25">
      <c r="A139" s="21"/>
      <c r="B139" s="5"/>
      <c r="C139" s="5"/>
      <c r="D139" s="5"/>
      <c r="E139" s="64"/>
      <c r="F139" s="52"/>
      <c r="G139" s="71"/>
    </row>
    <row r="140" spans="1:7" ht="30" x14ac:dyDescent="0.25">
      <c r="A140" s="11"/>
      <c r="B140" s="25" t="s">
        <v>109</v>
      </c>
      <c r="C140" s="25"/>
      <c r="D140" s="2"/>
      <c r="E140" s="61"/>
      <c r="F140" s="49"/>
      <c r="G140" s="72"/>
    </row>
    <row r="141" spans="1:7" x14ac:dyDescent="0.25">
      <c r="A141" s="22" t="s">
        <v>2</v>
      </c>
      <c r="B141" s="18" t="s">
        <v>110</v>
      </c>
      <c r="C141" s="18"/>
      <c r="D141" s="18" t="s">
        <v>118</v>
      </c>
      <c r="E141" s="65"/>
      <c r="F141" s="53">
        <v>42.05</v>
      </c>
      <c r="G141" s="45">
        <f t="shared" si="2"/>
        <v>0</v>
      </c>
    </row>
    <row r="142" spans="1:7" x14ac:dyDescent="0.25">
      <c r="A142" s="22" t="s">
        <v>3</v>
      </c>
      <c r="B142" s="18" t="s">
        <v>111</v>
      </c>
      <c r="C142" s="18"/>
      <c r="D142" s="18" t="s">
        <v>118</v>
      </c>
      <c r="E142" s="65"/>
      <c r="F142" s="53">
        <v>17.600000000000001</v>
      </c>
      <c r="G142" s="45">
        <f t="shared" si="2"/>
        <v>0</v>
      </c>
    </row>
    <row r="143" spans="1:7" x14ac:dyDescent="0.25">
      <c r="A143" s="8"/>
      <c r="B143" s="10"/>
      <c r="C143" s="10"/>
      <c r="D143" s="10"/>
      <c r="E143" s="63"/>
      <c r="F143" s="54"/>
      <c r="G143" s="70"/>
    </row>
    <row r="144" spans="1:7" ht="30" x14ac:dyDescent="0.25">
      <c r="A144" s="11"/>
      <c r="B144" s="25" t="s">
        <v>112</v>
      </c>
      <c r="C144" s="25"/>
      <c r="D144" s="2"/>
      <c r="E144" s="61"/>
      <c r="F144" s="49"/>
      <c r="G144" s="72"/>
    </row>
    <row r="145" spans="1:7" x14ac:dyDescent="0.25">
      <c r="A145" s="12" t="s">
        <v>202</v>
      </c>
      <c r="B145" s="9" t="s">
        <v>113</v>
      </c>
      <c r="C145" s="9"/>
      <c r="D145" s="9" t="s">
        <v>118</v>
      </c>
      <c r="E145" s="62"/>
      <c r="F145" s="53">
        <v>5.8</v>
      </c>
      <c r="G145" s="45">
        <f t="shared" si="2"/>
        <v>0</v>
      </c>
    </row>
    <row r="146" spans="1:7" x14ac:dyDescent="0.25">
      <c r="A146" s="8"/>
      <c r="B146" s="10"/>
      <c r="C146" s="10"/>
      <c r="D146" s="10"/>
      <c r="E146" s="10"/>
      <c r="F146" s="38"/>
      <c r="G146" s="46"/>
    </row>
    <row r="148" spans="1:7" x14ac:dyDescent="0.25">
      <c r="D148" s="40"/>
      <c r="E148" s="89" t="s">
        <v>120</v>
      </c>
      <c r="F148" s="89"/>
      <c r="G148" s="86">
        <f>SUM(G10:G145)</f>
        <v>0</v>
      </c>
    </row>
  </sheetData>
  <mergeCells count="4">
    <mergeCell ref="E148:F148"/>
    <mergeCell ref="C3:G3"/>
    <mergeCell ref="A1:G1"/>
    <mergeCell ref="A6:G6"/>
  </mergeCells>
  <pageMargins left="0.2" right="0.2" top="0.25" bottom="0.2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Meditz, Pam</cp:lastModifiedBy>
  <cp:lastPrinted>2018-03-21T21:45:29Z</cp:lastPrinted>
  <dcterms:created xsi:type="dcterms:W3CDTF">2018-02-15T13:56:33Z</dcterms:created>
  <dcterms:modified xsi:type="dcterms:W3CDTF">2018-07-31T23:32:07Z</dcterms:modified>
</cp:coreProperties>
</file>