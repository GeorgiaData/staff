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Cottage Housewares\"/>
    </mc:Choice>
  </mc:AlternateContent>
  <bookViews>
    <workbookView xWindow="360" yWindow="72" windowWidth="11340" windowHeight="648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156" i="1" l="1"/>
  <c r="J206" i="1"/>
  <c r="J179" i="1"/>
  <c r="J180" i="1"/>
  <c r="J181" i="1"/>
  <c r="J182" i="1"/>
  <c r="J186" i="1"/>
  <c r="J187" i="1"/>
  <c r="J188" i="1"/>
  <c r="J190" i="1"/>
  <c r="J191" i="1"/>
  <c r="J178" i="1"/>
  <c r="J119" i="1"/>
  <c r="J120" i="1"/>
  <c r="J121" i="1"/>
  <c r="J127" i="1"/>
  <c r="J128" i="1"/>
  <c r="J129" i="1"/>
  <c r="J130" i="1"/>
  <c r="J131" i="1"/>
  <c r="J135" i="1"/>
  <c r="J136" i="1"/>
  <c r="J137" i="1"/>
  <c r="J138" i="1"/>
  <c r="J139" i="1"/>
  <c r="J140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62" i="1"/>
  <c r="J118" i="1"/>
  <c r="J65" i="1"/>
  <c r="J66" i="1"/>
  <c r="J67" i="1"/>
  <c r="J68" i="1"/>
  <c r="J69" i="1"/>
  <c r="J70" i="1"/>
  <c r="J71" i="1"/>
  <c r="J72" i="1"/>
  <c r="J73" i="1"/>
  <c r="J77" i="1"/>
  <c r="J78" i="1"/>
  <c r="J79" i="1"/>
  <c r="J80" i="1"/>
  <c r="J81" i="1"/>
  <c r="J82" i="1"/>
  <c r="J83" i="1"/>
  <c r="J84" i="1"/>
  <c r="J85" i="1"/>
  <c r="J86" i="1"/>
  <c r="J87" i="1"/>
  <c r="J92" i="1"/>
  <c r="J93" i="1"/>
  <c r="J94" i="1"/>
  <c r="J95" i="1"/>
  <c r="J96" i="1"/>
  <c r="J97" i="1"/>
  <c r="J101" i="1"/>
  <c r="J102" i="1"/>
  <c r="J104" i="1"/>
  <c r="J105" i="1"/>
  <c r="J61" i="1"/>
  <c r="J16" i="1"/>
  <c r="J17" i="1"/>
  <c r="J18" i="1"/>
  <c r="J19" i="1"/>
  <c r="J20" i="1"/>
  <c r="J21" i="1"/>
  <c r="J22" i="1"/>
  <c r="J23" i="1"/>
  <c r="J26" i="1"/>
  <c r="J29" i="1"/>
  <c r="J30" i="1"/>
  <c r="J31" i="1"/>
  <c r="J32" i="1"/>
  <c r="J34" i="1"/>
  <c r="J35" i="1"/>
  <c r="J38" i="1"/>
  <c r="J39" i="1"/>
  <c r="J40" i="1"/>
  <c r="J41" i="1"/>
  <c r="J50" i="1"/>
  <c r="J51" i="1"/>
  <c r="J52" i="1"/>
  <c r="J12" i="1"/>
  <c r="J168" i="1" l="1"/>
  <c r="J222" i="1"/>
  <c r="J108" i="1"/>
  <c r="J54" i="1"/>
  <c r="J225" i="1" l="1"/>
</calcChain>
</file>

<file path=xl/sharedStrings.xml><?xml version="1.0" encoding="utf-8"?>
<sst xmlns="http://schemas.openxmlformats.org/spreadsheetml/2006/main" count="530" uniqueCount="263">
  <si>
    <t>ITEM NUMBER</t>
  </si>
  <si>
    <t>DESCRIPTION</t>
  </si>
  <si>
    <t>VENDOR</t>
  </si>
  <si>
    <t>UNIT COST</t>
  </si>
  <si>
    <t>DINNERWARE:</t>
  </si>
  <si>
    <t>1 SET</t>
  </si>
  <si>
    <t>VIC-16PC.</t>
  </si>
  <si>
    <t>16PC. "VICEROY" DINNERWARE SET</t>
  </si>
  <si>
    <t>WORLDTAB</t>
  </si>
  <si>
    <t>OPEN STOCK:</t>
  </si>
  <si>
    <t>VIC16</t>
  </si>
  <si>
    <t>10.5" DINNER PLATE</t>
  </si>
  <si>
    <t>1 EACH</t>
  </si>
  <si>
    <t>VIC7</t>
  </si>
  <si>
    <t>7-1/8" SALAD PLATE</t>
  </si>
  <si>
    <t>VIC10</t>
  </si>
  <si>
    <t>13 OZ. CEREAL BOWL</t>
  </si>
  <si>
    <t>VIC34</t>
  </si>
  <si>
    <t>9-3/8" OVAL PLATTER</t>
  </si>
  <si>
    <t>VIC14</t>
  </si>
  <si>
    <t>12.5" OVAL PLATTER</t>
  </si>
  <si>
    <t>REC80</t>
  </si>
  <si>
    <t>25 OZ. SERVING BOWL(OFF-WHITE)</t>
  </si>
  <si>
    <t>REC81</t>
  </si>
  <si>
    <t>48 OZ. SERVING BOWL(OFF-WHITE)</t>
  </si>
  <si>
    <t>11OZ. WHITE C-HANDLE MUG</t>
  </si>
  <si>
    <t>FLATWARE:</t>
  </si>
  <si>
    <t>130-001</t>
  </si>
  <si>
    <t>TEASPOON</t>
  </si>
  <si>
    <t>130-002</t>
  </si>
  <si>
    <t>DESSERT SPOON</t>
  </si>
  <si>
    <t>130-030</t>
  </si>
  <si>
    <t>DINNER FORK</t>
  </si>
  <si>
    <t>130-5262</t>
  </si>
  <si>
    <t>DINNER KNIFE</t>
  </si>
  <si>
    <t>APPLIANCES:</t>
  </si>
  <si>
    <t>PROCTOR</t>
  </si>
  <si>
    <t>2-SLICE TOASTER (HOT WALL)</t>
  </si>
  <si>
    <t>ELECTRIC 5-SPEED MIXER</t>
  </si>
  <si>
    <t>11" ELECTRIC SKILLET W/NON-STICK</t>
  </si>
  <si>
    <t>UPRIGHT VACUUM CLEANER</t>
  </si>
  <si>
    <t>EUREKA</t>
  </si>
  <si>
    <t>1 PKG.</t>
  </si>
  <si>
    <t>52320A-12</t>
  </si>
  <si>
    <t>REPLACEMENT BAGS (3/PKG.)</t>
  </si>
  <si>
    <t>MW7</t>
  </si>
  <si>
    <t>MICROWAVE .7 CU.FT. WHITE CASE</t>
  </si>
  <si>
    <t>GE</t>
  </si>
  <si>
    <t>GLASSWARE:</t>
  </si>
  <si>
    <t>LIBBEY</t>
  </si>
  <si>
    <t>PR8120DCLR</t>
  </si>
  <si>
    <t>12 OZ. PLASTIC TUMBLER</t>
  </si>
  <si>
    <t>CAMBRO</t>
  </si>
  <si>
    <t>PRESENCE CREAMER, GLASS</t>
  </si>
  <si>
    <t>ANCHOR</t>
  </si>
  <si>
    <t>PRESENCE SUGAR BOWL W/LID</t>
  </si>
  <si>
    <t>SALT/PEPPER SHAKER</t>
  </si>
  <si>
    <t>COOKWARE:</t>
  </si>
  <si>
    <t>KPW9007</t>
  </si>
  <si>
    <t>7PC. S.S. COOKWARE SET</t>
  </si>
  <si>
    <t>REGAL</t>
  </si>
  <si>
    <t>KPWB9031</t>
  </si>
  <si>
    <t>1QT. SAUCEPAN BOTTOM</t>
  </si>
  <si>
    <t>KPWB9031C</t>
  </si>
  <si>
    <t>1QT. LID ONLY</t>
  </si>
  <si>
    <t>KPWB9032</t>
  </si>
  <si>
    <t>2QT. SAUCEPAN BOTTOM</t>
  </si>
  <si>
    <t>KPWB9032C</t>
  </si>
  <si>
    <t>2QT. LID ONLY</t>
  </si>
  <si>
    <t>KPWB9036</t>
  </si>
  <si>
    <t>5QT. DUTCH OVEN</t>
  </si>
  <si>
    <t>KPWB9030C</t>
  </si>
  <si>
    <t>10" LID ONLY (FOR FRYPAN &amp; D.O.)</t>
  </si>
  <si>
    <t xml:space="preserve">KPWB9030 </t>
  </si>
  <si>
    <t>10" OPEN FRY PAN</t>
  </si>
  <si>
    <t>LYNN'S</t>
  </si>
  <si>
    <t>12PC. MICROWAVE COOKWARE SET</t>
  </si>
  <si>
    <t>NORDICWR</t>
  </si>
  <si>
    <t>BAKEWARE:</t>
  </si>
  <si>
    <t>3PC. GLASS MIXING BOWL SET</t>
  </si>
  <si>
    <t>PYREX</t>
  </si>
  <si>
    <t>2CUP GLASS MEASURING CUP</t>
  </si>
  <si>
    <t>ALUMINUM PIZZA PAN</t>
  </si>
  <si>
    <t>S.S. 12X14 COOKIE SHEET</t>
  </si>
  <si>
    <t>FOXRUN</t>
  </si>
  <si>
    <t>S.S. ROASTING PAN</t>
  </si>
  <si>
    <t>S.S. 8" SQUARE CAKE PAN</t>
  </si>
  <si>
    <t>S.S. 9" PIE PAN</t>
  </si>
  <si>
    <t>2QT. OPEN BAKING DISH</t>
  </si>
  <si>
    <t>9" GLASS PIE PLATE</t>
  </si>
  <si>
    <t>PLASTIC ITEMS:</t>
  </si>
  <si>
    <t>ICE TRAY SET (2 PER SET)</t>
  </si>
  <si>
    <t>STERILITE</t>
  </si>
  <si>
    <t>16X28 WHITE SAFETY-GRIP MAT</t>
  </si>
  <si>
    <t>RUBBERMD</t>
  </si>
  <si>
    <t>60 OZ. CLEAR BOUNCER PITCHER</t>
  </si>
  <si>
    <t>2 QT. JUICE PITCHER W/LID</t>
  </si>
  <si>
    <t>5-COMPARTMENT FLATWARE TRAY</t>
  </si>
  <si>
    <t>8QT. VANITY WASTEBASKET-WHITE</t>
  </si>
  <si>
    <t>ULTRA 2PC. SINK SET-WHITE</t>
  </si>
  <si>
    <t>WHITE PLASTIC PAPER TOWEL HLDR.</t>
  </si>
  <si>
    <t>CLEANING ITEMS:</t>
  </si>
  <si>
    <t>ANGLE BROOM, BLUE</t>
  </si>
  <si>
    <t>DUST PAN, BLUE</t>
  </si>
  <si>
    <t>DISH AND POT SCRUBBER (2/PKG)</t>
  </si>
  <si>
    <t>GADGETS/MISCELLANEOUS ITEMS:</t>
  </si>
  <si>
    <t>S.S. GRATER/SHREDDER/SLICER</t>
  </si>
  <si>
    <t>EKCO</t>
  </si>
  <si>
    <t>10" WIRE WHISK</t>
  </si>
  <si>
    <t>5" STRAINER</t>
  </si>
  <si>
    <t>KNIFE SHARPENER</t>
  </si>
  <si>
    <t>S.S. VEGETABLE PEELER</t>
  </si>
  <si>
    <t>4PC. S.S. MEASURING SPOON SET</t>
  </si>
  <si>
    <t>S.S. CAN PIERCER/BOTTLE OPENER</t>
  </si>
  <si>
    <t>MANUAL CAN OPENER</t>
  </si>
  <si>
    <t>SWINGAWY</t>
  </si>
  <si>
    <t>S.S. 3QT. COLANDER</t>
  </si>
  <si>
    <t>WHITE PLASTIC COLANDER</t>
  </si>
  <si>
    <t>MRICEBKT</t>
  </si>
  <si>
    <t>CUTTING BOARD:</t>
  </si>
  <si>
    <t>ACRYLIC PL</t>
  </si>
  <si>
    <t>KNIVES:</t>
  </si>
  <si>
    <t>80020/500</t>
  </si>
  <si>
    <t>DIAMANT PARING KNIFE-BLK HANDLE</t>
  </si>
  <si>
    <t>TRAMONTI</t>
  </si>
  <si>
    <t>80020/501</t>
  </si>
  <si>
    <t>DIAMANT UTILITY KNIFE-BLK HANDLE</t>
  </si>
  <si>
    <t>80020/502</t>
  </si>
  <si>
    <t>DIAMANT ROAST SLICER-BLK HNDLE</t>
  </si>
  <si>
    <t>80020/005</t>
  </si>
  <si>
    <t>DIAMANT STEAK KNIFE-BLK HANDLE</t>
  </si>
  <si>
    <t>UTENSILS:</t>
  </si>
  <si>
    <t>SOLID SPOON, BLACK HANDLE</t>
  </si>
  <si>
    <t>LARGE TURNER, BLACK HANDLE</t>
  </si>
  <si>
    <t>SLOTTED SPOON, BLACK HANDLE</t>
  </si>
  <si>
    <t>SMALL TURNER, BLACK HANDLE</t>
  </si>
  <si>
    <t>2-TINE FORK, BLACK HANDLE</t>
  </si>
  <si>
    <t>UNS9201</t>
  </si>
  <si>
    <t>BLACK CUP PLUNGER</t>
  </si>
  <si>
    <t>LAGASSE</t>
  </si>
  <si>
    <t>1 DOZEN</t>
  </si>
  <si>
    <t>SHOWER CURTAINS:</t>
  </si>
  <si>
    <t>6X6-10</t>
  </si>
  <si>
    <t>AIMCO</t>
  </si>
  <si>
    <t>HSH-12</t>
  </si>
  <si>
    <t>HOTEL PLASTIC SHOWER HOOK SET</t>
  </si>
  <si>
    <t>LAUNDRY BAGS:</t>
  </si>
  <si>
    <t>3040-010</t>
  </si>
  <si>
    <t>30X40 WHITE BLEND LAUNDRY BAG</t>
  </si>
  <si>
    <t>12C AUTO SHUT-OFF COFFEEMAKER</t>
  </si>
  <si>
    <t>REPLACEMENT CARAFE FOR 48571</t>
  </si>
  <si>
    <t>ELECTRIC TALL CAN OPENER</t>
  </si>
  <si>
    <t>HOOVER</t>
  </si>
  <si>
    <t>U5145-900</t>
  </si>
  <si>
    <t>BP102X</t>
  </si>
  <si>
    <t>BROILER PAN W/GRILL</t>
  </si>
  <si>
    <t>10 QT. SPOUT PAIL, GLACIER</t>
  </si>
  <si>
    <t>4PC. PLASTIC MEASURING CUP SET</t>
  </si>
  <si>
    <t>00400-12</t>
  </si>
  <si>
    <t>ABCO</t>
  </si>
  <si>
    <t>00200-12UP</t>
  </si>
  <si>
    <t xml:space="preserve">101-1 </t>
  </si>
  <si>
    <t>WHITE ICE BUCKET W/LID</t>
  </si>
  <si>
    <t>80020/503</t>
  </si>
  <si>
    <t>DIAMANT 8" COOKS KNIFE</t>
  </si>
  <si>
    <t>6-PCD</t>
  </si>
  <si>
    <t>OREK UPRIGHT VACUUM CLEANER</t>
  </si>
  <si>
    <t>OREK</t>
  </si>
  <si>
    <t>REPLACEMENT BAGS (25/PKG.)</t>
  </si>
  <si>
    <t xml:space="preserve">12QT STOCK POT, S/S </t>
  </si>
  <si>
    <t>35F97H-FFW28</t>
  </si>
  <si>
    <t>8PC. PLASTIC BOWL SET W/LIDS</t>
  </si>
  <si>
    <t>PIZZA CUTTER</t>
  </si>
  <si>
    <t>DEEP LADLE, BLACK HANDLE</t>
  </si>
  <si>
    <t>1.5 BU.SQ. WHITE LAUNDRY BASKET</t>
  </si>
  <si>
    <t>RANGE-KLN</t>
  </si>
  <si>
    <t>IRONING ITEMS:</t>
  </si>
  <si>
    <t>HIR200</t>
  </si>
  <si>
    <t>AUTO SHUT-OFF COMM. IRON</t>
  </si>
  <si>
    <t>HAM. BCH.</t>
  </si>
  <si>
    <t>FULL SZ. IRONING BOARD W/COVER</t>
  </si>
  <si>
    <t>H.P.I.</t>
  </si>
  <si>
    <t>IRON/BOARD ORGANIZER</t>
  </si>
  <si>
    <t>REPLACEMENT BOARD COVER</t>
  </si>
  <si>
    <t>90638-90</t>
  </si>
  <si>
    <t>TRIVET IRON REST-WHITE</t>
  </si>
  <si>
    <t>POLDER</t>
  </si>
  <si>
    <t>ILL16</t>
  </si>
  <si>
    <t>WHITE PLASTIC SOAP DISH</t>
  </si>
  <si>
    <t>CREATIVE</t>
  </si>
  <si>
    <t>HANGERS:</t>
  </si>
  <si>
    <t>MENS HANGER-BALLTOP, NATURAL</t>
  </si>
  <si>
    <t>MONTROSE</t>
  </si>
  <si>
    <t>WOMENS HANGER-B.T., NATURAL</t>
  </si>
  <si>
    <t>L7K66-N</t>
  </si>
  <si>
    <t>MENS HANGER-OPEN HOOK, NATURL</t>
  </si>
  <si>
    <t>L7K66-NS</t>
  </si>
  <si>
    <t>WOMENS HANGER-OPEN HOOK,NAT.</t>
  </si>
  <si>
    <t>"A" RINGS, PERMANENT HOOK</t>
  </si>
  <si>
    <t>"B" RINGS, ADJUSTABLE HOOK</t>
  </si>
  <si>
    <t>42QT. LIFT-TOP KITCHEN TRASH CAN</t>
  </si>
  <si>
    <t>DISH AND SINK BRUSH-COLOR: WHITE</t>
  </si>
  <si>
    <t>LIBMAN</t>
  </si>
  <si>
    <t>4PC. COASTER SET-WHITE/CORK CNTR</t>
  </si>
  <si>
    <t>12 OZ. GLASS TUMBLER (LB606HT)</t>
  </si>
  <si>
    <t>12QT. DISH PAN-WHITE</t>
  </si>
  <si>
    <t>TOILET BRUSHCADDY SET-WHITE</t>
  </si>
  <si>
    <t>LB606HT</t>
  </si>
  <si>
    <t>16PC. "HARBOR" FLATWARE SET</t>
  </si>
  <si>
    <t>PLASTIC FLYSWATTER</t>
  </si>
  <si>
    <t>8X11 WHITE CUTTING BOARD</t>
  </si>
  <si>
    <t>LUGOFF</t>
  </si>
  <si>
    <t>SKX20-099</t>
  </si>
  <si>
    <t>OSTER</t>
  </si>
  <si>
    <t>PLD13-099</t>
  </si>
  <si>
    <t>2QT. CASSEROLE W/LID (1.5QT. DISC.)</t>
  </si>
  <si>
    <t>CHEFCRAFT</t>
  </si>
  <si>
    <t>Unit of Measure</t>
  </si>
  <si>
    <t>STD 8 capacity</t>
  </si>
  <si>
    <t>TL= No. Cott x STD</t>
  </si>
  <si>
    <t>Order Qty</t>
  </si>
  <si>
    <t>Order Cost Ext.</t>
  </si>
  <si>
    <t>Page 1</t>
  </si>
  <si>
    <t>Sub-Total</t>
  </si>
  <si>
    <t>Green Banded:  4 ea dinner, salad, cereal bowl &amp; 4 ea. 11 oz white c-handle coffee mug</t>
  </si>
  <si>
    <t>MAXTEX HOUSEWARES ORDER FORM</t>
  </si>
  <si>
    <t>PARK:</t>
  </si>
  <si>
    <t>Number of Cottages</t>
  </si>
  <si>
    <t>Phone:</t>
  </si>
  <si>
    <t>* Based on 2 bathrm per cottage</t>
  </si>
  <si>
    <t>Page 2</t>
  </si>
  <si>
    <t>OR</t>
  </si>
  <si>
    <t xml:space="preserve"> </t>
  </si>
  <si>
    <t>Page 3</t>
  </si>
  <si>
    <t>Indicate White or Beige</t>
  </si>
  <si>
    <t xml:space="preserve">10 GAUGE VINYL - </t>
  </si>
  <si>
    <t>(1 dz per set)</t>
  </si>
  <si>
    <t>(1 dz per case)</t>
  </si>
  <si>
    <t>Page 4</t>
  </si>
  <si>
    <t>GRAND TOTAL</t>
  </si>
  <si>
    <t>12" METAL TONGS</t>
  </si>
  <si>
    <t>REPLACEMENT CARAFE FOR SKX20-99</t>
  </si>
  <si>
    <t>12 CUP DRIP COFFEEMAKER(NOT A/O)</t>
  </si>
  <si>
    <t>Y</t>
  </si>
  <si>
    <t>XL2100RHS</t>
  </si>
  <si>
    <t>Includes: 1 Qt saucepan &amp; top; 2 Qt pan &amp; top; 5 Qt Dutch, and 10" fry pan &amp; top</t>
  </si>
  <si>
    <t>55177 L13</t>
  </si>
  <si>
    <t>HALCO</t>
  </si>
  <si>
    <t>HOMZ</t>
  </si>
  <si>
    <t>WPC-60</t>
  </si>
  <si>
    <t>CHECRAFT</t>
  </si>
  <si>
    <t>CC21545</t>
  </si>
  <si>
    <t>EASYBOARD</t>
  </si>
  <si>
    <t>SUNBEAM</t>
  </si>
  <si>
    <t>3963-000</t>
  </si>
  <si>
    <t>Chef Craft</t>
  </si>
  <si>
    <t>spectrum</t>
  </si>
  <si>
    <t>FOCUS</t>
  </si>
  <si>
    <t>6X6 POLY SHOWER CURTAIN</t>
  </si>
  <si>
    <t>dist</t>
  </si>
  <si>
    <t>DISCT</t>
  </si>
  <si>
    <t>CURRENTLY NOT UNDER CONTRACT</t>
  </si>
  <si>
    <t xml:space="preserve">PRICES MAY VARY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</si>
</sst>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_);\(0\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trike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1" xfId="0" applyFont="1" applyBorder="1"/>
    <xf numFmtId="44" fontId="0" fillId="0" borderId="1" xfId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44" fontId="0" fillId="0" borderId="2" xfId="1" applyFont="1" applyBorder="1" applyAlignment="1">
      <alignment horizontal="right"/>
    </xf>
    <xf numFmtId="0" fontId="4" fillId="0" borderId="1" xfId="0" applyFont="1" applyBorder="1"/>
    <xf numFmtId="0" fontId="0" fillId="0" borderId="0" xfId="0" applyBorder="1" applyAlignment="1">
      <alignment horizontal="left"/>
    </xf>
    <xf numFmtId="44" fontId="0" fillId="0" borderId="0" xfId="1" applyFont="1" applyBorder="1" applyAlignment="1">
      <alignment horizontal="right"/>
    </xf>
    <xf numFmtId="0" fontId="2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0" fillId="0" borderId="3" xfId="0" applyBorder="1"/>
    <xf numFmtId="44" fontId="0" fillId="0" borderId="4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wrapText="1"/>
    </xf>
    <xf numFmtId="1" fontId="5" fillId="0" borderId="8" xfId="0" applyNumberFormat="1" applyFont="1" applyBorder="1" applyAlignment="1">
      <alignment wrapText="1"/>
    </xf>
    <xf numFmtId="1" fontId="5" fillId="0" borderId="8" xfId="0" applyNumberFormat="1" applyFont="1" applyBorder="1" applyAlignment="1">
      <alignment horizontal="center" wrapText="1"/>
    </xf>
    <xf numFmtId="1" fontId="2" fillId="0" borderId="0" xfId="0" applyNumberFormat="1" applyFont="1"/>
    <xf numFmtId="0" fontId="2" fillId="0" borderId="9" xfId="0" applyFont="1" applyBorder="1" applyAlignment="1">
      <alignment wrapText="1"/>
    </xf>
    <xf numFmtId="0" fontId="0" fillId="0" borderId="1" xfId="0" applyFill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2" fillId="2" borderId="11" xfId="0" applyFont="1" applyFill="1" applyBorder="1" applyAlignment="1" applyProtection="1">
      <alignment horizontal="right"/>
      <protection locked="0"/>
    </xf>
    <xf numFmtId="1" fontId="0" fillId="2" borderId="10" xfId="0" applyNumberFormat="1" applyFill="1" applyBorder="1" applyAlignment="1" applyProtection="1">
      <alignment horizontal="center"/>
      <protection locked="0"/>
    </xf>
    <xf numFmtId="0" fontId="4" fillId="2" borderId="11" xfId="0" applyFont="1" applyFill="1" applyBorder="1" applyProtection="1">
      <protection locked="0"/>
    </xf>
    <xf numFmtId="1" fontId="0" fillId="0" borderId="5" xfId="1" applyNumberFormat="1" applyFont="1" applyBorder="1" applyAlignment="1">
      <alignment horizontal="center"/>
    </xf>
    <xf numFmtId="44" fontId="0" fillId="0" borderId="12" xfId="1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1" fontId="0" fillId="0" borderId="0" xfId="0" applyNumberFormat="1" applyProtection="1">
      <protection locked="0"/>
    </xf>
    <xf numFmtId="1" fontId="0" fillId="0" borderId="0" xfId="0" applyNumberFormat="1" applyBorder="1" applyProtection="1">
      <protection locked="0"/>
    </xf>
    <xf numFmtId="1" fontId="2" fillId="2" borderId="8" xfId="0" applyNumberFormat="1" applyFont="1" applyFill="1" applyBorder="1" applyAlignment="1" applyProtection="1">
      <alignment horizontal="center" wrapText="1"/>
      <protection locked="0"/>
    </xf>
    <xf numFmtId="1" fontId="1" fillId="4" borderId="4" xfId="1" applyNumberFormat="1" applyFont="1" applyFill="1" applyBorder="1" applyAlignment="1">
      <alignment horizontal="right"/>
    </xf>
    <xf numFmtId="1" fontId="1" fillId="4" borderId="5" xfId="1" applyNumberFormat="1" applyFont="1" applyFill="1" applyBorder="1" applyAlignment="1">
      <alignment horizontal="right"/>
    </xf>
    <xf numFmtId="1" fontId="2" fillId="0" borderId="0" xfId="0" applyNumberFormat="1" applyFont="1" applyProtection="1">
      <protection locked="0"/>
    </xf>
    <xf numFmtId="1" fontId="0" fillId="0" borderId="0" xfId="1" applyNumberFormat="1" applyFont="1" applyBorder="1" applyAlignment="1">
      <alignment horizontal="right"/>
    </xf>
    <xf numFmtId="1" fontId="1" fillId="4" borderId="12" xfId="1" applyNumberFormat="1" applyFont="1" applyFill="1" applyBorder="1" applyAlignment="1">
      <alignment horizontal="right"/>
    </xf>
    <xf numFmtId="1" fontId="1" fillId="4" borderId="1" xfId="1" applyNumberFormat="1" applyFont="1" applyFill="1" applyBorder="1" applyAlignment="1">
      <alignment horizontal="right"/>
    </xf>
    <xf numFmtId="1" fontId="0" fillId="0" borderId="1" xfId="0" applyNumberFormat="1" applyBorder="1"/>
    <xf numFmtId="164" fontId="0" fillId="0" borderId="0" xfId="0" applyNumberFormat="1"/>
    <xf numFmtId="164" fontId="0" fillId="0" borderId="0" xfId="0" applyNumberFormat="1" applyFill="1"/>
    <xf numFmtId="164" fontId="2" fillId="0" borderId="6" xfId="0" applyNumberFormat="1" applyFont="1" applyFill="1" applyBorder="1" applyAlignment="1">
      <alignment wrapText="1"/>
    </xf>
    <xf numFmtId="164" fontId="0" fillId="0" borderId="4" xfId="0" applyNumberFormat="1" applyBorder="1"/>
    <xf numFmtId="164" fontId="0" fillId="0" borderId="5" xfId="0" applyNumberFormat="1" applyBorder="1"/>
    <xf numFmtId="164" fontId="2" fillId="0" borderId="0" xfId="0" applyNumberFormat="1" applyFont="1" applyFill="1"/>
    <xf numFmtId="164" fontId="0" fillId="0" borderId="0" xfId="0" applyNumberFormat="1" applyBorder="1"/>
    <xf numFmtId="164" fontId="0" fillId="0" borderId="12" xfId="0" applyNumberFormat="1" applyBorder="1"/>
    <xf numFmtId="164" fontId="0" fillId="0" borderId="1" xfId="0" applyNumberFormat="1" applyBorder="1"/>
    <xf numFmtId="0" fontId="2" fillId="0" borderId="12" xfId="0" applyFont="1" applyBorder="1"/>
    <xf numFmtId="1" fontId="0" fillId="0" borderId="1" xfId="1" applyNumberFormat="1" applyFont="1" applyBorder="1" applyAlignment="1">
      <alignment horizontal="right"/>
    </xf>
    <xf numFmtId="1" fontId="4" fillId="0" borderId="5" xfId="1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" fontId="2" fillId="4" borderId="12" xfId="0" applyNumberFormat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44" fontId="6" fillId="0" borderId="1" xfId="1" applyFont="1" applyBorder="1" applyAlignment="1">
      <alignment horizontal="right"/>
    </xf>
    <xf numFmtId="1" fontId="6" fillId="0" borderId="5" xfId="1" applyNumberFormat="1" applyFont="1" applyBorder="1" applyAlignment="1">
      <alignment horizontal="center"/>
    </xf>
    <xf numFmtId="1" fontId="7" fillId="4" borderId="1" xfId="1" applyNumberFormat="1" applyFont="1" applyFill="1" applyBorder="1" applyAlignment="1">
      <alignment horizontal="right"/>
    </xf>
    <xf numFmtId="0" fontId="1" fillId="0" borderId="1" xfId="0" applyFont="1" applyBorder="1"/>
    <xf numFmtId="8" fontId="0" fillId="0" borderId="1" xfId="1" applyNumberFormat="1" applyFont="1" applyBorder="1" applyAlignment="1">
      <alignment horizontal="right"/>
    </xf>
    <xf numFmtId="1" fontId="1" fillId="0" borderId="5" xfId="1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2" applyBorder="1"/>
    <xf numFmtId="44" fontId="1" fillId="0" borderId="1" xfId="1" applyFont="1" applyBorder="1" applyAlignment="1">
      <alignment horizontal="right"/>
    </xf>
    <xf numFmtId="0" fontId="1" fillId="0" borderId="0" xfId="0" applyFont="1"/>
    <xf numFmtId="164" fontId="6" fillId="0" borderId="1" xfId="0" applyNumberFormat="1" applyFont="1" applyBorder="1"/>
    <xf numFmtId="0" fontId="2" fillId="3" borderId="0" xfId="0" applyFont="1" applyFill="1"/>
    <xf numFmtId="0" fontId="1" fillId="3" borderId="0" xfId="0" applyFont="1" applyFill="1"/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/>
    <xf numFmtId="8" fontId="6" fillId="0" borderId="1" xfId="1" applyNumberFormat="1" applyFont="1" applyBorder="1" applyAlignment="1">
      <alignment horizontal="right"/>
    </xf>
    <xf numFmtId="164" fontId="1" fillId="0" borderId="5" xfId="0" applyNumberFormat="1" applyFont="1" applyBorder="1"/>
    <xf numFmtId="17" fontId="6" fillId="0" borderId="1" xfId="0" applyNumberFormat="1" applyFont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al 2" xfId="2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5"/>
  <sheetViews>
    <sheetView tabSelected="1" zoomScaleNormal="100" workbookViewId="0">
      <selection activeCell="J53" sqref="J53"/>
    </sheetView>
  </sheetViews>
  <sheetFormatPr defaultRowHeight="13.2" x14ac:dyDescent="0.25"/>
  <cols>
    <col min="1" max="1" width="12.88671875" customWidth="1"/>
    <col min="2" max="2" width="14" customWidth="1"/>
    <col min="3" max="3" width="35.33203125" customWidth="1"/>
    <col min="4" max="4" width="9" customWidth="1"/>
    <col min="5" max="5" width="11.33203125" customWidth="1"/>
    <col min="6" max="6" width="2.5546875" customWidth="1"/>
    <col min="7" max="8" width="8.44140625" customWidth="1"/>
    <col min="9" max="9" width="9.6640625" style="30" bestFit="1" customWidth="1"/>
    <col min="10" max="10" width="11.33203125" style="52" customWidth="1"/>
  </cols>
  <sheetData>
    <row r="2" spans="1:10" x14ac:dyDescent="0.25">
      <c r="G2" s="29"/>
      <c r="H2" s="30"/>
      <c r="I2" s="42"/>
      <c r="J2" s="53"/>
    </row>
    <row r="3" spans="1:10" x14ac:dyDescent="0.25">
      <c r="B3" s="32" t="s">
        <v>225</v>
      </c>
      <c r="D3" s="84" t="s">
        <v>261</v>
      </c>
      <c r="E3" s="85"/>
      <c r="F3" s="85"/>
      <c r="G3" s="86"/>
      <c r="H3" s="87"/>
      <c r="I3" s="42"/>
      <c r="J3" s="53"/>
    </row>
    <row r="4" spans="1:10" x14ac:dyDescent="0.25">
      <c r="B4" s="32"/>
      <c r="D4" s="84" t="s">
        <v>262</v>
      </c>
      <c r="E4" s="84"/>
      <c r="F4" s="85"/>
      <c r="G4" s="86"/>
      <c r="H4" s="87"/>
      <c r="I4" s="42"/>
      <c r="J4" s="53"/>
    </row>
    <row r="5" spans="1:10" x14ac:dyDescent="0.25">
      <c r="B5" s="32"/>
      <c r="D5" s="32"/>
      <c r="G5" s="29"/>
      <c r="H5" s="30"/>
      <c r="I5" s="42"/>
      <c r="J5" s="53"/>
    </row>
    <row r="6" spans="1:10" x14ac:dyDescent="0.25">
      <c r="A6" s="33" t="s">
        <v>226</v>
      </c>
      <c r="B6" s="34"/>
      <c r="C6" s="34"/>
      <c r="D6" s="32"/>
      <c r="E6" s="32"/>
      <c r="G6" s="29"/>
      <c r="H6" s="30"/>
      <c r="I6" s="42"/>
      <c r="J6" s="53"/>
    </row>
    <row r="7" spans="1:10" x14ac:dyDescent="0.25">
      <c r="B7" s="35"/>
      <c r="C7" s="35"/>
      <c r="G7" s="29"/>
      <c r="H7" s="30"/>
      <c r="I7" s="42"/>
      <c r="J7" s="53"/>
    </row>
    <row r="8" spans="1:10" x14ac:dyDescent="0.25">
      <c r="B8" s="36"/>
      <c r="C8" s="35"/>
      <c r="D8" s="32" t="s">
        <v>227</v>
      </c>
      <c r="G8" s="37">
        <v>0</v>
      </c>
      <c r="H8" s="30"/>
      <c r="I8" s="43"/>
      <c r="J8" s="53"/>
    </row>
    <row r="9" spans="1:10" ht="13.8" thickBot="1" x14ac:dyDescent="0.3">
      <c r="A9" s="33" t="s">
        <v>228</v>
      </c>
      <c r="B9" s="36"/>
      <c r="C9" s="38"/>
      <c r="G9" s="29"/>
      <c r="H9" s="30" t="s">
        <v>229</v>
      </c>
      <c r="I9" s="42"/>
      <c r="J9" s="53"/>
    </row>
    <row r="10" spans="1:10" s="23" customFormat="1" ht="36.6" thickBot="1" x14ac:dyDescent="0.3">
      <c r="A10" s="21" t="s">
        <v>2</v>
      </c>
      <c r="B10" s="21" t="s">
        <v>0</v>
      </c>
      <c r="C10" s="21" t="s">
        <v>1</v>
      </c>
      <c r="D10" s="21" t="s">
        <v>217</v>
      </c>
      <c r="E10" s="22" t="s">
        <v>3</v>
      </c>
      <c r="F10" s="27"/>
      <c r="G10" s="25" t="s">
        <v>218</v>
      </c>
      <c r="H10" s="24" t="s">
        <v>219</v>
      </c>
      <c r="I10" s="44" t="s">
        <v>220</v>
      </c>
      <c r="J10" s="54" t="s">
        <v>221</v>
      </c>
    </row>
    <row r="11" spans="1:10" x14ac:dyDescent="0.25">
      <c r="A11" s="6"/>
      <c r="B11" s="6"/>
      <c r="C11" s="20" t="s">
        <v>4</v>
      </c>
      <c r="D11" s="6"/>
      <c r="E11" s="7"/>
      <c r="F11" s="16"/>
      <c r="G11" s="16"/>
      <c r="H11" s="16"/>
      <c r="I11" s="45"/>
      <c r="J11" s="55"/>
    </row>
    <row r="12" spans="1:10" x14ac:dyDescent="0.25">
      <c r="A12" s="1" t="s">
        <v>8</v>
      </c>
      <c r="B12" s="1" t="s">
        <v>6</v>
      </c>
      <c r="C12" s="1" t="s">
        <v>7</v>
      </c>
      <c r="D12" s="1" t="s">
        <v>5</v>
      </c>
      <c r="E12" s="4">
        <v>37.32</v>
      </c>
      <c r="F12" s="17"/>
      <c r="G12" s="17"/>
      <c r="H12" s="17"/>
      <c r="I12" s="46"/>
      <c r="J12" s="56">
        <f>I12*E12</f>
        <v>0</v>
      </c>
    </row>
    <row r="13" spans="1:10" x14ac:dyDescent="0.25">
      <c r="A13" s="1"/>
      <c r="B13" s="1"/>
      <c r="C13" s="28" t="s">
        <v>224</v>
      </c>
      <c r="D13" s="1"/>
      <c r="E13" s="4"/>
      <c r="F13" s="17"/>
      <c r="G13" s="17"/>
      <c r="H13" s="17"/>
      <c r="I13" s="46"/>
      <c r="J13" s="56"/>
    </row>
    <row r="14" spans="1:10" x14ac:dyDescent="0.25">
      <c r="A14" s="1"/>
      <c r="B14" s="1"/>
      <c r="C14" s="1"/>
      <c r="D14" s="1"/>
      <c r="E14" s="4"/>
      <c r="F14" s="17"/>
      <c r="G14" s="17"/>
      <c r="H14" s="17"/>
      <c r="I14" s="46"/>
      <c r="J14" s="56"/>
    </row>
    <row r="15" spans="1:10" x14ac:dyDescent="0.25">
      <c r="A15" s="1"/>
      <c r="B15" s="41" t="s">
        <v>231</v>
      </c>
      <c r="C15" s="18" t="s">
        <v>9</v>
      </c>
      <c r="D15" s="1"/>
      <c r="E15" s="4"/>
      <c r="F15" s="17"/>
      <c r="G15" s="17"/>
      <c r="H15" s="17"/>
      <c r="I15" s="46"/>
      <c r="J15" s="56"/>
    </row>
    <row r="16" spans="1:10" x14ac:dyDescent="0.25">
      <c r="A16" s="1"/>
      <c r="B16" s="1" t="s">
        <v>10</v>
      </c>
      <c r="C16" s="1" t="s">
        <v>11</v>
      </c>
      <c r="D16" s="1" t="s">
        <v>12</v>
      </c>
      <c r="E16" s="76">
        <v>3.06</v>
      </c>
      <c r="F16" s="17"/>
      <c r="G16" s="39">
        <v>12</v>
      </c>
      <c r="H16" s="17"/>
      <c r="I16" s="46"/>
      <c r="J16" s="56">
        <f t="shared" ref="J16:J53" si="0">I16*E16</f>
        <v>0</v>
      </c>
    </row>
    <row r="17" spans="1:10" x14ac:dyDescent="0.25">
      <c r="A17" s="1"/>
      <c r="B17" s="1" t="s">
        <v>13</v>
      </c>
      <c r="C17" s="1" t="s">
        <v>14</v>
      </c>
      <c r="D17" s="1" t="s">
        <v>12</v>
      </c>
      <c r="E17" s="76">
        <v>1.19</v>
      </c>
      <c r="F17" s="17"/>
      <c r="G17" s="39">
        <v>12</v>
      </c>
      <c r="H17" s="17"/>
      <c r="I17" s="46"/>
      <c r="J17" s="56">
        <f t="shared" si="0"/>
        <v>0</v>
      </c>
    </row>
    <row r="18" spans="1:10" x14ac:dyDescent="0.25">
      <c r="A18" s="1"/>
      <c r="B18" s="1" t="s">
        <v>15</v>
      </c>
      <c r="C18" s="1" t="s">
        <v>16</v>
      </c>
      <c r="D18" s="1" t="s">
        <v>12</v>
      </c>
      <c r="E18" s="76">
        <v>1.4</v>
      </c>
      <c r="F18" s="17"/>
      <c r="G18" s="39">
        <v>12</v>
      </c>
      <c r="H18" s="17"/>
      <c r="I18" s="46"/>
      <c r="J18" s="56">
        <f t="shared" si="0"/>
        <v>0</v>
      </c>
    </row>
    <row r="19" spans="1:10" x14ac:dyDescent="0.25">
      <c r="A19" s="1"/>
      <c r="B19" s="1" t="s">
        <v>17</v>
      </c>
      <c r="C19" s="1" t="s">
        <v>18</v>
      </c>
      <c r="D19" s="1" t="s">
        <v>12</v>
      </c>
      <c r="E19" s="76">
        <v>2.5299999999999998</v>
      </c>
      <c r="F19" s="17"/>
      <c r="G19" s="39">
        <v>2</v>
      </c>
      <c r="H19" s="17"/>
      <c r="I19" s="46"/>
      <c r="J19" s="56">
        <f t="shared" si="0"/>
        <v>0</v>
      </c>
    </row>
    <row r="20" spans="1:10" x14ac:dyDescent="0.25">
      <c r="A20" s="1"/>
      <c r="B20" s="1" t="s">
        <v>19</v>
      </c>
      <c r="C20" s="1" t="s">
        <v>20</v>
      </c>
      <c r="D20" s="1" t="s">
        <v>12</v>
      </c>
      <c r="E20" s="76">
        <v>5.69</v>
      </c>
      <c r="F20" s="17"/>
      <c r="G20" s="39">
        <v>2</v>
      </c>
      <c r="H20" s="17"/>
      <c r="I20" s="46"/>
      <c r="J20" s="56">
        <f t="shared" si="0"/>
        <v>0</v>
      </c>
    </row>
    <row r="21" spans="1:10" x14ac:dyDescent="0.25">
      <c r="A21" s="1"/>
      <c r="B21" s="1" t="s">
        <v>21</v>
      </c>
      <c r="C21" s="1" t="s">
        <v>22</v>
      </c>
      <c r="D21" s="1" t="s">
        <v>12</v>
      </c>
      <c r="E21" s="76">
        <v>4.37</v>
      </c>
      <c r="F21" s="17"/>
      <c r="G21" s="39">
        <v>2</v>
      </c>
      <c r="H21" s="17"/>
      <c r="I21" s="46"/>
      <c r="J21" s="56">
        <f t="shared" si="0"/>
        <v>0</v>
      </c>
    </row>
    <row r="22" spans="1:10" x14ac:dyDescent="0.25">
      <c r="A22" s="1"/>
      <c r="B22" s="1" t="s">
        <v>23</v>
      </c>
      <c r="C22" s="1" t="s">
        <v>24</v>
      </c>
      <c r="D22" s="1" t="s">
        <v>12</v>
      </c>
      <c r="E22" s="76">
        <v>6.19</v>
      </c>
      <c r="F22" s="17"/>
      <c r="G22" s="39">
        <v>2</v>
      </c>
      <c r="H22" s="17"/>
      <c r="I22" s="46"/>
      <c r="J22" s="56">
        <f t="shared" si="0"/>
        <v>0</v>
      </c>
    </row>
    <row r="23" spans="1:10" x14ac:dyDescent="0.25">
      <c r="A23" s="1"/>
      <c r="B23" s="5">
        <v>6022022</v>
      </c>
      <c r="C23" s="1" t="s">
        <v>25</v>
      </c>
      <c r="D23" s="1" t="s">
        <v>12</v>
      </c>
      <c r="E23" s="76">
        <v>3.68</v>
      </c>
      <c r="F23" s="17"/>
      <c r="G23" s="39">
        <v>12</v>
      </c>
      <c r="H23" s="17"/>
      <c r="I23" s="46"/>
      <c r="J23" s="56">
        <f t="shared" si="0"/>
        <v>0</v>
      </c>
    </row>
    <row r="24" spans="1:10" x14ac:dyDescent="0.25">
      <c r="A24" s="1"/>
      <c r="B24" s="5"/>
      <c r="C24" s="1"/>
      <c r="D24" s="1"/>
      <c r="E24" s="4"/>
      <c r="F24" s="17"/>
      <c r="G24" s="17"/>
      <c r="H24" s="17"/>
      <c r="I24" s="46"/>
      <c r="J24" s="56"/>
    </row>
    <row r="25" spans="1:10" x14ac:dyDescent="0.25">
      <c r="A25" s="1"/>
      <c r="B25" s="1"/>
      <c r="C25" s="19" t="s">
        <v>26</v>
      </c>
      <c r="D25" s="1"/>
      <c r="E25" s="4"/>
      <c r="F25" s="17"/>
      <c r="G25" s="17"/>
      <c r="H25" s="17"/>
      <c r="I25" s="46"/>
      <c r="J25" s="56"/>
    </row>
    <row r="26" spans="1:10" x14ac:dyDescent="0.25">
      <c r="A26" s="1" t="s">
        <v>8</v>
      </c>
      <c r="B26" s="1"/>
      <c r="C26" s="8" t="s">
        <v>208</v>
      </c>
      <c r="D26" s="1" t="s">
        <v>5</v>
      </c>
      <c r="E26" s="76">
        <v>15.68</v>
      </c>
      <c r="F26" s="17"/>
      <c r="G26" s="17"/>
      <c r="H26" s="17"/>
      <c r="I26" s="46"/>
      <c r="J26" s="56">
        <f t="shared" si="0"/>
        <v>0</v>
      </c>
    </row>
    <row r="27" spans="1:10" x14ac:dyDescent="0.25">
      <c r="A27" s="1"/>
      <c r="B27" s="1"/>
      <c r="C27" s="8"/>
      <c r="D27" s="1"/>
      <c r="E27" s="4"/>
      <c r="F27" s="17"/>
      <c r="G27" s="17"/>
      <c r="H27" s="17"/>
      <c r="I27" s="46"/>
      <c r="J27" s="56"/>
    </row>
    <row r="28" spans="1:10" x14ac:dyDescent="0.25">
      <c r="A28" s="1"/>
      <c r="B28" s="41" t="s">
        <v>231</v>
      </c>
      <c r="C28" s="18" t="s">
        <v>9</v>
      </c>
      <c r="D28" s="1"/>
      <c r="E28" s="4"/>
      <c r="F28" s="17"/>
      <c r="G28" s="17"/>
      <c r="H28" s="17"/>
      <c r="I28" s="46"/>
      <c r="J28" s="56"/>
    </row>
    <row r="29" spans="1:10" x14ac:dyDescent="0.25">
      <c r="A29" s="1"/>
      <c r="B29" s="1" t="s">
        <v>27</v>
      </c>
      <c r="C29" s="1" t="s">
        <v>28</v>
      </c>
      <c r="D29" s="1" t="s">
        <v>12</v>
      </c>
      <c r="E29" s="76">
        <v>0.64</v>
      </c>
      <c r="F29" s="17"/>
      <c r="G29" s="39">
        <v>12</v>
      </c>
      <c r="H29" s="17"/>
      <c r="I29" s="46"/>
      <c r="J29" s="56">
        <f t="shared" si="0"/>
        <v>0</v>
      </c>
    </row>
    <row r="30" spans="1:10" x14ac:dyDescent="0.25">
      <c r="A30" s="1"/>
      <c r="B30" s="1" t="s">
        <v>29</v>
      </c>
      <c r="C30" s="1" t="s">
        <v>30</v>
      </c>
      <c r="D30" s="1" t="s">
        <v>12</v>
      </c>
      <c r="E30" s="76">
        <v>0.89</v>
      </c>
      <c r="F30" s="17"/>
      <c r="G30" s="39">
        <v>12</v>
      </c>
      <c r="H30" s="17"/>
      <c r="I30" s="46"/>
      <c r="J30" s="56">
        <f t="shared" si="0"/>
        <v>0</v>
      </c>
    </row>
    <row r="31" spans="1:10" x14ac:dyDescent="0.25">
      <c r="A31" s="1"/>
      <c r="B31" s="1" t="s">
        <v>31</v>
      </c>
      <c r="C31" s="1" t="s">
        <v>32</v>
      </c>
      <c r="D31" s="1" t="s">
        <v>12</v>
      </c>
      <c r="E31" s="76">
        <v>0.89</v>
      </c>
      <c r="F31" s="17"/>
      <c r="G31" s="39">
        <v>12</v>
      </c>
      <c r="H31" s="17"/>
      <c r="I31" s="46"/>
      <c r="J31" s="56">
        <f t="shared" si="0"/>
        <v>0</v>
      </c>
    </row>
    <row r="32" spans="1:10" x14ac:dyDescent="0.25">
      <c r="A32" s="1"/>
      <c r="B32" s="1" t="s">
        <v>33</v>
      </c>
      <c r="C32" s="1" t="s">
        <v>34</v>
      </c>
      <c r="D32" s="1" t="s">
        <v>12</v>
      </c>
      <c r="E32" s="76">
        <v>1.5</v>
      </c>
      <c r="F32" s="17"/>
      <c r="G32" s="39">
        <v>12</v>
      </c>
      <c r="H32" s="17"/>
      <c r="I32" s="46"/>
      <c r="J32" s="56">
        <f t="shared" si="0"/>
        <v>0</v>
      </c>
    </row>
    <row r="33" spans="1:10" x14ac:dyDescent="0.25">
      <c r="A33" s="1"/>
      <c r="B33" s="1"/>
      <c r="C33" s="19" t="s">
        <v>35</v>
      </c>
      <c r="D33" s="1"/>
      <c r="E33" s="4"/>
      <c r="F33" s="17"/>
      <c r="G33" s="17"/>
      <c r="H33" s="17"/>
      <c r="I33" s="46"/>
      <c r="J33" s="56"/>
    </row>
    <row r="34" spans="1:10" x14ac:dyDescent="0.25">
      <c r="A34" s="1" t="s">
        <v>213</v>
      </c>
      <c r="B34" s="5" t="s">
        <v>212</v>
      </c>
      <c r="C34" s="1" t="s">
        <v>149</v>
      </c>
      <c r="D34" s="1" t="s">
        <v>12</v>
      </c>
      <c r="E34" s="76">
        <v>26.71</v>
      </c>
      <c r="F34" s="17"/>
      <c r="G34" s="39">
        <v>1</v>
      </c>
      <c r="H34" s="17"/>
      <c r="I34" s="46"/>
      <c r="J34" s="56">
        <f t="shared" si="0"/>
        <v>0</v>
      </c>
    </row>
    <row r="35" spans="1:10" x14ac:dyDescent="0.25">
      <c r="A35" s="1" t="s">
        <v>213</v>
      </c>
      <c r="B35" s="5" t="s">
        <v>214</v>
      </c>
      <c r="C35" s="1" t="s">
        <v>241</v>
      </c>
      <c r="D35" s="1" t="s">
        <v>12</v>
      </c>
      <c r="E35" s="76">
        <v>10.11</v>
      </c>
      <c r="F35" s="17"/>
      <c r="G35" s="39">
        <v>0</v>
      </c>
      <c r="H35" s="17"/>
      <c r="I35" s="46"/>
      <c r="J35" s="56">
        <f t="shared" si="0"/>
        <v>0</v>
      </c>
    </row>
    <row r="36" spans="1:10" x14ac:dyDescent="0.25">
      <c r="A36" s="70" t="s">
        <v>36</v>
      </c>
      <c r="B36" s="71">
        <v>43501</v>
      </c>
      <c r="C36" s="70" t="s">
        <v>242</v>
      </c>
      <c r="D36" s="70" t="s">
        <v>12</v>
      </c>
      <c r="E36" s="88">
        <v>18.350000000000001</v>
      </c>
      <c r="F36" s="17"/>
      <c r="G36" s="39"/>
      <c r="H36" s="17"/>
      <c r="I36" s="46" t="s">
        <v>260</v>
      </c>
      <c r="J36" s="56"/>
    </row>
    <row r="37" spans="1:10" x14ac:dyDescent="0.25">
      <c r="A37" s="70" t="s">
        <v>36</v>
      </c>
      <c r="B37" s="71">
        <v>88180</v>
      </c>
      <c r="C37" s="70" t="s">
        <v>150</v>
      </c>
      <c r="D37" s="70" t="s">
        <v>12</v>
      </c>
      <c r="E37" s="88">
        <v>12.39</v>
      </c>
      <c r="F37" s="17"/>
      <c r="G37" s="39">
        <v>0</v>
      </c>
      <c r="H37" s="17"/>
      <c r="I37" s="46" t="s">
        <v>260</v>
      </c>
      <c r="J37" s="89" t="s">
        <v>232</v>
      </c>
    </row>
    <row r="38" spans="1:10" x14ac:dyDescent="0.25">
      <c r="A38" s="1" t="s">
        <v>36</v>
      </c>
      <c r="B38" s="5">
        <v>22611</v>
      </c>
      <c r="C38" s="1" t="s">
        <v>37</v>
      </c>
      <c r="D38" s="1" t="s">
        <v>12</v>
      </c>
      <c r="E38" s="76">
        <v>14.58</v>
      </c>
      <c r="F38" s="17"/>
      <c r="G38" s="39">
        <v>1</v>
      </c>
      <c r="H38" s="17"/>
      <c r="I38" s="46"/>
      <c r="J38" s="56">
        <f t="shared" si="0"/>
        <v>0</v>
      </c>
    </row>
    <row r="39" spans="1:10" x14ac:dyDescent="0.25">
      <c r="A39" s="1" t="s">
        <v>36</v>
      </c>
      <c r="B39" s="5">
        <v>75224</v>
      </c>
      <c r="C39" s="1" t="s">
        <v>151</v>
      </c>
      <c r="D39" s="1" t="s">
        <v>12</v>
      </c>
      <c r="E39" s="76">
        <v>14.37</v>
      </c>
      <c r="F39" s="17"/>
      <c r="G39" s="39">
        <v>0</v>
      </c>
      <c r="H39" s="17"/>
      <c r="I39" s="46"/>
      <c r="J39" s="56">
        <f t="shared" si="0"/>
        <v>0</v>
      </c>
    </row>
    <row r="40" spans="1:10" x14ac:dyDescent="0.25">
      <c r="A40" s="1" t="s">
        <v>36</v>
      </c>
      <c r="B40" s="5">
        <v>62515</v>
      </c>
      <c r="C40" s="1" t="s">
        <v>38</v>
      </c>
      <c r="D40" s="1" t="s">
        <v>12</v>
      </c>
      <c r="E40" s="76">
        <v>13.02</v>
      </c>
      <c r="F40" s="17"/>
      <c r="G40" s="39">
        <v>1</v>
      </c>
      <c r="H40" s="17"/>
      <c r="I40" s="46"/>
      <c r="J40" s="56">
        <f t="shared" si="0"/>
        <v>0</v>
      </c>
    </row>
    <row r="41" spans="1:10" x14ac:dyDescent="0.25">
      <c r="A41" s="1" t="s">
        <v>36</v>
      </c>
      <c r="B41" s="5">
        <v>38520</v>
      </c>
      <c r="C41" s="1" t="s">
        <v>39</v>
      </c>
      <c r="D41" s="1" t="s">
        <v>12</v>
      </c>
      <c r="E41" s="76">
        <v>39.42</v>
      </c>
      <c r="F41" s="17"/>
      <c r="G41" s="39">
        <v>1</v>
      </c>
      <c r="H41" s="17"/>
      <c r="I41" s="46"/>
      <c r="J41" s="56">
        <f t="shared" si="0"/>
        <v>0</v>
      </c>
    </row>
    <row r="42" spans="1:10" x14ac:dyDescent="0.25">
      <c r="A42" s="70" t="s">
        <v>152</v>
      </c>
      <c r="B42" s="71" t="s">
        <v>153</v>
      </c>
      <c r="C42" s="70" t="s">
        <v>40</v>
      </c>
      <c r="D42" s="70" t="s">
        <v>12</v>
      </c>
      <c r="E42" s="88">
        <v>87.48</v>
      </c>
      <c r="F42" s="17"/>
      <c r="G42" s="77" t="s">
        <v>232</v>
      </c>
      <c r="H42" s="17"/>
      <c r="I42" s="46" t="s">
        <v>260</v>
      </c>
      <c r="J42" s="89" t="s">
        <v>232</v>
      </c>
    </row>
    <row r="43" spans="1:10" x14ac:dyDescent="0.25">
      <c r="A43" s="70" t="s">
        <v>152</v>
      </c>
      <c r="B43" s="71" t="s">
        <v>243</v>
      </c>
      <c r="C43" s="70" t="s">
        <v>44</v>
      </c>
      <c r="D43" s="70" t="s">
        <v>42</v>
      </c>
      <c r="E43" s="88">
        <v>5.23</v>
      </c>
      <c r="F43" s="17"/>
      <c r="G43" s="77" t="s">
        <v>232</v>
      </c>
      <c r="H43" s="17"/>
      <c r="I43" s="46" t="s">
        <v>260</v>
      </c>
      <c r="J43" s="89" t="s">
        <v>232</v>
      </c>
    </row>
    <row r="44" spans="1:10" x14ac:dyDescent="0.25">
      <c r="A44" s="70" t="s">
        <v>41</v>
      </c>
      <c r="B44" s="71" t="s">
        <v>43</v>
      </c>
      <c r="C44" s="70" t="s">
        <v>44</v>
      </c>
      <c r="D44" s="70" t="s">
        <v>42</v>
      </c>
      <c r="E44" s="88">
        <v>2.2599999999999998</v>
      </c>
      <c r="F44" s="17"/>
      <c r="G44" s="39">
        <v>0</v>
      </c>
      <c r="H44" s="17"/>
      <c r="I44" s="46" t="s">
        <v>260</v>
      </c>
      <c r="J44" s="89" t="s">
        <v>232</v>
      </c>
    </row>
    <row r="45" spans="1:10" x14ac:dyDescent="0.25">
      <c r="A45" s="70" t="s">
        <v>167</v>
      </c>
      <c r="B45" s="71" t="s">
        <v>244</v>
      </c>
      <c r="C45" s="70" t="s">
        <v>166</v>
      </c>
      <c r="D45" s="70" t="s">
        <v>12</v>
      </c>
      <c r="E45" s="88">
        <v>192.92</v>
      </c>
      <c r="F45" s="17"/>
      <c r="G45" s="39">
        <v>0</v>
      </c>
      <c r="H45" s="17"/>
      <c r="I45" s="46" t="s">
        <v>260</v>
      </c>
      <c r="J45" s="56"/>
    </row>
    <row r="46" spans="1:10" x14ac:dyDescent="0.25">
      <c r="A46" s="70" t="s">
        <v>167</v>
      </c>
      <c r="B46" s="71">
        <v>800025</v>
      </c>
      <c r="C46" s="70" t="s">
        <v>168</v>
      </c>
      <c r="D46" s="70" t="s">
        <v>42</v>
      </c>
      <c r="E46" s="88">
        <v>33</v>
      </c>
      <c r="F46" s="17"/>
      <c r="G46" s="39">
        <v>0</v>
      </c>
      <c r="H46" s="17"/>
      <c r="I46" s="46" t="s">
        <v>260</v>
      </c>
      <c r="J46" s="56"/>
    </row>
    <row r="47" spans="1:10" x14ac:dyDescent="0.25">
      <c r="A47" s="70" t="s">
        <v>47</v>
      </c>
      <c r="B47" s="71" t="s">
        <v>45</v>
      </c>
      <c r="C47" s="70" t="s">
        <v>46</v>
      </c>
      <c r="D47" s="70" t="s">
        <v>12</v>
      </c>
      <c r="E47" s="88">
        <v>64</v>
      </c>
      <c r="F47" s="17"/>
      <c r="G47" s="17"/>
      <c r="H47" s="17"/>
      <c r="I47" s="46" t="s">
        <v>260</v>
      </c>
      <c r="J47" s="89" t="s">
        <v>232</v>
      </c>
    </row>
    <row r="48" spans="1:10" x14ac:dyDescent="0.25">
      <c r="A48" s="1"/>
      <c r="B48" s="5"/>
      <c r="C48" s="19" t="s">
        <v>48</v>
      </c>
      <c r="D48" s="1"/>
      <c r="E48" s="4"/>
      <c r="F48" s="17"/>
      <c r="G48" s="17"/>
      <c r="H48" s="17"/>
      <c r="I48" s="46"/>
      <c r="J48" s="56"/>
    </row>
    <row r="49" spans="1:10" x14ac:dyDescent="0.25">
      <c r="A49" s="70" t="s">
        <v>49</v>
      </c>
      <c r="B49" s="71" t="s">
        <v>207</v>
      </c>
      <c r="C49" s="70" t="s">
        <v>204</v>
      </c>
      <c r="D49" s="70" t="s">
        <v>12</v>
      </c>
      <c r="E49" s="88">
        <v>1.77</v>
      </c>
      <c r="F49" s="17"/>
      <c r="G49" s="39">
        <v>12</v>
      </c>
      <c r="H49" s="17"/>
      <c r="I49" s="46" t="s">
        <v>260</v>
      </c>
      <c r="J49" s="56"/>
    </row>
    <row r="50" spans="1:10" x14ac:dyDescent="0.25">
      <c r="A50" s="1" t="s">
        <v>52</v>
      </c>
      <c r="B50" s="5" t="s">
        <v>50</v>
      </c>
      <c r="C50" s="1" t="s">
        <v>51</v>
      </c>
      <c r="D50" s="1" t="s">
        <v>12</v>
      </c>
      <c r="E50" s="76">
        <v>0.69</v>
      </c>
      <c r="F50" s="17"/>
      <c r="G50" s="39">
        <v>0</v>
      </c>
      <c r="H50" s="17"/>
      <c r="I50" s="46"/>
      <c r="J50" s="56">
        <f t="shared" si="0"/>
        <v>0</v>
      </c>
    </row>
    <row r="51" spans="1:10" x14ac:dyDescent="0.25">
      <c r="A51" s="1" t="s">
        <v>54</v>
      </c>
      <c r="B51" s="5">
        <v>64191</v>
      </c>
      <c r="C51" s="1" t="s">
        <v>53</v>
      </c>
      <c r="D51" s="1" t="s">
        <v>12</v>
      </c>
      <c r="E51" s="76">
        <v>2.34</v>
      </c>
      <c r="F51" s="17"/>
      <c r="G51" s="39">
        <v>1</v>
      </c>
      <c r="H51" s="17"/>
      <c r="I51" s="46"/>
      <c r="J51" s="56">
        <f t="shared" si="0"/>
        <v>0</v>
      </c>
    </row>
    <row r="52" spans="1:10" x14ac:dyDescent="0.25">
      <c r="A52" s="1" t="s">
        <v>54</v>
      </c>
      <c r="B52" s="5">
        <v>64192</v>
      </c>
      <c r="C52" s="1" t="s">
        <v>55</v>
      </c>
      <c r="D52" s="1" t="s">
        <v>12</v>
      </c>
      <c r="E52" s="76">
        <v>3.12</v>
      </c>
      <c r="F52" s="17"/>
      <c r="G52" s="39">
        <v>1</v>
      </c>
      <c r="H52" s="17"/>
      <c r="I52" s="46"/>
      <c r="J52" s="56">
        <f t="shared" si="0"/>
        <v>0</v>
      </c>
    </row>
    <row r="53" spans="1:10" x14ac:dyDescent="0.25">
      <c r="A53" s="70" t="s">
        <v>54</v>
      </c>
      <c r="B53" s="71">
        <v>39122</v>
      </c>
      <c r="C53" s="70" t="s">
        <v>56</v>
      </c>
      <c r="D53" s="70" t="s">
        <v>12</v>
      </c>
      <c r="E53" s="88">
        <v>0.83</v>
      </c>
      <c r="F53" s="17"/>
      <c r="G53" s="39">
        <v>1</v>
      </c>
      <c r="H53" s="17"/>
      <c r="I53" s="46" t="s">
        <v>260</v>
      </c>
      <c r="J53" s="56"/>
    </row>
    <row r="54" spans="1:10" x14ac:dyDescent="0.25">
      <c r="A54" s="8"/>
      <c r="B54" s="12"/>
      <c r="C54" s="8"/>
      <c r="D54" s="1"/>
      <c r="E54" s="4"/>
      <c r="F54" s="10"/>
      <c r="G54" s="10"/>
      <c r="H54" s="26" t="s">
        <v>222</v>
      </c>
      <c r="I54" s="47" t="s">
        <v>223</v>
      </c>
      <c r="J54" s="57">
        <f>SUM(J12:J53)</f>
        <v>0</v>
      </c>
    </row>
    <row r="55" spans="1:10" x14ac:dyDescent="0.25">
      <c r="A55" s="14"/>
      <c r="B55" s="13"/>
      <c r="C55" s="14"/>
      <c r="D55" s="2"/>
      <c r="E55" s="10"/>
      <c r="F55" s="10"/>
      <c r="G55" s="10"/>
      <c r="H55" s="10"/>
      <c r="I55" s="48"/>
      <c r="J55" s="58"/>
    </row>
    <row r="56" spans="1:10" x14ac:dyDescent="0.25">
      <c r="A56" s="14"/>
      <c r="B56" s="13"/>
      <c r="C56" s="14"/>
      <c r="D56" s="2"/>
      <c r="E56" s="10"/>
      <c r="F56" s="10"/>
      <c r="G56" s="10"/>
      <c r="H56" s="10"/>
      <c r="I56" s="48"/>
      <c r="J56" s="58"/>
    </row>
    <row r="57" spans="1:10" x14ac:dyDescent="0.25">
      <c r="A57" s="14"/>
      <c r="B57" s="13"/>
      <c r="C57" s="14"/>
      <c r="D57" s="2"/>
      <c r="E57" s="10"/>
      <c r="F57" s="10"/>
      <c r="G57" s="10"/>
      <c r="H57" s="10"/>
      <c r="I57" s="48"/>
      <c r="J57" s="58"/>
    </row>
    <row r="58" spans="1:10" ht="13.8" thickBot="1" x14ac:dyDescent="0.3"/>
    <row r="59" spans="1:10" s="23" customFormat="1" ht="36.6" thickBot="1" x14ac:dyDescent="0.3">
      <c r="A59" s="21" t="s">
        <v>2</v>
      </c>
      <c r="B59" s="21" t="s">
        <v>0</v>
      </c>
      <c r="C59" s="21" t="s">
        <v>1</v>
      </c>
      <c r="D59" s="21" t="s">
        <v>217</v>
      </c>
      <c r="E59" s="22" t="s">
        <v>3</v>
      </c>
      <c r="F59" s="27"/>
      <c r="G59" s="25" t="s">
        <v>218</v>
      </c>
      <c r="H59" s="24" t="s">
        <v>219</v>
      </c>
      <c r="I59" s="44" t="s">
        <v>220</v>
      </c>
      <c r="J59" s="54" t="s">
        <v>221</v>
      </c>
    </row>
    <row r="60" spans="1:10" x14ac:dyDescent="0.25">
      <c r="A60" s="1"/>
      <c r="B60" s="1"/>
      <c r="C60" s="19" t="s">
        <v>57</v>
      </c>
      <c r="D60" s="1"/>
      <c r="E60" s="4"/>
      <c r="F60" s="40"/>
      <c r="G60" s="40"/>
      <c r="H60" s="40"/>
      <c r="I60" s="49"/>
      <c r="J60" s="59"/>
    </row>
    <row r="61" spans="1:10" x14ac:dyDescent="0.25">
      <c r="A61" s="1" t="s">
        <v>60</v>
      </c>
      <c r="B61" s="1" t="s">
        <v>58</v>
      </c>
      <c r="C61" s="1" t="s">
        <v>59</v>
      </c>
      <c r="D61" s="1" t="s">
        <v>5</v>
      </c>
      <c r="E61" s="76">
        <v>76.569999999999993</v>
      </c>
      <c r="F61" s="4"/>
      <c r="G61" s="4"/>
      <c r="H61" s="4"/>
      <c r="I61" s="50"/>
      <c r="J61" s="60">
        <f>E61*I61</f>
        <v>0</v>
      </c>
    </row>
    <row r="62" spans="1:10" x14ac:dyDescent="0.25">
      <c r="A62" s="1"/>
      <c r="B62" s="1"/>
      <c r="C62" s="80" t="s">
        <v>245</v>
      </c>
      <c r="D62" s="1"/>
      <c r="E62" s="76"/>
      <c r="F62" s="4"/>
      <c r="G62" s="4"/>
      <c r="H62" s="4"/>
      <c r="I62" s="50"/>
      <c r="J62" s="60"/>
    </row>
    <row r="63" spans="1:10" x14ac:dyDescent="0.25">
      <c r="A63" s="1"/>
      <c r="B63" s="1"/>
      <c r="C63" s="1"/>
      <c r="D63" s="1"/>
      <c r="E63" s="4"/>
      <c r="F63" s="4"/>
      <c r="G63" s="4"/>
      <c r="H63" s="4"/>
      <c r="I63" s="50"/>
      <c r="J63" s="60"/>
    </row>
    <row r="64" spans="1:10" x14ac:dyDescent="0.25">
      <c r="A64" s="1"/>
      <c r="B64" s="41" t="s">
        <v>231</v>
      </c>
      <c r="C64" s="18" t="s">
        <v>9</v>
      </c>
      <c r="D64" s="1"/>
      <c r="E64" s="4"/>
      <c r="F64" s="4"/>
      <c r="G64" s="4"/>
      <c r="H64" s="4"/>
      <c r="I64" s="50"/>
      <c r="J64" s="60"/>
    </row>
    <row r="65" spans="1:10" x14ac:dyDescent="0.25">
      <c r="A65" s="1" t="s">
        <v>60</v>
      </c>
      <c r="B65" s="1" t="s">
        <v>61</v>
      </c>
      <c r="C65" s="1" t="s">
        <v>62</v>
      </c>
      <c r="D65" s="1" t="s">
        <v>12</v>
      </c>
      <c r="E65" s="76">
        <v>11.7</v>
      </c>
      <c r="F65" s="4"/>
      <c r="G65" s="39">
        <v>1</v>
      </c>
      <c r="H65" s="4"/>
      <c r="I65" s="50"/>
      <c r="J65" s="60">
        <f t="shared" ref="J65:J105" si="1">E65*I65</f>
        <v>0</v>
      </c>
    </row>
    <row r="66" spans="1:10" x14ac:dyDescent="0.25">
      <c r="A66" s="1" t="s">
        <v>60</v>
      </c>
      <c r="B66" s="1" t="s">
        <v>63</v>
      </c>
      <c r="C66" s="1" t="s">
        <v>64</v>
      </c>
      <c r="D66" s="1" t="s">
        <v>12</v>
      </c>
      <c r="E66" s="76">
        <v>6.38</v>
      </c>
      <c r="F66" s="4"/>
      <c r="G66" s="39">
        <v>1</v>
      </c>
      <c r="H66" s="4"/>
      <c r="I66" s="50"/>
      <c r="J66" s="60">
        <f t="shared" si="1"/>
        <v>0</v>
      </c>
    </row>
    <row r="67" spans="1:10" x14ac:dyDescent="0.25">
      <c r="A67" s="1" t="s">
        <v>60</v>
      </c>
      <c r="B67" s="1" t="s">
        <v>65</v>
      </c>
      <c r="C67" s="1" t="s">
        <v>66</v>
      </c>
      <c r="D67" s="1" t="s">
        <v>12</v>
      </c>
      <c r="E67" s="76">
        <v>16.04</v>
      </c>
      <c r="F67" s="4"/>
      <c r="G67" s="39">
        <v>1</v>
      </c>
      <c r="H67" s="4"/>
      <c r="I67" s="50"/>
      <c r="J67" s="60">
        <f t="shared" si="1"/>
        <v>0</v>
      </c>
    </row>
    <row r="68" spans="1:10" x14ac:dyDescent="0.25">
      <c r="A68" s="1" t="s">
        <v>60</v>
      </c>
      <c r="B68" s="1" t="s">
        <v>67</v>
      </c>
      <c r="C68" s="1" t="s">
        <v>68</v>
      </c>
      <c r="D68" s="1" t="s">
        <v>12</v>
      </c>
      <c r="E68" s="76">
        <v>7.94</v>
      </c>
      <c r="F68" s="4"/>
      <c r="G68" s="39">
        <v>1</v>
      </c>
      <c r="H68" s="4"/>
      <c r="I68" s="50"/>
      <c r="J68" s="60">
        <f t="shared" si="1"/>
        <v>0</v>
      </c>
    </row>
    <row r="69" spans="1:10" x14ac:dyDescent="0.25">
      <c r="A69" s="1" t="s">
        <v>60</v>
      </c>
      <c r="B69" s="1" t="s">
        <v>69</v>
      </c>
      <c r="C69" s="1" t="s">
        <v>70</v>
      </c>
      <c r="D69" s="1" t="s">
        <v>12</v>
      </c>
      <c r="E69" s="76">
        <v>23.64</v>
      </c>
      <c r="F69" s="4"/>
      <c r="G69" s="39">
        <v>1</v>
      </c>
      <c r="H69" s="4"/>
      <c r="I69" s="50"/>
      <c r="J69" s="60">
        <f t="shared" si="1"/>
        <v>0</v>
      </c>
    </row>
    <row r="70" spans="1:10" x14ac:dyDescent="0.25">
      <c r="A70" s="1" t="s">
        <v>60</v>
      </c>
      <c r="B70" s="1" t="s">
        <v>71</v>
      </c>
      <c r="C70" s="1" t="s">
        <v>72</v>
      </c>
      <c r="D70" s="1" t="s">
        <v>12</v>
      </c>
      <c r="E70" s="76">
        <v>9.33</v>
      </c>
      <c r="F70" s="4"/>
      <c r="G70" s="39">
        <v>1</v>
      </c>
      <c r="H70" s="4"/>
      <c r="I70" s="50"/>
      <c r="J70" s="60">
        <f t="shared" si="1"/>
        <v>0</v>
      </c>
    </row>
    <row r="71" spans="1:10" x14ac:dyDescent="0.25">
      <c r="A71" s="1" t="s">
        <v>60</v>
      </c>
      <c r="B71" s="1" t="s">
        <v>73</v>
      </c>
      <c r="C71" s="1" t="s">
        <v>74</v>
      </c>
      <c r="D71" s="1" t="s">
        <v>12</v>
      </c>
      <c r="E71" s="76">
        <v>18.940000000000001</v>
      </c>
      <c r="F71" s="4"/>
      <c r="G71" s="39">
        <v>1</v>
      </c>
      <c r="H71" s="4"/>
      <c r="I71" s="50"/>
      <c r="J71" s="60">
        <f t="shared" si="1"/>
        <v>0</v>
      </c>
    </row>
    <row r="72" spans="1:10" x14ac:dyDescent="0.25">
      <c r="A72" s="1" t="s">
        <v>75</v>
      </c>
      <c r="B72" s="1" t="s">
        <v>170</v>
      </c>
      <c r="C72" s="1" t="s">
        <v>169</v>
      </c>
      <c r="D72" s="1" t="s">
        <v>12</v>
      </c>
      <c r="E72" s="76">
        <v>30.32</v>
      </c>
      <c r="F72" s="4"/>
      <c r="G72" s="39">
        <v>0</v>
      </c>
      <c r="H72" s="4"/>
      <c r="I72" s="50"/>
      <c r="J72" s="60">
        <f t="shared" si="1"/>
        <v>0</v>
      </c>
    </row>
    <row r="73" spans="1:10" x14ac:dyDescent="0.25">
      <c r="A73" s="1" t="s">
        <v>77</v>
      </c>
      <c r="B73" s="5">
        <v>60001</v>
      </c>
      <c r="C73" s="1" t="s">
        <v>76</v>
      </c>
      <c r="D73" s="1" t="s">
        <v>5</v>
      </c>
      <c r="E73" s="76">
        <v>12.95</v>
      </c>
      <c r="F73" s="4"/>
      <c r="G73" s="39">
        <v>1</v>
      </c>
      <c r="H73" s="4"/>
      <c r="I73" s="50"/>
      <c r="J73" s="60">
        <f t="shared" si="1"/>
        <v>0</v>
      </c>
    </row>
    <row r="74" spans="1:10" x14ac:dyDescent="0.25">
      <c r="A74" s="1"/>
      <c r="B74" s="5"/>
      <c r="C74" s="1"/>
      <c r="D74" s="1"/>
      <c r="E74" s="4"/>
      <c r="F74" s="4"/>
      <c r="G74" s="4"/>
      <c r="H74" s="4"/>
      <c r="I74" s="50"/>
      <c r="J74" s="60"/>
    </row>
    <row r="75" spans="1:10" x14ac:dyDescent="0.25">
      <c r="A75" s="1"/>
      <c r="B75" s="5"/>
      <c r="C75" s="1"/>
      <c r="D75" s="1"/>
      <c r="E75" s="4"/>
      <c r="F75" s="4"/>
      <c r="G75" s="4"/>
      <c r="H75" s="4"/>
      <c r="I75" s="50"/>
      <c r="J75" s="60"/>
    </row>
    <row r="76" spans="1:10" x14ac:dyDescent="0.25">
      <c r="A76" s="1"/>
      <c r="B76" s="5"/>
      <c r="C76" s="19" t="s">
        <v>78</v>
      </c>
      <c r="D76" s="1"/>
      <c r="E76" s="4"/>
      <c r="F76" s="4"/>
      <c r="G76" s="4"/>
      <c r="H76" s="4"/>
      <c r="I76" s="50"/>
      <c r="J76" s="60"/>
    </row>
    <row r="77" spans="1:10" x14ac:dyDescent="0.25">
      <c r="A77" s="1" t="s">
        <v>80</v>
      </c>
      <c r="B77" s="5">
        <v>6001001</v>
      </c>
      <c r="C77" s="1" t="s">
        <v>79</v>
      </c>
      <c r="D77" s="1" t="s">
        <v>5</v>
      </c>
      <c r="E77" s="76">
        <v>10.24</v>
      </c>
      <c r="F77" s="4"/>
      <c r="G77" s="39">
        <v>1</v>
      </c>
      <c r="H77" s="4"/>
      <c r="I77" s="50"/>
      <c r="J77" s="60">
        <f t="shared" si="1"/>
        <v>0</v>
      </c>
    </row>
    <row r="78" spans="1:10" x14ac:dyDescent="0.25">
      <c r="A78" s="1" t="s">
        <v>54</v>
      </c>
      <c r="B78" s="5" t="s">
        <v>246</v>
      </c>
      <c r="C78" s="1" t="s">
        <v>81</v>
      </c>
      <c r="D78" s="1" t="s">
        <v>12</v>
      </c>
      <c r="E78" s="76">
        <v>4.0199999999999996</v>
      </c>
      <c r="F78" s="4"/>
      <c r="G78" s="39">
        <v>1</v>
      </c>
      <c r="H78" s="4"/>
      <c r="I78" s="50"/>
      <c r="J78" s="60">
        <f t="shared" si="1"/>
        <v>0</v>
      </c>
    </row>
    <row r="79" spans="1:10" x14ac:dyDescent="0.25">
      <c r="A79" s="1" t="s">
        <v>247</v>
      </c>
      <c r="B79" s="5">
        <v>575312</v>
      </c>
      <c r="C79" s="1" t="s">
        <v>82</v>
      </c>
      <c r="D79" s="1" t="s">
        <v>12</v>
      </c>
      <c r="E79" s="76">
        <v>3.93</v>
      </c>
      <c r="F79" s="4"/>
      <c r="G79" s="39">
        <v>2</v>
      </c>
      <c r="H79" s="4"/>
      <c r="I79" s="50"/>
      <c r="J79" s="60">
        <f t="shared" si="1"/>
        <v>0</v>
      </c>
    </row>
    <row r="80" spans="1:10" x14ac:dyDescent="0.25">
      <c r="A80" s="1" t="s">
        <v>84</v>
      </c>
      <c r="B80" s="5">
        <v>4852</v>
      </c>
      <c r="C80" s="1" t="s">
        <v>83</v>
      </c>
      <c r="D80" s="1" t="s">
        <v>12</v>
      </c>
      <c r="E80" s="76">
        <v>9.0299999999999994</v>
      </c>
      <c r="F80" s="4"/>
      <c r="G80" s="39">
        <v>2</v>
      </c>
      <c r="H80" s="4"/>
      <c r="I80" s="50"/>
      <c r="J80" s="60">
        <f t="shared" si="1"/>
        <v>0</v>
      </c>
    </row>
    <row r="81" spans="1:10" x14ac:dyDescent="0.25">
      <c r="A81" s="1" t="s">
        <v>84</v>
      </c>
      <c r="B81" s="5">
        <v>4859</v>
      </c>
      <c r="C81" s="1" t="s">
        <v>85</v>
      </c>
      <c r="D81" s="1" t="s">
        <v>12</v>
      </c>
      <c r="E81" s="76">
        <v>17.510000000000002</v>
      </c>
      <c r="F81" s="4"/>
      <c r="G81" s="39">
        <v>1</v>
      </c>
      <c r="H81" s="4"/>
      <c r="I81" s="50"/>
      <c r="J81" s="60">
        <f t="shared" si="1"/>
        <v>0</v>
      </c>
    </row>
    <row r="82" spans="1:10" x14ac:dyDescent="0.25">
      <c r="A82" s="1" t="s">
        <v>84</v>
      </c>
      <c r="B82" s="5">
        <v>4861</v>
      </c>
      <c r="C82" s="1" t="s">
        <v>86</v>
      </c>
      <c r="D82" s="1" t="s">
        <v>12</v>
      </c>
      <c r="E82" s="76">
        <v>9.0299999999999994</v>
      </c>
      <c r="F82" s="4"/>
      <c r="G82" s="39">
        <v>2</v>
      </c>
      <c r="H82" s="4"/>
      <c r="I82" s="50"/>
      <c r="J82" s="60">
        <f t="shared" si="1"/>
        <v>0</v>
      </c>
    </row>
    <row r="83" spans="1:10" x14ac:dyDescent="0.25">
      <c r="A83" s="1" t="s">
        <v>84</v>
      </c>
      <c r="B83" s="5">
        <v>4871</v>
      </c>
      <c r="C83" s="1" t="s">
        <v>87</v>
      </c>
      <c r="D83" s="1" t="s">
        <v>12</v>
      </c>
      <c r="E83" s="76">
        <v>8.8699999999999992</v>
      </c>
      <c r="F83" s="4"/>
      <c r="G83" s="39">
        <v>2</v>
      </c>
      <c r="H83" s="4"/>
      <c r="I83" s="50"/>
      <c r="J83" s="60">
        <f t="shared" si="1"/>
        <v>0</v>
      </c>
    </row>
    <row r="84" spans="1:10" x14ac:dyDescent="0.25">
      <c r="A84" s="1" t="s">
        <v>80</v>
      </c>
      <c r="B84" s="5">
        <v>1085801</v>
      </c>
      <c r="C84" s="1" t="s">
        <v>215</v>
      </c>
      <c r="D84" s="1" t="s">
        <v>12</v>
      </c>
      <c r="E84" s="76">
        <v>7.69</v>
      </c>
      <c r="F84" s="4"/>
      <c r="G84" s="39">
        <v>1</v>
      </c>
      <c r="H84" s="4"/>
      <c r="I84" s="50"/>
      <c r="J84" s="60">
        <f t="shared" si="1"/>
        <v>0</v>
      </c>
    </row>
    <row r="85" spans="1:10" x14ac:dyDescent="0.25">
      <c r="A85" s="1" t="s">
        <v>80</v>
      </c>
      <c r="B85" s="5">
        <v>1085781</v>
      </c>
      <c r="C85" s="1" t="s">
        <v>88</v>
      </c>
      <c r="D85" s="1" t="s">
        <v>12</v>
      </c>
      <c r="E85" s="76">
        <v>6.46</v>
      </c>
      <c r="F85" s="4"/>
      <c r="G85" s="39">
        <v>1</v>
      </c>
      <c r="H85" s="4"/>
      <c r="I85" s="50"/>
      <c r="J85" s="60">
        <f t="shared" si="1"/>
        <v>0</v>
      </c>
    </row>
    <row r="86" spans="1:10" x14ac:dyDescent="0.25">
      <c r="A86" s="1" t="s">
        <v>80</v>
      </c>
      <c r="B86" s="5">
        <v>6001003</v>
      </c>
      <c r="C86" s="1" t="s">
        <v>89</v>
      </c>
      <c r="D86" s="1" t="s">
        <v>12</v>
      </c>
      <c r="E86" s="76">
        <v>3.41</v>
      </c>
      <c r="F86" s="4"/>
      <c r="G86" s="39">
        <v>2</v>
      </c>
      <c r="H86" s="4"/>
      <c r="I86" s="50"/>
      <c r="J86" s="60">
        <f t="shared" si="1"/>
        <v>0</v>
      </c>
    </row>
    <row r="87" spans="1:10" x14ac:dyDescent="0.25">
      <c r="A87" s="1" t="s">
        <v>175</v>
      </c>
      <c r="B87" s="5" t="s">
        <v>154</v>
      </c>
      <c r="C87" s="1" t="s">
        <v>155</v>
      </c>
      <c r="D87" s="1" t="s">
        <v>12</v>
      </c>
      <c r="E87" s="76">
        <v>13.67</v>
      </c>
      <c r="F87" s="4"/>
      <c r="G87" s="39">
        <v>1</v>
      </c>
      <c r="H87" s="4"/>
      <c r="I87" s="50"/>
      <c r="J87" s="60">
        <f t="shared" si="1"/>
        <v>0</v>
      </c>
    </row>
    <row r="88" spans="1:10" x14ac:dyDescent="0.25">
      <c r="A88" s="1"/>
      <c r="B88" s="5"/>
      <c r="C88" s="1"/>
      <c r="D88" s="1"/>
      <c r="E88" s="4"/>
      <c r="F88" s="4"/>
      <c r="G88" s="4"/>
      <c r="H88" s="4"/>
      <c r="I88" s="50"/>
      <c r="J88" s="60"/>
    </row>
    <row r="89" spans="1:10" x14ac:dyDescent="0.25">
      <c r="A89" s="1"/>
      <c r="B89" s="5"/>
      <c r="C89" s="1"/>
      <c r="D89" s="1"/>
      <c r="E89" s="4"/>
      <c r="F89" s="4"/>
      <c r="G89" s="4"/>
      <c r="H89" s="4"/>
      <c r="I89" s="50"/>
      <c r="J89" s="60"/>
    </row>
    <row r="90" spans="1:10" x14ac:dyDescent="0.25">
      <c r="A90" s="1"/>
      <c r="B90" s="5"/>
      <c r="C90" s="19" t="s">
        <v>90</v>
      </c>
      <c r="D90" s="1"/>
      <c r="E90" s="4"/>
      <c r="F90" s="4"/>
      <c r="G90" s="4"/>
      <c r="H90" s="4"/>
      <c r="I90" s="50"/>
      <c r="J90" s="60"/>
    </row>
    <row r="91" spans="1:10" x14ac:dyDescent="0.25">
      <c r="A91" s="70" t="s">
        <v>92</v>
      </c>
      <c r="B91" s="71">
        <v>7232</v>
      </c>
      <c r="C91" s="70" t="s">
        <v>91</v>
      </c>
      <c r="D91" s="70" t="s">
        <v>42</v>
      </c>
      <c r="E91" s="72">
        <v>1.1200000000000001</v>
      </c>
      <c r="F91" s="4"/>
      <c r="G91" s="77" t="s">
        <v>232</v>
      </c>
      <c r="H91" s="4"/>
      <c r="I91" s="50" t="s">
        <v>260</v>
      </c>
      <c r="J91" s="78" t="s">
        <v>232</v>
      </c>
    </row>
    <row r="92" spans="1:10" x14ac:dyDescent="0.25">
      <c r="A92" s="1" t="s">
        <v>92</v>
      </c>
      <c r="B92" s="5">
        <v>1245</v>
      </c>
      <c r="C92" s="1" t="s">
        <v>174</v>
      </c>
      <c r="D92" s="1" t="s">
        <v>12</v>
      </c>
      <c r="E92" s="4">
        <v>4.32</v>
      </c>
      <c r="F92" s="4"/>
      <c r="G92" s="39">
        <v>2</v>
      </c>
      <c r="H92" s="4"/>
      <c r="I92" s="50"/>
      <c r="J92" s="60">
        <f t="shared" si="1"/>
        <v>0</v>
      </c>
    </row>
    <row r="93" spans="1:10" x14ac:dyDescent="0.25">
      <c r="A93" s="1" t="s">
        <v>248</v>
      </c>
      <c r="B93" s="5">
        <v>22680201</v>
      </c>
      <c r="C93" s="1" t="s">
        <v>93</v>
      </c>
      <c r="D93" s="1" t="s">
        <v>12</v>
      </c>
      <c r="E93" s="4">
        <v>6.65</v>
      </c>
      <c r="F93" s="4"/>
      <c r="G93" s="39">
        <v>2</v>
      </c>
      <c r="H93" s="4"/>
      <c r="I93" s="50"/>
      <c r="J93" s="60">
        <f t="shared" si="1"/>
        <v>0</v>
      </c>
    </row>
    <row r="94" spans="1:10" x14ac:dyDescent="0.25">
      <c r="A94" s="1" t="s">
        <v>94</v>
      </c>
      <c r="B94" s="5" t="s">
        <v>249</v>
      </c>
      <c r="C94" s="1" t="s">
        <v>95</v>
      </c>
      <c r="D94" s="1" t="s">
        <v>12</v>
      </c>
      <c r="E94" s="4">
        <v>4.8499999999999996</v>
      </c>
      <c r="F94" s="4"/>
      <c r="G94" s="39">
        <v>1</v>
      </c>
      <c r="H94" s="4"/>
      <c r="I94" s="50"/>
      <c r="J94" s="60">
        <f t="shared" si="1"/>
        <v>0</v>
      </c>
    </row>
    <row r="95" spans="1:10" x14ac:dyDescent="0.25">
      <c r="A95" s="1" t="s">
        <v>92</v>
      </c>
      <c r="B95" s="5">
        <v>482</v>
      </c>
      <c r="C95" s="1" t="s">
        <v>96</v>
      </c>
      <c r="D95" s="1" t="s">
        <v>12</v>
      </c>
      <c r="E95" s="4">
        <v>1.73</v>
      </c>
      <c r="F95" s="4"/>
      <c r="G95" s="63">
        <v>1</v>
      </c>
      <c r="H95" s="4"/>
      <c r="I95" s="50"/>
      <c r="J95" s="60">
        <f t="shared" si="1"/>
        <v>0</v>
      </c>
    </row>
    <row r="96" spans="1:10" x14ac:dyDescent="0.25">
      <c r="A96" s="1" t="s">
        <v>92</v>
      </c>
      <c r="B96" s="5">
        <v>1574</v>
      </c>
      <c r="C96" s="1" t="s">
        <v>97</v>
      </c>
      <c r="D96" s="1" t="s">
        <v>12</v>
      </c>
      <c r="E96" s="4">
        <v>2.2000000000000002</v>
      </c>
      <c r="F96" s="4"/>
      <c r="G96" s="39">
        <v>1</v>
      </c>
      <c r="H96" s="4"/>
      <c r="I96" s="50"/>
      <c r="J96" s="60">
        <f t="shared" si="1"/>
        <v>0</v>
      </c>
    </row>
    <row r="97" spans="1:10" x14ac:dyDescent="0.25">
      <c r="A97" s="1" t="s">
        <v>92</v>
      </c>
      <c r="B97" s="5">
        <v>747</v>
      </c>
      <c r="C97" s="1" t="s">
        <v>171</v>
      </c>
      <c r="D97" s="1" t="s">
        <v>5</v>
      </c>
      <c r="E97" s="4">
        <v>5.09</v>
      </c>
      <c r="F97" s="4"/>
      <c r="G97" s="39">
        <v>0</v>
      </c>
      <c r="H97" s="4"/>
      <c r="I97" s="50"/>
      <c r="J97" s="60">
        <f t="shared" si="1"/>
        <v>0</v>
      </c>
    </row>
    <row r="98" spans="1:10" x14ac:dyDescent="0.25">
      <c r="A98" s="70" t="s">
        <v>92</v>
      </c>
      <c r="B98" s="71">
        <v>1086</v>
      </c>
      <c r="C98" s="70" t="s">
        <v>200</v>
      </c>
      <c r="D98" s="70" t="s">
        <v>12</v>
      </c>
      <c r="E98" s="72">
        <v>9.31</v>
      </c>
      <c r="F98" s="72"/>
      <c r="G98" s="73" t="s">
        <v>232</v>
      </c>
      <c r="H98" s="72"/>
      <c r="I98" s="50" t="s">
        <v>260</v>
      </c>
      <c r="J98" s="83"/>
    </row>
    <row r="99" spans="1:10" x14ac:dyDescent="0.25">
      <c r="A99" s="70" t="s">
        <v>250</v>
      </c>
      <c r="B99" s="90" t="s">
        <v>251</v>
      </c>
      <c r="C99" s="70" t="s">
        <v>209</v>
      </c>
      <c r="D99" s="70" t="s">
        <v>12</v>
      </c>
      <c r="E99" s="72">
        <v>0.57999999999999996</v>
      </c>
      <c r="F99" s="4"/>
      <c r="G99" s="77" t="s">
        <v>232</v>
      </c>
      <c r="H99" s="4"/>
      <c r="I99" s="50" t="s">
        <v>260</v>
      </c>
      <c r="J99" s="78" t="s">
        <v>232</v>
      </c>
    </row>
    <row r="100" spans="1:10" x14ac:dyDescent="0.25">
      <c r="A100" s="70" t="s">
        <v>92</v>
      </c>
      <c r="B100" s="71">
        <v>1019</v>
      </c>
      <c r="C100" s="70" t="s">
        <v>98</v>
      </c>
      <c r="D100" s="70" t="s">
        <v>12</v>
      </c>
      <c r="E100" s="72">
        <v>1.71</v>
      </c>
      <c r="F100" s="72"/>
      <c r="G100" s="73" t="s">
        <v>232</v>
      </c>
      <c r="H100" s="4"/>
      <c r="I100" s="50" t="s">
        <v>260</v>
      </c>
      <c r="J100" s="78" t="s">
        <v>232</v>
      </c>
    </row>
    <row r="101" spans="1:10" x14ac:dyDescent="0.25">
      <c r="A101" s="1" t="s">
        <v>92</v>
      </c>
      <c r="B101" s="5">
        <v>657</v>
      </c>
      <c r="C101" s="1" t="s">
        <v>205</v>
      </c>
      <c r="D101" s="15" t="s">
        <v>12</v>
      </c>
      <c r="E101" s="4">
        <v>1.78</v>
      </c>
      <c r="F101" s="4"/>
      <c r="G101" s="39">
        <v>1</v>
      </c>
      <c r="H101" s="4"/>
      <c r="I101" s="50"/>
      <c r="J101" s="60">
        <f t="shared" si="1"/>
        <v>0</v>
      </c>
    </row>
    <row r="102" spans="1:10" x14ac:dyDescent="0.25">
      <c r="A102" s="1" t="s">
        <v>92</v>
      </c>
      <c r="B102" s="5">
        <v>641</v>
      </c>
      <c r="C102" s="1" t="s">
        <v>99</v>
      </c>
      <c r="D102" s="1" t="s">
        <v>5</v>
      </c>
      <c r="E102" s="4">
        <v>5.73</v>
      </c>
      <c r="F102" s="4"/>
      <c r="G102" s="39">
        <v>1</v>
      </c>
      <c r="H102" s="4"/>
      <c r="I102" s="50"/>
      <c r="J102" s="60">
        <f t="shared" si="1"/>
        <v>0</v>
      </c>
    </row>
    <row r="103" spans="1:10" x14ac:dyDescent="0.25">
      <c r="A103" s="70" t="s">
        <v>94</v>
      </c>
      <c r="B103" s="71">
        <v>2361</v>
      </c>
      <c r="C103" s="70" t="s">
        <v>100</v>
      </c>
      <c r="D103" s="70" t="s">
        <v>12</v>
      </c>
      <c r="E103" s="72">
        <v>4.47</v>
      </c>
      <c r="F103" s="4"/>
      <c r="G103" s="77" t="s">
        <v>232</v>
      </c>
      <c r="H103" s="4"/>
      <c r="I103" s="50" t="s">
        <v>260</v>
      </c>
      <c r="J103" s="78" t="s">
        <v>232</v>
      </c>
    </row>
    <row r="104" spans="1:10" x14ac:dyDescent="0.25">
      <c r="A104" s="1" t="s">
        <v>92</v>
      </c>
      <c r="B104" s="5">
        <v>1120</v>
      </c>
      <c r="C104" s="1" t="s">
        <v>156</v>
      </c>
      <c r="D104" s="1" t="s">
        <v>12</v>
      </c>
      <c r="E104" s="4">
        <v>1.9</v>
      </c>
      <c r="F104" s="4"/>
      <c r="G104" s="39">
        <v>1</v>
      </c>
      <c r="H104" s="4"/>
      <c r="I104" s="50"/>
      <c r="J104" s="60">
        <f t="shared" si="1"/>
        <v>0</v>
      </c>
    </row>
    <row r="105" spans="1:10" x14ac:dyDescent="0.25">
      <c r="A105" s="1" t="s">
        <v>84</v>
      </c>
      <c r="B105" s="5">
        <v>4841</v>
      </c>
      <c r="C105" s="1" t="s">
        <v>157</v>
      </c>
      <c r="D105" s="1" t="s">
        <v>5</v>
      </c>
      <c r="E105" s="4">
        <v>2.58</v>
      </c>
      <c r="F105" s="4"/>
      <c r="G105" s="64">
        <v>1</v>
      </c>
      <c r="H105" s="4"/>
      <c r="I105" s="50"/>
      <c r="J105" s="60">
        <f t="shared" si="1"/>
        <v>0</v>
      </c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51"/>
      <c r="J106" s="60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51"/>
      <c r="J107" s="60"/>
    </row>
    <row r="108" spans="1:10" x14ac:dyDescent="0.25">
      <c r="H108" s="26" t="s">
        <v>230</v>
      </c>
      <c r="I108" s="47" t="s">
        <v>223</v>
      </c>
      <c r="J108" s="57">
        <f>SUM(J61:J107)</f>
        <v>0</v>
      </c>
    </row>
    <row r="115" spans="1:10" ht="13.8" thickBot="1" x14ac:dyDescent="0.3"/>
    <row r="116" spans="1:10" ht="36.6" thickBot="1" x14ac:dyDescent="0.3">
      <c r="A116" s="21" t="s">
        <v>2</v>
      </c>
      <c r="B116" s="21" t="s">
        <v>0</v>
      </c>
      <c r="C116" s="21" t="s">
        <v>1</v>
      </c>
      <c r="D116" s="21" t="s">
        <v>217</v>
      </c>
      <c r="E116" s="22" t="s">
        <v>3</v>
      </c>
      <c r="F116" s="27"/>
      <c r="G116" s="25" t="s">
        <v>218</v>
      </c>
      <c r="H116" s="24" t="s">
        <v>219</v>
      </c>
      <c r="I116" s="44" t="s">
        <v>220</v>
      </c>
      <c r="J116" s="54" t="s">
        <v>221</v>
      </c>
    </row>
    <row r="117" spans="1:10" x14ac:dyDescent="0.25">
      <c r="A117" s="11"/>
      <c r="B117" s="11"/>
      <c r="C117" s="65" t="s">
        <v>101</v>
      </c>
      <c r="D117" s="11"/>
      <c r="E117" s="11"/>
      <c r="F117" s="61"/>
      <c r="G117" s="61"/>
      <c r="H117" s="61"/>
      <c r="I117" s="69"/>
      <c r="J117" s="59"/>
    </row>
    <row r="118" spans="1:10" x14ac:dyDescent="0.25">
      <c r="A118" s="1" t="s">
        <v>159</v>
      </c>
      <c r="B118" s="5" t="s">
        <v>158</v>
      </c>
      <c r="C118" s="1" t="s">
        <v>102</v>
      </c>
      <c r="D118" s="1" t="s">
        <v>12</v>
      </c>
      <c r="E118" s="4">
        <v>3.1</v>
      </c>
      <c r="F118" s="4"/>
      <c r="G118" s="39">
        <v>1</v>
      </c>
      <c r="H118" s="4"/>
      <c r="I118" s="50"/>
      <c r="J118" s="60">
        <f>I118*E118</f>
        <v>0</v>
      </c>
    </row>
    <row r="119" spans="1:10" x14ac:dyDescent="0.25">
      <c r="A119" s="1" t="s">
        <v>159</v>
      </c>
      <c r="B119" s="5" t="s">
        <v>160</v>
      </c>
      <c r="C119" s="1" t="s">
        <v>103</v>
      </c>
      <c r="D119" s="1" t="s">
        <v>12</v>
      </c>
      <c r="E119" s="4">
        <v>1.1299999999999999</v>
      </c>
      <c r="F119" s="4"/>
      <c r="G119" s="39">
        <v>1</v>
      </c>
      <c r="H119" s="4"/>
      <c r="I119" s="50"/>
      <c r="J119" s="60">
        <f t="shared" ref="J119:J162" si="2">I119*E119</f>
        <v>0</v>
      </c>
    </row>
    <row r="120" spans="1:10" x14ac:dyDescent="0.25">
      <c r="A120" s="1" t="s">
        <v>202</v>
      </c>
      <c r="B120" s="5">
        <v>46</v>
      </c>
      <c r="C120" s="1" t="s">
        <v>201</v>
      </c>
      <c r="D120" s="1" t="s">
        <v>12</v>
      </c>
      <c r="E120" s="4">
        <v>1.44</v>
      </c>
      <c r="F120" s="4"/>
      <c r="G120" s="39">
        <v>1</v>
      </c>
      <c r="H120" s="4"/>
      <c r="I120" s="50"/>
      <c r="J120" s="60">
        <f t="shared" si="2"/>
        <v>0</v>
      </c>
    </row>
    <row r="121" spans="1:10" x14ac:dyDescent="0.25">
      <c r="A121" s="1" t="s">
        <v>84</v>
      </c>
      <c r="B121" s="5">
        <v>3154</v>
      </c>
      <c r="C121" s="1" t="s">
        <v>104</v>
      </c>
      <c r="D121" s="1" t="s">
        <v>42</v>
      </c>
      <c r="E121" s="4">
        <v>1.64</v>
      </c>
      <c r="F121" s="4"/>
      <c r="G121" s="39">
        <v>0</v>
      </c>
      <c r="H121" s="4"/>
      <c r="I121" s="50"/>
      <c r="J121" s="60">
        <f t="shared" si="2"/>
        <v>0</v>
      </c>
    </row>
    <row r="122" spans="1:10" x14ac:dyDescent="0.25">
      <c r="A122" s="70" t="s">
        <v>202</v>
      </c>
      <c r="B122" s="71">
        <v>34</v>
      </c>
      <c r="C122" s="70" t="s">
        <v>206</v>
      </c>
      <c r="D122" s="70" t="s">
        <v>12</v>
      </c>
      <c r="E122" s="72">
        <v>3.53</v>
      </c>
      <c r="F122" s="72"/>
      <c r="G122" s="73" t="s">
        <v>232</v>
      </c>
      <c r="H122" s="4"/>
      <c r="I122" s="50" t="s">
        <v>260</v>
      </c>
      <c r="J122" s="78" t="s">
        <v>232</v>
      </c>
    </row>
    <row r="123" spans="1:10" x14ac:dyDescent="0.25">
      <c r="A123" s="70" t="s">
        <v>139</v>
      </c>
      <c r="B123" s="71" t="s">
        <v>137</v>
      </c>
      <c r="C123" s="70" t="s">
        <v>138</v>
      </c>
      <c r="D123" s="70" t="s">
        <v>12</v>
      </c>
      <c r="E123" s="72">
        <v>3.96</v>
      </c>
      <c r="F123" s="4"/>
      <c r="G123" s="39">
        <v>0</v>
      </c>
      <c r="H123" s="4"/>
      <c r="I123" s="50" t="s">
        <v>260</v>
      </c>
      <c r="J123" s="78" t="s">
        <v>232</v>
      </c>
    </row>
    <row r="124" spans="1:10" x14ac:dyDescent="0.25">
      <c r="A124" s="1"/>
      <c r="B124" s="5"/>
      <c r="C124" s="1"/>
      <c r="D124" s="1"/>
      <c r="E124" s="4"/>
      <c r="F124" s="4"/>
      <c r="G124" s="39"/>
      <c r="H124" s="4"/>
      <c r="I124" s="50"/>
      <c r="J124" s="60"/>
    </row>
    <row r="125" spans="1:10" x14ac:dyDescent="0.25">
      <c r="A125" s="1"/>
      <c r="B125" s="5"/>
      <c r="C125" s="1"/>
      <c r="D125" s="1"/>
      <c r="E125" s="4"/>
      <c r="F125" s="4"/>
      <c r="G125" s="39"/>
      <c r="H125" s="4"/>
      <c r="I125" s="50"/>
      <c r="J125" s="60"/>
    </row>
    <row r="126" spans="1:10" x14ac:dyDescent="0.25">
      <c r="A126" s="1"/>
      <c r="B126" s="5"/>
      <c r="C126" s="66" t="s">
        <v>176</v>
      </c>
      <c r="D126" s="1"/>
      <c r="E126" s="4"/>
      <c r="F126" s="4"/>
      <c r="G126" s="39"/>
      <c r="H126" s="4"/>
      <c r="I126" s="50"/>
      <c r="J126" s="60"/>
    </row>
    <row r="127" spans="1:10" x14ac:dyDescent="0.25">
      <c r="A127" s="1" t="s">
        <v>179</v>
      </c>
      <c r="B127" s="5" t="s">
        <v>177</v>
      </c>
      <c r="C127" s="1" t="s">
        <v>178</v>
      </c>
      <c r="D127" s="1" t="s">
        <v>12</v>
      </c>
      <c r="E127" s="76">
        <v>23.88</v>
      </c>
      <c r="F127" s="4"/>
      <c r="G127" s="39">
        <v>1</v>
      </c>
      <c r="H127" s="4"/>
      <c r="I127" s="50"/>
      <c r="J127" s="60">
        <f t="shared" si="2"/>
        <v>0</v>
      </c>
    </row>
    <row r="128" spans="1:10" x14ac:dyDescent="0.25">
      <c r="A128" s="1" t="s">
        <v>181</v>
      </c>
      <c r="B128" s="5" t="s">
        <v>252</v>
      </c>
      <c r="C128" s="1" t="s">
        <v>180</v>
      </c>
      <c r="D128" s="1" t="s">
        <v>12</v>
      </c>
      <c r="E128" s="76">
        <v>22.47</v>
      </c>
      <c r="F128" s="4"/>
      <c r="G128" s="39">
        <v>1</v>
      </c>
      <c r="H128" s="4"/>
      <c r="I128" s="50"/>
      <c r="J128" s="60">
        <f t="shared" si="2"/>
        <v>0</v>
      </c>
    </row>
    <row r="129" spans="1:10" x14ac:dyDescent="0.25">
      <c r="A129" s="1" t="s">
        <v>253</v>
      </c>
      <c r="B129" s="5" t="s">
        <v>254</v>
      </c>
      <c r="C129" s="1" t="s">
        <v>182</v>
      </c>
      <c r="D129" s="1" t="s">
        <v>12</v>
      </c>
      <c r="E129" s="76">
        <v>7.89</v>
      </c>
      <c r="F129" s="4"/>
      <c r="G129" s="39">
        <v>1</v>
      </c>
      <c r="H129" s="4"/>
      <c r="I129" s="50"/>
      <c r="J129" s="60">
        <f t="shared" si="2"/>
        <v>0</v>
      </c>
    </row>
    <row r="130" spans="1:10" x14ac:dyDescent="0.25">
      <c r="A130" s="1" t="s">
        <v>181</v>
      </c>
      <c r="B130" s="5">
        <v>1230053</v>
      </c>
      <c r="C130" s="1" t="s">
        <v>183</v>
      </c>
      <c r="D130" s="1" t="s">
        <v>12</v>
      </c>
      <c r="E130" s="76">
        <v>7.69</v>
      </c>
      <c r="F130" s="4"/>
      <c r="G130" s="39">
        <v>0</v>
      </c>
      <c r="H130" s="4"/>
      <c r="I130" s="50"/>
      <c r="J130" s="60">
        <f t="shared" si="2"/>
        <v>0</v>
      </c>
    </row>
    <row r="131" spans="1:10" x14ac:dyDescent="0.25">
      <c r="A131" s="1" t="s">
        <v>186</v>
      </c>
      <c r="B131" s="5" t="s">
        <v>184</v>
      </c>
      <c r="C131" s="1" t="s">
        <v>185</v>
      </c>
      <c r="D131" s="1" t="s">
        <v>12</v>
      </c>
      <c r="E131" s="76">
        <v>8.77</v>
      </c>
      <c r="F131" s="4"/>
      <c r="G131" s="39">
        <v>0</v>
      </c>
      <c r="H131" s="4"/>
      <c r="I131" s="50"/>
      <c r="J131" s="60">
        <f t="shared" si="2"/>
        <v>0</v>
      </c>
    </row>
    <row r="132" spans="1:10" x14ac:dyDescent="0.25">
      <c r="A132" s="1"/>
      <c r="B132" s="5"/>
      <c r="C132" s="1"/>
      <c r="D132" s="1"/>
      <c r="E132" s="4"/>
      <c r="F132" s="4"/>
      <c r="G132" s="39"/>
      <c r="H132" s="4"/>
      <c r="I132" s="50"/>
      <c r="J132" s="60"/>
    </row>
    <row r="133" spans="1:10" x14ac:dyDescent="0.25">
      <c r="A133" s="1"/>
      <c r="B133" s="5"/>
      <c r="C133" s="1"/>
      <c r="D133" s="1"/>
      <c r="E133" s="4"/>
      <c r="F133" s="4"/>
      <c r="G133" s="39"/>
      <c r="H133" s="4"/>
      <c r="I133" s="50"/>
      <c r="J133" s="60"/>
    </row>
    <row r="134" spans="1:10" x14ac:dyDescent="0.25">
      <c r="A134" s="1"/>
      <c r="B134" s="5"/>
      <c r="C134" s="66" t="s">
        <v>190</v>
      </c>
      <c r="D134" s="1"/>
      <c r="E134" s="4"/>
      <c r="F134" s="4"/>
      <c r="G134" s="39"/>
      <c r="H134" s="4"/>
      <c r="I134" s="50"/>
      <c r="J134" s="60"/>
    </row>
    <row r="135" spans="1:10" x14ac:dyDescent="0.25">
      <c r="A135" s="1" t="s">
        <v>192</v>
      </c>
      <c r="B135" s="5">
        <v>1102</v>
      </c>
      <c r="C135" s="1" t="s">
        <v>191</v>
      </c>
      <c r="D135" s="1" t="s">
        <v>12</v>
      </c>
      <c r="E135" s="4">
        <v>1.38</v>
      </c>
      <c r="F135" s="4"/>
      <c r="G135" s="39"/>
      <c r="H135" s="4"/>
      <c r="I135" s="50"/>
      <c r="J135" s="60">
        <f t="shared" si="2"/>
        <v>0</v>
      </c>
    </row>
    <row r="136" spans="1:10" x14ac:dyDescent="0.25">
      <c r="A136" s="1" t="s">
        <v>192</v>
      </c>
      <c r="B136" s="5">
        <v>1112</v>
      </c>
      <c r="C136" s="1" t="s">
        <v>193</v>
      </c>
      <c r="D136" s="1" t="s">
        <v>12</v>
      </c>
      <c r="E136" s="4">
        <v>1.71</v>
      </c>
      <c r="F136" s="4"/>
      <c r="G136" s="39"/>
      <c r="H136" s="4"/>
      <c r="I136" s="50"/>
      <c r="J136" s="60">
        <f t="shared" si="2"/>
        <v>0</v>
      </c>
    </row>
    <row r="137" spans="1:10" x14ac:dyDescent="0.25">
      <c r="A137" s="1" t="s">
        <v>192</v>
      </c>
      <c r="B137" s="5">
        <v>9501</v>
      </c>
      <c r="C137" s="1" t="s">
        <v>198</v>
      </c>
      <c r="D137" s="1" t="s">
        <v>12</v>
      </c>
      <c r="E137" s="4">
        <v>0.32</v>
      </c>
      <c r="F137" s="4"/>
      <c r="G137" s="39"/>
      <c r="H137" s="4"/>
      <c r="I137" s="50"/>
      <c r="J137" s="60">
        <f t="shared" si="2"/>
        <v>0</v>
      </c>
    </row>
    <row r="138" spans="1:10" x14ac:dyDescent="0.25">
      <c r="A138" s="1" t="s">
        <v>192</v>
      </c>
      <c r="B138" s="5">
        <v>9502</v>
      </c>
      <c r="C138" s="1" t="s">
        <v>199</v>
      </c>
      <c r="D138" s="1" t="s">
        <v>12</v>
      </c>
      <c r="E138" s="4">
        <v>0.32</v>
      </c>
      <c r="F138" s="4"/>
      <c r="G138" s="39"/>
      <c r="H138" s="4"/>
      <c r="I138" s="50"/>
      <c r="J138" s="60">
        <f t="shared" si="2"/>
        <v>0</v>
      </c>
    </row>
    <row r="139" spans="1:10" x14ac:dyDescent="0.25">
      <c r="A139" s="1" t="s">
        <v>192</v>
      </c>
      <c r="B139" s="5" t="s">
        <v>194</v>
      </c>
      <c r="C139" s="1" t="s">
        <v>195</v>
      </c>
      <c r="D139" s="1" t="s">
        <v>12</v>
      </c>
      <c r="E139" s="4">
        <v>0.83</v>
      </c>
      <c r="F139" s="4"/>
      <c r="G139" s="39">
        <v>10</v>
      </c>
      <c r="H139" s="4"/>
      <c r="I139" s="50"/>
      <c r="J139" s="60">
        <f t="shared" si="2"/>
        <v>0</v>
      </c>
    </row>
    <row r="140" spans="1:10" x14ac:dyDescent="0.25">
      <c r="A140" s="1" t="s">
        <v>192</v>
      </c>
      <c r="B140" s="5" t="s">
        <v>196</v>
      </c>
      <c r="C140" s="1" t="s">
        <v>197</v>
      </c>
      <c r="D140" s="1" t="s">
        <v>12</v>
      </c>
      <c r="E140" s="4">
        <v>1.3</v>
      </c>
      <c r="F140" s="4"/>
      <c r="G140" s="39">
        <v>10</v>
      </c>
      <c r="H140" s="4"/>
      <c r="I140" s="50"/>
      <c r="J140" s="60">
        <f t="shared" si="2"/>
        <v>0</v>
      </c>
    </row>
    <row r="141" spans="1:10" x14ac:dyDescent="0.25">
      <c r="A141" s="1"/>
      <c r="B141" s="5"/>
      <c r="C141" s="1"/>
      <c r="D141" s="1"/>
      <c r="E141" s="4"/>
      <c r="F141" s="4"/>
      <c r="G141" s="39"/>
      <c r="H141" s="4"/>
      <c r="I141" s="50"/>
      <c r="J141" s="60"/>
    </row>
    <row r="142" spans="1:10" x14ac:dyDescent="0.25">
      <c r="A142" s="1"/>
      <c r="B142" s="5"/>
      <c r="C142" s="1"/>
      <c r="D142" s="1"/>
      <c r="E142" s="4"/>
      <c r="F142" s="4"/>
      <c r="G142" s="39"/>
      <c r="H142" s="4"/>
      <c r="I142" s="50"/>
      <c r="J142" s="60"/>
    </row>
    <row r="143" spans="1:10" x14ac:dyDescent="0.25">
      <c r="A143" s="1"/>
      <c r="B143" s="1"/>
      <c r="C143" s="19" t="s">
        <v>105</v>
      </c>
      <c r="D143" s="1"/>
      <c r="E143" s="4"/>
      <c r="F143" s="4"/>
      <c r="G143" s="39"/>
      <c r="H143" s="4"/>
      <c r="I143" s="50"/>
      <c r="J143" s="60"/>
    </row>
    <row r="144" spans="1:10" x14ac:dyDescent="0.25">
      <c r="A144" s="1" t="s">
        <v>255</v>
      </c>
      <c r="B144" s="5">
        <v>20781</v>
      </c>
      <c r="C144" s="8" t="s">
        <v>172</v>
      </c>
      <c r="D144" s="1" t="s">
        <v>12</v>
      </c>
      <c r="E144" s="4">
        <v>1.35</v>
      </c>
      <c r="F144" s="4"/>
      <c r="G144" s="39">
        <v>0</v>
      </c>
      <c r="H144" s="4"/>
      <c r="I144" s="50"/>
      <c r="J144" s="60">
        <f t="shared" si="2"/>
        <v>0</v>
      </c>
    </row>
    <row r="145" spans="1:10" x14ac:dyDescent="0.25">
      <c r="A145" s="1" t="s">
        <v>255</v>
      </c>
      <c r="B145" s="5">
        <v>21005</v>
      </c>
      <c r="C145" s="1" t="s">
        <v>106</v>
      </c>
      <c r="D145" s="1" t="s">
        <v>12</v>
      </c>
      <c r="E145" s="4">
        <v>1.64</v>
      </c>
      <c r="F145" s="4"/>
      <c r="G145" s="39">
        <v>1</v>
      </c>
      <c r="H145" s="4"/>
      <c r="I145" s="50"/>
      <c r="J145" s="60">
        <f t="shared" si="2"/>
        <v>0</v>
      </c>
    </row>
    <row r="146" spans="1:10" x14ac:dyDescent="0.25">
      <c r="A146" s="1" t="s">
        <v>107</v>
      </c>
      <c r="B146" s="5">
        <v>21591</v>
      </c>
      <c r="C146" s="1" t="s">
        <v>240</v>
      </c>
      <c r="D146" s="1" t="s">
        <v>12</v>
      </c>
      <c r="E146" s="4">
        <v>1.45</v>
      </c>
      <c r="F146" s="4"/>
      <c r="G146" s="39">
        <v>0</v>
      </c>
      <c r="H146" s="4"/>
      <c r="I146" s="50"/>
      <c r="J146" s="60">
        <f t="shared" si="2"/>
        <v>0</v>
      </c>
    </row>
    <row r="147" spans="1:10" x14ac:dyDescent="0.25">
      <c r="A147" s="1" t="s">
        <v>255</v>
      </c>
      <c r="B147" s="5">
        <v>26701</v>
      </c>
      <c r="C147" s="1" t="s">
        <v>108</v>
      </c>
      <c r="D147" s="1" t="s">
        <v>12</v>
      </c>
      <c r="E147" s="4">
        <v>1.73</v>
      </c>
      <c r="F147" s="4"/>
      <c r="G147" s="39">
        <v>1</v>
      </c>
      <c r="H147" s="4"/>
      <c r="I147" s="50"/>
      <c r="J147" s="60">
        <f t="shared" si="2"/>
        <v>0</v>
      </c>
    </row>
    <row r="148" spans="1:10" x14ac:dyDescent="0.25">
      <c r="A148" s="1" t="s">
        <v>107</v>
      </c>
      <c r="B148" s="5">
        <v>1094862</v>
      </c>
      <c r="C148" s="1" t="s">
        <v>109</v>
      </c>
      <c r="D148" s="1" t="s">
        <v>12</v>
      </c>
      <c r="E148" s="4">
        <v>3.29</v>
      </c>
      <c r="F148" s="4"/>
      <c r="G148" s="39">
        <v>1</v>
      </c>
      <c r="H148" s="4"/>
      <c r="I148" s="50"/>
      <c r="J148" s="60">
        <f t="shared" si="2"/>
        <v>0</v>
      </c>
    </row>
    <row r="149" spans="1:10" x14ac:dyDescent="0.25">
      <c r="A149" s="1" t="s">
        <v>107</v>
      </c>
      <c r="B149" s="5">
        <v>5050</v>
      </c>
      <c r="C149" s="1" t="s">
        <v>110</v>
      </c>
      <c r="D149" s="1" t="s">
        <v>12</v>
      </c>
      <c r="E149" s="4">
        <v>4.12</v>
      </c>
      <c r="F149" s="4"/>
      <c r="G149" s="39">
        <v>1</v>
      </c>
      <c r="H149" s="4"/>
      <c r="I149" s="50"/>
      <c r="J149" s="60">
        <f t="shared" si="2"/>
        <v>0</v>
      </c>
    </row>
    <row r="150" spans="1:10" x14ac:dyDescent="0.25">
      <c r="A150" s="1" t="s">
        <v>255</v>
      </c>
      <c r="B150" s="5">
        <v>21529</v>
      </c>
      <c r="C150" s="1" t="s">
        <v>111</v>
      </c>
      <c r="D150" s="1" t="s">
        <v>12</v>
      </c>
      <c r="E150" s="4">
        <v>0.95</v>
      </c>
      <c r="F150" s="4"/>
      <c r="G150" s="39">
        <v>1</v>
      </c>
      <c r="H150" s="4"/>
      <c r="I150" s="50"/>
      <c r="J150" s="60">
        <f t="shared" si="2"/>
        <v>0</v>
      </c>
    </row>
    <row r="151" spans="1:10" x14ac:dyDescent="0.25">
      <c r="A151" s="1" t="s">
        <v>255</v>
      </c>
      <c r="B151" s="5">
        <v>21528</v>
      </c>
      <c r="C151" s="1" t="s">
        <v>112</v>
      </c>
      <c r="D151" s="1" t="s">
        <v>5</v>
      </c>
      <c r="E151" s="4">
        <v>1.1499999999999999</v>
      </c>
      <c r="F151" s="4"/>
      <c r="G151" s="39">
        <v>1</v>
      </c>
      <c r="H151" s="4"/>
      <c r="I151" s="50"/>
      <c r="J151" s="60">
        <f t="shared" si="2"/>
        <v>0</v>
      </c>
    </row>
    <row r="152" spans="1:10" x14ac:dyDescent="0.25">
      <c r="A152" s="1" t="s">
        <v>255</v>
      </c>
      <c r="B152" s="5">
        <v>21481</v>
      </c>
      <c r="C152" s="1" t="s">
        <v>113</v>
      </c>
      <c r="D152" s="1" t="s">
        <v>12</v>
      </c>
      <c r="E152" s="4">
        <v>0.63</v>
      </c>
      <c r="F152" s="4"/>
      <c r="G152" s="39">
        <v>1</v>
      </c>
      <c r="H152" s="4"/>
      <c r="I152" s="50"/>
      <c r="J152" s="60">
        <f t="shared" si="2"/>
        <v>0</v>
      </c>
    </row>
    <row r="153" spans="1:10" x14ac:dyDescent="0.25">
      <c r="A153" s="1" t="s">
        <v>115</v>
      </c>
      <c r="B153" s="5">
        <v>107</v>
      </c>
      <c r="C153" s="1" t="s">
        <v>114</v>
      </c>
      <c r="D153" s="1" t="s">
        <v>12</v>
      </c>
      <c r="E153" s="4">
        <v>3.01</v>
      </c>
      <c r="F153" s="4"/>
      <c r="G153" s="39">
        <v>1</v>
      </c>
      <c r="H153" s="4"/>
      <c r="I153" s="50"/>
      <c r="J153" s="60">
        <f t="shared" si="2"/>
        <v>0</v>
      </c>
    </row>
    <row r="154" spans="1:10" x14ac:dyDescent="0.25">
      <c r="A154" s="75" t="s">
        <v>84</v>
      </c>
      <c r="B154" s="5">
        <v>36038</v>
      </c>
      <c r="C154" s="1" t="s">
        <v>116</v>
      </c>
      <c r="D154" s="1" t="s">
        <v>12</v>
      </c>
      <c r="E154" s="4">
        <v>4.8099999999999996</v>
      </c>
      <c r="F154" s="4"/>
      <c r="G154" s="39">
        <v>1</v>
      </c>
      <c r="H154" s="4"/>
      <c r="I154" s="50"/>
      <c r="J154" s="60">
        <f t="shared" si="2"/>
        <v>0</v>
      </c>
    </row>
    <row r="155" spans="1:10" x14ac:dyDescent="0.25">
      <c r="A155" s="1" t="s">
        <v>92</v>
      </c>
      <c r="B155" s="5">
        <v>765</v>
      </c>
      <c r="C155" s="1" t="s">
        <v>117</v>
      </c>
      <c r="D155" s="1" t="s">
        <v>12</v>
      </c>
      <c r="E155" s="4">
        <v>1.1000000000000001</v>
      </c>
      <c r="F155" s="4"/>
      <c r="G155" s="39">
        <v>0</v>
      </c>
      <c r="H155" s="4"/>
      <c r="I155" s="50"/>
      <c r="J155" s="60">
        <f t="shared" si="2"/>
        <v>0</v>
      </c>
    </row>
    <row r="156" spans="1:10" s="82" customFormat="1" x14ac:dyDescent="0.25">
      <c r="A156" s="75" t="s">
        <v>256</v>
      </c>
      <c r="B156" s="79">
        <v>19850</v>
      </c>
      <c r="C156" s="75" t="s">
        <v>203</v>
      </c>
      <c r="D156" s="75" t="s">
        <v>5</v>
      </c>
      <c r="E156" s="81">
        <v>3.27</v>
      </c>
      <c r="F156" s="81"/>
      <c r="G156" s="77">
        <v>1</v>
      </c>
      <c r="H156" s="81"/>
      <c r="I156" s="50"/>
      <c r="J156" s="60">
        <f t="shared" si="2"/>
        <v>0</v>
      </c>
    </row>
    <row r="157" spans="1:10" x14ac:dyDescent="0.25">
      <c r="A157" s="70" t="s">
        <v>118</v>
      </c>
      <c r="B157" s="71" t="s">
        <v>161</v>
      </c>
      <c r="C157" s="70" t="s">
        <v>162</v>
      </c>
      <c r="D157" s="70" t="s">
        <v>12</v>
      </c>
      <c r="E157" s="72">
        <v>14.77</v>
      </c>
      <c r="F157" s="72"/>
      <c r="G157" s="73" t="s">
        <v>232</v>
      </c>
      <c r="H157" s="4"/>
      <c r="I157" s="50" t="s">
        <v>260</v>
      </c>
      <c r="J157" s="78" t="s">
        <v>232</v>
      </c>
    </row>
    <row r="158" spans="1:10" x14ac:dyDescent="0.25">
      <c r="A158" s="70" t="s">
        <v>189</v>
      </c>
      <c r="B158" s="71" t="s">
        <v>187</v>
      </c>
      <c r="C158" s="70" t="s">
        <v>188</v>
      </c>
      <c r="D158" s="70" t="s">
        <v>12</v>
      </c>
      <c r="E158" s="72">
        <v>0.94</v>
      </c>
      <c r="F158" s="72"/>
      <c r="G158" s="73" t="s">
        <v>232</v>
      </c>
      <c r="H158" s="4"/>
      <c r="I158" s="50" t="s">
        <v>260</v>
      </c>
      <c r="J158" s="78" t="s">
        <v>232</v>
      </c>
    </row>
    <row r="159" spans="1:10" x14ac:dyDescent="0.25">
      <c r="A159" s="1"/>
      <c r="B159" s="5"/>
      <c r="C159" s="1"/>
      <c r="D159" s="1"/>
      <c r="E159" s="4"/>
      <c r="F159" s="4"/>
      <c r="G159" s="39"/>
      <c r="H159" s="4"/>
      <c r="I159" s="50"/>
      <c r="J159" s="60"/>
    </row>
    <row r="160" spans="1:10" x14ac:dyDescent="0.25">
      <c r="A160" s="1"/>
      <c r="B160" s="5"/>
      <c r="C160" s="1"/>
      <c r="D160" s="1"/>
      <c r="E160" s="4"/>
      <c r="F160" s="4"/>
      <c r="G160" s="39"/>
      <c r="H160" s="4"/>
      <c r="I160" s="50"/>
      <c r="J160" s="60"/>
    </row>
    <row r="161" spans="1:10" x14ac:dyDescent="0.25">
      <c r="A161" s="1"/>
      <c r="B161" s="5"/>
      <c r="C161" s="3" t="s">
        <v>119</v>
      </c>
      <c r="D161" s="1"/>
      <c r="E161" s="4"/>
      <c r="F161" s="4"/>
      <c r="G161" s="67" t="s">
        <v>232</v>
      </c>
      <c r="H161" s="4"/>
      <c r="I161" s="50"/>
      <c r="J161" s="60"/>
    </row>
    <row r="162" spans="1:10" x14ac:dyDescent="0.25">
      <c r="A162" s="1" t="s">
        <v>120</v>
      </c>
      <c r="B162" s="5">
        <v>63038</v>
      </c>
      <c r="C162" s="8" t="s">
        <v>210</v>
      </c>
      <c r="D162" s="1" t="s">
        <v>12</v>
      </c>
      <c r="E162" s="4">
        <v>3.41</v>
      </c>
      <c r="F162" s="4"/>
      <c r="G162" s="68">
        <v>1</v>
      </c>
      <c r="H162" s="4"/>
      <c r="I162" s="50"/>
      <c r="J162" s="60">
        <f t="shared" si="2"/>
        <v>0</v>
      </c>
    </row>
    <row r="163" spans="1:10" x14ac:dyDescent="0.25">
      <c r="A163" s="1"/>
      <c r="B163" s="5"/>
      <c r="C163" s="1"/>
      <c r="D163" s="1"/>
      <c r="E163" s="4"/>
      <c r="F163" s="4"/>
      <c r="G163" s="4"/>
      <c r="H163" s="4"/>
      <c r="I163" s="62"/>
      <c r="J163" s="60"/>
    </row>
    <row r="164" spans="1:10" x14ac:dyDescent="0.25">
      <c r="A164" s="1"/>
      <c r="B164" s="5"/>
      <c r="C164" s="1"/>
      <c r="D164" s="1"/>
      <c r="E164" s="4"/>
      <c r="F164" s="4"/>
      <c r="G164" s="4"/>
      <c r="H164" s="4"/>
      <c r="I164" s="62"/>
      <c r="J164" s="60"/>
    </row>
    <row r="165" spans="1:10" x14ac:dyDescent="0.25">
      <c r="A165" s="1"/>
      <c r="B165" s="5"/>
      <c r="C165" s="1"/>
      <c r="D165" s="1"/>
      <c r="E165" s="4"/>
      <c r="F165" s="4"/>
      <c r="G165" s="4"/>
      <c r="H165" s="4"/>
      <c r="I165" s="62"/>
      <c r="J165" s="60"/>
    </row>
    <row r="166" spans="1:10" x14ac:dyDescent="0.25">
      <c r="A166" s="1"/>
      <c r="B166" s="5"/>
      <c r="C166" s="1"/>
      <c r="D166" s="1"/>
      <c r="E166" s="4"/>
      <c r="F166" s="4"/>
      <c r="G166" s="4"/>
      <c r="H166" s="4"/>
      <c r="I166" s="62"/>
      <c r="J166" s="60"/>
    </row>
    <row r="167" spans="1:10" s="2" customFormat="1" x14ac:dyDescent="0.25">
      <c r="A167" s="1"/>
      <c r="B167" s="5"/>
      <c r="C167" s="1"/>
      <c r="D167" s="1"/>
      <c r="E167" s="4"/>
      <c r="F167" s="4"/>
      <c r="G167" s="4"/>
      <c r="H167" s="4"/>
      <c r="I167" s="62"/>
      <c r="J167" s="60"/>
    </row>
    <row r="168" spans="1:10" s="2" customFormat="1" x14ac:dyDescent="0.25">
      <c r="B168" s="9"/>
      <c r="E168" s="10"/>
      <c r="F168" s="10"/>
      <c r="G168" s="10"/>
      <c r="H168" s="26" t="s">
        <v>233</v>
      </c>
      <c r="I168" s="47" t="s">
        <v>223</v>
      </c>
      <c r="J168" s="57">
        <f>SUM(J118:J167)</f>
        <v>0</v>
      </c>
    </row>
    <row r="169" spans="1:10" s="2" customFormat="1" x14ac:dyDescent="0.25">
      <c r="B169" s="9"/>
      <c r="E169" s="10"/>
      <c r="F169" s="10"/>
      <c r="G169" s="10"/>
      <c r="H169" s="10"/>
      <c r="I169" s="48"/>
      <c r="J169" s="58"/>
    </row>
    <row r="170" spans="1:10" s="2" customFormat="1" x14ac:dyDescent="0.25">
      <c r="B170" s="9"/>
      <c r="E170" s="10"/>
      <c r="F170" s="10"/>
      <c r="G170" s="10"/>
      <c r="H170" s="10"/>
      <c r="I170" s="48"/>
      <c r="J170" s="58"/>
    </row>
    <row r="171" spans="1:10" s="2" customFormat="1" x14ac:dyDescent="0.25">
      <c r="B171" s="9"/>
      <c r="E171" s="10"/>
      <c r="F171" s="10"/>
      <c r="G171" s="10"/>
      <c r="H171" s="10"/>
      <c r="I171" s="48"/>
      <c r="J171" s="58"/>
    </row>
    <row r="172" spans="1:10" s="2" customFormat="1" x14ac:dyDescent="0.25">
      <c r="B172" s="9"/>
      <c r="E172" s="10"/>
      <c r="F172" s="10"/>
      <c r="G172" s="10"/>
      <c r="H172" s="10"/>
      <c r="I172" s="48"/>
      <c r="J172" s="58"/>
    </row>
    <row r="173" spans="1:10" s="2" customFormat="1" x14ac:dyDescent="0.25">
      <c r="B173" s="9"/>
      <c r="E173" s="10"/>
      <c r="F173" s="10"/>
      <c r="G173" s="10"/>
      <c r="H173" s="10"/>
      <c r="I173" s="48"/>
      <c r="J173" s="58"/>
    </row>
    <row r="174" spans="1:10" s="2" customFormat="1" x14ac:dyDescent="0.25">
      <c r="B174" s="9"/>
      <c r="E174" s="10"/>
      <c r="F174" s="10"/>
      <c r="G174" s="10"/>
      <c r="H174" s="10"/>
      <c r="I174" s="48"/>
      <c r="J174" s="58"/>
    </row>
    <row r="175" spans="1:10" s="2" customFormat="1" ht="13.8" thickBot="1" x14ac:dyDescent="0.3">
      <c r="B175" s="9"/>
      <c r="E175" s="10"/>
      <c r="F175" s="10"/>
      <c r="G175" s="10"/>
      <c r="H175" s="10"/>
      <c r="I175" s="48"/>
      <c r="J175" s="58"/>
    </row>
    <row r="176" spans="1:10" ht="36.6" thickBot="1" x14ac:dyDescent="0.3">
      <c r="A176" s="21" t="s">
        <v>2</v>
      </c>
      <c r="B176" s="21" t="s">
        <v>0</v>
      </c>
      <c r="C176" s="21" t="s">
        <v>1</v>
      </c>
      <c r="D176" s="21" t="s">
        <v>217</v>
      </c>
      <c r="E176" s="22" t="s">
        <v>3</v>
      </c>
      <c r="F176" s="27"/>
      <c r="G176" s="25" t="s">
        <v>218</v>
      </c>
      <c r="H176" s="24" t="s">
        <v>219</v>
      </c>
      <c r="I176" s="44" t="s">
        <v>220</v>
      </c>
      <c r="J176" s="54" t="s">
        <v>221</v>
      </c>
    </row>
    <row r="177" spans="1:10" x14ac:dyDescent="0.25">
      <c r="A177" s="1"/>
      <c r="B177" s="5"/>
      <c r="C177" s="19" t="s">
        <v>121</v>
      </c>
      <c r="D177" s="1"/>
      <c r="E177" s="4"/>
      <c r="F177" s="40"/>
      <c r="G177" s="40"/>
      <c r="H177" s="40"/>
      <c r="I177" s="49"/>
      <c r="J177" s="59"/>
    </row>
    <row r="178" spans="1:10" x14ac:dyDescent="0.25">
      <c r="A178" s="1" t="s">
        <v>124</v>
      </c>
      <c r="B178" s="5" t="s">
        <v>122</v>
      </c>
      <c r="C178" s="1" t="s">
        <v>123</v>
      </c>
      <c r="D178" s="1" t="s">
        <v>12</v>
      </c>
      <c r="E178" s="4">
        <v>1.0900000000000001</v>
      </c>
      <c r="F178" s="4"/>
      <c r="G178" s="39">
        <v>2</v>
      </c>
      <c r="H178" s="4"/>
      <c r="I178" s="50"/>
      <c r="J178" s="60">
        <f>I178*E178</f>
        <v>0</v>
      </c>
    </row>
    <row r="179" spans="1:10" x14ac:dyDescent="0.25">
      <c r="A179" s="1" t="s">
        <v>124</v>
      </c>
      <c r="B179" s="5" t="s">
        <v>125</v>
      </c>
      <c r="C179" s="1" t="s">
        <v>126</v>
      </c>
      <c r="D179" s="1" t="s">
        <v>12</v>
      </c>
      <c r="E179" s="4">
        <v>1.89</v>
      </c>
      <c r="F179" s="4"/>
      <c r="G179" s="39">
        <v>1</v>
      </c>
      <c r="H179" s="4"/>
      <c r="I179" s="50"/>
      <c r="J179" s="60">
        <f t="shared" ref="J179:J191" si="3">I179*E179</f>
        <v>0</v>
      </c>
    </row>
    <row r="180" spans="1:10" x14ac:dyDescent="0.25">
      <c r="A180" s="1" t="s">
        <v>124</v>
      </c>
      <c r="B180" s="5" t="s">
        <v>127</v>
      </c>
      <c r="C180" s="1" t="s">
        <v>128</v>
      </c>
      <c r="D180" s="1" t="s">
        <v>12</v>
      </c>
      <c r="E180" s="4">
        <v>2.71</v>
      </c>
      <c r="F180" s="4"/>
      <c r="G180" s="39">
        <v>0</v>
      </c>
      <c r="H180" s="4"/>
      <c r="I180" s="50"/>
      <c r="J180" s="60">
        <f t="shared" si="3"/>
        <v>0</v>
      </c>
    </row>
    <row r="181" spans="1:10" x14ac:dyDescent="0.25">
      <c r="A181" s="1" t="s">
        <v>124</v>
      </c>
      <c r="B181" s="5" t="s">
        <v>129</v>
      </c>
      <c r="C181" s="1" t="s">
        <v>130</v>
      </c>
      <c r="D181" s="1" t="s">
        <v>12</v>
      </c>
      <c r="E181" s="4">
        <v>1.35</v>
      </c>
      <c r="F181" s="4"/>
      <c r="G181" s="39">
        <v>6</v>
      </c>
      <c r="H181" s="4"/>
      <c r="I181" s="50"/>
      <c r="J181" s="60">
        <f t="shared" si="3"/>
        <v>0</v>
      </c>
    </row>
    <row r="182" spans="1:10" x14ac:dyDescent="0.25">
      <c r="A182" s="1" t="s">
        <v>124</v>
      </c>
      <c r="B182" s="5" t="s">
        <v>163</v>
      </c>
      <c r="C182" s="1" t="s">
        <v>164</v>
      </c>
      <c r="D182" s="1" t="s">
        <v>12</v>
      </c>
      <c r="E182" s="4">
        <v>3.86</v>
      </c>
      <c r="F182" s="4"/>
      <c r="G182" s="39">
        <v>1</v>
      </c>
      <c r="H182" s="4"/>
      <c r="I182" s="50"/>
      <c r="J182" s="60">
        <f t="shared" si="3"/>
        <v>0</v>
      </c>
    </row>
    <row r="183" spans="1:10" x14ac:dyDescent="0.25">
      <c r="A183" s="1"/>
      <c r="B183" s="5"/>
      <c r="C183" s="1"/>
      <c r="D183" s="1"/>
      <c r="E183" s="4"/>
      <c r="F183" s="4"/>
      <c r="G183" s="39"/>
      <c r="H183" s="4"/>
      <c r="I183" s="50"/>
      <c r="J183" s="60"/>
    </row>
    <row r="184" spans="1:10" x14ac:dyDescent="0.25">
      <c r="A184" s="1"/>
      <c r="B184" s="5"/>
      <c r="C184" s="1"/>
      <c r="D184" s="1"/>
      <c r="E184" s="4"/>
      <c r="F184" s="4"/>
      <c r="G184" s="39"/>
      <c r="H184" s="4"/>
      <c r="I184" s="50"/>
      <c r="J184" s="60"/>
    </row>
    <row r="185" spans="1:10" x14ac:dyDescent="0.25">
      <c r="A185" s="1"/>
      <c r="B185" s="5"/>
      <c r="C185" s="19" t="s">
        <v>131</v>
      </c>
      <c r="D185" s="1"/>
      <c r="E185" s="4"/>
      <c r="F185" s="4"/>
      <c r="G185" s="39"/>
      <c r="H185" s="4"/>
      <c r="I185" s="50"/>
      <c r="J185" s="60"/>
    </row>
    <row r="186" spans="1:10" x14ac:dyDescent="0.25">
      <c r="A186" s="1" t="s">
        <v>216</v>
      </c>
      <c r="B186" s="5">
        <v>12930</v>
      </c>
      <c r="C186" s="1" t="s">
        <v>132</v>
      </c>
      <c r="D186" s="1" t="s">
        <v>12</v>
      </c>
      <c r="E186" s="4">
        <v>1.47</v>
      </c>
      <c r="F186" s="4"/>
      <c r="G186" s="39">
        <v>1</v>
      </c>
      <c r="H186" s="4"/>
      <c r="I186" s="50"/>
      <c r="J186" s="60">
        <f t="shared" si="3"/>
        <v>0</v>
      </c>
    </row>
    <row r="187" spans="1:10" x14ac:dyDescent="0.25">
      <c r="A187" s="1" t="s">
        <v>216</v>
      </c>
      <c r="B187" s="5">
        <v>12910</v>
      </c>
      <c r="C187" s="1" t="s">
        <v>133</v>
      </c>
      <c r="D187" s="1" t="s">
        <v>12</v>
      </c>
      <c r="E187" s="4">
        <v>1.47</v>
      </c>
      <c r="F187" s="4"/>
      <c r="G187" s="39">
        <v>1</v>
      </c>
      <c r="H187" s="4"/>
      <c r="I187" s="50"/>
      <c r="J187" s="60">
        <f t="shared" si="3"/>
        <v>0</v>
      </c>
    </row>
    <row r="188" spans="1:10" x14ac:dyDescent="0.25">
      <c r="A188" s="1" t="s">
        <v>216</v>
      </c>
      <c r="B188" s="5">
        <v>12931</v>
      </c>
      <c r="C188" s="1" t="s">
        <v>134</v>
      </c>
      <c r="D188" s="1" t="s">
        <v>12</v>
      </c>
      <c r="E188" s="4">
        <v>1.47</v>
      </c>
      <c r="F188" s="4"/>
      <c r="G188" s="39">
        <v>1</v>
      </c>
      <c r="H188" s="4"/>
      <c r="I188" s="50"/>
      <c r="J188" s="60">
        <f t="shared" si="3"/>
        <v>0</v>
      </c>
    </row>
    <row r="189" spans="1:10" x14ac:dyDescent="0.25">
      <c r="A189" s="70" t="s">
        <v>107</v>
      </c>
      <c r="B189" s="71">
        <v>30301</v>
      </c>
      <c r="C189" s="70" t="s">
        <v>135</v>
      </c>
      <c r="D189" s="70" t="s">
        <v>12</v>
      </c>
      <c r="E189" s="72">
        <v>0</v>
      </c>
      <c r="F189" s="72"/>
      <c r="G189" s="73">
        <v>0</v>
      </c>
      <c r="H189" s="72"/>
      <c r="I189" s="50" t="s">
        <v>259</v>
      </c>
      <c r="J189" s="60"/>
    </row>
    <row r="190" spans="1:10" x14ac:dyDescent="0.25">
      <c r="A190" s="1" t="s">
        <v>216</v>
      </c>
      <c r="B190" s="5">
        <v>12960</v>
      </c>
      <c r="C190" s="1" t="s">
        <v>173</v>
      </c>
      <c r="D190" s="1" t="s">
        <v>12</v>
      </c>
      <c r="E190" s="4">
        <v>1.81</v>
      </c>
      <c r="F190" s="4"/>
      <c r="G190" s="39">
        <v>0</v>
      </c>
      <c r="H190" s="4"/>
      <c r="I190" s="50"/>
      <c r="J190" s="60">
        <f t="shared" si="3"/>
        <v>0</v>
      </c>
    </row>
    <row r="191" spans="1:10" ht="11.25" customHeight="1" x14ac:dyDescent="0.25">
      <c r="A191" s="1" t="s">
        <v>216</v>
      </c>
      <c r="B191" s="5">
        <v>12940</v>
      </c>
      <c r="C191" s="1" t="s">
        <v>136</v>
      </c>
      <c r="D191" s="1" t="s">
        <v>12</v>
      </c>
      <c r="E191" s="4">
        <v>1.47</v>
      </c>
      <c r="F191" s="4"/>
      <c r="G191" s="39">
        <v>1</v>
      </c>
      <c r="H191" s="4"/>
      <c r="I191" s="50"/>
      <c r="J191" s="60">
        <f t="shared" si="3"/>
        <v>0</v>
      </c>
    </row>
    <row r="192" spans="1:10" ht="11.25" customHeight="1" x14ac:dyDescent="0.25">
      <c r="A192" s="1"/>
      <c r="B192" s="5"/>
      <c r="C192" s="1"/>
      <c r="D192" s="1"/>
      <c r="E192" s="4"/>
      <c r="F192" s="4"/>
      <c r="G192" s="39"/>
      <c r="H192" s="4"/>
      <c r="I192" s="50"/>
      <c r="J192" s="60"/>
    </row>
    <row r="193" spans="1:10" ht="11.25" customHeight="1" x14ac:dyDescent="0.25">
      <c r="A193" s="1"/>
      <c r="B193" s="5"/>
      <c r="C193" s="1"/>
      <c r="D193" s="1"/>
      <c r="E193" s="4"/>
      <c r="F193" s="4"/>
      <c r="G193" s="39"/>
      <c r="H193" s="4"/>
      <c r="I193" s="50"/>
      <c r="J193" s="60"/>
    </row>
    <row r="194" spans="1:10" x14ac:dyDescent="0.25">
      <c r="A194" s="1"/>
      <c r="B194" s="5"/>
      <c r="C194" s="66" t="s">
        <v>141</v>
      </c>
      <c r="D194" s="1"/>
      <c r="E194" s="4"/>
      <c r="F194" s="4"/>
      <c r="G194" s="39"/>
      <c r="H194" s="4"/>
      <c r="I194" s="50"/>
      <c r="J194" s="60"/>
    </row>
    <row r="195" spans="1:10" x14ac:dyDescent="0.25">
      <c r="A195" s="70" t="s">
        <v>143</v>
      </c>
      <c r="B195" s="71" t="s">
        <v>142</v>
      </c>
      <c r="C195" s="70" t="s">
        <v>235</v>
      </c>
      <c r="D195" s="70" t="s">
        <v>12</v>
      </c>
      <c r="E195" s="72">
        <v>6.83</v>
      </c>
      <c r="F195" s="72"/>
      <c r="G195" s="73" t="s">
        <v>232</v>
      </c>
      <c r="H195" s="4"/>
      <c r="I195" s="50" t="s">
        <v>260</v>
      </c>
      <c r="J195" s="78" t="s">
        <v>232</v>
      </c>
    </row>
    <row r="196" spans="1:10" x14ac:dyDescent="0.25">
      <c r="A196" s="70"/>
      <c r="B196" s="71"/>
      <c r="C196" s="91" t="s">
        <v>234</v>
      </c>
      <c r="D196" s="70" t="s">
        <v>237</v>
      </c>
      <c r="E196" s="72"/>
      <c r="F196" s="72"/>
      <c r="G196" s="73"/>
      <c r="H196" s="4"/>
      <c r="I196" s="50"/>
      <c r="J196" s="60"/>
    </row>
    <row r="197" spans="1:10" x14ac:dyDescent="0.25">
      <c r="A197" s="70" t="s">
        <v>143</v>
      </c>
      <c r="B197" s="71" t="s">
        <v>144</v>
      </c>
      <c r="C197" s="70" t="s">
        <v>145</v>
      </c>
      <c r="D197" s="70" t="s">
        <v>140</v>
      </c>
      <c r="E197" s="72">
        <v>2.21</v>
      </c>
      <c r="F197" s="72"/>
      <c r="G197" s="73" t="s">
        <v>232</v>
      </c>
      <c r="H197" s="4"/>
      <c r="I197" s="50" t="s">
        <v>260</v>
      </c>
      <c r="J197" s="78" t="s">
        <v>232</v>
      </c>
    </row>
    <row r="198" spans="1:10" x14ac:dyDescent="0.25">
      <c r="A198" s="70"/>
      <c r="B198" s="71"/>
      <c r="C198" s="91" t="s">
        <v>234</v>
      </c>
      <c r="D198" s="93" t="s">
        <v>236</v>
      </c>
      <c r="E198" s="94"/>
      <c r="F198" s="72"/>
      <c r="G198" s="73" t="s">
        <v>232</v>
      </c>
      <c r="H198" s="4"/>
      <c r="I198" s="50"/>
      <c r="J198" s="78" t="s">
        <v>232</v>
      </c>
    </row>
    <row r="199" spans="1:10" x14ac:dyDescent="0.25">
      <c r="A199" s="70"/>
      <c r="B199" s="71"/>
      <c r="C199" s="92"/>
      <c r="D199" s="70"/>
      <c r="E199" s="72"/>
      <c r="F199" s="72"/>
      <c r="G199" s="73"/>
      <c r="H199" s="4"/>
      <c r="I199" s="50"/>
      <c r="J199" s="78" t="s">
        <v>232</v>
      </c>
    </row>
    <row r="200" spans="1:10" x14ac:dyDescent="0.25">
      <c r="A200" s="70" t="s">
        <v>257</v>
      </c>
      <c r="B200" s="71" t="s">
        <v>165</v>
      </c>
      <c r="C200" s="70" t="s">
        <v>258</v>
      </c>
      <c r="D200" s="70" t="s">
        <v>12</v>
      </c>
      <c r="E200" s="72">
        <v>8.5</v>
      </c>
      <c r="F200" s="72"/>
      <c r="G200" s="73"/>
      <c r="H200" s="81"/>
      <c r="I200" s="50" t="s">
        <v>260</v>
      </c>
      <c r="J200" s="78" t="s">
        <v>232</v>
      </c>
    </row>
    <row r="201" spans="1:10" x14ac:dyDescent="0.25">
      <c r="A201" s="70"/>
      <c r="B201" s="71"/>
      <c r="C201" s="91" t="s">
        <v>234</v>
      </c>
      <c r="D201" s="70"/>
      <c r="E201" s="72"/>
      <c r="F201" s="72"/>
      <c r="G201" s="73"/>
      <c r="H201" s="81"/>
      <c r="I201" s="50"/>
      <c r="J201" s="78" t="s">
        <v>232</v>
      </c>
    </row>
    <row r="202" spans="1:10" x14ac:dyDescent="0.25">
      <c r="A202" s="1"/>
      <c r="B202" s="5"/>
      <c r="C202" s="1"/>
      <c r="D202" s="1"/>
      <c r="E202" s="4"/>
      <c r="F202" s="4"/>
      <c r="G202" s="39"/>
      <c r="H202" s="4"/>
      <c r="I202" s="50"/>
      <c r="J202" s="60"/>
    </row>
    <row r="203" spans="1:10" x14ac:dyDescent="0.25">
      <c r="A203" s="1"/>
      <c r="B203" s="5"/>
      <c r="C203" s="1"/>
      <c r="D203" s="1"/>
      <c r="E203" s="4"/>
      <c r="F203" s="4"/>
      <c r="G203" s="39"/>
      <c r="H203" s="4"/>
      <c r="I203" s="74"/>
      <c r="J203" s="60"/>
    </row>
    <row r="204" spans="1:10" x14ac:dyDescent="0.25">
      <c r="A204" s="1"/>
      <c r="B204" s="5"/>
      <c r="C204" s="1"/>
      <c r="D204" s="1"/>
      <c r="E204" s="4"/>
      <c r="F204" s="4"/>
      <c r="G204" s="4"/>
      <c r="H204" s="4"/>
      <c r="I204" s="74"/>
      <c r="J204" s="60"/>
    </row>
    <row r="205" spans="1:10" x14ac:dyDescent="0.25">
      <c r="A205" s="1"/>
      <c r="B205" s="5"/>
      <c r="C205" s="19" t="s">
        <v>146</v>
      </c>
      <c r="D205" s="1"/>
      <c r="E205" s="4"/>
      <c r="F205" s="4"/>
      <c r="G205" s="39"/>
      <c r="H205" s="4"/>
      <c r="I205" s="50"/>
      <c r="J205" s="60"/>
    </row>
    <row r="206" spans="1:10" x14ac:dyDescent="0.25">
      <c r="A206" s="8" t="s">
        <v>211</v>
      </c>
      <c r="B206" s="5" t="s">
        <v>147</v>
      </c>
      <c r="C206" s="1" t="s">
        <v>148</v>
      </c>
      <c r="D206" s="1" t="s">
        <v>12</v>
      </c>
      <c r="E206" s="4">
        <v>2.15</v>
      </c>
      <c r="F206" s="4"/>
      <c r="G206" s="39">
        <v>2</v>
      </c>
      <c r="H206" s="4"/>
      <c r="I206" s="50"/>
      <c r="J206" s="60">
        <f>I206*E206</f>
        <v>0</v>
      </c>
    </row>
    <row r="207" spans="1:10" x14ac:dyDescent="0.25">
      <c r="A207" s="1"/>
      <c r="B207" s="5"/>
      <c r="C207" s="1"/>
      <c r="D207" s="1"/>
      <c r="E207" s="4"/>
      <c r="F207" s="4"/>
      <c r="G207" s="39"/>
      <c r="H207" s="4"/>
      <c r="I207" s="50"/>
      <c r="J207" s="60"/>
    </row>
    <row r="208" spans="1:10" x14ac:dyDescent="0.25">
      <c r="A208" s="1"/>
      <c r="B208" s="5"/>
      <c r="C208" s="1"/>
      <c r="D208" s="1"/>
      <c r="E208" s="4"/>
      <c r="F208" s="4"/>
      <c r="G208" s="4"/>
      <c r="H208" s="4"/>
      <c r="I208" s="62"/>
      <c r="J208" s="60"/>
    </row>
    <row r="209" spans="1:10" x14ac:dyDescent="0.25">
      <c r="A209" s="1"/>
      <c r="B209" s="5"/>
      <c r="C209" s="1"/>
      <c r="D209" s="1"/>
      <c r="E209" s="4"/>
      <c r="F209" s="4"/>
      <c r="G209" s="4"/>
      <c r="H209" s="4"/>
      <c r="I209" s="62"/>
      <c r="J209" s="60"/>
    </row>
    <row r="210" spans="1:10" x14ac:dyDescent="0.25">
      <c r="A210" s="1"/>
      <c r="B210" s="5"/>
      <c r="C210" s="1"/>
      <c r="D210" s="1"/>
      <c r="E210" s="4"/>
      <c r="F210" s="4"/>
      <c r="G210" s="4"/>
      <c r="H210" s="4"/>
      <c r="I210" s="62"/>
      <c r="J210" s="60"/>
    </row>
    <row r="211" spans="1:10" x14ac:dyDescent="0.25">
      <c r="A211" s="1"/>
      <c r="B211" s="5"/>
      <c r="C211" s="1"/>
      <c r="D211" s="1"/>
      <c r="E211" s="4"/>
      <c r="F211" s="4"/>
      <c r="G211" s="4"/>
      <c r="H211" s="4"/>
      <c r="I211" s="62"/>
      <c r="J211" s="60"/>
    </row>
    <row r="212" spans="1:10" s="2" customFormat="1" x14ac:dyDescent="0.25">
      <c r="A212" s="1"/>
      <c r="B212" s="5"/>
      <c r="C212" s="1"/>
      <c r="D212" s="1"/>
      <c r="E212" s="4"/>
      <c r="F212" s="4"/>
      <c r="G212" s="4"/>
      <c r="H212" s="4"/>
      <c r="I212" s="62"/>
      <c r="J212" s="60"/>
    </row>
    <row r="213" spans="1:10" s="2" customFormat="1" x14ac:dyDescent="0.25">
      <c r="A213" s="1"/>
      <c r="B213" s="5"/>
      <c r="C213" s="1"/>
      <c r="D213" s="1"/>
      <c r="E213" s="4"/>
      <c r="F213" s="4"/>
      <c r="G213" s="4"/>
      <c r="H213" s="4"/>
      <c r="I213" s="62"/>
      <c r="J213" s="60"/>
    </row>
    <row r="214" spans="1:10" s="2" customFormat="1" x14ac:dyDescent="0.25">
      <c r="A214" s="1"/>
      <c r="B214" s="5"/>
      <c r="C214" s="1"/>
      <c r="D214" s="1"/>
      <c r="E214" s="4"/>
      <c r="F214" s="4"/>
      <c r="G214" s="4"/>
      <c r="H214" s="4"/>
      <c r="I214" s="62"/>
      <c r="J214" s="60"/>
    </row>
    <row r="215" spans="1:10" s="2" customFormat="1" x14ac:dyDescent="0.25">
      <c r="A215" s="1"/>
      <c r="B215" s="5"/>
      <c r="C215" s="1"/>
      <c r="D215" s="1"/>
      <c r="E215" s="4"/>
      <c r="F215" s="4"/>
      <c r="G215" s="4"/>
      <c r="H215" s="4"/>
      <c r="I215" s="62"/>
      <c r="J215" s="60"/>
    </row>
    <row r="216" spans="1:10" s="2" customFormat="1" x14ac:dyDescent="0.25">
      <c r="A216" s="1"/>
      <c r="B216" s="5"/>
      <c r="C216" s="1"/>
      <c r="D216" s="1"/>
      <c r="E216" s="4"/>
      <c r="F216" s="4"/>
      <c r="G216" s="4"/>
      <c r="H216" s="4"/>
      <c r="I216" s="62"/>
      <c r="J216" s="60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51"/>
      <c r="J217" s="60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51"/>
      <c r="J218" s="60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51"/>
      <c r="J219" s="60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51"/>
      <c r="J220" s="60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51"/>
      <c r="J221" s="60"/>
    </row>
    <row r="222" spans="1:10" x14ac:dyDescent="0.25">
      <c r="H222" s="26" t="s">
        <v>238</v>
      </c>
      <c r="I222" s="47" t="s">
        <v>223</v>
      </c>
      <c r="J222" s="57">
        <f>SUM(J178:J221)</f>
        <v>0</v>
      </c>
    </row>
    <row r="225" spans="8:10" x14ac:dyDescent="0.25">
      <c r="H225" s="26" t="s">
        <v>239</v>
      </c>
      <c r="I225" s="31"/>
      <c r="J225" s="57">
        <f>J222+J168+J108+J54</f>
        <v>0</v>
      </c>
    </row>
  </sheetData>
  <mergeCells count="1">
    <mergeCell ref="D198:E198"/>
  </mergeCells>
  <phoneticPr fontId="0" type="noConversion"/>
  <pageMargins left="0.25" right="0.25" top="1" bottom="0.5" header="0.5" footer="0.5"/>
  <pageSetup scale="80" orientation="portrait" r:id="rId1"/>
  <headerFooter alignWithMargins="0">
    <oddHeader>&amp;L&amp;"Arial,Bold"Dept. of Natural Resources
Housewares
2012 Price List&amp;C10/1/2012&amp;RPage &amp;P</oddHeader>
    <oddFooter>&amp;LMAXTEX, INC.
3620 FRANCIS CIRCLE
ALPHARETTA, GA 30004
RHONDA CELEBI&amp;C&amp;P&amp;RTELEPHONE:  800-241-1836
EXT. 340
CELL: 770-778-5188 
FAX #404-745-0123 
E:MAIL: rdc543@aol.com</oddFooter>
  </headerFooter>
  <rowBreaks count="3" manualBreakCount="3">
    <brk id="58" max="16383" man="1"/>
    <brk id="115" max="16383" man="1"/>
    <brk id="1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MaxTex,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MaxTex, Inc.</dc:creator>
  <cp:lastModifiedBy>Meditz, Pam</cp:lastModifiedBy>
  <cp:lastPrinted>2015-10-16T13:35:54Z</cp:lastPrinted>
  <dcterms:created xsi:type="dcterms:W3CDTF">2004-08-11T15:04:05Z</dcterms:created>
  <dcterms:modified xsi:type="dcterms:W3CDTF">2017-02-22T16:03:41Z</dcterms:modified>
</cp:coreProperties>
</file>