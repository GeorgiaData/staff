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PMeditz\Documents\My Documents\Operations\Red Book- Staff Resources documents-Policies\Agency Contracts\Uniforms\"/>
    </mc:Choice>
  </mc:AlternateContent>
  <xr:revisionPtr revIDLastSave="0" documentId="13_ncr:1_{BC6E2A11-2B41-4593-8F8F-76D0D3C571DF}" xr6:coauthVersionLast="36" xr6:coauthVersionMax="36" xr10:uidLastSave="{00000000-0000-0000-0000-000000000000}"/>
  <bookViews>
    <workbookView xWindow="0" yWindow="0" windowWidth="28800" windowHeight="11625" xr2:uid="{00000000-000D-0000-FFFF-FFFF00000000}"/>
  </bookViews>
  <sheets>
    <sheet name="GA Parks 2019-20 (Order Form)" sheetId="6" r:id="rId1"/>
    <sheet name="GA State Parks 2019-20 Price" sheetId="5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G45" i="6" l="1"/>
  <c r="F24" i="6"/>
  <c r="G24" i="6" s="1"/>
  <c r="G23" i="6"/>
  <c r="F21" i="6"/>
  <c r="G21" i="6" s="1"/>
  <c r="F20" i="6"/>
  <c r="G20" i="6" s="1"/>
  <c r="G17" i="6"/>
  <c r="G15" i="6"/>
  <c r="G12" i="6"/>
  <c r="G13" i="6"/>
  <c r="G44" i="6"/>
  <c r="G43" i="6"/>
  <c r="G42" i="6"/>
  <c r="G41" i="6"/>
  <c r="G39" i="6"/>
  <c r="G38" i="6"/>
  <c r="G37" i="6"/>
  <c r="G36" i="6"/>
  <c r="G35" i="6"/>
  <c r="G34" i="6"/>
  <c r="G33" i="6"/>
  <c r="G32" i="6"/>
  <c r="G31" i="6"/>
  <c r="G30" i="6"/>
  <c r="G29" i="6"/>
  <c r="G27" i="6"/>
  <c r="G26" i="6"/>
  <c r="G25" i="6"/>
  <c r="G22" i="6"/>
  <c r="G18" i="6"/>
  <c r="G16" i="6"/>
  <c r="G11" i="6"/>
  <c r="G10" i="6"/>
  <c r="G9" i="6"/>
  <c r="G8" i="6"/>
  <c r="G7" i="6"/>
  <c r="G6" i="6"/>
  <c r="G46" i="6" l="1"/>
</calcChain>
</file>

<file path=xl/sharedStrings.xml><?xml version="1.0" encoding="utf-8"?>
<sst xmlns="http://schemas.openxmlformats.org/spreadsheetml/2006/main" count="199" uniqueCount="154">
  <si>
    <t>Style Number</t>
  </si>
  <si>
    <t>Description</t>
  </si>
  <si>
    <t>Size</t>
  </si>
  <si>
    <t>Qty.</t>
  </si>
  <si>
    <t>2018-19 GA Parks National IPA Price</t>
  </si>
  <si>
    <t>Total Price</t>
  </si>
  <si>
    <t>PANTS</t>
  </si>
  <si>
    <t>WAIST     /SIZE</t>
  </si>
  <si>
    <t>INSEAM</t>
  </si>
  <si>
    <t>NP2102</t>
  </si>
  <si>
    <t>Men's 4 Pocket Twill Trouser - Earth Green</t>
  </si>
  <si>
    <t>NP2103</t>
  </si>
  <si>
    <t>Women's 4 Pocket Twill Trouser - Earth Green</t>
  </si>
  <si>
    <t>NP2110</t>
  </si>
  <si>
    <t>Men's Work Jean - Earth Green</t>
  </si>
  <si>
    <t>NP2111</t>
  </si>
  <si>
    <t>Women's Work Jean - Earth Green</t>
  </si>
  <si>
    <t>NP2240</t>
  </si>
  <si>
    <t>Men's Cargo Pant - Earth Green</t>
  </si>
  <si>
    <t>NP2241</t>
  </si>
  <si>
    <t>Women's Cargo Pant - Earth Green</t>
  </si>
  <si>
    <t>NP2142</t>
  </si>
  <si>
    <t>Women's Hiking Short - Earth Green</t>
  </si>
  <si>
    <t>NP2143</t>
  </si>
  <si>
    <t>Men's Hiking Short - Earth Green</t>
  </si>
  <si>
    <t>SHIRTS</t>
  </si>
  <si>
    <t>NECK or SIZE</t>
  </si>
  <si>
    <t>SLEEVE LENGTH</t>
  </si>
  <si>
    <t>HS1211</t>
  </si>
  <si>
    <t>Men's Short Sleeve Police Style Shirt w/GA DNR Emblem (2)</t>
  </si>
  <si>
    <t xml:space="preserve"> </t>
  </si>
  <si>
    <t>HS1115</t>
  </si>
  <si>
    <t>Men's Long Sleeve Police Style Shirt w/ GA DNR Emblem (2)</t>
  </si>
  <si>
    <t>HS1269</t>
  </si>
  <si>
    <t>Women's Short Sleeve Police Style Shirt w/ GA DNR Emblem (2)</t>
  </si>
  <si>
    <t>HS1168</t>
  </si>
  <si>
    <t>Women's Long Sleeve Police Style Shirt w/ GA DNR Emblem (2)</t>
  </si>
  <si>
    <t>SY60KH</t>
  </si>
  <si>
    <t>SY50KH</t>
  </si>
  <si>
    <t>OUTERWEAR</t>
  </si>
  <si>
    <t>NP5112</t>
  </si>
  <si>
    <t>Pullover Green Sweater w/Badge Tab &amp; GA DNR Emblem (2)</t>
  </si>
  <si>
    <t>NP5116</t>
  </si>
  <si>
    <t>Green Cardigan with GA DNR Emblem (2)</t>
  </si>
  <si>
    <t>NP3154</t>
  </si>
  <si>
    <t>Work Jacket - Green (Non-LE only) w/ GA DNR Emblem (2)</t>
  </si>
  <si>
    <t>NP3156</t>
  </si>
  <si>
    <t>Insulated Coveralls - Green w/ GA DNR Emblem (2)</t>
  </si>
  <si>
    <t>NP3152</t>
  </si>
  <si>
    <t>Uninsulated Coveralls - Green w/ GA DNR Emblem (2)</t>
  </si>
  <si>
    <t>US3091B</t>
  </si>
  <si>
    <t>Tru-Spec Olive Gen 2 Parka w/ GA DNR Emblem (2)</t>
  </si>
  <si>
    <t>US3092B</t>
  </si>
  <si>
    <t xml:space="preserve">Tru-Spec Foliage, Mircofleece Liner (No DNR Emblem) </t>
  </si>
  <si>
    <t>NP3190</t>
  </si>
  <si>
    <t xml:space="preserve">Bib Overalls - Green (No DNR Emblem) </t>
  </si>
  <si>
    <t>ACCESSORIES</t>
  </si>
  <si>
    <t>CU7240</t>
  </si>
  <si>
    <t>15" Black Polyester Clip On Tie</t>
  </si>
  <si>
    <t>No Size</t>
  </si>
  <si>
    <t>CU7241</t>
  </si>
  <si>
    <t>18" Black Polyester Clip On Tie</t>
  </si>
  <si>
    <t>CU7242</t>
  </si>
  <si>
    <t>20" Black Polyester Clip On Tie</t>
  </si>
  <si>
    <t>CO7112</t>
  </si>
  <si>
    <t>Samuel Broome Tie -- Black, 4-in-hand Tie</t>
  </si>
  <si>
    <t>HS7108</t>
  </si>
  <si>
    <t>Ball Cap - Winter - with DNR logo embroidered (1)</t>
  </si>
  <si>
    <t>HS7109</t>
  </si>
  <si>
    <t>Ball Cap - Summer - with DNR logo embroidered (1)</t>
  </si>
  <si>
    <t>NP7104</t>
  </si>
  <si>
    <t>Milan Straw Unisex Summer Ranger Dress Hat</t>
  </si>
  <si>
    <t>FL7012</t>
  </si>
  <si>
    <t>3 Piece Black Leather Strap for Campaign Hat</t>
  </si>
  <si>
    <t>FL7058</t>
  </si>
  <si>
    <t>1 Piece Black Hat Band for Campaign Hat</t>
  </si>
  <si>
    <t>NP7202</t>
  </si>
  <si>
    <t>Hat Trap for Ranger Hats, Black, Heavy Duty Molded Plastic</t>
  </si>
  <si>
    <t>GV0008</t>
  </si>
  <si>
    <t>Black, 1 3/4" Garrison Belt w/Silver Buckle - Boston Leather</t>
  </si>
  <si>
    <t>MATERNITY</t>
  </si>
  <si>
    <t>US2017</t>
  </si>
  <si>
    <t xml:space="preserve">Maternity Cargo Pant - Earth Green </t>
  </si>
  <si>
    <t>US2019</t>
  </si>
  <si>
    <t xml:space="preserve">Maternity 4 Pocket Twill Trouser - Earth Green </t>
  </si>
  <si>
    <t>US1071</t>
  </si>
  <si>
    <t>Short Sleeve Police Style Maternity Shirt w/ GA DNR Emblem (2)</t>
  </si>
  <si>
    <t>US1072</t>
  </si>
  <si>
    <t>Long Sleeve Police Style Maternity Shirt w/ GA DNR Emblem (2)</t>
  </si>
  <si>
    <t>*Contract Price includes customizations such as sewing emblems</t>
  </si>
  <si>
    <t>GRAND TOTAL</t>
  </si>
  <si>
    <t>PARK NAME:</t>
  </si>
  <si>
    <r>
      <t xml:space="preserve">Completed Order forms may be faxed to 888-778-8326 or       emailed to:  </t>
    </r>
    <r>
      <rPr>
        <b/>
        <sz val="10"/>
        <color indexed="8"/>
        <rFont val="Calibri"/>
        <family val="2"/>
      </rPr>
      <t>customerservice@servicewearapparel.com</t>
    </r>
    <r>
      <rPr>
        <sz val="10"/>
        <color indexed="8"/>
        <rFont val="Calibri"/>
        <family val="2"/>
      </rPr>
      <t>.                                                                                              Customized Garments may not be returned.                                                                       If you have questions about your order, please contact Customer Service at 866-746-2108.</t>
    </r>
  </si>
  <si>
    <t>STREET ADDRESS:</t>
  </si>
  <si>
    <t xml:space="preserve">CITY, STATE/ZIP:  </t>
  </si>
  <si>
    <t xml:space="preserve">CONTACT:  </t>
  </si>
  <si>
    <t xml:space="preserve">CONTACT PHONE:  </t>
  </si>
  <si>
    <t xml:space="preserve">CONTACT E MAIL:  </t>
  </si>
  <si>
    <t>(NET PAYMENT DUE WITHIN 30 DAYS)</t>
  </si>
  <si>
    <t>3-18</t>
  </si>
  <si>
    <t>Style #</t>
  </si>
  <si>
    <t xml:space="preserve"> Earth Green, Men's 4 Pocket Twill Trouser </t>
  </si>
  <si>
    <t xml:space="preserve"> Earth Green, Women's 4 Pocket Twill Trouser </t>
  </si>
  <si>
    <t xml:space="preserve"> Earth Green, Men's Work Jean </t>
  </si>
  <si>
    <t xml:space="preserve"> Earth Green, Women's Work Jean </t>
  </si>
  <si>
    <t xml:space="preserve"> Earth Green, Men's Cargo Pant</t>
  </si>
  <si>
    <t xml:space="preserve"> Earth Green, Women's Cargo Pant</t>
  </si>
  <si>
    <t xml:space="preserve"> Earth Green, Men's Cargo Short</t>
  </si>
  <si>
    <t xml:space="preserve"> Earth Green, Women's Cargo Short</t>
  </si>
  <si>
    <t xml:space="preserve"> Silver Tan, Men's New Dimension  Shirt - SS</t>
  </si>
  <si>
    <t xml:space="preserve"> Silver Tan, Men's New Dimension  Shirt - LS</t>
  </si>
  <si>
    <t xml:space="preserve"> Silver Tan, Women's New Dimension  Shirt - SS</t>
  </si>
  <si>
    <t xml:space="preserve"> Silver Tan, Women's New Dimension  Shirt  - LS</t>
  </si>
  <si>
    <t xml:space="preserve"> Khaki Long Sleeve Rip Stop Work Shirt</t>
  </si>
  <si>
    <t xml:space="preserve"> Khaki Short Sleeve Rip Stop Work Shirt</t>
  </si>
  <si>
    <t>SMT2GY</t>
  </si>
  <si>
    <t xml:space="preserve"> Bulwark FR Shirt -- Grey, FR Cool Touch Tee - Long Sleeve</t>
  </si>
  <si>
    <t>SMT2NV</t>
  </si>
  <si>
    <t xml:space="preserve"> Bulwark FR Shirt -- Navy, FR Cool Touch Tee - Long Sleeve</t>
  </si>
  <si>
    <t xml:space="preserve"> Earth Green, Unisex National Park Service Acrylic V</t>
  </si>
  <si>
    <t xml:space="preserve"> Earth Green, Unisex 100% Acrylic Cardigan Sweater with Button Front</t>
  </si>
  <si>
    <t xml:space="preserve"> Earth Green, Unisex National Park Service 10 oz. Duck Cloth Work Jacket</t>
  </si>
  <si>
    <t xml:space="preserve"> Tru-Spec Olive Drab, H2O Proof ECWCS Gen Parka</t>
  </si>
  <si>
    <t xml:space="preserve"> Tru-spec Foliage, Mircofleece Jacket Liner </t>
  </si>
  <si>
    <t xml:space="preserve"> Earth Green, Unisex Insulated Coverall</t>
  </si>
  <si>
    <t xml:space="preserve"> Earth Green, Unlined Coverall</t>
  </si>
  <si>
    <t xml:space="preserve"> Earth Green, Insulated Bib Overall </t>
  </si>
  <si>
    <t xml:space="preserve"> Earth Green,  Twill Ballcap</t>
  </si>
  <si>
    <t xml:space="preserve"> Earth Green, Twill Mesh Ball Cap</t>
  </si>
  <si>
    <t xml:space="preserve"> Straw, Milan Straw Unisex Summer Ranger Dress Hat</t>
  </si>
  <si>
    <t xml:space="preserve"> Black, Campaign Hat 3 Piece Leather Strap</t>
  </si>
  <si>
    <t xml:space="preserve"> Black, Campaign Hat 1 Piece Hat Band</t>
  </si>
  <si>
    <t xml:space="preserve"> Black, Heavy Duty Molded Plastic Hat Trap for Ranger Hats</t>
  </si>
  <si>
    <t xml:space="preserve"> Samuel Broome Tie -- Black, 15 Inch Clip On Tie</t>
  </si>
  <si>
    <t xml:space="preserve"> Samuel Broome Tie -- Black, 18 Inch Clip On Tie</t>
  </si>
  <si>
    <t xml:space="preserve"> Samuel Broome Tie -- Black, 20 Inch Clip On Tie</t>
  </si>
  <si>
    <t xml:space="preserve"> Samuel Broome Tie -- Black, 4-in-hand Tie</t>
  </si>
  <si>
    <t xml:space="preserve"> Black, 1 3/4" Garrison Belt w/ Silver Buckle</t>
  </si>
  <si>
    <t xml:space="preserve"> Horace Small Pant -- Earth Green, Maternity Cargo Pant - Virtual</t>
  </si>
  <si>
    <t xml:space="preserve"> Horace Small Pant -- Earth Green, Maternity Twill Trouser - Virtual</t>
  </si>
  <si>
    <t xml:space="preserve"> Short Sleeve Police Style Maternity Shirt</t>
  </si>
  <si>
    <t xml:space="preserve"> Long Sleeve Police Style Maternity Shirt</t>
  </si>
  <si>
    <t>Customization:</t>
  </si>
  <si>
    <t>AM</t>
  </si>
  <si>
    <t>Sew emblem onto garment</t>
  </si>
  <si>
    <t>EL</t>
  </si>
  <si>
    <t>Embroider logo onto garment</t>
  </si>
  <si>
    <t>ZM</t>
  </si>
  <si>
    <t>Insert a maternity Panel</t>
  </si>
  <si>
    <t>*Effective April 1, 2019 - March 31, 2020</t>
  </si>
  <si>
    <t>GA Parks 2019-20 National IPA Contract Pricing*</t>
  </si>
  <si>
    <t xml:space="preserve">2019-20 Georgia State Parks </t>
  </si>
  <si>
    <t>Pricing valid from 4/1/2019 through 3/31/2020</t>
  </si>
  <si>
    <t>PSoft # 0000478357-3   / Contract # 46200-469-022018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</si>
</sst>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2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20"/>
      <color indexed="8"/>
      <name val="Arial"/>
      <family val="2"/>
    </font>
    <font>
      <b/>
      <sz val="18"/>
      <color indexed="8"/>
      <name val="Arial"/>
      <family val="2"/>
    </font>
    <font>
      <b/>
      <sz val="9"/>
      <name val="Arial"/>
      <family val="2"/>
    </font>
    <font>
      <b/>
      <sz val="10"/>
      <color indexed="8"/>
      <name val="Calibri"/>
      <family val="2"/>
    </font>
    <font>
      <sz val="10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indexed="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8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47502A"/>
        <bgColor indexed="64"/>
      </patternFill>
    </fill>
    <fill>
      <patternFill patternType="solid">
        <fgColor rgb="FFC5D1A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C0CB9D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3">
    <xf numFmtId="0" fontId="0" fillId="0" borderId="0"/>
    <xf numFmtId="43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9" fillId="0" borderId="0"/>
    <xf numFmtId="0" fontId="3" fillId="0" borderId="0">
      <alignment vertical="top"/>
    </xf>
    <xf numFmtId="0" fontId="11" fillId="0" borderId="0"/>
    <xf numFmtId="0" fontId="3" fillId="0" borderId="0">
      <alignment vertical="top"/>
    </xf>
    <xf numFmtId="0" fontId="9" fillId="0" borderId="0"/>
    <xf numFmtId="0" fontId="2" fillId="0" borderId="0"/>
    <xf numFmtId="0" fontId="3" fillId="0" borderId="0">
      <alignment vertical="top"/>
    </xf>
    <xf numFmtId="0" fontId="3" fillId="0" borderId="0">
      <alignment vertical="top"/>
    </xf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3" fillId="0" borderId="0">
      <alignment vertical="top"/>
    </xf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8">
    <xf numFmtId="0" fontId="0" fillId="0" borderId="0" xfId="0"/>
    <xf numFmtId="0" fontId="0" fillId="0" borderId="1" xfId="0" applyBorder="1"/>
    <xf numFmtId="1" fontId="2" fillId="0" borderId="1" xfId="0" applyNumberFormat="1" applyFont="1" applyBorder="1" applyAlignment="1" applyProtection="1">
      <alignment wrapText="1"/>
      <protection locked="0"/>
    </xf>
    <xf numFmtId="0" fontId="11" fillId="0" borderId="1" xfId="0" applyFont="1" applyBorder="1"/>
    <xf numFmtId="0" fontId="3" fillId="0" borderId="1" xfId="0" applyFont="1" applyBorder="1"/>
    <xf numFmtId="0" fontId="3" fillId="0" borderId="1" xfId="0" applyFont="1" applyBorder="1" applyAlignment="1">
      <alignment horizontal="left" wrapText="1"/>
    </xf>
    <xf numFmtId="0" fontId="11" fillId="0" borderId="1" xfId="0" applyFont="1" applyBorder="1" applyAlignment="1">
      <alignment wrapText="1"/>
    </xf>
    <xf numFmtId="0" fontId="2" fillId="0" borderId="1" xfId="0" applyFont="1" applyBorder="1" applyAlignment="1">
      <alignment horizontal="left"/>
    </xf>
    <xf numFmtId="0" fontId="10" fillId="3" borderId="1" xfId="0" applyFont="1" applyFill="1" applyBorder="1" applyAlignment="1">
      <alignment vertical="center"/>
    </xf>
    <xf numFmtId="1" fontId="0" fillId="2" borderId="0" xfId="0" applyNumberFormat="1" applyFill="1" applyAlignment="1">
      <alignment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6" fillId="4" borderId="1" xfId="0" applyNumberFormat="1" applyFont="1" applyFill="1" applyBorder="1" applyAlignment="1">
      <alignment horizontal="center" vertical="center" wrapText="1"/>
    </xf>
    <xf numFmtId="44" fontId="6" fillId="4" borderId="1" xfId="2" applyFont="1" applyFill="1" applyBorder="1" applyAlignment="1">
      <alignment horizontal="center" vertical="center" wrapText="1"/>
    </xf>
    <xf numFmtId="44" fontId="6" fillId="4" borderId="3" xfId="2" applyFont="1" applyFill="1" applyBorder="1" applyAlignment="1">
      <alignment horizontal="center" vertical="center" wrapText="1"/>
    </xf>
    <xf numFmtId="1" fontId="13" fillId="2" borderId="1" xfId="0" applyNumberFormat="1" applyFont="1" applyFill="1" applyBorder="1" applyAlignment="1" applyProtection="1">
      <alignment horizontal="right" wrapText="1" indent="1"/>
      <protection locked="0"/>
    </xf>
    <xf numFmtId="1" fontId="13" fillId="2" borderId="1" xfId="0" applyNumberFormat="1" applyFont="1" applyFill="1" applyBorder="1" applyAlignment="1">
      <alignment horizontal="center" wrapText="1"/>
    </xf>
    <xf numFmtId="0" fontId="13" fillId="2" borderId="1" xfId="0" applyFont="1" applyFill="1" applyBorder="1" applyAlignment="1">
      <alignment horizontal="center" vertical="center" wrapText="1"/>
    </xf>
    <xf numFmtId="1" fontId="14" fillId="2" borderId="1" xfId="0" applyNumberFormat="1" applyFont="1" applyFill="1" applyBorder="1" applyAlignment="1">
      <alignment horizontal="right" wrapText="1" indent="1"/>
    </xf>
    <xf numFmtId="44" fontId="14" fillId="2" borderId="1" xfId="2" applyFont="1" applyFill="1" applyBorder="1" applyAlignment="1">
      <alignment horizontal="right" wrapText="1" indent="1"/>
    </xf>
    <xf numFmtId="1" fontId="14" fillId="0" borderId="1" xfId="0" applyNumberFormat="1" applyFont="1" applyBorder="1" applyAlignment="1" applyProtection="1">
      <alignment wrapText="1"/>
      <protection locked="0"/>
    </xf>
    <xf numFmtId="0" fontId="15" fillId="0" borderId="1" xfId="0" applyFont="1" applyBorder="1"/>
    <xf numFmtId="0" fontId="15" fillId="0" borderId="1" xfId="0" applyFont="1" applyBorder="1" applyAlignment="1">
      <alignment horizontal="right"/>
    </xf>
    <xf numFmtId="44" fontId="9" fillId="2" borderId="1" xfId="2" applyFill="1" applyBorder="1" applyAlignment="1" applyProtection="1">
      <alignment horizontal="right" wrapText="1"/>
      <protection locked="0"/>
    </xf>
    <xf numFmtId="44" fontId="14" fillId="0" borderId="1" xfId="2" applyFont="1" applyBorder="1" applyAlignment="1">
      <alignment horizontal="right" wrapText="1"/>
    </xf>
    <xf numFmtId="0" fontId="15" fillId="0" borderId="1" xfId="0" applyFont="1" applyBorder="1" applyAlignment="1">
      <alignment horizontal="left"/>
    </xf>
    <xf numFmtId="0" fontId="14" fillId="2" borderId="1" xfId="0" applyFont="1" applyFill="1" applyBorder="1" applyAlignment="1">
      <alignment horizontal="right" wrapText="1" indent="1"/>
    </xf>
    <xf numFmtId="1" fontId="14" fillId="2" borderId="1" xfId="0" applyNumberFormat="1" applyFont="1" applyFill="1" applyBorder="1" applyAlignment="1" applyProtection="1">
      <alignment horizontal="right" wrapText="1" indent="1"/>
      <protection locked="0"/>
    </xf>
    <xf numFmtId="0" fontId="16" fillId="0" borderId="1" xfId="0" applyFont="1" applyBorder="1" applyAlignment="1">
      <alignment horizontal="center"/>
    </xf>
    <xf numFmtId="0" fontId="14" fillId="0" borderId="1" xfId="0" applyFont="1" applyBorder="1" applyAlignment="1">
      <alignment horizontal="right" wrapText="1" indent="1"/>
    </xf>
    <xf numFmtId="1" fontId="14" fillId="0" borderId="1" xfId="0" applyNumberFormat="1" applyFont="1" applyBorder="1" applyAlignment="1">
      <alignment horizontal="right" wrapText="1" indent="1"/>
    </xf>
    <xf numFmtId="0" fontId="12" fillId="0" borderId="1" xfId="0" applyFont="1" applyBorder="1" applyAlignment="1">
      <alignment horizontal="center"/>
    </xf>
    <xf numFmtId="0" fontId="14" fillId="0" borderId="1" xfId="0" applyFont="1" applyBorder="1"/>
    <xf numFmtId="0" fontId="13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 wrapText="1"/>
    </xf>
    <xf numFmtId="1" fontId="17" fillId="0" borderId="1" xfId="0" applyNumberFormat="1" applyFont="1" applyBorder="1" applyAlignment="1">
      <alignment horizontal="right" wrapText="1"/>
    </xf>
    <xf numFmtId="1" fontId="0" fillId="2" borderId="1" xfId="0" applyNumberFormat="1" applyFill="1" applyBorder="1" applyAlignment="1" applyProtection="1">
      <alignment horizontal="right"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0" borderId="1" xfId="0" applyBorder="1" applyAlignment="1" applyProtection="1">
      <alignment wrapText="1"/>
      <protection locked="0"/>
    </xf>
    <xf numFmtId="1" fontId="0" fillId="0" borderId="1" xfId="0" applyNumberFormat="1" applyBorder="1" applyAlignment="1" applyProtection="1">
      <alignment horizontal="right" wrapText="1"/>
      <protection locked="0"/>
    </xf>
    <xf numFmtId="0" fontId="14" fillId="0" borderId="0" xfId="0" applyFont="1"/>
    <xf numFmtId="0" fontId="13" fillId="0" borderId="0" xfId="0" applyFont="1" applyAlignment="1">
      <alignment horizontal="center"/>
    </xf>
    <xf numFmtId="1" fontId="0" fillId="0" borderId="4" xfId="0" applyNumberFormat="1" applyBorder="1" applyAlignment="1" applyProtection="1">
      <alignment horizontal="right" wrapText="1"/>
      <protection locked="0"/>
    </xf>
    <xf numFmtId="0" fontId="15" fillId="0" borderId="1" xfId="0" applyFont="1" applyBorder="1" applyAlignment="1">
      <alignment horizontal="left" wrapText="1"/>
    </xf>
    <xf numFmtId="0" fontId="0" fillId="0" borderId="1" xfId="0" applyBorder="1" applyAlignment="1">
      <alignment wrapText="1"/>
    </xf>
    <xf numFmtId="1" fontId="14" fillId="0" borderId="0" xfId="0" applyNumberFormat="1" applyFont="1" applyProtection="1">
      <protection locked="0"/>
    </xf>
    <xf numFmtId="0" fontId="0" fillId="0" borderId="0" xfId="0" applyAlignment="1">
      <alignment wrapText="1"/>
    </xf>
    <xf numFmtId="0" fontId="0" fillId="0" borderId="0" xfId="0" applyAlignment="1" applyProtection="1">
      <alignment wrapText="1"/>
      <protection locked="0"/>
    </xf>
    <xf numFmtId="44" fontId="9" fillId="2" borderId="3" xfId="2" applyFill="1" applyBorder="1" applyAlignment="1" applyProtection="1">
      <alignment horizontal="right" wrapText="1"/>
      <protection locked="0"/>
    </xf>
    <xf numFmtId="1" fontId="0" fillId="2" borderId="0" xfId="0" applyNumberFormat="1" applyFill="1" applyAlignment="1" applyProtection="1">
      <alignment wrapText="1"/>
      <protection locked="0"/>
    </xf>
    <xf numFmtId="0" fontId="0" fillId="2" borderId="0" xfId="0" applyFill="1" applyAlignment="1" applyProtection="1">
      <alignment wrapText="1"/>
      <protection locked="0"/>
    </xf>
    <xf numFmtId="1" fontId="18" fillId="2" borderId="0" xfId="0" applyNumberFormat="1" applyFont="1" applyFill="1" applyAlignment="1" applyProtection="1">
      <alignment wrapText="1"/>
      <protection locked="0"/>
    </xf>
    <xf numFmtId="0" fontId="18" fillId="2" borderId="0" xfId="0" applyFont="1" applyFill="1" applyAlignment="1" applyProtection="1">
      <alignment wrapText="1"/>
      <protection locked="0"/>
    </xf>
    <xf numFmtId="1" fontId="19" fillId="2" borderId="5" xfId="0" applyNumberFormat="1" applyFont="1" applyFill="1" applyBorder="1" applyAlignment="1" applyProtection="1">
      <alignment horizontal="right" wrapText="1"/>
      <protection locked="0"/>
    </xf>
    <xf numFmtId="44" fontId="19" fillId="2" borderId="5" xfId="2" applyFont="1" applyFill="1" applyBorder="1" applyAlignment="1" applyProtection="1">
      <alignment horizontal="right" wrapText="1"/>
      <protection locked="0"/>
    </xf>
    <xf numFmtId="44" fontId="11" fillId="2" borderId="6" xfId="2" applyFont="1" applyFill="1" applyBorder="1" applyAlignment="1" applyProtection="1">
      <alignment wrapText="1"/>
      <protection locked="0"/>
    </xf>
    <xf numFmtId="0" fontId="18" fillId="5" borderId="0" xfId="0" applyFont="1" applyFill="1" applyAlignment="1" applyProtection="1">
      <alignment wrapText="1"/>
      <protection locked="0"/>
    </xf>
    <xf numFmtId="0" fontId="18" fillId="2" borderId="0" xfId="0" applyFont="1" applyFill="1" applyAlignment="1" applyProtection="1">
      <alignment horizontal="left" vertical="top" wrapText="1"/>
      <protection locked="0"/>
    </xf>
    <xf numFmtId="1" fontId="18" fillId="2" borderId="0" xfId="0" applyNumberFormat="1" applyFont="1" applyFill="1" applyAlignment="1" applyProtection="1">
      <alignment horizontal="left" vertical="top" wrapText="1"/>
      <protection locked="0"/>
    </xf>
    <xf numFmtId="44" fontId="18" fillId="2" borderId="0" xfId="2" applyFont="1" applyFill="1" applyAlignment="1" applyProtection="1">
      <alignment horizontal="left" vertical="top" wrapText="1"/>
      <protection locked="0"/>
    </xf>
    <xf numFmtId="0" fontId="0" fillId="5" borderId="0" xfId="0" applyFill="1" applyAlignment="1" applyProtection="1">
      <alignment wrapText="1"/>
      <protection locked="0"/>
    </xf>
    <xf numFmtId="1" fontId="0" fillId="5" borderId="0" xfId="0" applyNumberFormat="1" applyFill="1" applyAlignment="1" applyProtection="1">
      <alignment wrapText="1"/>
      <protection locked="0"/>
    </xf>
    <xf numFmtId="44" fontId="9" fillId="5" borderId="0" xfId="2" applyFill="1" applyAlignment="1" applyProtection="1">
      <alignment horizontal="right" wrapText="1"/>
      <protection locked="0"/>
    </xf>
    <xf numFmtId="49" fontId="0" fillId="5" borderId="0" xfId="0" applyNumberFormat="1" applyFill="1" applyAlignment="1" applyProtection="1">
      <alignment wrapText="1"/>
      <protection locked="0"/>
    </xf>
    <xf numFmtId="44" fontId="9" fillId="2" borderId="0" xfId="2" applyFill="1" applyAlignment="1" applyProtection="1">
      <alignment horizontal="right" wrapText="1"/>
      <protection locked="0"/>
    </xf>
    <xf numFmtId="44" fontId="10" fillId="3" borderId="1" xfId="2" applyFont="1" applyFill="1" applyBorder="1" applyAlignment="1">
      <alignment horizontal="center" vertical="center" wrapText="1"/>
    </xf>
    <xf numFmtId="44" fontId="9" fillId="0" borderId="0" xfId="2"/>
    <xf numFmtId="44" fontId="9" fillId="0" borderId="1" xfId="2" applyBorder="1"/>
    <xf numFmtId="44" fontId="9" fillId="2" borderId="1" xfId="2" quotePrefix="1" applyFill="1" applyBorder="1" applyAlignment="1" applyProtection="1">
      <alignment horizontal="right" wrapText="1"/>
      <protection locked="0"/>
    </xf>
    <xf numFmtId="44" fontId="9" fillId="5" borderId="1" xfId="2" applyFill="1" applyBorder="1"/>
    <xf numFmtId="1" fontId="6" fillId="4" borderId="3" xfId="0" applyNumberFormat="1" applyFont="1" applyFill="1" applyBorder="1" applyAlignment="1">
      <alignment horizontal="center" vertical="center" wrapText="1"/>
    </xf>
    <xf numFmtId="0" fontId="21" fillId="0" borderId="0" xfId="0" applyFont="1"/>
    <xf numFmtId="44" fontId="5" fillId="2" borderId="2" xfId="2" applyFont="1" applyFill="1" applyBorder="1" applyAlignment="1">
      <alignment horizontal="center" vertical="center" wrapText="1"/>
    </xf>
    <xf numFmtId="0" fontId="18" fillId="0" borderId="0" xfId="0" applyFont="1" applyFill="1" applyAlignment="1" applyProtection="1">
      <alignment horizontal="left" vertical="top"/>
      <protection locked="0"/>
    </xf>
    <xf numFmtId="1" fontId="18" fillId="0" borderId="0" xfId="0" applyNumberFormat="1" applyFont="1" applyFill="1" applyAlignment="1" applyProtection="1">
      <alignment horizontal="left" vertical="top" wrapText="1"/>
      <protection locked="0"/>
    </xf>
    <xf numFmtId="44" fontId="18" fillId="0" borderId="0" xfId="2" applyFont="1" applyFill="1" applyAlignment="1" applyProtection="1">
      <alignment horizontal="left" vertical="top" wrapText="1"/>
      <protection locked="0"/>
    </xf>
    <xf numFmtId="1" fontId="12" fillId="5" borderId="5" xfId="0" applyNumberFormat="1" applyFont="1" applyFill="1" applyBorder="1" applyAlignment="1" applyProtection="1">
      <alignment horizontal="left" wrapText="1"/>
      <protection locked="0"/>
    </xf>
    <xf numFmtId="1" fontId="12" fillId="5" borderId="2" xfId="0" applyNumberFormat="1" applyFont="1" applyFill="1" applyBorder="1" applyAlignment="1" applyProtection="1">
      <alignment horizontal="left" wrapText="1"/>
      <protection locked="0"/>
    </xf>
    <xf numFmtId="1" fontId="6" fillId="4" borderId="4" xfId="0" applyNumberFormat="1" applyFont="1" applyFill="1" applyBorder="1" applyAlignment="1">
      <alignment horizontal="center" vertical="center" wrapText="1"/>
    </xf>
    <xf numFmtId="1" fontId="6" fillId="4" borderId="3" xfId="0" applyNumberFormat="1" applyFont="1" applyFill="1" applyBorder="1" applyAlignment="1">
      <alignment horizontal="center" vertical="center" wrapText="1"/>
    </xf>
    <xf numFmtId="1" fontId="12" fillId="2" borderId="4" xfId="0" applyNumberFormat="1" applyFont="1" applyFill="1" applyBorder="1" applyAlignment="1" applyProtection="1">
      <alignment horizontal="right"/>
      <protection locked="0"/>
    </xf>
    <xf numFmtId="1" fontId="12" fillId="2" borderId="3" xfId="0" applyNumberFormat="1" applyFont="1" applyFill="1" applyBorder="1" applyAlignment="1" applyProtection="1">
      <alignment horizontal="right"/>
      <protection locked="0"/>
    </xf>
    <xf numFmtId="1" fontId="12" fillId="2" borderId="2" xfId="0" applyNumberFormat="1" applyFont="1" applyFill="1" applyBorder="1" applyAlignment="1" applyProtection="1">
      <alignment horizontal="left" wrapText="1"/>
      <protection locked="0"/>
    </xf>
    <xf numFmtId="1" fontId="18" fillId="2" borderId="8" xfId="0" applyNumberFormat="1" applyFont="1" applyFill="1" applyBorder="1" applyAlignment="1" applyProtection="1">
      <alignment horizontal="center" vertical="center" wrapText="1"/>
      <protection locked="0"/>
    </xf>
    <xf numFmtId="1" fontId="18" fillId="2" borderId="5" xfId="0" applyNumberFormat="1" applyFont="1" applyFill="1" applyBorder="1" applyAlignment="1" applyProtection="1">
      <alignment horizontal="center" vertical="center" wrapText="1"/>
      <protection locked="0"/>
    </xf>
    <xf numFmtId="1" fontId="18" fillId="2" borderId="6" xfId="0" applyNumberFormat="1" applyFont="1" applyFill="1" applyBorder="1" applyAlignment="1" applyProtection="1">
      <alignment horizontal="center" vertical="center" wrapText="1"/>
      <protection locked="0"/>
    </xf>
    <xf numFmtId="1" fontId="18" fillId="2" borderId="9" xfId="0" applyNumberFormat="1" applyFont="1" applyFill="1" applyBorder="1" applyAlignment="1" applyProtection="1">
      <alignment horizontal="center" vertical="center" wrapText="1"/>
      <protection locked="0"/>
    </xf>
    <xf numFmtId="1" fontId="18" fillId="2" borderId="0" xfId="0" applyNumberFormat="1" applyFont="1" applyFill="1" applyAlignment="1" applyProtection="1">
      <alignment horizontal="center" vertical="center" wrapText="1"/>
      <protection locked="0"/>
    </xf>
    <xf numFmtId="1" fontId="18" fillId="2" borderId="10" xfId="0" applyNumberFormat="1" applyFont="1" applyFill="1" applyBorder="1" applyAlignment="1" applyProtection="1">
      <alignment horizontal="center" vertical="center" wrapText="1"/>
      <protection locked="0"/>
    </xf>
    <xf numFmtId="1" fontId="18" fillId="2" borderId="11" xfId="0" applyNumberFormat="1" applyFont="1" applyFill="1" applyBorder="1" applyAlignment="1" applyProtection="1">
      <alignment horizontal="center" vertical="center" wrapText="1"/>
      <protection locked="0"/>
    </xf>
    <xf numFmtId="1" fontId="18" fillId="2" borderId="2" xfId="0" applyNumberFormat="1" applyFont="1" applyFill="1" applyBorder="1" applyAlignment="1" applyProtection="1">
      <alignment horizontal="center" vertical="center" wrapText="1"/>
      <protection locked="0"/>
    </xf>
    <xf numFmtId="1" fontId="18" fillId="2" borderId="12" xfId="0" applyNumberFormat="1" applyFont="1" applyFill="1" applyBorder="1" applyAlignment="1" applyProtection="1">
      <alignment horizontal="center" vertical="center" wrapText="1"/>
      <protection locked="0"/>
    </xf>
    <xf numFmtId="0" fontId="2" fillId="6" borderId="4" xfId="0" applyFont="1" applyFill="1" applyBorder="1" applyAlignment="1">
      <alignment horizontal="center"/>
    </xf>
    <xf numFmtId="0" fontId="2" fillId="6" borderId="7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13" fillId="7" borderId="4" xfId="0" applyFont="1" applyFill="1" applyBorder="1" applyAlignment="1">
      <alignment horizontal="center"/>
    </xf>
    <xf numFmtId="0" fontId="13" fillId="7" borderId="7" xfId="0" applyFont="1" applyFill="1" applyBorder="1" applyAlignment="1">
      <alignment horizontal="center"/>
    </xf>
    <xf numFmtId="0" fontId="13" fillId="7" borderId="3" xfId="0" applyFont="1" applyFill="1" applyBorder="1" applyAlignment="1">
      <alignment horizontal="center"/>
    </xf>
    <xf numFmtId="0" fontId="20" fillId="7" borderId="4" xfId="0" applyFont="1" applyFill="1" applyBorder="1" applyAlignment="1">
      <alignment horizontal="center"/>
    </xf>
    <xf numFmtId="0" fontId="20" fillId="7" borderId="7" xfId="0" applyFont="1" applyFill="1" applyBorder="1" applyAlignment="1">
      <alignment horizontal="center"/>
    </xf>
    <xf numFmtId="1" fontId="4" fillId="2" borderId="0" xfId="0" applyNumberFormat="1" applyFont="1" applyFill="1" applyBorder="1" applyAlignment="1">
      <alignment horizontal="center" vertical="center" wrapText="1"/>
    </xf>
    <xf numFmtId="44" fontId="5" fillId="2" borderId="0" xfId="2" applyFont="1" applyFill="1" applyBorder="1" applyAlignment="1">
      <alignment horizontal="center" vertical="center" wrapText="1"/>
    </xf>
    <xf numFmtId="1" fontId="12" fillId="2" borderId="2" xfId="0" applyNumberFormat="1" applyFont="1" applyFill="1" applyBorder="1" applyAlignment="1">
      <alignment horizontal="left" wrapText="1"/>
    </xf>
    <xf numFmtId="1" fontId="6" fillId="0" borderId="1" xfId="0" applyNumberFormat="1" applyFont="1" applyFill="1" applyBorder="1" applyAlignment="1">
      <alignment horizontal="center" vertical="center" wrapText="1"/>
    </xf>
    <xf numFmtId="1" fontId="6" fillId="0" borderId="1" xfId="0" applyNumberFormat="1" applyFont="1" applyFill="1" applyBorder="1" applyAlignment="1" applyProtection="1">
      <alignment horizontal="center" vertical="center" wrapText="1"/>
    </xf>
    <xf numFmtId="1" fontId="6" fillId="0" borderId="4" xfId="0" applyNumberFormat="1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44" fontId="6" fillId="0" borderId="1" xfId="2" applyFont="1" applyFill="1" applyBorder="1" applyAlignment="1">
      <alignment horizontal="center" vertical="center" wrapText="1"/>
    </xf>
    <xf numFmtId="44" fontId="6" fillId="0" borderId="3" xfId="2" applyFont="1" applyFill="1" applyBorder="1" applyAlignment="1">
      <alignment horizontal="center" vertical="center" wrapText="1"/>
    </xf>
  </cellXfs>
  <cellStyles count="23">
    <cellStyle name="Comma 3" xfId="1" xr:uid="{00000000-0005-0000-0000-000000000000}"/>
    <cellStyle name="Currency" xfId="2" builtinId="4"/>
    <cellStyle name="Currency 10 2" xfId="3" xr:uid="{00000000-0005-0000-0000-000002000000}"/>
    <cellStyle name="Currency 10 2 2 2 2" xfId="4" xr:uid="{00000000-0005-0000-0000-000003000000}"/>
    <cellStyle name="Currency 10 2 2 3 2" xfId="5" xr:uid="{00000000-0005-0000-0000-000004000000}"/>
    <cellStyle name="Currency 15 2 2" xfId="6" xr:uid="{00000000-0005-0000-0000-000005000000}"/>
    <cellStyle name="Normal" xfId="0" builtinId="0"/>
    <cellStyle name="Normal 10" xfId="7" xr:uid="{00000000-0005-0000-0000-000007000000}"/>
    <cellStyle name="Normal 16" xfId="8" xr:uid="{00000000-0005-0000-0000-000008000000}"/>
    <cellStyle name="Normal 16 3" xfId="9" xr:uid="{00000000-0005-0000-0000-000009000000}"/>
    <cellStyle name="Normal 2" xfId="10" xr:uid="{00000000-0005-0000-0000-00000A000000}"/>
    <cellStyle name="Normal 2 2" xfId="11" xr:uid="{00000000-0005-0000-0000-00000B000000}"/>
    <cellStyle name="Normal 2 4" xfId="12" xr:uid="{00000000-0005-0000-0000-00000C000000}"/>
    <cellStyle name="Normal 33" xfId="13" xr:uid="{00000000-0005-0000-0000-00000D000000}"/>
    <cellStyle name="Normal 34" xfId="14" xr:uid="{00000000-0005-0000-0000-00000E000000}"/>
    <cellStyle name="Normal 37" xfId="15" xr:uid="{00000000-0005-0000-0000-00000F000000}"/>
    <cellStyle name="Normal 37 2 3" xfId="16" xr:uid="{00000000-0005-0000-0000-000010000000}"/>
    <cellStyle name="Normal 37 5" xfId="17" xr:uid="{00000000-0005-0000-0000-000011000000}"/>
    <cellStyle name="Normal 38" xfId="18" xr:uid="{00000000-0005-0000-0000-000012000000}"/>
    <cellStyle name="Normal 38 2" xfId="19" xr:uid="{00000000-0005-0000-0000-000013000000}"/>
    <cellStyle name="Normal 6" xfId="20" xr:uid="{00000000-0005-0000-0000-000014000000}"/>
    <cellStyle name="Percent 2 2" xfId="21" xr:uid="{00000000-0005-0000-0000-000016000000}"/>
    <cellStyle name="Percent 2 2 2 2 2 2" xfId="22" xr:uid="{00000000-0005-0000-0000-00001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47625</xdr:rowOff>
    </xdr:from>
    <xdr:to>
      <xdr:col>1</xdr:col>
      <xdr:colOff>1095375</xdr:colOff>
      <xdr:row>0</xdr:row>
      <xdr:rowOff>1085850</xdr:rowOff>
    </xdr:to>
    <xdr:pic>
      <xdr:nvPicPr>
        <xdr:cNvPr id="4123" name="Picture 2" descr="SWA_black-type_300res_3in">
          <a:extLst>
            <a:ext uri="{FF2B5EF4-FFF2-40B4-BE49-F238E27FC236}">
              <a16:creationId xmlns:a16="http://schemas.microsoft.com/office/drawing/2014/main" id="{00000000-0008-0000-0000-00001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47625"/>
          <a:ext cx="1590675" cy="1038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2708276</xdr:colOff>
      <xdr:row>0</xdr:row>
      <xdr:rowOff>514349</xdr:rowOff>
    </xdr:from>
    <xdr:to>
      <xdr:col>3</xdr:col>
      <xdr:colOff>454123</xdr:colOff>
      <xdr:row>0</xdr:row>
      <xdr:rowOff>723899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3375026" y="514349"/>
          <a:ext cx="2784572" cy="2095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en-US" sz="1100" b="1">
              <a:solidFill>
                <a:srgbClr val="FF0000"/>
              </a:solidFill>
              <a:latin typeface="Arial" pitchFamily="34" charset="0"/>
              <a:cs typeface="Arial" pitchFamily="34" charset="0"/>
            </a:rPr>
            <a:t>$100 MINIMUM ORDER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pageSetUpPr fitToPage="1"/>
  </sheetPr>
  <dimension ref="A1:H63"/>
  <sheetViews>
    <sheetView tabSelected="1" workbookViewId="0">
      <selection activeCell="B4" sqref="B4"/>
    </sheetView>
  </sheetViews>
  <sheetFormatPr defaultColWidth="8.85546875" defaultRowHeight="15" x14ac:dyDescent="0.25"/>
  <cols>
    <col min="1" max="1" width="10" style="48" customWidth="1"/>
    <col min="2" max="2" width="65.7109375" style="48" customWidth="1"/>
    <col min="3" max="4" width="9.85546875" style="49" customWidth="1"/>
    <col min="5" max="5" width="9.85546875" style="48" customWidth="1"/>
    <col min="6" max="6" width="14" style="63" customWidth="1"/>
    <col min="7" max="7" width="14" customWidth="1"/>
  </cols>
  <sheetData>
    <row r="1" spans="1:7" ht="100.5" customHeight="1" x14ac:dyDescent="0.25">
      <c r="A1" s="9"/>
      <c r="B1" s="9"/>
      <c r="C1" s="99"/>
      <c r="D1" s="99"/>
      <c r="E1" s="99"/>
      <c r="F1" s="100" t="s">
        <v>151</v>
      </c>
      <c r="G1" s="100"/>
    </row>
    <row r="2" spans="1:7" ht="16.5" customHeight="1" x14ac:dyDescent="0.25">
      <c r="A2" s="101" t="s">
        <v>153</v>
      </c>
      <c r="B2" s="101"/>
      <c r="C2" s="10"/>
      <c r="D2" s="10"/>
      <c r="E2" s="10"/>
      <c r="F2" s="71"/>
      <c r="G2" s="71"/>
    </row>
    <row r="3" spans="1:7" ht="37.5" customHeight="1" x14ac:dyDescent="0.25">
      <c r="A3" s="11" t="s">
        <v>0</v>
      </c>
      <c r="B3" s="11" t="s">
        <v>1</v>
      </c>
      <c r="C3" s="77" t="s">
        <v>2</v>
      </c>
      <c r="D3" s="78"/>
      <c r="E3" s="69" t="s">
        <v>3</v>
      </c>
      <c r="F3" s="12" t="s">
        <v>4</v>
      </c>
      <c r="G3" s="13" t="s">
        <v>5</v>
      </c>
    </row>
    <row r="4" spans="1:7" ht="21.75" customHeight="1" x14ac:dyDescent="0.25">
      <c r="A4" s="102"/>
      <c r="B4" s="103" t="s">
        <v>152</v>
      </c>
      <c r="C4" s="104"/>
      <c r="D4" s="105"/>
      <c r="E4" s="105"/>
      <c r="F4" s="106"/>
      <c r="G4" s="107"/>
    </row>
    <row r="5" spans="1:7" ht="30" x14ac:dyDescent="0.25">
      <c r="A5" s="14"/>
      <c r="B5" s="15" t="s">
        <v>6</v>
      </c>
      <c r="C5" s="16" t="s">
        <v>7</v>
      </c>
      <c r="D5" s="16" t="s">
        <v>8</v>
      </c>
      <c r="E5" s="17"/>
      <c r="F5" s="18"/>
      <c r="G5" s="18"/>
    </row>
    <row r="6" spans="1:7" x14ac:dyDescent="0.25">
      <c r="A6" s="19" t="s">
        <v>9</v>
      </c>
      <c r="B6" s="20" t="s">
        <v>10</v>
      </c>
      <c r="C6" s="20"/>
      <c r="D6" s="20"/>
      <c r="E6" s="21"/>
      <c r="F6" s="22">
        <v>28.76</v>
      </c>
      <c r="G6" s="23">
        <f>SUM(E6*F6)</f>
        <v>0</v>
      </c>
    </row>
    <row r="7" spans="1:7" x14ac:dyDescent="0.25">
      <c r="A7" s="19" t="s">
        <v>11</v>
      </c>
      <c r="B7" s="24" t="s">
        <v>12</v>
      </c>
      <c r="C7" s="24"/>
      <c r="D7" s="24"/>
      <c r="E7" s="21"/>
      <c r="F7" s="22">
        <v>28.98</v>
      </c>
      <c r="G7" s="23">
        <f t="shared" ref="G7:G45" si="0">SUM(E7*F7)</f>
        <v>0</v>
      </c>
    </row>
    <row r="8" spans="1:7" x14ac:dyDescent="0.25">
      <c r="A8" s="19" t="s">
        <v>13</v>
      </c>
      <c r="B8" s="24" t="s">
        <v>14</v>
      </c>
      <c r="C8" s="25"/>
      <c r="D8" s="25"/>
      <c r="E8" s="17"/>
      <c r="F8" s="22">
        <v>22.95</v>
      </c>
      <c r="G8" s="23">
        <f t="shared" si="0"/>
        <v>0</v>
      </c>
    </row>
    <row r="9" spans="1:7" x14ac:dyDescent="0.25">
      <c r="A9" s="19" t="s">
        <v>15</v>
      </c>
      <c r="B9" s="20" t="s">
        <v>16</v>
      </c>
      <c r="C9" s="25"/>
      <c r="D9" s="25"/>
      <c r="E9" s="17"/>
      <c r="F9" s="22">
        <v>23.65</v>
      </c>
      <c r="G9" s="23">
        <f t="shared" si="0"/>
        <v>0</v>
      </c>
    </row>
    <row r="10" spans="1:7" x14ac:dyDescent="0.25">
      <c r="A10" s="19" t="s">
        <v>17</v>
      </c>
      <c r="B10" s="24" t="s">
        <v>18</v>
      </c>
      <c r="C10" s="25"/>
      <c r="D10" s="25"/>
      <c r="E10" s="17"/>
      <c r="F10" s="22">
        <v>42.96</v>
      </c>
      <c r="G10" s="23">
        <f t="shared" si="0"/>
        <v>0</v>
      </c>
    </row>
    <row r="11" spans="1:7" x14ac:dyDescent="0.25">
      <c r="A11" s="19" t="s">
        <v>19</v>
      </c>
      <c r="B11" s="20" t="s">
        <v>20</v>
      </c>
      <c r="C11" s="25"/>
      <c r="D11" s="25"/>
      <c r="E11" s="17"/>
      <c r="F11" s="22">
        <v>42.96</v>
      </c>
      <c r="G11" s="23">
        <f t="shared" si="0"/>
        <v>0</v>
      </c>
    </row>
    <row r="12" spans="1:7" x14ac:dyDescent="0.25">
      <c r="A12" s="19" t="s">
        <v>21</v>
      </c>
      <c r="B12" s="20" t="s">
        <v>22</v>
      </c>
      <c r="C12" s="25"/>
      <c r="D12" s="25"/>
      <c r="E12" s="17"/>
      <c r="F12" s="22">
        <v>19.64</v>
      </c>
      <c r="G12" s="23">
        <f t="shared" si="0"/>
        <v>0</v>
      </c>
    </row>
    <row r="13" spans="1:7" x14ac:dyDescent="0.25">
      <c r="A13" s="19" t="s">
        <v>23</v>
      </c>
      <c r="B13" s="20" t="s">
        <v>24</v>
      </c>
      <c r="C13" s="25"/>
      <c r="D13" s="25"/>
      <c r="E13" s="17"/>
      <c r="F13" s="22">
        <v>19.64</v>
      </c>
      <c r="G13" s="23">
        <f>SUM(E13*F13)</f>
        <v>0</v>
      </c>
    </row>
    <row r="14" spans="1:7" ht="30" x14ac:dyDescent="0.25">
      <c r="A14" s="26"/>
      <c r="B14" s="27" t="s">
        <v>25</v>
      </c>
      <c r="C14" s="16" t="s">
        <v>26</v>
      </c>
      <c r="D14" s="16" t="s">
        <v>27</v>
      </c>
      <c r="E14" s="17"/>
      <c r="F14" s="22"/>
      <c r="G14" s="23"/>
    </row>
    <row r="15" spans="1:7" x14ac:dyDescent="0.25">
      <c r="A15" s="19" t="s">
        <v>28</v>
      </c>
      <c r="B15" s="1" t="s">
        <v>29</v>
      </c>
      <c r="C15" s="28"/>
      <c r="D15" s="28" t="s">
        <v>30</v>
      </c>
      <c r="E15" s="29"/>
      <c r="F15" s="67">
        <v>36.81</v>
      </c>
      <c r="G15" s="23">
        <f t="shared" si="0"/>
        <v>0</v>
      </c>
    </row>
    <row r="16" spans="1:7" x14ac:dyDescent="0.25">
      <c r="A16" s="19" t="s">
        <v>31</v>
      </c>
      <c r="B16" s="1" t="s">
        <v>32</v>
      </c>
      <c r="C16" s="28"/>
      <c r="D16" s="28" t="s">
        <v>30</v>
      </c>
      <c r="E16" s="29"/>
      <c r="F16" s="22">
        <v>40.83</v>
      </c>
      <c r="G16" s="23">
        <f t="shared" si="0"/>
        <v>0</v>
      </c>
    </row>
    <row r="17" spans="1:7" x14ac:dyDescent="0.25">
      <c r="A17" s="19" t="s">
        <v>33</v>
      </c>
      <c r="B17" s="1" t="s">
        <v>34</v>
      </c>
      <c r="C17" s="28"/>
      <c r="D17" s="28"/>
      <c r="E17" s="29"/>
      <c r="F17" s="67">
        <v>36.81</v>
      </c>
      <c r="G17" s="23">
        <f t="shared" si="0"/>
        <v>0</v>
      </c>
    </row>
    <row r="18" spans="1:7" x14ac:dyDescent="0.25">
      <c r="A18" s="19" t="s">
        <v>35</v>
      </c>
      <c r="B18" s="1" t="s">
        <v>36</v>
      </c>
      <c r="C18" s="28"/>
      <c r="D18" s="28"/>
      <c r="E18" s="29"/>
      <c r="F18" s="22">
        <v>40.83</v>
      </c>
      <c r="G18" s="23">
        <f t="shared" si="0"/>
        <v>0</v>
      </c>
    </row>
    <row r="19" spans="1:7" ht="32.25" customHeight="1" x14ac:dyDescent="0.25">
      <c r="A19" s="1"/>
      <c r="B19" s="30" t="s">
        <v>39</v>
      </c>
      <c r="C19" s="25"/>
      <c r="D19" s="25"/>
      <c r="E19" s="17"/>
      <c r="F19" s="22"/>
      <c r="G19" s="23"/>
    </row>
    <row r="20" spans="1:7" x14ac:dyDescent="0.25">
      <c r="A20" s="19" t="s">
        <v>40</v>
      </c>
      <c r="B20" s="31" t="s">
        <v>41</v>
      </c>
      <c r="C20" s="25"/>
      <c r="D20" s="25"/>
      <c r="E20" s="17"/>
      <c r="F20" s="22">
        <f>70.9+5.36</f>
        <v>76.260000000000005</v>
      </c>
      <c r="G20" s="23">
        <f t="shared" si="0"/>
        <v>0</v>
      </c>
    </row>
    <row r="21" spans="1:7" x14ac:dyDescent="0.25">
      <c r="A21" s="19" t="s">
        <v>42</v>
      </c>
      <c r="B21" s="31" t="s">
        <v>43</v>
      </c>
      <c r="C21" s="25"/>
      <c r="D21" s="25"/>
      <c r="E21" s="17"/>
      <c r="F21" s="22">
        <f>67.15+5.36</f>
        <v>72.510000000000005</v>
      </c>
      <c r="G21" s="23">
        <f t="shared" si="0"/>
        <v>0</v>
      </c>
    </row>
    <row r="22" spans="1:7" x14ac:dyDescent="0.25">
      <c r="A22" s="19" t="s">
        <v>44</v>
      </c>
      <c r="B22" s="31" t="s">
        <v>45</v>
      </c>
      <c r="C22" s="25"/>
      <c r="D22" s="25"/>
      <c r="E22" s="17"/>
      <c r="F22" s="22">
        <v>58.85</v>
      </c>
      <c r="G22" s="23">
        <f t="shared" si="0"/>
        <v>0</v>
      </c>
    </row>
    <row r="23" spans="1:7" x14ac:dyDescent="0.25">
      <c r="A23" s="19" t="s">
        <v>46</v>
      </c>
      <c r="B23" s="31" t="s">
        <v>47</v>
      </c>
      <c r="C23" s="25"/>
      <c r="D23" s="25"/>
      <c r="E23" s="17"/>
      <c r="F23" s="22">
        <v>89.11</v>
      </c>
      <c r="G23" s="23">
        <f t="shared" si="0"/>
        <v>0</v>
      </c>
    </row>
    <row r="24" spans="1:7" x14ac:dyDescent="0.25">
      <c r="A24" s="19" t="s">
        <v>48</v>
      </c>
      <c r="B24" s="31" t="s">
        <v>49</v>
      </c>
      <c r="C24" s="25"/>
      <c r="D24" s="25"/>
      <c r="E24" s="17"/>
      <c r="F24" s="22">
        <f>60.98+5.36</f>
        <v>66.34</v>
      </c>
      <c r="G24" s="23">
        <f t="shared" si="0"/>
        <v>0</v>
      </c>
    </row>
    <row r="25" spans="1:7" x14ac:dyDescent="0.25">
      <c r="A25" s="19" t="s">
        <v>50</v>
      </c>
      <c r="B25" s="1" t="s">
        <v>51</v>
      </c>
      <c r="C25" s="25"/>
      <c r="D25" s="25"/>
      <c r="E25" s="17"/>
      <c r="F25" s="22">
        <v>109.74</v>
      </c>
      <c r="G25" s="23">
        <f t="shared" si="0"/>
        <v>0</v>
      </c>
    </row>
    <row r="26" spans="1:7" x14ac:dyDescent="0.25">
      <c r="A26" s="19" t="s">
        <v>52</v>
      </c>
      <c r="B26" s="1" t="s">
        <v>53</v>
      </c>
      <c r="C26" s="25"/>
      <c r="D26" s="25"/>
      <c r="E26" s="17"/>
      <c r="F26" s="22">
        <v>23.13</v>
      </c>
      <c r="G26" s="23">
        <f t="shared" si="0"/>
        <v>0</v>
      </c>
    </row>
    <row r="27" spans="1:7" x14ac:dyDescent="0.25">
      <c r="A27" s="19" t="s">
        <v>54</v>
      </c>
      <c r="B27" s="31" t="s">
        <v>55</v>
      </c>
      <c r="C27" s="25"/>
      <c r="D27" s="25"/>
      <c r="E27" s="17"/>
      <c r="F27" s="22">
        <v>86.76</v>
      </c>
      <c r="G27" s="23">
        <f t="shared" si="0"/>
        <v>0</v>
      </c>
    </row>
    <row r="28" spans="1:7" ht="24" customHeight="1" x14ac:dyDescent="0.25">
      <c r="A28" s="31"/>
      <c r="B28" s="32" t="s">
        <v>56</v>
      </c>
      <c r="C28" s="25"/>
      <c r="D28" s="25"/>
      <c r="E28" s="17"/>
      <c r="F28" s="22"/>
      <c r="G28" s="23"/>
    </row>
    <row r="29" spans="1:7" x14ac:dyDescent="0.25">
      <c r="A29" s="19" t="s">
        <v>57</v>
      </c>
      <c r="B29" s="1" t="s">
        <v>58</v>
      </c>
      <c r="C29" s="25" t="s">
        <v>59</v>
      </c>
      <c r="D29" s="25" t="s">
        <v>59</v>
      </c>
      <c r="E29" s="17"/>
      <c r="F29" s="22">
        <v>6.4860851000000004</v>
      </c>
      <c r="G29" s="23">
        <f t="shared" si="0"/>
        <v>0</v>
      </c>
    </row>
    <row r="30" spans="1:7" x14ac:dyDescent="0.25">
      <c r="A30" s="19" t="s">
        <v>60</v>
      </c>
      <c r="B30" s="1" t="s">
        <v>61</v>
      </c>
      <c r="C30" s="25" t="s">
        <v>59</v>
      </c>
      <c r="D30" s="25" t="s">
        <v>59</v>
      </c>
      <c r="E30" s="17"/>
      <c r="F30" s="22">
        <v>6.4860851000000004</v>
      </c>
      <c r="G30" s="23">
        <f t="shared" si="0"/>
        <v>0</v>
      </c>
    </row>
    <row r="31" spans="1:7" x14ac:dyDescent="0.25">
      <c r="A31" s="19" t="s">
        <v>62</v>
      </c>
      <c r="B31" s="1" t="s">
        <v>63</v>
      </c>
      <c r="C31" s="33" t="s">
        <v>59</v>
      </c>
      <c r="D31" s="33" t="s">
        <v>59</v>
      </c>
      <c r="E31" s="34"/>
      <c r="F31" s="22">
        <v>6.7212675750000006</v>
      </c>
      <c r="G31" s="23">
        <f t="shared" si="0"/>
        <v>0</v>
      </c>
    </row>
    <row r="32" spans="1:7" x14ac:dyDescent="0.25">
      <c r="A32" s="19" t="s">
        <v>64</v>
      </c>
      <c r="B32" s="24" t="s">
        <v>65</v>
      </c>
      <c r="C32" s="33" t="s">
        <v>59</v>
      </c>
      <c r="D32" s="33" t="s">
        <v>59</v>
      </c>
      <c r="E32" s="35"/>
      <c r="F32" s="22">
        <v>5.8</v>
      </c>
      <c r="G32" s="23">
        <f t="shared" si="0"/>
        <v>0</v>
      </c>
    </row>
    <row r="33" spans="1:8" x14ac:dyDescent="0.25">
      <c r="A33" s="19" t="s">
        <v>66</v>
      </c>
      <c r="B33" s="31" t="s">
        <v>67</v>
      </c>
      <c r="C33" s="36"/>
      <c r="D33" s="36"/>
      <c r="E33" s="35"/>
      <c r="F33" s="22">
        <v>18.52</v>
      </c>
      <c r="G33" s="23">
        <f t="shared" si="0"/>
        <v>0</v>
      </c>
    </row>
    <row r="34" spans="1:8" x14ac:dyDescent="0.25">
      <c r="A34" s="19" t="s">
        <v>68</v>
      </c>
      <c r="B34" s="31" t="s">
        <v>69</v>
      </c>
      <c r="C34" s="36"/>
      <c r="D34" s="36"/>
      <c r="E34" s="35"/>
      <c r="F34" s="22">
        <v>18.52</v>
      </c>
      <c r="G34" s="23">
        <f t="shared" si="0"/>
        <v>0</v>
      </c>
    </row>
    <row r="35" spans="1:8" x14ac:dyDescent="0.25">
      <c r="A35" s="19" t="s">
        <v>70</v>
      </c>
      <c r="B35" s="31" t="s">
        <v>71</v>
      </c>
      <c r="C35" s="36"/>
      <c r="D35" s="36"/>
      <c r="E35" s="35"/>
      <c r="F35" s="22">
        <v>129.84</v>
      </c>
      <c r="G35" s="23">
        <f t="shared" si="0"/>
        <v>0</v>
      </c>
    </row>
    <row r="36" spans="1:8" x14ac:dyDescent="0.25">
      <c r="A36" s="19" t="s">
        <v>72</v>
      </c>
      <c r="B36" s="31" t="s">
        <v>73</v>
      </c>
      <c r="C36" s="37"/>
      <c r="D36" s="37"/>
      <c r="E36" s="38"/>
      <c r="F36" s="22">
        <v>10.98</v>
      </c>
      <c r="G36" s="23">
        <f t="shared" si="0"/>
        <v>0</v>
      </c>
    </row>
    <row r="37" spans="1:8" x14ac:dyDescent="0.25">
      <c r="A37" s="19" t="s">
        <v>74</v>
      </c>
      <c r="B37" s="31" t="s">
        <v>75</v>
      </c>
      <c r="C37" s="36"/>
      <c r="D37" s="36"/>
      <c r="E37" s="35"/>
      <c r="F37" s="22">
        <v>8.5299999999999994</v>
      </c>
      <c r="G37" s="23">
        <f t="shared" si="0"/>
        <v>0</v>
      </c>
    </row>
    <row r="38" spans="1:8" x14ac:dyDescent="0.25">
      <c r="A38" s="19" t="s">
        <v>76</v>
      </c>
      <c r="B38" s="31" t="s">
        <v>77</v>
      </c>
      <c r="C38" s="36"/>
      <c r="D38" s="36"/>
      <c r="E38" s="35"/>
      <c r="F38" s="22">
        <v>116.92</v>
      </c>
      <c r="G38" s="23">
        <f t="shared" si="0"/>
        <v>0</v>
      </c>
    </row>
    <row r="39" spans="1:8" x14ac:dyDescent="0.25">
      <c r="A39" s="19" t="s">
        <v>78</v>
      </c>
      <c r="B39" s="31" t="s">
        <v>79</v>
      </c>
      <c r="C39" s="37"/>
      <c r="D39" s="37"/>
      <c r="E39" s="38"/>
      <c r="F39" s="22">
        <v>19.3601925</v>
      </c>
      <c r="G39" s="23">
        <f t="shared" si="0"/>
        <v>0</v>
      </c>
    </row>
    <row r="40" spans="1:8" x14ac:dyDescent="0.25">
      <c r="A40" s="39"/>
      <c r="B40" s="40" t="s">
        <v>80</v>
      </c>
      <c r="C40" s="36"/>
      <c r="D40" s="36"/>
      <c r="E40" s="35"/>
      <c r="F40" s="22"/>
      <c r="G40" s="23"/>
    </row>
    <row r="41" spans="1:8" x14ac:dyDescent="0.25">
      <c r="A41" s="19" t="s">
        <v>81</v>
      </c>
      <c r="B41" s="20" t="s">
        <v>82</v>
      </c>
      <c r="C41" s="37"/>
      <c r="D41" s="37"/>
      <c r="E41" s="41"/>
      <c r="F41" s="22">
        <v>64.3</v>
      </c>
      <c r="G41" s="23">
        <f t="shared" si="0"/>
        <v>0</v>
      </c>
    </row>
    <row r="42" spans="1:8" x14ac:dyDescent="0.25">
      <c r="A42" s="19" t="s">
        <v>83</v>
      </c>
      <c r="B42" s="42" t="s">
        <v>84</v>
      </c>
      <c r="C42" s="37"/>
      <c r="D42" s="37"/>
      <c r="E42" s="38"/>
      <c r="F42" s="22">
        <v>49.77</v>
      </c>
      <c r="G42" s="23">
        <f t="shared" si="0"/>
        <v>0</v>
      </c>
      <c r="H42" s="70"/>
    </row>
    <row r="43" spans="1:8" x14ac:dyDescent="0.25">
      <c r="A43" s="19" t="s">
        <v>85</v>
      </c>
      <c r="B43" s="43" t="s">
        <v>86</v>
      </c>
      <c r="C43" s="37"/>
      <c r="D43" s="37"/>
      <c r="E43" s="38"/>
      <c r="F43" s="22">
        <v>52.09</v>
      </c>
      <c r="G43" s="23">
        <f t="shared" si="0"/>
        <v>0</v>
      </c>
    </row>
    <row r="44" spans="1:8" x14ac:dyDescent="0.25">
      <c r="A44" s="19" t="s">
        <v>87</v>
      </c>
      <c r="B44" s="43" t="s">
        <v>88</v>
      </c>
      <c r="C44" s="37"/>
      <c r="D44" s="37"/>
      <c r="E44" s="38"/>
      <c r="F44" s="22">
        <v>56.81</v>
      </c>
      <c r="G44" s="23">
        <f t="shared" si="0"/>
        <v>0</v>
      </c>
    </row>
    <row r="45" spans="1:8" x14ac:dyDescent="0.25">
      <c r="A45" s="44" t="s">
        <v>89</v>
      </c>
      <c r="B45" s="45"/>
      <c r="C45" s="46"/>
      <c r="D45" s="46"/>
      <c r="E45" s="41"/>
      <c r="F45" s="47"/>
      <c r="G45" s="23">
        <f t="shared" si="0"/>
        <v>0</v>
      </c>
    </row>
    <row r="46" spans="1:8" ht="15" customHeight="1" x14ac:dyDescent="0.25">
      <c r="E46" s="79" t="s">
        <v>90</v>
      </c>
      <c r="F46" s="80"/>
      <c r="G46" s="18">
        <f>SUM(G6:G45)</f>
        <v>0</v>
      </c>
    </row>
    <row r="47" spans="1:8" ht="15" customHeight="1" x14ac:dyDescent="0.25">
      <c r="A47" s="50"/>
      <c r="B47" s="50"/>
      <c r="C47" s="51"/>
      <c r="D47" s="51"/>
      <c r="E47" s="52"/>
      <c r="F47" s="53"/>
      <c r="G47" s="54"/>
    </row>
    <row r="48" spans="1:8" ht="15" customHeight="1" x14ac:dyDescent="0.25">
      <c r="A48" s="81" t="s">
        <v>91</v>
      </c>
      <c r="B48" s="81"/>
      <c r="C48" s="51"/>
      <c r="D48" s="82" t="s">
        <v>92</v>
      </c>
      <c r="E48" s="83"/>
      <c r="F48" s="83"/>
      <c r="G48" s="84"/>
    </row>
    <row r="49" spans="1:7" ht="15" customHeight="1" x14ac:dyDescent="0.25">
      <c r="A49" s="75" t="s">
        <v>93</v>
      </c>
      <c r="B49" s="75"/>
      <c r="C49" s="55"/>
      <c r="D49" s="85"/>
      <c r="E49" s="86"/>
      <c r="F49" s="86"/>
      <c r="G49" s="87"/>
    </row>
    <row r="50" spans="1:7" ht="15" customHeight="1" x14ac:dyDescent="0.25">
      <c r="A50" s="76"/>
      <c r="B50" s="76"/>
      <c r="C50" s="55"/>
      <c r="D50" s="85"/>
      <c r="E50" s="86"/>
      <c r="F50" s="86"/>
      <c r="G50" s="87"/>
    </row>
    <row r="51" spans="1:7" x14ac:dyDescent="0.25">
      <c r="A51" s="75" t="s">
        <v>94</v>
      </c>
      <c r="B51" s="75"/>
      <c r="C51" s="55"/>
      <c r="D51" s="85"/>
      <c r="E51" s="86"/>
      <c r="F51" s="86"/>
      <c r="G51" s="87"/>
    </row>
    <row r="52" spans="1:7" ht="15" customHeight="1" x14ac:dyDescent="0.25">
      <c r="A52" s="76"/>
      <c r="B52" s="76"/>
      <c r="C52" s="55"/>
      <c r="D52" s="85"/>
      <c r="E52" s="86"/>
      <c r="F52" s="86"/>
      <c r="G52" s="87"/>
    </row>
    <row r="53" spans="1:7" x14ac:dyDescent="0.25">
      <c r="A53" s="75" t="s">
        <v>95</v>
      </c>
      <c r="B53" s="75"/>
      <c r="C53" s="55"/>
      <c r="D53" s="85"/>
      <c r="E53" s="86"/>
      <c r="F53" s="86"/>
      <c r="G53" s="87"/>
    </row>
    <row r="54" spans="1:7" ht="15" customHeight="1" x14ac:dyDescent="0.25">
      <c r="A54" s="76"/>
      <c r="B54" s="76"/>
      <c r="C54" s="55"/>
      <c r="D54" s="88"/>
      <c r="E54" s="89"/>
      <c r="F54" s="89"/>
      <c r="G54" s="90"/>
    </row>
    <row r="55" spans="1:7" x14ac:dyDescent="0.25">
      <c r="A55" s="75" t="s">
        <v>96</v>
      </c>
      <c r="B55" s="75"/>
      <c r="C55" s="55"/>
      <c r="D55" s="72"/>
      <c r="E55" s="73"/>
      <c r="F55" s="74"/>
    </row>
    <row r="56" spans="1:7" ht="15" customHeight="1" x14ac:dyDescent="0.25">
      <c r="A56" s="76"/>
      <c r="B56" s="76"/>
      <c r="C56" s="55"/>
      <c r="D56" s="56"/>
      <c r="E56" s="57"/>
      <c r="F56" s="58"/>
    </row>
    <row r="57" spans="1:7" x14ac:dyDescent="0.25">
      <c r="A57" s="75" t="s">
        <v>97</v>
      </c>
      <c r="B57" s="75"/>
      <c r="C57" s="55"/>
      <c r="D57" s="56"/>
      <c r="E57" s="57"/>
      <c r="F57" s="58"/>
    </row>
    <row r="58" spans="1:7" ht="15" customHeight="1" x14ac:dyDescent="0.25">
      <c r="A58" s="76"/>
      <c r="B58" s="76"/>
      <c r="C58" s="55"/>
      <c r="D58" s="56"/>
      <c r="E58" s="57"/>
      <c r="F58" s="58"/>
    </row>
    <row r="59" spans="1:7" x14ac:dyDescent="0.25">
      <c r="A59" s="75" t="s">
        <v>98</v>
      </c>
      <c r="B59" s="75"/>
      <c r="C59" s="59"/>
      <c r="D59" s="59"/>
      <c r="E59" s="60"/>
      <c r="F59" s="61"/>
    </row>
    <row r="60" spans="1:7" ht="15" customHeight="1" x14ac:dyDescent="0.25">
      <c r="A60" s="76"/>
      <c r="B60" s="76"/>
      <c r="C60" s="59"/>
      <c r="D60" s="59"/>
      <c r="E60" s="60"/>
      <c r="F60" s="61"/>
    </row>
    <row r="61" spans="1:7" x14ac:dyDescent="0.25">
      <c r="A61" s="60"/>
      <c r="B61" s="60"/>
      <c r="C61" s="59"/>
      <c r="D61" s="59"/>
      <c r="E61" s="60"/>
      <c r="F61" s="61"/>
    </row>
    <row r="62" spans="1:7" x14ac:dyDescent="0.25">
      <c r="A62" s="62" t="s">
        <v>99</v>
      </c>
      <c r="B62" s="60"/>
      <c r="C62" s="59"/>
      <c r="D62" s="59"/>
      <c r="E62" s="60"/>
      <c r="F62" s="61"/>
    </row>
    <row r="63" spans="1:7" x14ac:dyDescent="0.25">
      <c r="A63" s="62"/>
      <c r="B63" s="60"/>
      <c r="C63" s="59"/>
      <c r="D63" s="59"/>
      <c r="E63" s="60"/>
      <c r="F63" s="61"/>
    </row>
  </sheetData>
  <mergeCells count="12">
    <mergeCell ref="A55:B56"/>
    <mergeCell ref="A57:B58"/>
    <mergeCell ref="A59:B60"/>
    <mergeCell ref="F1:G1"/>
    <mergeCell ref="C3:D3"/>
    <mergeCell ref="E46:F46"/>
    <mergeCell ref="A48:B48"/>
    <mergeCell ref="D48:G54"/>
    <mergeCell ref="A49:B50"/>
    <mergeCell ref="A51:B52"/>
    <mergeCell ref="A53:B54"/>
    <mergeCell ref="A2:B2"/>
  </mergeCells>
  <pageMargins left="0.7" right="0.7" top="0.5" bottom="0.5" header="0.3" footer="0.3"/>
  <pageSetup scale="65" fitToWidth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pageSetUpPr fitToPage="1"/>
  </sheetPr>
  <dimension ref="A1:C46"/>
  <sheetViews>
    <sheetView workbookViewId="0">
      <selection activeCell="D3" sqref="D3"/>
    </sheetView>
  </sheetViews>
  <sheetFormatPr defaultRowHeight="15" x14ac:dyDescent="0.25"/>
  <cols>
    <col min="1" max="1" width="10" customWidth="1"/>
    <col min="2" max="2" width="64.5703125" customWidth="1"/>
    <col min="3" max="3" width="17.28515625" style="65" customWidth="1"/>
  </cols>
  <sheetData>
    <row r="1" spans="1:3" ht="21.75" customHeight="1" x14ac:dyDescent="0.35">
      <c r="A1" s="97" t="s">
        <v>150</v>
      </c>
      <c r="B1" s="98"/>
      <c r="C1" s="98"/>
    </row>
    <row r="2" spans="1:3" ht="30" x14ac:dyDescent="0.25">
      <c r="A2" s="8" t="s">
        <v>100</v>
      </c>
      <c r="B2" s="8" t="s">
        <v>1</v>
      </c>
      <c r="C2" s="64" t="s">
        <v>4</v>
      </c>
    </row>
    <row r="3" spans="1:3" x14ac:dyDescent="0.25">
      <c r="A3" s="1" t="s">
        <v>9</v>
      </c>
      <c r="B3" s="1" t="s">
        <v>101</v>
      </c>
      <c r="C3" s="66">
        <v>28.76</v>
      </c>
    </row>
    <row r="4" spans="1:3" x14ac:dyDescent="0.25">
      <c r="A4" s="1" t="s">
        <v>11</v>
      </c>
      <c r="B4" s="1" t="s">
        <v>102</v>
      </c>
      <c r="C4" s="66">
        <v>28.98</v>
      </c>
    </row>
    <row r="5" spans="1:3" x14ac:dyDescent="0.25">
      <c r="A5" s="1" t="s">
        <v>13</v>
      </c>
      <c r="B5" s="1" t="s">
        <v>103</v>
      </c>
      <c r="C5" s="66">
        <v>22.95</v>
      </c>
    </row>
    <row r="6" spans="1:3" x14ac:dyDescent="0.25">
      <c r="A6" s="1" t="s">
        <v>15</v>
      </c>
      <c r="B6" s="1" t="s">
        <v>104</v>
      </c>
      <c r="C6" s="66">
        <v>23.65</v>
      </c>
    </row>
    <row r="7" spans="1:3" x14ac:dyDescent="0.25">
      <c r="A7" s="1" t="s">
        <v>17</v>
      </c>
      <c r="B7" s="1" t="s">
        <v>105</v>
      </c>
      <c r="C7" s="66">
        <v>42.96</v>
      </c>
    </row>
    <row r="8" spans="1:3" x14ac:dyDescent="0.25">
      <c r="A8" s="1" t="s">
        <v>19</v>
      </c>
      <c r="B8" s="1" t="s">
        <v>106</v>
      </c>
      <c r="C8" s="66">
        <v>42.96</v>
      </c>
    </row>
    <row r="9" spans="1:3" x14ac:dyDescent="0.25">
      <c r="A9" s="1" t="s">
        <v>23</v>
      </c>
      <c r="B9" s="1" t="s">
        <v>107</v>
      </c>
      <c r="C9" s="68">
        <v>19.64</v>
      </c>
    </row>
    <row r="10" spans="1:3" x14ac:dyDescent="0.25">
      <c r="A10" s="1" t="s">
        <v>21</v>
      </c>
      <c r="B10" s="1" t="s">
        <v>108</v>
      </c>
      <c r="C10" s="68">
        <v>19.64</v>
      </c>
    </row>
    <row r="11" spans="1:3" x14ac:dyDescent="0.25">
      <c r="A11" s="1" t="s">
        <v>28</v>
      </c>
      <c r="B11" s="1" t="s">
        <v>109</v>
      </c>
      <c r="C11" s="66">
        <v>31.45</v>
      </c>
    </row>
    <row r="12" spans="1:3" x14ac:dyDescent="0.25">
      <c r="A12" s="1" t="s">
        <v>31</v>
      </c>
      <c r="B12" s="1" t="s">
        <v>110</v>
      </c>
      <c r="C12" s="66">
        <v>35.47</v>
      </c>
    </row>
    <row r="13" spans="1:3" x14ac:dyDescent="0.25">
      <c r="A13" s="1" t="s">
        <v>33</v>
      </c>
      <c r="B13" s="1" t="s">
        <v>111</v>
      </c>
      <c r="C13" s="66">
        <v>21.45</v>
      </c>
    </row>
    <row r="14" spans="1:3" x14ac:dyDescent="0.25">
      <c r="A14" s="1" t="s">
        <v>35</v>
      </c>
      <c r="B14" s="1" t="s">
        <v>112</v>
      </c>
      <c r="C14" s="66">
        <v>35.47</v>
      </c>
    </row>
    <row r="15" spans="1:3" x14ac:dyDescent="0.25">
      <c r="A15" s="1" t="s">
        <v>38</v>
      </c>
      <c r="B15" s="1" t="s">
        <v>113</v>
      </c>
      <c r="C15" s="66">
        <v>17.71</v>
      </c>
    </row>
    <row r="16" spans="1:3" x14ac:dyDescent="0.25">
      <c r="A16" s="1" t="s">
        <v>37</v>
      </c>
      <c r="B16" s="1" t="s">
        <v>114</v>
      </c>
      <c r="C16" s="66">
        <v>15.66</v>
      </c>
    </row>
    <row r="17" spans="1:3" x14ac:dyDescent="0.25">
      <c r="A17" s="1" t="s">
        <v>115</v>
      </c>
      <c r="B17" s="1" t="s">
        <v>116</v>
      </c>
      <c r="C17" s="66">
        <v>86.92</v>
      </c>
    </row>
    <row r="18" spans="1:3" x14ac:dyDescent="0.25">
      <c r="A18" s="1" t="s">
        <v>117</v>
      </c>
      <c r="B18" s="1" t="s">
        <v>118</v>
      </c>
      <c r="C18" s="66">
        <v>86.92</v>
      </c>
    </row>
    <row r="19" spans="1:3" x14ac:dyDescent="0.25">
      <c r="A19" s="1" t="s">
        <v>40</v>
      </c>
      <c r="B19" s="1" t="s">
        <v>119</v>
      </c>
      <c r="C19" s="66">
        <v>70.900000000000006</v>
      </c>
    </row>
    <row r="20" spans="1:3" x14ac:dyDescent="0.25">
      <c r="A20" s="1" t="s">
        <v>42</v>
      </c>
      <c r="B20" s="1" t="s">
        <v>120</v>
      </c>
      <c r="C20" s="66">
        <v>67.150000000000006</v>
      </c>
    </row>
    <row r="21" spans="1:3" x14ac:dyDescent="0.25">
      <c r="A21" s="1" t="s">
        <v>44</v>
      </c>
      <c r="B21" s="1" t="s">
        <v>121</v>
      </c>
      <c r="C21" s="66">
        <v>53.49</v>
      </c>
    </row>
    <row r="22" spans="1:3" x14ac:dyDescent="0.25">
      <c r="A22" s="1" t="s">
        <v>50</v>
      </c>
      <c r="B22" s="1" t="s">
        <v>122</v>
      </c>
      <c r="C22" s="66">
        <v>104.38</v>
      </c>
    </row>
    <row r="23" spans="1:3" x14ac:dyDescent="0.25">
      <c r="A23" s="1" t="s">
        <v>52</v>
      </c>
      <c r="B23" s="1" t="s">
        <v>123</v>
      </c>
      <c r="C23" s="66">
        <v>23.13</v>
      </c>
    </row>
    <row r="24" spans="1:3" x14ac:dyDescent="0.25">
      <c r="A24" s="1" t="s">
        <v>46</v>
      </c>
      <c r="B24" s="1" t="s">
        <v>124</v>
      </c>
      <c r="C24" s="66">
        <v>83.75</v>
      </c>
    </row>
    <row r="25" spans="1:3" x14ac:dyDescent="0.25">
      <c r="A25" s="1" t="s">
        <v>48</v>
      </c>
      <c r="B25" s="1" t="s">
        <v>125</v>
      </c>
      <c r="C25" s="66">
        <v>60.98</v>
      </c>
    </row>
    <row r="26" spans="1:3" x14ac:dyDescent="0.25">
      <c r="A26" s="1" t="s">
        <v>54</v>
      </c>
      <c r="B26" s="1" t="s">
        <v>126</v>
      </c>
      <c r="C26" s="66">
        <v>86.76</v>
      </c>
    </row>
    <row r="27" spans="1:3" x14ac:dyDescent="0.25">
      <c r="A27" s="1" t="s">
        <v>66</v>
      </c>
      <c r="B27" s="1" t="s">
        <v>127</v>
      </c>
      <c r="C27" s="66">
        <v>14.02</v>
      </c>
    </row>
    <row r="28" spans="1:3" x14ac:dyDescent="0.25">
      <c r="A28" s="1" t="s">
        <v>68</v>
      </c>
      <c r="B28" s="1" t="s">
        <v>128</v>
      </c>
      <c r="C28" s="66">
        <v>14.02</v>
      </c>
    </row>
    <row r="29" spans="1:3" x14ac:dyDescent="0.25">
      <c r="A29" s="1" t="s">
        <v>70</v>
      </c>
      <c r="B29" s="1" t="s">
        <v>129</v>
      </c>
      <c r="C29" s="66">
        <v>129.84</v>
      </c>
    </row>
    <row r="30" spans="1:3" x14ac:dyDescent="0.25">
      <c r="A30" s="1" t="s">
        <v>72</v>
      </c>
      <c r="B30" s="1" t="s">
        <v>130</v>
      </c>
      <c r="C30" s="68">
        <v>10.98</v>
      </c>
    </row>
    <row r="31" spans="1:3" x14ac:dyDescent="0.25">
      <c r="A31" s="1" t="s">
        <v>74</v>
      </c>
      <c r="B31" s="1" t="s">
        <v>131</v>
      </c>
      <c r="C31" s="66">
        <v>8.5299999999999994</v>
      </c>
    </row>
    <row r="32" spans="1:3" x14ac:dyDescent="0.25">
      <c r="A32" s="1" t="s">
        <v>76</v>
      </c>
      <c r="B32" s="1" t="s">
        <v>132</v>
      </c>
      <c r="C32" s="66">
        <v>116.92</v>
      </c>
    </row>
    <row r="33" spans="1:3" x14ac:dyDescent="0.25">
      <c r="A33" s="1" t="s">
        <v>57</v>
      </c>
      <c r="B33" s="1" t="s">
        <v>133</v>
      </c>
      <c r="C33" s="66">
        <v>6.49</v>
      </c>
    </row>
    <row r="34" spans="1:3" x14ac:dyDescent="0.25">
      <c r="A34" s="1" t="s">
        <v>60</v>
      </c>
      <c r="B34" s="1" t="s">
        <v>134</v>
      </c>
      <c r="C34" s="66">
        <v>6.49</v>
      </c>
    </row>
    <row r="35" spans="1:3" x14ac:dyDescent="0.25">
      <c r="A35" s="1" t="s">
        <v>62</v>
      </c>
      <c r="B35" s="1" t="s">
        <v>135</v>
      </c>
      <c r="C35" s="66">
        <v>6.72</v>
      </c>
    </row>
    <row r="36" spans="1:3" x14ac:dyDescent="0.25">
      <c r="A36" s="1" t="s">
        <v>64</v>
      </c>
      <c r="B36" s="1" t="s">
        <v>136</v>
      </c>
      <c r="C36" s="66">
        <v>5.8</v>
      </c>
    </row>
    <row r="37" spans="1:3" x14ac:dyDescent="0.25">
      <c r="A37" s="1" t="s">
        <v>78</v>
      </c>
      <c r="B37" s="1" t="s">
        <v>137</v>
      </c>
      <c r="C37" s="66">
        <v>19.36</v>
      </c>
    </row>
    <row r="38" spans="1:3" x14ac:dyDescent="0.25">
      <c r="A38" s="2" t="s">
        <v>81</v>
      </c>
      <c r="B38" s="4" t="s">
        <v>138</v>
      </c>
      <c r="C38" s="66">
        <v>64.3</v>
      </c>
    </row>
    <row r="39" spans="1:3" x14ac:dyDescent="0.25">
      <c r="A39" s="2" t="s">
        <v>83</v>
      </c>
      <c r="B39" s="5" t="s">
        <v>139</v>
      </c>
      <c r="C39" s="66">
        <v>49.77</v>
      </c>
    </row>
    <row r="40" spans="1:3" x14ac:dyDescent="0.25">
      <c r="A40" s="3" t="s">
        <v>85</v>
      </c>
      <c r="B40" s="6" t="s">
        <v>140</v>
      </c>
      <c r="C40" s="68">
        <v>46.73</v>
      </c>
    </row>
    <row r="41" spans="1:3" x14ac:dyDescent="0.25">
      <c r="A41" s="3" t="s">
        <v>87</v>
      </c>
      <c r="B41" s="6" t="s">
        <v>141</v>
      </c>
      <c r="C41" s="66">
        <v>51.45</v>
      </c>
    </row>
    <row r="42" spans="1:3" x14ac:dyDescent="0.25">
      <c r="A42" s="94" t="s">
        <v>142</v>
      </c>
      <c r="B42" s="95"/>
      <c r="C42" s="96"/>
    </row>
    <row r="43" spans="1:3" x14ac:dyDescent="0.25">
      <c r="A43" s="7" t="s">
        <v>143</v>
      </c>
      <c r="B43" s="1" t="s">
        <v>144</v>
      </c>
      <c r="C43" s="66">
        <v>2.68</v>
      </c>
    </row>
    <row r="44" spans="1:3" x14ac:dyDescent="0.25">
      <c r="A44" s="7" t="s">
        <v>145</v>
      </c>
      <c r="B44" s="1" t="s">
        <v>146</v>
      </c>
      <c r="C44" s="66">
        <v>4.5</v>
      </c>
    </row>
    <row r="45" spans="1:3" x14ac:dyDescent="0.25">
      <c r="A45" s="7" t="s">
        <v>147</v>
      </c>
      <c r="B45" s="1" t="s">
        <v>148</v>
      </c>
      <c r="C45" s="66">
        <v>20.420000000000002</v>
      </c>
    </row>
    <row r="46" spans="1:3" x14ac:dyDescent="0.25">
      <c r="A46" s="91" t="s">
        <v>149</v>
      </c>
      <c r="B46" s="92"/>
      <c r="C46" s="93"/>
    </row>
  </sheetData>
  <mergeCells count="3">
    <mergeCell ref="A46:C46"/>
    <mergeCell ref="A42:C42"/>
    <mergeCell ref="A1:C1"/>
  </mergeCells>
  <printOptions horizontalCentered="1"/>
  <pageMargins left="0.25" right="0.25" top="0.5" bottom="0.25" header="0.3" footer="0.3"/>
  <pageSetup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GA Parks 2019-20 (Order Form)</vt:lpstr>
      <vt:lpstr>GA State Parks 2019-20 Price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Jonathan Spear</dc:creator>
  <cp:keywords/>
  <dc:description/>
  <cp:lastModifiedBy>Meditz, Pam</cp:lastModifiedBy>
  <cp:revision/>
  <cp:lastPrinted>2019-04-12T17:29:39Z</cp:lastPrinted>
  <dcterms:created xsi:type="dcterms:W3CDTF">2012-09-19T14:51:13Z</dcterms:created>
  <dcterms:modified xsi:type="dcterms:W3CDTF">2019-04-12T18:04:42Z</dcterms:modified>
  <cp:category/>
  <cp:contentStatus/>
</cp:coreProperties>
</file>